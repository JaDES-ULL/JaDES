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14.xml" ContentType="application/vnd.openxmlformats-officedocument.drawing+xml"/>
  <Override PartName="/xl/ctrlProps/ctrlProp6.xml" ContentType="application/vnd.ms-excel.controlproperties+xml"/>
  <Override PartName="/xl/charts/chart12.xml" ContentType="application/vnd.openxmlformats-officedocument.drawingml.chart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7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8.xml" ContentType="application/vnd.ms-excel.controlproperties+xml"/>
  <Override PartName="/xl/charts/chart1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casrod\git\JaDES-HTA\src\main\resources\"/>
    </mc:Choice>
  </mc:AlternateContent>
  <xr:revisionPtr revIDLastSave="0" documentId="13_ncr:1_{A13A60A7-95F1-4EB7-BFEF-08296B9F76B2}" xr6:coauthVersionLast="47" xr6:coauthVersionMax="47" xr10:uidLastSave="{00000000-0000-0000-0000-000000000000}"/>
  <bookViews>
    <workbookView xWindow="28680" yWindow="-4635" windowWidth="29040" windowHeight="15720" tabRatio="860" activeTab="5" xr2:uid="{00000000-000D-0000-FFFF-FFFF00000000}"/>
  </bookViews>
  <sheets>
    <sheet name="Control" sheetId="5" r:id="rId1"/>
    <sheet name="Style templates" sheetId="102" r:id="rId2"/>
    <sheet name="Parameters" sheetId="34" r:id="rId3"/>
    <sheet name="Parameter details" sheetId="103" r:id="rId4"/>
    <sheet name="Model" sheetId="35" r:id="rId5"/>
    <sheet name="Process" sheetId="93" r:id="rId6"/>
    <sheet name="Results" sheetId="6" r:id="rId7"/>
    <sheet name="Cost-effectiveness" sheetId="16" r:id="rId8"/>
    <sheet name="Acceptability curves" sheetId="19" r:id="rId9"/>
    <sheet name="EVPI" sheetId="20" r:id="rId10"/>
    <sheet name="Impact of uncertainty" sheetId="21" r:id="rId11"/>
    <sheet name="One-way sensitivity" sheetId="94" r:id="rId12"/>
    <sheet name="Two-way sensitivity" sheetId="97" r:id="rId13"/>
    <sheet name="Budget impact" sheetId="39" r:id="rId14"/>
    <sheet name="Weights Spain" sheetId="40" r:id="rId15"/>
    <sheet name="Heights Spain" sheetId="41" r:id="rId16"/>
    <sheet name="Mortality Spain" sheetId="70" r:id="rId17"/>
    <sheet name="CPI Update" sheetId="98" r:id="rId18"/>
    <sheet name="Localization" sheetId="96" r:id="rId19"/>
  </sheets>
  <definedNames>
    <definedName name="_xleta.YEAR" hidden="1" xlm="1">#NAME?</definedName>
    <definedName name="alfaElipse">'Cost-effectiveness'!$C$12</definedName>
    <definedName name="colDist1">Control!$D$16</definedName>
    <definedName name="colDistN">Control!$E$16</definedName>
    <definedName name="corrElipse">'Cost-effectiveness'!$C$11</definedName>
    <definedName name="corrElipse2">'Cost-effectiveness'!$D$11</definedName>
    <definedName name="costsBI">'Budget impact'!$C$4:$C$5</definedName>
    <definedName name="CPI">'CPI Update'!$B$3:$C$27</definedName>
    <definedName name="discountCosts">Control!$D$22</definedName>
    <definedName name="discountLE">Control!$E$22</definedName>
    <definedName name="discountQALE">Control!$F$22</definedName>
    <definedName name="Heigths">'Heights Spain'!$R$3:$T$22</definedName>
    <definedName name="incEVPI">Control!$G$29</definedName>
    <definedName name="innerLoopEVPPI">Control!$D$29</definedName>
    <definedName name="intervention1">Control!$D$8</definedName>
    <definedName name="intervention2">Control!$D$9</definedName>
    <definedName name="isProbabilistic">Control!$K$5</definedName>
    <definedName name="language">Control!$E$5</definedName>
    <definedName name="maxUmbral">Control!$D$25</definedName>
    <definedName name="newbornsBI">'Budget impact'!$C$9</definedName>
    <definedName name="nSim">Control!$D$12</definedName>
    <definedName name="outerLoopEVPPI">Control!$D$28</definedName>
    <definedName name="parameterRow">'Style templates'!$G$11:$U$11</definedName>
    <definedName name="payoffTitles">'Style templates'!$G$4:$P$5</definedName>
    <definedName name="popEVPI">Control!$G$28</definedName>
    <definedName name="ref_EVPI">EVPI!$J$5</definedName>
    <definedName name="ref_NB_EVPI">EVPI!$C$6:$H$6</definedName>
    <definedName name="ref_oneway">'One-way sensitivity'!$C$49</definedName>
    <definedName name="ref_tablaCurva">'Acceptability curves'!$C$4:$C$55</definedName>
    <definedName name="ref_tablaElipse">'Cost-effectiveness'!$C$16:$E$41</definedName>
    <definedName name="ref_umbral">EVPI!$C$2</definedName>
    <definedName name="results">Process!$B$11:$AZ$11</definedName>
    <definedName name="roundCost">Control!$D$21</definedName>
    <definedName name="roundLE">Control!$E$21</definedName>
    <definedName name="roundQALE">Control!$F$21</definedName>
    <definedName name="stCost">'Style templates'!$C$12</definedName>
    <definedName name="stCostTitle">'Style templates'!$H$5</definedName>
    <definedName name="stEffect1">'Style templates'!$C$14</definedName>
    <definedName name="stEffect1Title">'Style templates'!$I$5</definedName>
    <definedName name="stEffect2">'Style templates'!$C$16</definedName>
    <definedName name="stEffect2Title">'Style templates'!$J$5</definedName>
    <definedName name="stProbability">'Style templates'!$C$10</definedName>
    <definedName name="stProbTile">'Style templates'!$G$5</definedName>
    <definedName name="stTreeBranch">'Style templates'!$C$6</definedName>
    <definedName name="stTreeCorner">'Style templates'!$C$8</definedName>
    <definedName name="stTreeNode">'Style templates'!$C$4</definedName>
    <definedName name="studyYear">Control!$G$12</definedName>
    <definedName name="summaryRow">'Style templates'!$G$9:$K$9</definedName>
    <definedName name="summaryTitles">'Style templates'!$G$7:$K$7</definedName>
    <definedName name="thresholdGap">Control!$G$30</definedName>
    <definedName name="timeHorizon">Control!$G$9</definedName>
    <definedName name="unitCost">Control!$D$20</definedName>
    <definedName name="unitLE">Control!$E$20</definedName>
    <definedName name="unitQALE">Control!$F$20</definedName>
    <definedName name="Weights">'Weights Spain'!$R$3:$T$22</definedName>
    <definedName name="yearsBI">'Budget impact'!$C$2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" i="70" l="1"/>
  <c r="T5" i="70" s="1"/>
  <c r="M5" i="70"/>
  <c r="N5" i="70" s="1"/>
  <c r="K3" i="5"/>
  <c r="D8" i="94"/>
  <c r="D7" i="94"/>
  <c r="C8" i="94"/>
  <c r="C7" i="94"/>
  <c r="F10" i="5"/>
  <c r="F13" i="5"/>
  <c r="E6" i="103"/>
  <c r="E7" i="103" s="1"/>
  <c r="E8" i="103" s="1"/>
  <c r="E9" i="103" s="1"/>
  <c r="E10" i="103" s="1"/>
  <c r="E11" i="103" s="1"/>
  <c r="E12" i="103" s="1"/>
  <c r="E13" i="103" s="1"/>
  <c r="E14" i="103" s="1"/>
  <c r="E15" i="103" s="1"/>
  <c r="E16" i="103" s="1"/>
  <c r="E17" i="103" s="1"/>
  <c r="E18" i="103" s="1"/>
  <c r="E19" i="103" s="1"/>
  <c r="E20" i="103" s="1"/>
  <c r="E21" i="103" s="1"/>
  <c r="E22" i="103" s="1"/>
  <c r="E23" i="103" s="1"/>
  <c r="E24" i="103" s="1"/>
  <c r="E25" i="103" s="1"/>
  <c r="E26" i="103" s="1"/>
  <c r="E27" i="103" s="1"/>
  <c r="E28" i="103" s="1"/>
  <c r="E29" i="103" s="1"/>
  <c r="E30" i="103" s="1"/>
  <c r="E31" i="103" s="1"/>
  <c r="E32" i="103" s="1"/>
  <c r="E33" i="103" s="1"/>
  <c r="E34" i="103" s="1"/>
  <c r="E35" i="103" s="1"/>
  <c r="E36" i="103" s="1"/>
  <c r="E37" i="103" s="1"/>
  <c r="E38" i="103" s="1"/>
  <c r="E39" i="103" s="1"/>
  <c r="E40" i="103" s="1"/>
  <c r="E41" i="103" s="1"/>
  <c r="E42" i="103" s="1"/>
  <c r="E43" i="103" s="1"/>
  <c r="E44" i="103" s="1"/>
  <c r="E45" i="103" s="1"/>
  <c r="E46" i="103" s="1"/>
  <c r="E47" i="103" s="1"/>
  <c r="E48" i="103" s="1"/>
  <c r="E49" i="103" s="1"/>
  <c r="E50" i="103" s="1"/>
  <c r="E51" i="103" s="1"/>
  <c r="E52" i="103" s="1"/>
  <c r="E53" i="103" s="1"/>
  <c r="E54" i="103" s="1"/>
  <c r="E55" i="103" s="1"/>
  <c r="E56" i="103" s="1"/>
  <c r="E57" i="103" s="1"/>
  <c r="E58" i="103" s="1"/>
  <c r="E59" i="103" s="1"/>
  <c r="E60" i="103" s="1"/>
  <c r="E61" i="103" s="1"/>
  <c r="E62" i="103" s="1"/>
  <c r="E63" i="103" s="1"/>
  <c r="E64" i="103" s="1"/>
  <c r="E65" i="103" s="1"/>
  <c r="E66" i="103" s="1"/>
  <c r="E67" i="103" s="1"/>
  <c r="E68" i="103" s="1"/>
  <c r="E69" i="103" s="1"/>
  <c r="E70" i="103" s="1"/>
  <c r="E71" i="103" s="1"/>
  <c r="E72" i="103" s="1"/>
  <c r="E73" i="103" s="1"/>
  <c r="E74" i="103" s="1"/>
  <c r="E75" i="103" s="1"/>
  <c r="E76" i="103" s="1"/>
  <c r="E77" i="103" s="1"/>
  <c r="E78" i="103" s="1"/>
  <c r="E79" i="103" s="1"/>
  <c r="E80" i="103" s="1"/>
  <c r="E81" i="103" s="1"/>
  <c r="E82" i="103" s="1"/>
  <c r="E83" i="103" s="1"/>
  <c r="E84" i="103" s="1"/>
  <c r="E85" i="103" s="1"/>
  <c r="E86" i="103" s="1"/>
  <c r="E87" i="103" s="1"/>
  <c r="E88" i="103" s="1"/>
  <c r="E89" i="103" s="1"/>
  <c r="E90" i="103" s="1"/>
  <c r="E91" i="103" s="1"/>
  <c r="E92" i="103" s="1"/>
  <c r="E93" i="103" s="1"/>
  <c r="E94" i="103" s="1"/>
  <c r="E95" i="103" s="1"/>
  <c r="E96" i="103" s="1"/>
  <c r="E97" i="103" s="1"/>
  <c r="E98" i="103" s="1"/>
  <c r="E99" i="103" s="1"/>
  <c r="E100" i="103" s="1"/>
  <c r="E101" i="103" s="1"/>
  <c r="E102" i="103" s="1"/>
  <c r="E103" i="103" s="1"/>
  <c r="E104" i="103" s="1"/>
  <c r="E105" i="103" s="1"/>
  <c r="D6" i="103"/>
  <c r="D7" i="103" s="1"/>
  <c r="D8" i="103" s="1"/>
  <c r="D9" i="103" s="1"/>
  <c r="D10" i="103" s="1"/>
  <c r="D11" i="103" s="1"/>
  <c r="D12" i="103" s="1"/>
  <c r="D13" i="103" s="1"/>
  <c r="D14" i="103" s="1"/>
  <c r="D15" i="103" s="1"/>
  <c r="D16" i="103" s="1"/>
  <c r="D17" i="103" s="1"/>
  <c r="D18" i="103" s="1"/>
  <c r="D19" i="103" s="1"/>
  <c r="D20" i="103" s="1"/>
  <c r="D21" i="103" s="1"/>
  <c r="D22" i="103" s="1"/>
  <c r="D23" i="103" s="1"/>
  <c r="D24" i="103" s="1"/>
  <c r="D25" i="103" s="1"/>
  <c r="D26" i="103" s="1"/>
  <c r="D27" i="103" s="1"/>
  <c r="D28" i="103" s="1"/>
  <c r="D29" i="103" s="1"/>
  <c r="D30" i="103" s="1"/>
  <c r="D31" i="103" s="1"/>
  <c r="D32" i="103" s="1"/>
  <c r="D33" i="103" s="1"/>
  <c r="D34" i="103" s="1"/>
  <c r="D35" i="103" s="1"/>
  <c r="D36" i="103" s="1"/>
  <c r="D37" i="103" s="1"/>
  <c r="D38" i="103" s="1"/>
  <c r="D39" i="103" s="1"/>
  <c r="D40" i="103" s="1"/>
  <c r="D41" i="103" s="1"/>
  <c r="D42" i="103" s="1"/>
  <c r="D43" i="103" s="1"/>
  <c r="D44" i="103" s="1"/>
  <c r="D45" i="103" s="1"/>
  <c r="D46" i="103" s="1"/>
  <c r="D47" i="103" s="1"/>
  <c r="D48" i="103" s="1"/>
  <c r="D49" i="103" s="1"/>
  <c r="D50" i="103" s="1"/>
  <c r="D51" i="103" s="1"/>
  <c r="D52" i="103" s="1"/>
  <c r="D53" i="103" s="1"/>
  <c r="D54" i="103" s="1"/>
  <c r="D55" i="103" s="1"/>
  <c r="D56" i="103" s="1"/>
  <c r="D57" i="103" s="1"/>
  <c r="D58" i="103" s="1"/>
  <c r="D59" i="103" s="1"/>
  <c r="D60" i="103" s="1"/>
  <c r="D61" i="103" s="1"/>
  <c r="D62" i="103" s="1"/>
  <c r="D63" i="103" s="1"/>
  <c r="D64" i="103" s="1"/>
  <c r="D65" i="103" s="1"/>
  <c r="D66" i="103" s="1"/>
  <c r="D67" i="103" s="1"/>
  <c r="D68" i="103" s="1"/>
  <c r="D69" i="103" s="1"/>
  <c r="D70" i="103" s="1"/>
  <c r="D71" i="103" s="1"/>
  <c r="D72" i="103" s="1"/>
  <c r="D73" i="103" s="1"/>
  <c r="D74" i="103" s="1"/>
  <c r="D75" i="103" s="1"/>
  <c r="D76" i="103" s="1"/>
  <c r="D77" i="103" s="1"/>
  <c r="D78" i="103" s="1"/>
  <c r="D79" i="103" s="1"/>
  <c r="D80" i="103" s="1"/>
  <c r="D81" i="103" s="1"/>
  <c r="D82" i="103" s="1"/>
  <c r="D83" i="103" s="1"/>
  <c r="D84" i="103" s="1"/>
  <c r="D85" i="103" s="1"/>
  <c r="D86" i="103" s="1"/>
  <c r="D87" i="103" s="1"/>
  <c r="D88" i="103" s="1"/>
  <c r="D89" i="103" s="1"/>
  <c r="D90" i="103" s="1"/>
  <c r="D91" i="103" s="1"/>
  <c r="D92" i="103" s="1"/>
  <c r="D93" i="103" s="1"/>
  <c r="D94" i="103" s="1"/>
  <c r="D95" i="103" s="1"/>
  <c r="D96" i="103" s="1"/>
  <c r="D97" i="103" s="1"/>
  <c r="D98" i="103" s="1"/>
  <c r="D99" i="103" s="1"/>
  <c r="D100" i="103" s="1"/>
  <c r="D101" i="103" s="1"/>
  <c r="D102" i="103" s="1"/>
  <c r="D103" i="103" s="1"/>
  <c r="D104" i="103" s="1"/>
  <c r="D105" i="103" s="1"/>
  <c r="D3" i="103"/>
  <c r="E3" i="103"/>
  <c r="C6" i="103"/>
  <c r="C7" i="103" s="1"/>
  <c r="C8" i="103" s="1"/>
  <c r="C9" i="103" s="1"/>
  <c r="C10" i="103" s="1"/>
  <c r="C11" i="103" s="1"/>
  <c r="C12" i="103" s="1"/>
  <c r="C13" i="103" s="1"/>
  <c r="C14" i="103" s="1"/>
  <c r="C15" i="103" s="1"/>
  <c r="C16" i="103" s="1"/>
  <c r="C17" i="103" s="1"/>
  <c r="C18" i="103" s="1"/>
  <c r="C19" i="103" s="1"/>
  <c r="C20" i="103" s="1"/>
  <c r="C21" i="103" s="1"/>
  <c r="C22" i="103" s="1"/>
  <c r="C23" i="103" s="1"/>
  <c r="C24" i="103" s="1"/>
  <c r="C25" i="103" s="1"/>
  <c r="C26" i="103" s="1"/>
  <c r="C27" i="103" s="1"/>
  <c r="C28" i="103" s="1"/>
  <c r="C29" i="103" s="1"/>
  <c r="C30" i="103" s="1"/>
  <c r="C31" i="103" s="1"/>
  <c r="C32" i="103" s="1"/>
  <c r="C33" i="103" s="1"/>
  <c r="C34" i="103" s="1"/>
  <c r="C35" i="103" s="1"/>
  <c r="C36" i="103" s="1"/>
  <c r="C37" i="103" s="1"/>
  <c r="C38" i="103" s="1"/>
  <c r="C39" i="103" s="1"/>
  <c r="C40" i="103" s="1"/>
  <c r="C41" i="103" s="1"/>
  <c r="C42" i="103" s="1"/>
  <c r="C43" i="103" s="1"/>
  <c r="C44" i="103" s="1"/>
  <c r="C45" i="103" s="1"/>
  <c r="C46" i="103" s="1"/>
  <c r="C47" i="103" s="1"/>
  <c r="C48" i="103" s="1"/>
  <c r="C49" i="103" s="1"/>
  <c r="C50" i="103" s="1"/>
  <c r="C51" i="103" s="1"/>
  <c r="C52" i="103" s="1"/>
  <c r="C53" i="103" s="1"/>
  <c r="C54" i="103" s="1"/>
  <c r="C55" i="103" s="1"/>
  <c r="C56" i="103" s="1"/>
  <c r="C57" i="103" s="1"/>
  <c r="C58" i="103" s="1"/>
  <c r="C59" i="103" s="1"/>
  <c r="C60" i="103" s="1"/>
  <c r="C61" i="103" s="1"/>
  <c r="C62" i="103" s="1"/>
  <c r="C63" i="103" s="1"/>
  <c r="C64" i="103" s="1"/>
  <c r="C65" i="103" s="1"/>
  <c r="C66" i="103" s="1"/>
  <c r="C67" i="103" s="1"/>
  <c r="C68" i="103" s="1"/>
  <c r="C69" i="103" s="1"/>
  <c r="C70" i="103" s="1"/>
  <c r="C71" i="103" s="1"/>
  <c r="C72" i="103" s="1"/>
  <c r="C73" i="103" s="1"/>
  <c r="C74" i="103" s="1"/>
  <c r="C75" i="103" s="1"/>
  <c r="C76" i="103" s="1"/>
  <c r="C77" i="103" s="1"/>
  <c r="C78" i="103" s="1"/>
  <c r="C79" i="103" s="1"/>
  <c r="C80" i="103" s="1"/>
  <c r="C81" i="103" s="1"/>
  <c r="C82" i="103" s="1"/>
  <c r="C83" i="103" s="1"/>
  <c r="C84" i="103" s="1"/>
  <c r="C85" i="103" s="1"/>
  <c r="C86" i="103" s="1"/>
  <c r="C87" i="103" s="1"/>
  <c r="C88" i="103" s="1"/>
  <c r="C89" i="103" s="1"/>
  <c r="C90" i="103" s="1"/>
  <c r="C91" i="103" s="1"/>
  <c r="C92" i="103" s="1"/>
  <c r="C93" i="103" s="1"/>
  <c r="C94" i="103" s="1"/>
  <c r="C95" i="103" s="1"/>
  <c r="C96" i="103" s="1"/>
  <c r="C97" i="103" s="1"/>
  <c r="C98" i="103" s="1"/>
  <c r="C99" i="103" s="1"/>
  <c r="C100" i="103" s="1"/>
  <c r="C101" i="103" s="1"/>
  <c r="C102" i="103" s="1"/>
  <c r="C103" i="103" s="1"/>
  <c r="C104" i="103" s="1"/>
  <c r="C105" i="103" s="1"/>
  <c r="C49" i="94" a="1"/>
  <c r="S6" i="70" l="1"/>
  <c r="S7" i="70" s="1"/>
  <c r="S8" i="70" s="1"/>
  <c r="T8" i="70" s="1"/>
  <c r="T7" i="70"/>
  <c r="M6" i="70"/>
  <c r="M7" i="70" s="1"/>
  <c r="M8" i="70" s="1"/>
  <c r="C49" i="94"/>
  <c r="H6" i="98"/>
  <c r="H4" i="98"/>
  <c r="E4" i="93"/>
  <c r="F4" i="93"/>
  <c r="C4" i="93"/>
  <c r="D4" i="93"/>
  <c r="G4" i="93"/>
  <c r="H4" i="93"/>
  <c r="I4" i="93"/>
  <c r="J4" i="93"/>
  <c r="K4" i="93"/>
  <c r="L4" i="93"/>
  <c r="M4" i="93"/>
  <c r="B4" i="93"/>
  <c r="B77" i="96" a="1"/>
  <c r="B77" i="96" s="1"/>
  <c r="C8" i="39" s="1"/>
  <c r="B79" i="96" a="1"/>
  <c r="B79" i="96" s="1"/>
  <c r="B80" i="96" a="1"/>
  <c r="B80" i="96" s="1"/>
  <c r="B81" i="96" a="1"/>
  <c r="B81" i="96" s="1"/>
  <c r="B82" i="96" a="1"/>
  <c r="B82" i="96" s="1"/>
  <c r="B83" i="96" a="1"/>
  <c r="B83" i="96" s="1"/>
  <c r="B84" i="96" a="1"/>
  <c r="B84" i="96" s="1"/>
  <c r="B85" i="96" a="1"/>
  <c r="B85" i="96" s="1"/>
  <c r="B86" i="96" a="1"/>
  <c r="B86" i="96" s="1"/>
  <c r="C6" i="34" s="1"/>
  <c r="B87" i="96" a="1"/>
  <c r="B87" i="96" s="1"/>
  <c r="D6" i="34" s="1"/>
  <c r="B5" i="96" a="1"/>
  <c r="B5" i="96" s="1"/>
  <c r="B6" i="96" a="1"/>
  <c r="B6" i="96" s="1"/>
  <c r="B7" i="96" a="1"/>
  <c r="B7" i="96" s="1"/>
  <c r="B8" i="96" a="1"/>
  <c r="B8" i="96" s="1"/>
  <c r="B9" i="96" a="1"/>
  <c r="B9" i="96" s="1"/>
  <c r="B10" i="96" a="1"/>
  <c r="B10" i="96" s="1"/>
  <c r="B11" i="96" a="1"/>
  <c r="B11" i="96" s="1"/>
  <c r="B3" i="103" s="1"/>
  <c r="B12" i="96" a="1"/>
  <c r="B12" i="96" s="1"/>
  <c r="B13" i="96" a="1"/>
  <c r="B13" i="96" s="1"/>
  <c r="B14" i="96" a="1"/>
  <c r="B14" i="96" s="1"/>
  <c r="B15" i="96" a="1"/>
  <c r="B15" i="96" s="1"/>
  <c r="B16" i="96" a="1"/>
  <c r="B16" i="96" s="1"/>
  <c r="B17" i="96" a="1"/>
  <c r="B17" i="96" s="1"/>
  <c r="B18" i="96" a="1"/>
  <c r="B18" i="96" s="1"/>
  <c r="B19" i="96" a="1"/>
  <c r="B19" i="96" s="1"/>
  <c r="B20" i="96" a="1"/>
  <c r="B20" i="96" s="1"/>
  <c r="B21" i="96" a="1"/>
  <c r="B21" i="96" s="1"/>
  <c r="B22" i="96" a="1"/>
  <c r="B22" i="96" s="1"/>
  <c r="B23" i="96" a="1"/>
  <c r="B23" i="96" s="1"/>
  <c r="B24" i="96" a="1"/>
  <c r="B24" i="96" s="1"/>
  <c r="B25" i="96" a="1"/>
  <c r="B25" i="96" s="1"/>
  <c r="B26" i="96" a="1"/>
  <c r="B26" i="96" s="1"/>
  <c r="B27" i="96" a="1"/>
  <c r="B27" i="96" s="1"/>
  <c r="B28" i="96" a="1"/>
  <c r="B28" i="96" s="1"/>
  <c r="B29" i="96" a="1"/>
  <c r="B29" i="96" s="1"/>
  <c r="B30" i="96" a="1"/>
  <c r="B30" i="96" s="1"/>
  <c r="B31" i="96" a="1"/>
  <c r="B31" i="96" s="1"/>
  <c r="B32" i="96" a="1"/>
  <c r="B32" i="96" s="1"/>
  <c r="B34" i="96" a="1"/>
  <c r="B34" i="96" s="1"/>
  <c r="B35" i="96" a="1"/>
  <c r="B35" i="96" s="1"/>
  <c r="B36" i="96" a="1"/>
  <c r="B36" i="96" s="1"/>
  <c r="B37" i="96" a="1"/>
  <c r="B37" i="96" s="1"/>
  <c r="B38" i="96" a="1"/>
  <c r="B38" i="96" s="1"/>
  <c r="B39" i="96" a="1"/>
  <c r="B39" i="96" s="1"/>
  <c r="B40" i="96" a="1"/>
  <c r="B40" i="96" s="1"/>
  <c r="B41" i="96" a="1"/>
  <c r="B41" i="96" s="1"/>
  <c r="B42" i="96" a="1"/>
  <c r="B42" i="96" s="1"/>
  <c r="B43" i="96" a="1"/>
  <c r="B43" i="96" s="1"/>
  <c r="B44" i="96" a="1"/>
  <c r="B44" i="96" s="1"/>
  <c r="B45" i="96" a="1"/>
  <c r="B45" i="96" s="1"/>
  <c r="B46" i="96" a="1"/>
  <c r="B46" i="96" s="1"/>
  <c r="B47" i="96" a="1"/>
  <c r="B47" i="96" s="1"/>
  <c r="B48" i="96" a="1"/>
  <c r="B48" i="96" s="1"/>
  <c r="B49" i="96" a="1"/>
  <c r="B49" i="96" s="1"/>
  <c r="B50" i="96" a="1"/>
  <c r="B50" i="96" s="1"/>
  <c r="B51" i="96" a="1"/>
  <c r="B51" i="96" s="1"/>
  <c r="B52" i="96" a="1"/>
  <c r="B52" i="96" s="1"/>
  <c r="B53" i="96" a="1"/>
  <c r="B53" i="96" s="1"/>
  <c r="B54" i="96" a="1"/>
  <c r="B54" i="96" s="1"/>
  <c r="B55" i="96" a="1"/>
  <c r="B55" i="96" s="1"/>
  <c r="B56" i="96" a="1"/>
  <c r="B56" i="96" s="1"/>
  <c r="B57" i="96" a="1"/>
  <c r="B57" i="96" s="1"/>
  <c r="B58" i="96" a="1"/>
  <c r="B58" i="96" s="1"/>
  <c r="B59" i="96" a="1"/>
  <c r="B59" i="96" s="1"/>
  <c r="B60" i="96" a="1"/>
  <c r="B60" i="96" s="1"/>
  <c r="B61" i="96" a="1"/>
  <c r="B61" i="96" s="1"/>
  <c r="B62" i="96" a="1"/>
  <c r="B62" i="96" s="1"/>
  <c r="B63" i="96" a="1"/>
  <c r="B63" i="96" s="1"/>
  <c r="B64" i="96" a="1"/>
  <c r="B64" i="96" s="1"/>
  <c r="B65" i="96" a="1"/>
  <c r="B65" i="96" s="1"/>
  <c r="B66" i="96" a="1"/>
  <c r="B66" i="96" s="1"/>
  <c r="B67" i="96" a="1"/>
  <c r="B67" i="96" s="1"/>
  <c r="B68" i="96" a="1"/>
  <c r="B68" i="96" s="1"/>
  <c r="B69" i="96" a="1"/>
  <c r="B69" i="96" s="1"/>
  <c r="B70" i="96" a="1"/>
  <c r="B70" i="96" s="1"/>
  <c r="B71" i="96" a="1"/>
  <c r="B71" i="96" s="1"/>
  <c r="B72" i="96" a="1"/>
  <c r="B72" i="96" s="1"/>
  <c r="B73" i="96" a="1"/>
  <c r="B73" i="96" s="1"/>
  <c r="B74" i="96" a="1"/>
  <c r="B74" i="96" s="1"/>
  <c r="B75" i="96" a="1"/>
  <c r="B75" i="96" s="1"/>
  <c r="B76" i="96" a="1"/>
  <c r="B76" i="96" s="1"/>
  <c r="B4" i="96" a="1"/>
  <c r="B4" i="96" s="1"/>
  <c r="I7" i="102"/>
  <c r="H7" i="102"/>
  <c r="L4" i="102"/>
  <c r="L5" i="102"/>
  <c r="H5" i="102"/>
  <c r="G5" i="102"/>
  <c r="G11" i="93" a="1"/>
  <c r="H11" i="93" a="1"/>
  <c r="J11" i="93" a="1"/>
  <c r="K11" i="93" a="1"/>
  <c r="I11" i="93" a="1"/>
  <c r="M11" i="93" a="1"/>
  <c r="L11" i="93" a="1"/>
  <c r="G7" i="98" l="1"/>
  <c r="T6" i="70"/>
  <c r="N6" i="70"/>
  <c r="N8" i="70"/>
  <c r="N7" i="70"/>
  <c r="S9" i="70"/>
  <c r="T9" i="70" s="1"/>
  <c r="M9" i="70"/>
  <c r="C22" i="5"/>
  <c r="C2" i="103"/>
  <c r="K11" i="93"/>
  <c r="M11" i="93"/>
  <c r="L11" i="93"/>
  <c r="J11" i="93"/>
  <c r="I11" i="93"/>
  <c r="H11" i="93"/>
  <c r="G11" i="93"/>
  <c r="S10" i="70" l="1"/>
  <c r="M10" i="70"/>
  <c r="N9" i="70"/>
  <c r="O5" i="97"/>
  <c r="O5" i="94"/>
  <c r="N5" i="97"/>
  <c r="N5" i="94"/>
  <c r="M5" i="97"/>
  <c r="M5" i="94"/>
  <c r="L5" i="97"/>
  <c r="L5" i="94"/>
  <c r="K5" i="97"/>
  <c r="K5" i="94"/>
  <c r="J5" i="97"/>
  <c r="J5" i="94"/>
  <c r="G6" i="39"/>
  <c r="G11" i="39" s="1"/>
  <c r="H6" i="39"/>
  <c r="I6" i="39"/>
  <c r="I13" i="39" s="1"/>
  <c r="J6" i="39"/>
  <c r="J18" i="39" s="1"/>
  <c r="K6" i="39"/>
  <c r="K15" i="39" s="1"/>
  <c r="L6" i="39"/>
  <c r="L12" i="39" s="1"/>
  <c r="M6" i="39"/>
  <c r="M17" i="39" s="1"/>
  <c r="N6" i="39"/>
  <c r="N14" i="39" s="1"/>
  <c r="O6" i="39"/>
  <c r="O11" i="39" s="1"/>
  <c r="P6" i="39"/>
  <c r="Q6" i="39"/>
  <c r="Q13" i="39" s="1"/>
  <c r="R6" i="39"/>
  <c r="R18" i="39" s="1"/>
  <c r="S6" i="39"/>
  <c r="S15" i="39" s="1"/>
  <c r="T6" i="39"/>
  <c r="T12" i="39" s="1"/>
  <c r="U6" i="39"/>
  <c r="U17" i="39" s="1"/>
  <c r="V6" i="39"/>
  <c r="V14" i="39" s="1"/>
  <c r="W6" i="39"/>
  <c r="W11" i="39" s="1"/>
  <c r="X6" i="39"/>
  <c r="Y6" i="39"/>
  <c r="Y13" i="39" s="1"/>
  <c r="F6" i="39"/>
  <c r="F17" i="39" s="1"/>
  <c r="B2" i="39"/>
  <c r="S11" i="70" l="1"/>
  <c r="T11" i="70" s="1"/>
  <c r="T10" i="70"/>
  <c r="M11" i="70"/>
  <c r="N10" i="70"/>
  <c r="T17" i="39"/>
  <c r="Y26" i="39"/>
  <c r="L22" i="39"/>
  <c r="I24" i="39"/>
  <c r="E9" i="39"/>
  <c r="L27" i="39"/>
  <c r="I26" i="39"/>
  <c r="Y24" i="39"/>
  <c r="Q18" i="39"/>
  <c r="Y12" i="39"/>
  <c r="S12" i="39"/>
  <c r="R23" i="39"/>
  <c r="S17" i="39"/>
  <c r="R12" i="39"/>
  <c r="Y25" i="39"/>
  <c r="Q23" i="39"/>
  <c r="R17" i="39"/>
  <c r="Q12" i="39"/>
  <c r="T25" i="39"/>
  <c r="Q17" i="39"/>
  <c r="V11" i="39"/>
  <c r="S25" i="39"/>
  <c r="Y20" i="39"/>
  <c r="Y16" i="39"/>
  <c r="U11" i="39"/>
  <c r="R25" i="39"/>
  <c r="Y18" i="39"/>
  <c r="Q16" i="39"/>
  <c r="T11" i="39"/>
  <c r="Q25" i="39"/>
  <c r="S18" i="39"/>
  <c r="Y15" i="39"/>
  <c r="S11" i="39"/>
  <c r="N27" i="39"/>
  <c r="M27" i="39"/>
  <c r="M22" i="39"/>
  <c r="M16" i="39"/>
  <c r="L19" i="39"/>
  <c r="L16" i="39"/>
  <c r="L23" i="39"/>
  <c r="L15" i="39"/>
  <c r="K19" i="39"/>
  <c r="K22" i="39"/>
  <c r="K27" i="39"/>
  <c r="K14" i="39"/>
  <c r="J25" i="39"/>
  <c r="J23" i="39"/>
  <c r="J20" i="39"/>
  <c r="J15" i="39"/>
  <c r="I16" i="39"/>
  <c r="I20" i="39"/>
  <c r="I23" i="39"/>
  <c r="I15" i="39"/>
  <c r="I25" i="39"/>
  <c r="F14" i="39"/>
  <c r="F16" i="39"/>
  <c r="F15" i="39"/>
  <c r="F22" i="39"/>
  <c r="E6" i="39"/>
  <c r="M24" i="39"/>
  <c r="V19" i="39"/>
  <c r="V16" i="39"/>
  <c r="L24" i="39"/>
  <c r="V27" i="39"/>
  <c r="V24" i="39"/>
  <c r="S20" i="39"/>
  <c r="T19" i="39"/>
  <c r="L17" i="39"/>
  <c r="T16" i="39"/>
  <c r="T14" i="39"/>
  <c r="N11" i="39"/>
  <c r="G24" i="39"/>
  <c r="R20" i="39"/>
  <c r="K18" i="39"/>
  <c r="K17" i="39"/>
  <c r="T15" i="39"/>
  <c r="M11" i="39"/>
  <c r="F24" i="39"/>
  <c r="T27" i="39"/>
  <c r="Q26" i="39"/>
  <c r="L25" i="39"/>
  <c r="T24" i="39"/>
  <c r="Y23" i="39"/>
  <c r="T22" i="39"/>
  <c r="Q20" i="39"/>
  <c r="N19" i="39"/>
  <c r="I18" i="39"/>
  <c r="J17" i="39"/>
  <c r="O16" i="39"/>
  <c r="R15" i="39"/>
  <c r="M14" i="39"/>
  <c r="J12" i="39"/>
  <c r="L11" i="39"/>
  <c r="O24" i="39"/>
  <c r="N24" i="39"/>
  <c r="W16" i="39"/>
  <c r="W24" i="39"/>
  <c r="U19" i="39"/>
  <c r="U16" i="39"/>
  <c r="G16" i="39"/>
  <c r="U14" i="39"/>
  <c r="U27" i="39"/>
  <c r="S26" i="39"/>
  <c r="U24" i="39"/>
  <c r="U22" i="39"/>
  <c r="S19" i="39"/>
  <c r="S14" i="39"/>
  <c r="K12" i="39"/>
  <c r="F23" i="39"/>
  <c r="S27" i="39"/>
  <c r="K26" i="39"/>
  <c r="K25" i="39"/>
  <c r="Q24" i="39"/>
  <c r="T23" i="39"/>
  <c r="S22" i="39"/>
  <c r="K20" i="39"/>
  <c r="M19" i="39"/>
  <c r="Y17" i="39"/>
  <c r="I17" i="39"/>
  <c r="N16" i="39"/>
  <c r="Q15" i="39"/>
  <c r="L14" i="39"/>
  <c r="I12" i="39"/>
  <c r="K11" i="39"/>
  <c r="X16" i="39"/>
  <c r="X24" i="39"/>
  <c r="X11" i="39"/>
  <c r="X19" i="39"/>
  <c r="X27" i="39"/>
  <c r="X23" i="39"/>
  <c r="X18" i="39"/>
  <c r="X21" i="39"/>
  <c r="X14" i="39"/>
  <c r="X22" i="39"/>
  <c r="X12" i="39"/>
  <c r="X20" i="39"/>
  <c r="X26" i="39"/>
  <c r="X17" i="39"/>
  <c r="X25" i="39"/>
  <c r="X15" i="39"/>
  <c r="X13" i="39"/>
  <c r="P16" i="39"/>
  <c r="P24" i="39"/>
  <c r="P11" i="39"/>
  <c r="P19" i="39"/>
  <c r="P27" i="39"/>
  <c r="P13" i="39"/>
  <c r="P14" i="39"/>
  <c r="P22" i="39"/>
  <c r="P15" i="39"/>
  <c r="P23" i="39"/>
  <c r="P18" i="39"/>
  <c r="P17" i="39"/>
  <c r="P25" i="39"/>
  <c r="P12" i="39"/>
  <c r="P20" i="39"/>
  <c r="P26" i="39"/>
  <c r="P21" i="39"/>
  <c r="H16" i="39"/>
  <c r="H24" i="39"/>
  <c r="H11" i="39"/>
  <c r="H19" i="39"/>
  <c r="H27" i="39"/>
  <c r="H14" i="39"/>
  <c r="H22" i="39"/>
  <c r="H20" i="39"/>
  <c r="H23" i="39"/>
  <c r="H26" i="39"/>
  <c r="H21" i="39"/>
  <c r="H17" i="39"/>
  <c r="H25" i="39"/>
  <c r="H12" i="39"/>
  <c r="H15" i="39"/>
  <c r="H18" i="39"/>
  <c r="H13" i="39"/>
  <c r="G13" i="39"/>
  <c r="G18" i="39"/>
  <c r="N13" i="39"/>
  <c r="F21" i="39"/>
  <c r="V26" i="39"/>
  <c r="O23" i="39"/>
  <c r="R22" i="39"/>
  <c r="J22" i="39"/>
  <c r="M21" i="39"/>
  <c r="V18" i="39"/>
  <c r="N18" i="39"/>
  <c r="W15" i="39"/>
  <c r="O15" i="39"/>
  <c r="G15" i="39"/>
  <c r="R14" i="39"/>
  <c r="J14" i="39"/>
  <c r="U13" i="39"/>
  <c r="M13" i="39"/>
  <c r="F11" i="39"/>
  <c r="F20" i="39"/>
  <c r="F12" i="39"/>
  <c r="R27" i="39"/>
  <c r="J27" i="39"/>
  <c r="U26" i="39"/>
  <c r="M26" i="39"/>
  <c r="S24" i="39"/>
  <c r="K24" i="39"/>
  <c r="V23" i="39"/>
  <c r="N23" i="39"/>
  <c r="Y22" i="39"/>
  <c r="Q22" i="39"/>
  <c r="I22" i="39"/>
  <c r="T21" i="39"/>
  <c r="L21" i="39"/>
  <c r="W20" i="39"/>
  <c r="O20" i="39"/>
  <c r="G20" i="39"/>
  <c r="R19" i="39"/>
  <c r="J19" i="39"/>
  <c r="U18" i="39"/>
  <c r="M18" i="39"/>
  <c r="S16" i="39"/>
  <c r="K16" i="39"/>
  <c r="V15" i="39"/>
  <c r="N15" i="39"/>
  <c r="Y14" i="39"/>
  <c r="Q14" i="39"/>
  <c r="I14" i="39"/>
  <c r="T13" i="39"/>
  <c r="L13" i="39"/>
  <c r="W12" i="39"/>
  <c r="O12" i="39"/>
  <c r="G12" i="39"/>
  <c r="R11" i="39"/>
  <c r="J11" i="39"/>
  <c r="W21" i="39"/>
  <c r="G21" i="39"/>
  <c r="O13" i="39"/>
  <c r="W26" i="39"/>
  <c r="G26" i="39"/>
  <c r="V21" i="39"/>
  <c r="O18" i="39"/>
  <c r="V13" i="39"/>
  <c r="F13" i="39"/>
  <c r="N26" i="39"/>
  <c r="W23" i="39"/>
  <c r="G23" i="39"/>
  <c r="U21" i="39"/>
  <c r="F27" i="39"/>
  <c r="F19" i="39"/>
  <c r="Y27" i="39"/>
  <c r="Q27" i="39"/>
  <c r="I27" i="39"/>
  <c r="T26" i="39"/>
  <c r="L26" i="39"/>
  <c r="W25" i="39"/>
  <c r="O25" i="39"/>
  <c r="G25" i="39"/>
  <c r="R24" i="39"/>
  <c r="J24" i="39"/>
  <c r="U23" i="39"/>
  <c r="M23" i="39"/>
  <c r="S21" i="39"/>
  <c r="K21" i="39"/>
  <c r="V20" i="39"/>
  <c r="N20" i="39"/>
  <c r="Y19" i="39"/>
  <c r="Q19" i="39"/>
  <c r="I19" i="39"/>
  <c r="T18" i="39"/>
  <c r="L18" i="39"/>
  <c r="W17" i="39"/>
  <c r="O17" i="39"/>
  <c r="G17" i="39"/>
  <c r="R16" i="39"/>
  <c r="J16" i="39"/>
  <c r="U15" i="39"/>
  <c r="M15" i="39"/>
  <c r="S13" i="39"/>
  <c r="K13" i="39"/>
  <c r="V12" i="39"/>
  <c r="N12" i="39"/>
  <c r="Y11" i="39"/>
  <c r="Q11" i="39"/>
  <c r="I11" i="39"/>
  <c r="O21" i="39"/>
  <c r="W13" i="39"/>
  <c r="O26" i="39"/>
  <c r="N21" i="39"/>
  <c r="W18" i="39"/>
  <c r="F26" i="39"/>
  <c r="F18" i="39"/>
  <c r="V25" i="39"/>
  <c r="N25" i="39"/>
  <c r="W22" i="39"/>
  <c r="O22" i="39"/>
  <c r="G22" i="39"/>
  <c r="R21" i="39"/>
  <c r="J21" i="39"/>
  <c r="U20" i="39"/>
  <c r="M20" i="39"/>
  <c r="V17" i="39"/>
  <c r="N17" i="39"/>
  <c r="W14" i="39"/>
  <c r="O14" i="39"/>
  <c r="G14" i="39"/>
  <c r="R13" i="39"/>
  <c r="J13" i="39"/>
  <c r="U12" i="39"/>
  <c r="M12" i="39"/>
  <c r="F25" i="39"/>
  <c r="W27" i="39"/>
  <c r="O27" i="39"/>
  <c r="G27" i="39"/>
  <c r="R26" i="39"/>
  <c r="J26" i="39"/>
  <c r="U25" i="39"/>
  <c r="M25" i="39"/>
  <c r="S23" i="39"/>
  <c r="K23" i="39"/>
  <c r="V22" i="39"/>
  <c r="N22" i="39"/>
  <c r="Y21" i="39"/>
  <c r="Q21" i="39"/>
  <c r="I21" i="39"/>
  <c r="T20" i="39"/>
  <c r="L20" i="39"/>
  <c r="W19" i="39"/>
  <c r="O19" i="39"/>
  <c r="G19" i="39"/>
  <c r="S12" i="70" l="1"/>
  <c r="T12" i="70" s="1"/>
  <c r="M12" i="70"/>
  <c r="N11" i="70"/>
  <c r="D11" i="16"/>
  <c r="C11" i="16"/>
  <c r="E4" i="19"/>
  <c r="F4" i="19" s="1"/>
  <c r="C4" i="19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26" i="20"/>
  <c r="R27" i="20"/>
  <c r="R28" i="20"/>
  <c r="R29" i="20"/>
  <c r="R30" i="20"/>
  <c r="R31" i="20"/>
  <c r="R32" i="20"/>
  <c r="R33" i="20"/>
  <c r="R34" i="20"/>
  <c r="R35" i="20"/>
  <c r="R36" i="20"/>
  <c r="R37" i="20"/>
  <c r="R38" i="20"/>
  <c r="R39" i="20"/>
  <c r="R40" i="20"/>
  <c r="R41" i="20"/>
  <c r="R42" i="20"/>
  <c r="R43" i="20"/>
  <c r="R44" i="20"/>
  <c r="R45" i="20"/>
  <c r="R46" i="20"/>
  <c r="R6" i="20"/>
  <c r="S13" i="70" l="1"/>
  <c r="T13" i="70" s="1"/>
  <c r="M13" i="70"/>
  <c r="N12" i="70"/>
  <c r="F8" i="20"/>
  <c r="G8" i="20"/>
  <c r="F9" i="20"/>
  <c r="G9" i="20"/>
  <c r="F10" i="20"/>
  <c r="G10" i="20"/>
  <c r="F11" i="20"/>
  <c r="G11" i="20"/>
  <c r="F12" i="20"/>
  <c r="G12" i="20"/>
  <c r="F13" i="20"/>
  <c r="G13" i="20"/>
  <c r="F14" i="20"/>
  <c r="G14" i="20"/>
  <c r="F15" i="20"/>
  <c r="G15" i="20"/>
  <c r="F16" i="20"/>
  <c r="G16" i="20"/>
  <c r="F17" i="20"/>
  <c r="G17" i="20"/>
  <c r="F18" i="20"/>
  <c r="G18" i="20"/>
  <c r="F19" i="20"/>
  <c r="G19" i="20"/>
  <c r="F20" i="20"/>
  <c r="G20" i="20"/>
  <c r="F21" i="20"/>
  <c r="G21" i="20"/>
  <c r="F22" i="20"/>
  <c r="G22" i="20"/>
  <c r="F23" i="20"/>
  <c r="G23" i="20"/>
  <c r="F24" i="20"/>
  <c r="G24" i="20"/>
  <c r="F25" i="20"/>
  <c r="G25" i="20"/>
  <c r="F26" i="20"/>
  <c r="G26" i="20"/>
  <c r="F27" i="20"/>
  <c r="G27" i="20"/>
  <c r="F28" i="20"/>
  <c r="G28" i="20"/>
  <c r="F29" i="20"/>
  <c r="G29" i="20"/>
  <c r="F30" i="20"/>
  <c r="G30" i="20"/>
  <c r="F31" i="20"/>
  <c r="G31" i="20"/>
  <c r="F32" i="20"/>
  <c r="G32" i="20"/>
  <c r="F33" i="20"/>
  <c r="G33" i="20"/>
  <c r="F34" i="20"/>
  <c r="G34" i="20"/>
  <c r="F35" i="20"/>
  <c r="G35" i="20"/>
  <c r="F36" i="20"/>
  <c r="G36" i="20"/>
  <c r="F37" i="20"/>
  <c r="G37" i="20"/>
  <c r="F38" i="20"/>
  <c r="G38" i="20"/>
  <c r="F39" i="20"/>
  <c r="G39" i="20"/>
  <c r="F40" i="20"/>
  <c r="G40" i="20"/>
  <c r="F41" i="20"/>
  <c r="G41" i="20"/>
  <c r="F42" i="20"/>
  <c r="G42" i="20"/>
  <c r="F43" i="20"/>
  <c r="G43" i="20"/>
  <c r="F44" i="20"/>
  <c r="G44" i="20"/>
  <c r="F45" i="20"/>
  <c r="G45" i="20"/>
  <c r="F46" i="20"/>
  <c r="G46" i="20"/>
  <c r="F47" i="20"/>
  <c r="G47" i="20"/>
  <c r="F48" i="20"/>
  <c r="G48" i="20"/>
  <c r="F49" i="20"/>
  <c r="G49" i="20"/>
  <c r="F50" i="20"/>
  <c r="G50" i="20"/>
  <c r="F51" i="20"/>
  <c r="G51" i="20"/>
  <c r="F52" i="20"/>
  <c r="G52" i="20"/>
  <c r="F53" i="20"/>
  <c r="G53" i="20"/>
  <c r="F54" i="20"/>
  <c r="G54" i="20"/>
  <c r="F55" i="20"/>
  <c r="G55" i="20"/>
  <c r="F56" i="20"/>
  <c r="G56" i="20"/>
  <c r="F57" i="20"/>
  <c r="G57" i="20"/>
  <c r="F58" i="20"/>
  <c r="G58" i="20"/>
  <c r="F59" i="20"/>
  <c r="G59" i="20"/>
  <c r="F60" i="20"/>
  <c r="G60" i="20"/>
  <c r="F61" i="20"/>
  <c r="G61" i="20"/>
  <c r="F62" i="20"/>
  <c r="G62" i="20"/>
  <c r="F63" i="20"/>
  <c r="G63" i="20"/>
  <c r="F64" i="20"/>
  <c r="G64" i="20"/>
  <c r="F65" i="20"/>
  <c r="G65" i="20"/>
  <c r="F66" i="20"/>
  <c r="G66" i="20"/>
  <c r="F67" i="20"/>
  <c r="G67" i="20"/>
  <c r="F68" i="20"/>
  <c r="G68" i="20"/>
  <c r="F69" i="20"/>
  <c r="G69" i="20"/>
  <c r="F70" i="20"/>
  <c r="G70" i="20"/>
  <c r="F71" i="20"/>
  <c r="G71" i="20"/>
  <c r="F72" i="20"/>
  <c r="G72" i="20"/>
  <c r="F73" i="20"/>
  <c r="G73" i="20"/>
  <c r="F74" i="20"/>
  <c r="G74" i="20"/>
  <c r="F75" i="20"/>
  <c r="G75" i="20"/>
  <c r="F76" i="20"/>
  <c r="G76" i="20"/>
  <c r="F77" i="20"/>
  <c r="G77" i="20"/>
  <c r="F78" i="20"/>
  <c r="G78" i="20"/>
  <c r="F79" i="20"/>
  <c r="G79" i="20"/>
  <c r="F80" i="20"/>
  <c r="G80" i="20"/>
  <c r="F81" i="20"/>
  <c r="G81" i="20"/>
  <c r="F82" i="20"/>
  <c r="G82" i="20"/>
  <c r="F83" i="20"/>
  <c r="G83" i="20"/>
  <c r="F84" i="20"/>
  <c r="G84" i="20"/>
  <c r="F85" i="20"/>
  <c r="G85" i="20"/>
  <c r="F86" i="20"/>
  <c r="G86" i="20"/>
  <c r="F87" i="20"/>
  <c r="G87" i="20"/>
  <c r="F88" i="20"/>
  <c r="G88" i="20"/>
  <c r="F89" i="20"/>
  <c r="G89" i="20"/>
  <c r="F90" i="20"/>
  <c r="G90" i="20"/>
  <c r="F91" i="20"/>
  <c r="G91" i="20"/>
  <c r="F92" i="20"/>
  <c r="G92" i="20"/>
  <c r="F93" i="20"/>
  <c r="G93" i="20"/>
  <c r="F94" i="20"/>
  <c r="G94" i="20"/>
  <c r="F95" i="20"/>
  <c r="G95" i="20"/>
  <c r="F96" i="20"/>
  <c r="G96" i="20"/>
  <c r="F97" i="20"/>
  <c r="G97" i="20"/>
  <c r="F98" i="20"/>
  <c r="G98" i="20"/>
  <c r="F99" i="20"/>
  <c r="G99" i="20"/>
  <c r="F100" i="20"/>
  <c r="G100" i="20"/>
  <c r="F101" i="20"/>
  <c r="G101" i="20"/>
  <c r="F102" i="20"/>
  <c r="G102" i="20"/>
  <c r="F103" i="20"/>
  <c r="G103" i="20"/>
  <c r="F104" i="20"/>
  <c r="G104" i="20"/>
  <c r="F105" i="20"/>
  <c r="G105" i="20"/>
  <c r="F106" i="20"/>
  <c r="G106" i="20"/>
  <c r="F107" i="20"/>
  <c r="G107" i="20"/>
  <c r="F108" i="20"/>
  <c r="G108" i="20"/>
  <c r="F109" i="20"/>
  <c r="G109" i="20"/>
  <c r="F110" i="20"/>
  <c r="G110" i="20"/>
  <c r="F111" i="20"/>
  <c r="G111" i="20"/>
  <c r="F112" i="20"/>
  <c r="G112" i="20"/>
  <c r="F113" i="20"/>
  <c r="G113" i="20"/>
  <c r="F114" i="20"/>
  <c r="G114" i="20"/>
  <c r="F115" i="20"/>
  <c r="G115" i="20"/>
  <c r="F116" i="20"/>
  <c r="G116" i="20"/>
  <c r="F117" i="20"/>
  <c r="G117" i="20"/>
  <c r="F118" i="20"/>
  <c r="G118" i="20"/>
  <c r="F119" i="20"/>
  <c r="G119" i="20"/>
  <c r="F120" i="20"/>
  <c r="G120" i="20"/>
  <c r="F121" i="20"/>
  <c r="G121" i="20"/>
  <c r="F122" i="20"/>
  <c r="G122" i="20"/>
  <c r="F123" i="20"/>
  <c r="G123" i="20"/>
  <c r="F124" i="20"/>
  <c r="G124" i="20"/>
  <c r="F125" i="20"/>
  <c r="G125" i="20"/>
  <c r="F126" i="20"/>
  <c r="G126" i="20"/>
  <c r="F127" i="20"/>
  <c r="G127" i="20"/>
  <c r="F128" i="20"/>
  <c r="G128" i="20"/>
  <c r="F129" i="20"/>
  <c r="G129" i="20"/>
  <c r="F130" i="20"/>
  <c r="G130" i="20"/>
  <c r="F131" i="20"/>
  <c r="G131" i="20"/>
  <c r="F132" i="20"/>
  <c r="G132" i="20"/>
  <c r="F133" i="20"/>
  <c r="G133" i="20"/>
  <c r="F134" i="20"/>
  <c r="G134" i="20"/>
  <c r="F135" i="20"/>
  <c r="G135" i="20"/>
  <c r="F136" i="20"/>
  <c r="G136" i="20"/>
  <c r="F137" i="20"/>
  <c r="G137" i="20"/>
  <c r="F138" i="20"/>
  <c r="G138" i="20"/>
  <c r="F139" i="20"/>
  <c r="G139" i="20"/>
  <c r="F140" i="20"/>
  <c r="G140" i="20"/>
  <c r="F141" i="20"/>
  <c r="G141" i="20"/>
  <c r="F142" i="20"/>
  <c r="G142" i="20"/>
  <c r="F143" i="20"/>
  <c r="G143" i="20"/>
  <c r="F144" i="20"/>
  <c r="G144" i="20"/>
  <c r="F145" i="20"/>
  <c r="G145" i="20"/>
  <c r="F146" i="20"/>
  <c r="G146" i="20"/>
  <c r="F147" i="20"/>
  <c r="G147" i="20"/>
  <c r="F148" i="20"/>
  <c r="G148" i="20"/>
  <c r="F149" i="20"/>
  <c r="G149" i="20"/>
  <c r="F150" i="20"/>
  <c r="G150" i="20"/>
  <c r="F151" i="20"/>
  <c r="G151" i="20"/>
  <c r="F152" i="20"/>
  <c r="G152" i="20"/>
  <c r="F153" i="20"/>
  <c r="G153" i="20"/>
  <c r="F154" i="20"/>
  <c r="G154" i="20"/>
  <c r="F155" i="20"/>
  <c r="G155" i="20"/>
  <c r="F156" i="20"/>
  <c r="G156" i="20"/>
  <c r="F157" i="20"/>
  <c r="G157" i="20"/>
  <c r="F158" i="20"/>
  <c r="G158" i="20"/>
  <c r="F159" i="20"/>
  <c r="G159" i="20"/>
  <c r="F160" i="20"/>
  <c r="G160" i="20"/>
  <c r="F161" i="20"/>
  <c r="G161" i="20"/>
  <c r="F162" i="20"/>
  <c r="G162" i="20"/>
  <c r="F163" i="20"/>
  <c r="G163" i="20"/>
  <c r="F164" i="20"/>
  <c r="G164" i="20"/>
  <c r="F165" i="20"/>
  <c r="G165" i="20"/>
  <c r="F166" i="20"/>
  <c r="G166" i="20"/>
  <c r="F167" i="20"/>
  <c r="G167" i="20"/>
  <c r="F168" i="20"/>
  <c r="G168" i="20"/>
  <c r="F169" i="20"/>
  <c r="G169" i="20"/>
  <c r="F170" i="20"/>
  <c r="G170" i="20"/>
  <c r="F171" i="20"/>
  <c r="G171" i="20"/>
  <c r="F172" i="20"/>
  <c r="G172" i="20"/>
  <c r="F173" i="20"/>
  <c r="G173" i="20"/>
  <c r="F174" i="20"/>
  <c r="G174" i="20"/>
  <c r="F175" i="20"/>
  <c r="G175" i="20"/>
  <c r="F176" i="20"/>
  <c r="G176" i="20"/>
  <c r="F177" i="20"/>
  <c r="G177" i="20"/>
  <c r="F178" i="20"/>
  <c r="G178" i="20"/>
  <c r="F179" i="20"/>
  <c r="G179" i="20"/>
  <c r="F180" i="20"/>
  <c r="G180" i="20"/>
  <c r="F181" i="20"/>
  <c r="G181" i="20"/>
  <c r="F182" i="20"/>
  <c r="G182" i="20"/>
  <c r="F183" i="20"/>
  <c r="G183" i="20"/>
  <c r="F184" i="20"/>
  <c r="G184" i="20"/>
  <c r="F185" i="20"/>
  <c r="G185" i="20"/>
  <c r="F186" i="20"/>
  <c r="G186" i="20"/>
  <c r="F187" i="20"/>
  <c r="G187" i="20"/>
  <c r="F188" i="20"/>
  <c r="G188" i="20"/>
  <c r="F189" i="20"/>
  <c r="G189" i="20"/>
  <c r="F190" i="20"/>
  <c r="G190" i="20"/>
  <c r="F191" i="20"/>
  <c r="G191" i="20"/>
  <c r="F192" i="20"/>
  <c r="G192" i="20"/>
  <c r="F193" i="20"/>
  <c r="G193" i="20"/>
  <c r="F194" i="20"/>
  <c r="G194" i="20"/>
  <c r="F195" i="20"/>
  <c r="G195" i="20"/>
  <c r="F196" i="20"/>
  <c r="G196" i="20"/>
  <c r="F197" i="20"/>
  <c r="G197" i="20"/>
  <c r="F198" i="20"/>
  <c r="G198" i="20"/>
  <c r="F199" i="20"/>
  <c r="G199" i="20"/>
  <c r="F200" i="20"/>
  <c r="G200" i="20"/>
  <c r="F201" i="20"/>
  <c r="G201" i="20"/>
  <c r="F202" i="20"/>
  <c r="G202" i="20"/>
  <c r="F203" i="20"/>
  <c r="G203" i="20"/>
  <c r="F204" i="20"/>
  <c r="G204" i="20"/>
  <c r="F205" i="20"/>
  <c r="G205" i="20"/>
  <c r="F206" i="20"/>
  <c r="G206" i="20"/>
  <c r="F207" i="20"/>
  <c r="G207" i="20"/>
  <c r="F208" i="20"/>
  <c r="G208" i="20"/>
  <c r="F209" i="20"/>
  <c r="G209" i="20"/>
  <c r="F210" i="20"/>
  <c r="G210" i="20"/>
  <c r="F211" i="20"/>
  <c r="G211" i="20"/>
  <c r="F212" i="20"/>
  <c r="G212" i="20"/>
  <c r="F213" i="20"/>
  <c r="G213" i="20"/>
  <c r="F214" i="20"/>
  <c r="G214" i="20"/>
  <c r="F215" i="20"/>
  <c r="G215" i="20"/>
  <c r="F216" i="20"/>
  <c r="G216" i="20"/>
  <c r="F217" i="20"/>
  <c r="G217" i="20"/>
  <c r="F218" i="20"/>
  <c r="G218" i="20"/>
  <c r="F219" i="20"/>
  <c r="G219" i="20"/>
  <c r="F220" i="20"/>
  <c r="G220" i="20"/>
  <c r="F221" i="20"/>
  <c r="G221" i="20"/>
  <c r="F222" i="20"/>
  <c r="G222" i="20"/>
  <c r="F223" i="20"/>
  <c r="G223" i="20"/>
  <c r="F224" i="20"/>
  <c r="G224" i="20"/>
  <c r="F225" i="20"/>
  <c r="G225" i="20"/>
  <c r="F226" i="20"/>
  <c r="G226" i="20"/>
  <c r="F227" i="20"/>
  <c r="G227" i="20"/>
  <c r="F228" i="20"/>
  <c r="G228" i="20"/>
  <c r="F229" i="20"/>
  <c r="G229" i="20"/>
  <c r="F230" i="20"/>
  <c r="G230" i="20"/>
  <c r="F231" i="20"/>
  <c r="G231" i="20"/>
  <c r="F232" i="20"/>
  <c r="G232" i="20"/>
  <c r="F233" i="20"/>
  <c r="G233" i="20"/>
  <c r="F234" i="20"/>
  <c r="G234" i="20"/>
  <c r="F235" i="20"/>
  <c r="G235" i="20"/>
  <c r="F236" i="20"/>
  <c r="G236" i="20"/>
  <c r="F237" i="20"/>
  <c r="G237" i="20"/>
  <c r="F238" i="20"/>
  <c r="G238" i="20"/>
  <c r="F239" i="20"/>
  <c r="G239" i="20"/>
  <c r="F240" i="20"/>
  <c r="G240" i="20"/>
  <c r="F241" i="20"/>
  <c r="G241" i="20"/>
  <c r="F242" i="20"/>
  <c r="G242" i="20"/>
  <c r="F243" i="20"/>
  <c r="G243" i="20"/>
  <c r="F244" i="20"/>
  <c r="G244" i="20"/>
  <c r="F245" i="20"/>
  <c r="G245" i="20"/>
  <c r="F246" i="20"/>
  <c r="G246" i="20"/>
  <c r="F247" i="20"/>
  <c r="G247" i="20"/>
  <c r="F248" i="20"/>
  <c r="G248" i="20"/>
  <c r="F249" i="20"/>
  <c r="G249" i="20"/>
  <c r="F250" i="20"/>
  <c r="G250" i="20"/>
  <c r="F251" i="20"/>
  <c r="G251" i="20"/>
  <c r="F252" i="20"/>
  <c r="G252" i="20"/>
  <c r="F253" i="20"/>
  <c r="G253" i="20"/>
  <c r="F254" i="20"/>
  <c r="G254" i="20"/>
  <c r="F255" i="20"/>
  <c r="G255" i="20"/>
  <c r="F256" i="20"/>
  <c r="G256" i="20"/>
  <c r="F257" i="20"/>
  <c r="G257" i="20"/>
  <c r="F258" i="20"/>
  <c r="G258" i="20"/>
  <c r="F259" i="20"/>
  <c r="G259" i="20"/>
  <c r="F260" i="20"/>
  <c r="G260" i="20"/>
  <c r="F261" i="20"/>
  <c r="G261" i="20"/>
  <c r="F262" i="20"/>
  <c r="G262" i="20"/>
  <c r="F263" i="20"/>
  <c r="G263" i="20"/>
  <c r="F264" i="20"/>
  <c r="G264" i="20"/>
  <c r="F265" i="20"/>
  <c r="G265" i="20"/>
  <c r="F266" i="20"/>
  <c r="G266" i="20"/>
  <c r="F267" i="20"/>
  <c r="G267" i="20"/>
  <c r="F268" i="20"/>
  <c r="G268" i="20"/>
  <c r="F269" i="20"/>
  <c r="G269" i="20"/>
  <c r="F270" i="20"/>
  <c r="G270" i="20"/>
  <c r="F271" i="20"/>
  <c r="G271" i="20"/>
  <c r="F272" i="20"/>
  <c r="G272" i="20"/>
  <c r="F273" i="20"/>
  <c r="G273" i="20"/>
  <c r="F274" i="20"/>
  <c r="G274" i="20"/>
  <c r="F275" i="20"/>
  <c r="G275" i="20"/>
  <c r="F276" i="20"/>
  <c r="G276" i="20"/>
  <c r="F277" i="20"/>
  <c r="G277" i="20"/>
  <c r="F278" i="20"/>
  <c r="G278" i="20"/>
  <c r="F279" i="20"/>
  <c r="G279" i="20"/>
  <c r="F280" i="20"/>
  <c r="G280" i="20"/>
  <c r="F281" i="20"/>
  <c r="G281" i="20"/>
  <c r="F282" i="20"/>
  <c r="G282" i="20"/>
  <c r="F283" i="20"/>
  <c r="G283" i="20"/>
  <c r="F284" i="20"/>
  <c r="G284" i="20"/>
  <c r="F285" i="20"/>
  <c r="G285" i="20"/>
  <c r="F286" i="20"/>
  <c r="G286" i="20"/>
  <c r="F287" i="20"/>
  <c r="G287" i="20"/>
  <c r="F288" i="20"/>
  <c r="G288" i="20"/>
  <c r="F289" i="20"/>
  <c r="G289" i="20"/>
  <c r="F290" i="20"/>
  <c r="G290" i="20"/>
  <c r="F291" i="20"/>
  <c r="G291" i="20"/>
  <c r="F292" i="20"/>
  <c r="G292" i="20"/>
  <c r="F293" i="20"/>
  <c r="G293" i="20"/>
  <c r="F294" i="20"/>
  <c r="G294" i="20"/>
  <c r="F295" i="20"/>
  <c r="G295" i="20"/>
  <c r="F296" i="20"/>
  <c r="G296" i="20"/>
  <c r="F297" i="20"/>
  <c r="G297" i="20"/>
  <c r="F298" i="20"/>
  <c r="G298" i="20"/>
  <c r="F299" i="20"/>
  <c r="G299" i="20"/>
  <c r="F300" i="20"/>
  <c r="G300" i="20"/>
  <c r="F301" i="20"/>
  <c r="G301" i="20"/>
  <c r="F302" i="20"/>
  <c r="G302" i="20"/>
  <c r="F303" i="20"/>
  <c r="G303" i="20"/>
  <c r="F304" i="20"/>
  <c r="G304" i="20"/>
  <c r="F305" i="20"/>
  <c r="G305" i="20"/>
  <c r="F306" i="20"/>
  <c r="G306" i="20"/>
  <c r="F307" i="20"/>
  <c r="G307" i="20"/>
  <c r="F308" i="20"/>
  <c r="G308" i="20"/>
  <c r="F309" i="20"/>
  <c r="G309" i="20"/>
  <c r="F310" i="20"/>
  <c r="G310" i="20"/>
  <c r="F311" i="20"/>
  <c r="G311" i="20"/>
  <c r="F312" i="20"/>
  <c r="G312" i="20"/>
  <c r="F313" i="20"/>
  <c r="G313" i="20"/>
  <c r="F314" i="20"/>
  <c r="G314" i="20"/>
  <c r="F315" i="20"/>
  <c r="G315" i="20"/>
  <c r="F316" i="20"/>
  <c r="G316" i="20"/>
  <c r="F317" i="20"/>
  <c r="G317" i="20"/>
  <c r="F318" i="20"/>
  <c r="G318" i="20"/>
  <c r="F319" i="20"/>
  <c r="G319" i="20"/>
  <c r="F320" i="20"/>
  <c r="G320" i="20"/>
  <c r="F321" i="20"/>
  <c r="G321" i="20"/>
  <c r="F322" i="20"/>
  <c r="G322" i="20"/>
  <c r="F323" i="20"/>
  <c r="G323" i="20"/>
  <c r="F324" i="20"/>
  <c r="G324" i="20"/>
  <c r="F325" i="20"/>
  <c r="G325" i="20"/>
  <c r="F326" i="20"/>
  <c r="G326" i="20"/>
  <c r="F327" i="20"/>
  <c r="G327" i="20"/>
  <c r="F328" i="20"/>
  <c r="G328" i="20"/>
  <c r="F329" i="20"/>
  <c r="G329" i="20"/>
  <c r="F330" i="20"/>
  <c r="G330" i="20"/>
  <c r="F331" i="20"/>
  <c r="G331" i="20"/>
  <c r="F332" i="20"/>
  <c r="G332" i="20"/>
  <c r="F333" i="20"/>
  <c r="G333" i="20"/>
  <c r="F334" i="20"/>
  <c r="G334" i="20"/>
  <c r="F335" i="20"/>
  <c r="G335" i="20"/>
  <c r="F336" i="20"/>
  <c r="G336" i="20"/>
  <c r="F337" i="20"/>
  <c r="G337" i="20"/>
  <c r="F338" i="20"/>
  <c r="G338" i="20"/>
  <c r="F339" i="20"/>
  <c r="G339" i="20"/>
  <c r="F340" i="20"/>
  <c r="G340" i="20"/>
  <c r="F341" i="20"/>
  <c r="G341" i="20"/>
  <c r="F342" i="20"/>
  <c r="G342" i="20"/>
  <c r="F343" i="20"/>
  <c r="G343" i="20"/>
  <c r="F344" i="20"/>
  <c r="G344" i="20"/>
  <c r="F345" i="20"/>
  <c r="G345" i="20"/>
  <c r="F346" i="20"/>
  <c r="G346" i="20"/>
  <c r="F347" i="20"/>
  <c r="G347" i="20"/>
  <c r="F348" i="20"/>
  <c r="G348" i="20"/>
  <c r="F349" i="20"/>
  <c r="G349" i="20"/>
  <c r="F350" i="20"/>
  <c r="G350" i="20"/>
  <c r="F351" i="20"/>
  <c r="G351" i="20"/>
  <c r="F352" i="20"/>
  <c r="G352" i="20"/>
  <c r="F353" i="20"/>
  <c r="G353" i="20"/>
  <c r="F354" i="20"/>
  <c r="G354" i="20"/>
  <c r="F355" i="20"/>
  <c r="G355" i="20"/>
  <c r="F356" i="20"/>
  <c r="G356" i="20"/>
  <c r="F357" i="20"/>
  <c r="G357" i="20"/>
  <c r="F358" i="20"/>
  <c r="G358" i="20"/>
  <c r="F359" i="20"/>
  <c r="G359" i="20"/>
  <c r="F360" i="20"/>
  <c r="G360" i="20"/>
  <c r="F361" i="20"/>
  <c r="G361" i="20"/>
  <c r="F362" i="20"/>
  <c r="G362" i="20"/>
  <c r="F363" i="20"/>
  <c r="G363" i="20"/>
  <c r="F364" i="20"/>
  <c r="G364" i="20"/>
  <c r="F365" i="20"/>
  <c r="G365" i="20"/>
  <c r="F366" i="20"/>
  <c r="G366" i="20"/>
  <c r="F367" i="20"/>
  <c r="G367" i="20"/>
  <c r="F368" i="20"/>
  <c r="G368" i="20"/>
  <c r="F369" i="20"/>
  <c r="G369" i="20"/>
  <c r="F370" i="20"/>
  <c r="G370" i="20"/>
  <c r="F371" i="20"/>
  <c r="G371" i="20"/>
  <c r="F372" i="20"/>
  <c r="G372" i="20"/>
  <c r="F373" i="20"/>
  <c r="G373" i="20"/>
  <c r="F374" i="20"/>
  <c r="G374" i="20"/>
  <c r="F375" i="20"/>
  <c r="G375" i="20"/>
  <c r="F376" i="20"/>
  <c r="G376" i="20"/>
  <c r="F377" i="20"/>
  <c r="G377" i="20"/>
  <c r="F378" i="20"/>
  <c r="G378" i="20"/>
  <c r="F379" i="20"/>
  <c r="G379" i="20"/>
  <c r="F380" i="20"/>
  <c r="G380" i="20"/>
  <c r="F381" i="20"/>
  <c r="G381" i="20"/>
  <c r="F382" i="20"/>
  <c r="G382" i="20"/>
  <c r="F383" i="20"/>
  <c r="G383" i="20"/>
  <c r="F384" i="20"/>
  <c r="G384" i="20"/>
  <c r="F385" i="20"/>
  <c r="G385" i="20"/>
  <c r="F386" i="20"/>
  <c r="G386" i="20"/>
  <c r="F387" i="20"/>
  <c r="G387" i="20"/>
  <c r="F388" i="20"/>
  <c r="G388" i="20"/>
  <c r="F389" i="20"/>
  <c r="G389" i="20"/>
  <c r="F390" i="20"/>
  <c r="G390" i="20"/>
  <c r="F391" i="20"/>
  <c r="G391" i="20"/>
  <c r="F392" i="20"/>
  <c r="G392" i="20"/>
  <c r="F393" i="20"/>
  <c r="G393" i="20"/>
  <c r="F394" i="20"/>
  <c r="G394" i="20"/>
  <c r="F395" i="20"/>
  <c r="G395" i="20"/>
  <c r="F396" i="20"/>
  <c r="G396" i="20"/>
  <c r="F397" i="20"/>
  <c r="G397" i="20"/>
  <c r="F398" i="20"/>
  <c r="G398" i="20"/>
  <c r="F399" i="20"/>
  <c r="G399" i="20"/>
  <c r="F400" i="20"/>
  <c r="G400" i="20"/>
  <c r="F401" i="20"/>
  <c r="G401" i="20"/>
  <c r="F402" i="20"/>
  <c r="G402" i="20"/>
  <c r="F403" i="20"/>
  <c r="G403" i="20"/>
  <c r="F404" i="20"/>
  <c r="G404" i="20"/>
  <c r="F405" i="20"/>
  <c r="G405" i="20"/>
  <c r="F406" i="20"/>
  <c r="G406" i="20"/>
  <c r="F407" i="20"/>
  <c r="G407" i="20"/>
  <c r="F408" i="20"/>
  <c r="G408" i="20"/>
  <c r="F409" i="20"/>
  <c r="G409" i="20"/>
  <c r="F410" i="20"/>
  <c r="G410" i="20"/>
  <c r="F411" i="20"/>
  <c r="G411" i="20"/>
  <c r="F412" i="20"/>
  <c r="G412" i="20"/>
  <c r="F413" i="20"/>
  <c r="G413" i="20"/>
  <c r="F414" i="20"/>
  <c r="G414" i="20"/>
  <c r="F415" i="20"/>
  <c r="G415" i="20"/>
  <c r="F416" i="20"/>
  <c r="G416" i="20"/>
  <c r="F417" i="20"/>
  <c r="G417" i="20"/>
  <c r="F418" i="20"/>
  <c r="G418" i="20"/>
  <c r="F419" i="20"/>
  <c r="G419" i="20"/>
  <c r="F420" i="20"/>
  <c r="G420" i="20"/>
  <c r="F421" i="20"/>
  <c r="G421" i="20"/>
  <c r="F422" i="20"/>
  <c r="G422" i="20"/>
  <c r="F423" i="20"/>
  <c r="G423" i="20"/>
  <c r="F424" i="20"/>
  <c r="G424" i="20"/>
  <c r="F425" i="20"/>
  <c r="G425" i="20"/>
  <c r="F426" i="20"/>
  <c r="G426" i="20"/>
  <c r="F427" i="20"/>
  <c r="G427" i="20"/>
  <c r="F428" i="20"/>
  <c r="G428" i="20"/>
  <c r="F429" i="20"/>
  <c r="G429" i="20"/>
  <c r="F430" i="20"/>
  <c r="G430" i="20"/>
  <c r="F431" i="20"/>
  <c r="G431" i="20"/>
  <c r="F432" i="20"/>
  <c r="G432" i="20"/>
  <c r="F433" i="20"/>
  <c r="G433" i="20"/>
  <c r="F434" i="20"/>
  <c r="G434" i="20"/>
  <c r="F435" i="20"/>
  <c r="G435" i="20"/>
  <c r="F436" i="20"/>
  <c r="G436" i="20"/>
  <c r="F437" i="20"/>
  <c r="G437" i="20"/>
  <c r="F438" i="20"/>
  <c r="G438" i="20"/>
  <c r="F439" i="20"/>
  <c r="G439" i="20"/>
  <c r="F440" i="20"/>
  <c r="G440" i="20"/>
  <c r="F441" i="20"/>
  <c r="G441" i="20"/>
  <c r="F442" i="20"/>
  <c r="G442" i="20"/>
  <c r="F443" i="20"/>
  <c r="G443" i="20"/>
  <c r="F444" i="20"/>
  <c r="G444" i="20"/>
  <c r="F445" i="20"/>
  <c r="G445" i="20"/>
  <c r="F446" i="20"/>
  <c r="G446" i="20"/>
  <c r="F447" i="20"/>
  <c r="G447" i="20"/>
  <c r="F448" i="20"/>
  <c r="G448" i="20"/>
  <c r="F449" i="20"/>
  <c r="G449" i="20"/>
  <c r="F450" i="20"/>
  <c r="G450" i="20"/>
  <c r="F451" i="20"/>
  <c r="G451" i="20"/>
  <c r="F452" i="20"/>
  <c r="G452" i="20"/>
  <c r="F453" i="20"/>
  <c r="G453" i="20"/>
  <c r="F454" i="20"/>
  <c r="G454" i="20"/>
  <c r="F455" i="20"/>
  <c r="G455" i="20"/>
  <c r="F456" i="20"/>
  <c r="G456" i="20"/>
  <c r="F457" i="20"/>
  <c r="G457" i="20"/>
  <c r="F458" i="20"/>
  <c r="G458" i="20"/>
  <c r="F459" i="20"/>
  <c r="G459" i="20"/>
  <c r="F460" i="20"/>
  <c r="G460" i="20"/>
  <c r="F461" i="20"/>
  <c r="G461" i="20"/>
  <c r="F462" i="20"/>
  <c r="G462" i="20"/>
  <c r="F463" i="20"/>
  <c r="G463" i="20"/>
  <c r="F464" i="20"/>
  <c r="G464" i="20"/>
  <c r="F465" i="20"/>
  <c r="G465" i="20"/>
  <c r="F466" i="20"/>
  <c r="G466" i="20"/>
  <c r="F467" i="20"/>
  <c r="G467" i="20"/>
  <c r="F468" i="20"/>
  <c r="G468" i="20"/>
  <c r="F469" i="20"/>
  <c r="G469" i="20"/>
  <c r="F470" i="20"/>
  <c r="G470" i="20"/>
  <c r="F471" i="20"/>
  <c r="G471" i="20"/>
  <c r="F472" i="20"/>
  <c r="G472" i="20"/>
  <c r="F473" i="20"/>
  <c r="G473" i="20"/>
  <c r="F474" i="20"/>
  <c r="G474" i="20"/>
  <c r="F475" i="20"/>
  <c r="G475" i="20"/>
  <c r="F476" i="20"/>
  <c r="G476" i="20"/>
  <c r="F477" i="20"/>
  <c r="G477" i="20"/>
  <c r="F478" i="20"/>
  <c r="G478" i="20"/>
  <c r="F479" i="20"/>
  <c r="G479" i="20"/>
  <c r="F480" i="20"/>
  <c r="G480" i="20"/>
  <c r="F481" i="20"/>
  <c r="G481" i="20"/>
  <c r="F482" i="20"/>
  <c r="G482" i="20"/>
  <c r="F483" i="20"/>
  <c r="G483" i="20"/>
  <c r="F484" i="20"/>
  <c r="G484" i="20"/>
  <c r="F485" i="20"/>
  <c r="G485" i="20"/>
  <c r="F486" i="20"/>
  <c r="G486" i="20"/>
  <c r="F487" i="20"/>
  <c r="G487" i="20"/>
  <c r="F488" i="20"/>
  <c r="G488" i="20"/>
  <c r="F489" i="20"/>
  <c r="G489" i="20"/>
  <c r="F490" i="20"/>
  <c r="G490" i="20"/>
  <c r="F491" i="20"/>
  <c r="G491" i="20"/>
  <c r="F492" i="20"/>
  <c r="G492" i="20"/>
  <c r="F493" i="20"/>
  <c r="G493" i="20"/>
  <c r="F494" i="20"/>
  <c r="G494" i="20"/>
  <c r="F495" i="20"/>
  <c r="G495" i="20"/>
  <c r="F496" i="20"/>
  <c r="G496" i="20"/>
  <c r="F497" i="20"/>
  <c r="G497" i="20"/>
  <c r="F498" i="20"/>
  <c r="G498" i="20"/>
  <c r="F499" i="20"/>
  <c r="G499" i="20"/>
  <c r="F500" i="20"/>
  <c r="G500" i="20"/>
  <c r="F501" i="20"/>
  <c r="G501" i="20"/>
  <c r="F502" i="20"/>
  <c r="G502" i="20"/>
  <c r="F503" i="20"/>
  <c r="G503" i="20"/>
  <c r="F504" i="20"/>
  <c r="G504" i="20"/>
  <c r="F505" i="20"/>
  <c r="G505" i="20"/>
  <c r="F506" i="20"/>
  <c r="G506" i="20"/>
  <c r="F507" i="20"/>
  <c r="G507" i="20"/>
  <c r="F508" i="20"/>
  <c r="G508" i="20"/>
  <c r="F509" i="20"/>
  <c r="G509" i="20"/>
  <c r="F510" i="20"/>
  <c r="G510" i="20"/>
  <c r="F511" i="20"/>
  <c r="G511" i="20"/>
  <c r="F512" i="20"/>
  <c r="G512" i="20"/>
  <c r="F513" i="20"/>
  <c r="G513" i="20"/>
  <c r="F514" i="20"/>
  <c r="G514" i="20"/>
  <c r="F515" i="20"/>
  <c r="G515" i="20"/>
  <c r="F516" i="20"/>
  <c r="G516" i="20"/>
  <c r="F517" i="20"/>
  <c r="G517" i="20"/>
  <c r="F518" i="20"/>
  <c r="G518" i="20"/>
  <c r="F519" i="20"/>
  <c r="G519" i="20"/>
  <c r="F520" i="20"/>
  <c r="G520" i="20"/>
  <c r="F521" i="20"/>
  <c r="G521" i="20"/>
  <c r="F522" i="20"/>
  <c r="G522" i="20"/>
  <c r="F523" i="20"/>
  <c r="G523" i="20"/>
  <c r="F524" i="20"/>
  <c r="G524" i="20"/>
  <c r="F525" i="20"/>
  <c r="G525" i="20"/>
  <c r="F526" i="20"/>
  <c r="G526" i="20"/>
  <c r="F527" i="20"/>
  <c r="G527" i="20"/>
  <c r="F528" i="20"/>
  <c r="G528" i="20"/>
  <c r="F529" i="20"/>
  <c r="G529" i="20"/>
  <c r="F530" i="20"/>
  <c r="G530" i="20"/>
  <c r="F531" i="20"/>
  <c r="G531" i="20"/>
  <c r="F532" i="20"/>
  <c r="G532" i="20"/>
  <c r="F533" i="20"/>
  <c r="G533" i="20"/>
  <c r="F534" i="20"/>
  <c r="G534" i="20"/>
  <c r="F535" i="20"/>
  <c r="G535" i="20"/>
  <c r="F536" i="20"/>
  <c r="G536" i="20"/>
  <c r="F537" i="20"/>
  <c r="G537" i="20"/>
  <c r="F538" i="20"/>
  <c r="G538" i="20"/>
  <c r="F539" i="20"/>
  <c r="G539" i="20"/>
  <c r="F540" i="20"/>
  <c r="G540" i="20"/>
  <c r="F541" i="20"/>
  <c r="G541" i="20"/>
  <c r="F542" i="20"/>
  <c r="G542" i="20"/>
  <c r="F543" i="20"/>
  <c r="G543" i="20"/>
  <c r="F544" i="20"/>
  <c r="G544" i="20"/>
  <c r="F545" i="20"/>
  <c r="G545" i="20"/>
  <c r="F546" i="20"/>
  <c r="G546" i="20"/>
  <c r="F547" i="20"/>
  <c r="G547" i="20"/>
  <c r="F548" i="20"/>
  <c r="G548" i="20"/>
  <c r="F549" i="20"/>
  <c r="G549" i="20"/>
  <c r="F550" i="20"/>
  <c r="G550" i="20"/>
  <c r="F551" i="20"/>
  <c r="G551" i="20"/>
  <c r="F552" i="20"/>
  <c r="G552" i="20"/>
  <c r="F553" i="20"/>
  <c r="G553" i="20"/>
  <c r="F554" i="20"/>
  <c r="G554" i="20"/>
  <c r="F555" i="20"/>
  <c r="G555" i="20"/>
  <c r="F556" i="20"/>
  <c r="G556" i="20"/>
  <c r="F557" i="20"/>
  <c r="G557" i="20"/>
  <c r="F558" i="20"/>
  <c r="G558" i="20"/>
  <c r="F559" i="20"/>
  <c r="G559" i="20"/>
  <c r="F560" i="20"/>
  <c r="G560" i="20"/>
  <c r="F561" i="20"/>
  <c r="G561" i="20"/>
  <c r="F562" i="20"/>
  <c r="G562" i="20"/>
  <c r="F563" i="20"/>
  <c r="G563" i="20"/>
  <c r="F564" i="20"/>
  <c r="G564" i="20"/>
  <c r="F565" i="20"/>
  <c r="G565" i="20"/>
  <c r="F566" i="20"/>
  <c r="G566" i="20"/>
  <c r="F567" i="20"/>
  <c r="G567" i="20"/>
  <c r="F568" i="20"/>
  <c r="G568" i="20"/>
  <c r="F569" i="20"/>
  <c r="G569" i="20"/>
  <c r="F570" i="20"/>
  <c r="G570" i="20"/>
  <c r="F571" i="20"/>
  <c r="G571" i="20"/>
  <c r="F572" i="20"/>
  <c r="G572" i="20"/>
  <c r="F573" i="20"/>
  <c r="G573" i="20"/>
  <c r="F574" i="20"/>
  <c r="G574" i="20"/>
  <c r="F575" i="20"/>
  <c r="G575" i="20"/>
  <c r="F576" i="20"/>
  <c r="G576" i="20"/>
  <c r="F577" i="20"/>
  <c r="G577" i="20"/>
  <c r="F578" i="20"/>
  <c r="G578" i="20"/>
  <c r="F579" i="20"/>
  <c r="G579" i="20"/>
  <c r="F580" i="20"/>
  <c r="G580" i="20"/>
  <c r="F581" i="20"/>
  <c r="G581" i="20"/>
  <c r="F582" i="20"/>
  <c r="G582" i="20"/>
  <c r="F583" i="20"/>
  <c r="G583" i="20"/>
  <c r="F584" i="20"/>
  <c r="G584" i="20"/>
  <c r="F585" i="20"/>
  <c r="G585" i="20"/>
  <c r="F586" i="20"/>
  <c r="G586" i="20"/>
  <c r="F587" i="20"/>
  <c r="G587" i="20"/>
  <c r="F588" i="20"/>
  <c r="G588" i="20"/>
  <c r="F589" i="20"/>
  <c r="G589" i="20"/>
  <c r="F590" i="20"/>
  <c r="G590" i="20"/>
  <c r="F591" i="20"/>
  <c r="G591" i="20"/>
  <c r="F592" i="20"/>
  <c r="G592" i="20"/>
  <c r="F593" i="20"/>
  <c r="G593" i="20"/>
  <c r="F594" i="20"/>
  <c r="G594" i="20"/>
  <c r="F595" i="20"/>
  <c r="G595" i="20"/>
  <c r="F596" i="20"/>
  <c r="G596" i="20"/>
  <c r="F597" i="20"/>
  <c r="G597" i="20"/>
  <c r="F598" i="20"/>
  <c r="G598" i="20"/>
  <c r="F599" i="20"/>
  <c r="G599" i="20"/>
  <c r="F600" i="20"/>
  <c r="G600" i="20"/>
  <c r="F601" i="20"/>
  <c r="G601" i="20"/>
  <c r="F602" i="20"/>
  <c r="G602" i="20"/>
  <c r="F603" i="20"/>
  <c r="G603" i="20"/>
  <c r="F604" i="20"/>
  <c r="G604" i="20"/>
  <c r="F605" i="20"/>
  <c r="G605" i="20"/>
  <c r="F606" i="20"/>
  <c r="G606" i="20"/>
  <c r="F607" i="20"/>
  <c r="G607" i="20"/>
  <c r="F608" i="20"/>
  <c r="G608" i="20"/>
  <c r="F609" i="20"/>
  <c r="G609" i="20"/>
  <c r="F610" i="20"/>
  <c r="G610" i="20"/>
  <c r="F611" i="20"/>
  <c r="G611" i="20"/>
  <c r="F612" i="20"/>
  <c r="G612" i="20"/>
  <c r="F613" i="20"/>
  <c r="G613" i="20"/>
  <c r="F614" i="20"/>
  <c r="G614" i="20"/>
  <c r="F615" i="20"/>
  <c r="G615" i="20"/>
  <c r="F616" i="20"/>
  <c r="G616" i="20"/>
  <c r="F617" i="20"/>
  <c r="G617" i="20"/>
  <c r="F618" i="20"/>
  <c r="G618" i="20"/>
  <c r="F619" i="20"/>
  <c r="G619" i="20"/>
  <c r="F620" i="20"/>
  <c r="G620" i="20"/>
  <c r="F621" i="20"/>
  <c r="G621" i="20"/>
  <c r="F622" i="20"/>
  <c r="G622" i="20"/>
  <c r="F623" i="20"/>
  <c r="G623" i="20"/>
  <c r="F624" i="20"/>
  <c r="G624" i="20"/>
  <c r="F625" i="20"/>
  <c r="G625" i="20"/>
  <c r="F626" i="20"/>
  <c r="G626" i="20"/>
  <c r="F627" i="20"/>
  <c r="G627" i="20"/>
  <c r="F628" i="20"/>
  <c r="G628" i="20"/>
  <c r="F629" i="20"/>
  <c r="G629" i="20"/>
  <c r="F630" i="20"/>
  <c r="G630" i="20"/>
  <c r="F631" i="20"/>
  <c r="G631" i="20"/>
  <c r="F632" i="20"/>
  <c r="G632" i="20"/>
  <c r="F633" i="20"/>
  <c r="G633" i="20"/>
  <c r="F634" i="20"/>
  <c r="G634" i="20"/>
  <c r="F635" i="20"/>
  <c r="G635" i="20"/>
  <c r="F636" i="20"/>
  <c r="G636" i="20"/>
  <c r="F637" i="20"/>
  <c r="G637" i="20"/>
  <c r="F638" i="20"/>
  <c r="G638" i="20"/>
  <c r="F639" i="20"/>
  <c r="G639" i="20"/>
  <c r="F640" i="20"/>
  <c r="G640" i="20"/>
  <c r="F641" i="20"/>
  <c r="G641" i="20"/>
  <c r="F642" i="20"/>
  <c r="G642" i="20"/>
  <c r="F643" i="20"/>
  <c r="G643" i="20"/>
  <c r="F644" i="20"/>
  <c r="G644" i="20"/>
  <c r="F645" i="20"/>
  <c r="G645" i="20"/>
  <c r="F646" i="20"/>
  <c r="G646" i="20"/>
  <c r="F647" i="20"/>
  <c r="G647" i="20"/>
  <c r="F648" i="20"/>
  <c r="G648" i="20"/>
  <c r="F649" i="20"/>
  <c r="G649" i="20"/>
  <c r="F650" i="20"/>
  <c r="G650" i="20"/>
  <c r="F651" i="20"/>
  <c r="G651" i="20"/>
  <c r="F652" i="20"/>
  <c r="G652" i="20"/>
  <c r="F653" i="20"/>
  <c r="G653" i="20"/>
  <c r="F654" i="20"/>
  <c r="G654" i="20"/>
  <c r="F655" i="20"/>
  <c r="G655" i="20"/>
  <c r="F656" i="20"/>
  <c r="G656" i="20"/>
  <c r="F657" i="20"/>
  <c r="G657" i="20"/>
  <c r="F658" i="20"/>
  <c r="G658" i="20"/>
  <c r="F659" i="20"/>
  <c r="G659" i="20"/>
  <c r="F660" i="20"/>
  <c r="G660" i="20"/>
  <c r="F661" i="20"/>
  <c r="G661" i="20"/>
  <c r="F662" i="20"/>
  <c r="G662" i="20"/>
  <c r="F663" i="20"/>
  <c r="G663" i="20"/>
  <c r="F664" i="20"/>
  <c r="G664" i="20"/>
  <c r="F665" i="20"/>
  <c r="G665" i="20"/>
  <c r="F666" i="20"/>
  <c r="G666" i="20"/>
  <c r="F667" i="20"/>
  <c r="G667" i="20"/>
  <c r="F668" i="20"/>
  <c r="G668" i="20"/>
  <c r="F669" i="20"/>
  <c r="G669" i="20"/>
  <c r="F670" i="20"/>
  <c r="G670" i="20"/>
  <c r="F671" i="20"/>
  <c r="G671" i="20"/>
  <c r="F672" i="20"/>
  <c r="G672" i="20"/>
  <c r="F673" i="20"/>
  <c r="G673" i="20"/>
  <c r="F674" i="20"/>
  <c r="G674" i="20"/>
  <c r="F675" i="20"/>
  <c r="G675" i="20"/>
  <c r="F676" i="20"/>
  <c r="G676" i="20"/>
  <c r="F677" i="20"/>
  <c r="G677" i="20"/>
  <c r="F678" i="20"/>
  <c r="G678" i="20"/>
  <c r="F679" i="20"/>
  <c r="G679" i="20"/>
  <c r="F680" i="20"/>
  <c r="G680" i="20"/>
  <c r="F681" i="20"/>
  <c r="G681" i="20"/>
  <c r="F682" i="20"/>
  <c r="G682" i="20"/>
  <c r="F683" i="20"/>
  <c r="G683" i="20"/>
  <c r="F684" i="20"/>
  <c r="G684" i="20"/>
  <c r="F685" i="20"/>
  <c r="G685" i="20"/>
  <c r="F686" i="20"/>
  <c r="G686" i="20"/>
  <c r="F687" i="20"/>
  <c r="G687" i="20"/>
  <c r="F688" i="20"/>
  <c r="G688" i="20"/>
  <c r="F689" i="20"/>
  <c r="G689" i="20"/>
  <c r="F690" i="20"/>
  <c r="G690" i="20"/>
  <c r="F691" i="20"/>
  <c r="G691" i="20"/>
  <c r="F692" i="20"/>
  <c r="G692" i="20"/>
  <c r="F693" i="20"/>
  <c r="G693" i="20"/>
  <c r="F694" i="20"/>
  <c r="G694" i="20"/>
  <c r="F695" i="20"/>
  <c r="G695" i="20"/>
  <c r="F696" i="20"/>
  <c r="G696" i="20"/>
  <c r="F697" i="20"/>
  <c r="G697" i="20"/>
  <c r="F698" i="20"/>
  <c r="G698" i="20"/>
  <c r="F699" i="20"/>
  <c r="G699" i="20"/>
  <c r="F700" i="20"/>
  <c r="G700" i="20"/>
  <c r="F701" i="20"/>
  <c r="G701" i="20"/>
  <c r="F702" i="20"/>
  <c r="G702" i="20"/>
  <c r="F703" i="20"/>
  <c r="G703" i="20"/>
  <c r="F704" i="20"/>
  <c r="G704" i="20"/>
  <c r="F705" i="20"/>
  <c r="G705" i="20"/>
  <c r="F706" i="20"/>
  <c r="G706" i="20"/>
  <c r="F707" i="20"/>
  <c r="G707" i="20"/>
  <c r="F708" i="20"/>
  <c r="G708" i="20"/>
  <c r="F709" i="20"/>
  <c r="G709" i="20"/>
  <c r="F710" i="20"/>
  <c r="G710" i="20"/>
  <c r="F711" i="20"/>
  <c r="G711" i="20"/>
  <c r="F712" i="20"/>
  <c r="G712" i="20"/>
  <c r="F713" i="20"/>
  <c r="G713" i="20"/>
  <c r="F714" i="20"/>
  <c r="G714" i="20"/>
  <c r="F715" i="20"/>
  <c r="G715" i="20"/>
  <c r="F716" i="20"/>
  <c r="G716" i="20"/>
  <c r="F717" i="20"/>
  <c r="G717" i="20"/>
  <c r="F718" i="20"/>
  <c r="G718" i="20"/>
  <c r="F719" i="20"/>
  <c r="G719" i="20"/>
  <c r="F720" i="20"/>
  <c r="G720" i="20"/>
  <c r="F721" i="20"/>
  <c r="G721" i="20"/>
  <c r="F722" i="20"/>
  <c r="G722" i="20"/>
  <c r="F723" i="20"/>
  <c r="G723" i="20"/>
  <c r="F724" i="20"/>
  <c r="G724" i="20"/>
  <c r="F725" i="20"/>
  <c r="G725" i="20"/>
  <c r="F726" i="20"/>
  <c r="G726" i="20"/>
  <c r="F727" i="20"/>
  <c r="G727" i="20"/>
  <c r="F728" i="20"/>
  <c r="G728" i="20"/>
  <c r="F729" i="20"/>
  <c r="G729" i="20"/>
  <c r="F730" i="20"/>
  <c r="G730" i="20"/>
  <c r="F731" i="20"/>
  <c r="G731" i="20"/>
  <c r="F732" i="20"/>
  <c r="G732" i="20"/>
  <c r="F733" i="20"/>
  <c r="G733" i="20"/>
  <c r="F734" i="20"/>
  <c r="G734" i="20"/>
  <c r="F735" i="20"/>
  <c r="G735" i="20"/>
  <c r="F736" i="20"/>
  <c r="G736" i="20"/>
  <c r="F737" i="20"/>
  <c r="G737" i="20"/>
  <c r="F738" i="20"/>
  <c r="G738" i="20"/>
  <c r="F739" i="20"/>
  <c r="G739" i="20"/>
  <c r="F740" i="20"/>
  <c r="G740" i="20"/>
  <c r="F741" i="20"/>
  <c r="G741" i="20"/>
  <c r="F742" i="20"/>
  <c r="G742" i="20"/>
  <c r="F743" i="20"/>
  <c r="G743" i="20"/>
  <c r="F744" i="20"/>
  <c r="G744" i="20"/>
  <c r="F745" i="20"/>
  <c r="G745" i="20"/>
  <c r="F746" i="20"/>
  <c r="G746" i="20"/>
  <c r="F747" i="20"/>
  <c r="G747" i="20"/>
  <c r="F748" i="20"/>
  <c r="G748" i="20"/>
  <c r="F749" i="20"/>
  <c r="G749" i="20"/>
  <c r="F750" i="20"/>
  <c r="G750" i="20"/>
  <c r="F751" i="20"/>
  <c r="G751" i="20"/>
  <c r="F752" i="20"/>
  <c r="G752" i="20"/>
  <c r="F753" i="20"/>
  <c r="G753" i="20"/>
  <c r="F754" i="20"/>
  <c r="G754" i="20"/>
  <c r="F755" i="20"/>
  <c r="G755" i="20"/>
  <c r="F756" i="20"/>
  <c r="G756" i="20"/>
  <c r="F757" i="20"/>
  <c r="G757" i="20"/>
  <c r="F758" i="20"/>
  <c r="G758" i="20"/>
  <c r="F759" i="20"/>
  <c r="G759" i="20"/>
  <c r="F760" i="20"/>
  <c r="G760" i="20"/>
  <c r="F761" i="20"/>
  <c r="G761" i="20"/>
  <c r="F762" i="20"/>
  <c r="G762" i="20"/>
  <c r="F763" i="20"/>
  <c r="G763" i="20"/>
  <c r="F764" i="20"/>
  <c r="G764" i="20"/>
  <c r="F765" i="20"/>
  <c r="G765" i="20"/>
  <c r="F766" i="20"/>
  <c r="G766" i="20"/>
  <c r="F767" i="20"/>
  <c r="G767" i="20"/>
  <c r="F768" i="20"/>
  <c r="G768" i="20"/>
  <c r="F769" i="20"/>
  <c r="G769" i="20"/>
  <c r="F770" i="20"/>
  <c r="G770" i="20"/>
  <c r="F771" i="20"/>
  <c r="G771" i="20"/>
  <c r="F772" i="20"/>
  <c r="G772" i="20"/>
  <c r="F773" i="20"/>
  <c r="G773" i="20"/>
  <c r="F774" i="20"/>
  <c r="G774" i="20"/>
  <c r="F775" i="20"/>
  <c r="G775" i="20"/>
  <c r="F776" i="20"/>
  <c r="G776" i="20"/>
  <c r="F777" i="20"/>
  <c r="G777" i="20"/>
  <c r="F778" i="20"/>
  <c r="G778" i="20"/>
  <c r="F779" i="20"/>
  <c r="G779" i="20"/>
  <c r="F780" i="20"/>
  <c r="G780" i="20"/>
  <c r="F781" i="20"/>
  <c r="G781" i="20"/>
  <c r="F782" i="20"/>
  <c r="G782" i="20"/>
  <c r="F783" i="20"/>
  <c r="G783" i="20"/>
  <c r="F784" i="20"/>
  <c r="G784" i="20"/>
  <c r="F785" i="20"/>
  <c r="G785" i="20"/>
  <c r="F786" i="20"/>
  <c r="G786" i="20"/>
  <c r="F787" i="20"/>
  <c r="G787" i="20"/>
  <c r="F788" i="20"/>
  <c r="G788" i="20"/>
  <c r="F789" i="20"/>
  <c r="G789" i="20"/>
  <c r="F790" i="20"/>
  <c r="G790" i="20"/>
  <c r="F791" i="20"/>
  <c r="G791" i="20"/>
  <c r="F792" i="20"/>
  <c r="G792" i="20"/>
  <c r="F793" i="20"/>
  <c r="G793" i="20"/>
  <c r="F794" i="20"/>
  <c r="G794" i="20"/>
  <c r="F795" i="20"/>
  <c r="G795" i="20"/>
  <c r="F796" i="20"/>
  <c r="G796" i="20"/>
  <c r="F797" i="20"/>
  <c r="G797" i="20"/>
  <c r="F798" i="20"/>
  <c r="G798" i="20"/>
  <c r="F799" i="20"/>
  <c r="G799" i="20"/>
  <c r="F800" i="20"/>
  <c r="G800" i="20"/>
  <c r="F801" i="20"/>
  <c r="G801" i="20"/>
  <c r="F802" i="20"/>
  <c r="G802" i="20"/>
  <c r="F803" i="20"/>
  <c r="G803" i="20"/>
  <c r="F804" i="20"/>
  <c r="G804" i="20"/>
  <c r="F805" i="20"/>
  <c r="G805" i="20"/>
  <c r="F806" i="20"/>
  <c r="G806" i="20"/>
  <c r="F807" i="20"/>
  <c r="G807" i="20"/>
  <c r="F808" i="20"/>
  <c r="G808" i="20"/>
  <c r="F809" i="20"/>
  <c r="G809" i="20"/>
  <c r="F810" i="20"/>
  <c r="G810" i="20"/>
  <c r="F811" i="20"/>
  <c r="G811" i="20"/>
  <c r="F812" i="20"/>
  <c r="G812" i="20"/>
  <c r="F813" i="20"/>
  <c r="G813" i="20"/>
  <c r="F814" i="20"/>
  <c r="G814" i="20"/>
  <c r="F815" i="20"/>
  <c r="G815" i="20"/>
  <c r="F816" i="20"/>
  <c r="G816" i="20"/>
  <c r="F817" i="20"/>
  <c r="G817" i="20"/>
  <c r="F818" i="20"/>
  <c r="G818" i="20"/>
  <c r="F819" i="20"/>
  <c r="G819" i="20"/>
  <c r="F820" i="20"/>
  <c r="G820" i="20"/>
  <c r="F821" i="20"/>
  <c r="G821" i="20"/>
  <c r="F822" i="20"/>
  <c r="G822" i="20"/>
  <c r="F823" i="20"/>
  <c r="G823" i="20"/>
  <c r="F824" i="20"/>
  <c r="G824" i="20"/>
  <c r="F825" i="20"/>
  <c r="G825" i="20"/>
  <c r="F826" i="20"/>
  <c r="G826" i="20"/>
  <c r="F827" i="20"/>
  <c r="G827" i="20"/>
  <c r="F828" i="20"/>
  <c r="G828" i="20"/>
  <c r="F829" i="20"/>
  <c r="G829" i="20"/>
  <c r="F830" i="20"/>
  <c r="G830" i="20"/>
  <c r="F831" i="20"/>
  <c r="G831" i="20"/>
  <c r="F832" i="20"/>
  <c r="G832" i="20"/>
  <c r="F833" i="20"/>
  <c r="G833" i="20"/>
  <c r="F834" i="20"/>
  <c r="G834" i="20"/>
  <c r="F835" i="20"/>
  <c r="G835" i="20"/>
  <c r="F836" i="20"/>
  <c r="G836" i="20"/>
  <c r="F837" i="20"/>
  <c r="G837" i="20"/>
  <c r="F838" i="20"/>
  <c r="G838" i="20"/>
  <c r="F839" i="20"/>
  <c r="G839" i="20"/>
  <c r="F840" i="20"/>
  <c r="G840" i="20"/>
  <c r="F841" i="20"/>
  <c r="G841" i="20"/>
  <c r="F842" i="20"/>
  <c r="G842" i="20"/>
  <c r="F843" i="20"/>
  <c r="G843" i="20"/>
  <c r="F844" i="20"/>
  <c r="G844" i="20"/>
  <c r="F845" i="20"/>
  <c r="G845" i="20"/>
  <c r="F846" i="20"/>
  <c r="G846" i="20"/>
  <c r="F847" i="20"/>
  <c r="G847" i="20"/>
  <c r="F848" i="20"/>
  <c r="G848" i="20"/>
  <c r="F849" i="20"/>
  <c r="G849" i="20"/>
  <c r="F850" i="20"/>
  <c r="G850" i="20"/>
  <c r="F851" i="20"/>
  <c r="G851" i="20"/>
  <c r="F852" i="20"/>
  <c r="G852" i="20"/>
  <c r="F853" i="20"/>
  <c r="G853" i="20"/>
  <c r="F854" i="20"/>
  <c r="G854" i="20"/>
  <c r="F855" i="20"/>
  <c r="G855" i="20"/>
  <c r="F856" i="20"/>
  <c r="G856" i="20"/>
  <c r="F857" i="20"/>
  <c r="G857" i="20"/>
  <c r="F858" i="20"/>
  <c r="G858" i="20"/>
  <c r="F859" i="20"/>
  <c r="G859" i="20"/>
  <c r="F860" i="20"/>
  <c r="G860" i="20"/>
  <c r="F861" i="20"/>
  <c r="G861" i="20"/>
  <c r="F862" i="20"/>
  <c r="G862" i="20"/>
  <c r="F863" i="20"/>
  <c r="G863" i="20"/>
  <c r="F864" i="20"/>
  <c r="G864" i="20"/>
  <c r="F865" i="20"/>
  <c r="G865" i="20"/>
  <c r="F866" i="20"/>
  <c r="G866" i="20"/>
  <c r="F867" i="20"/>
  <c r="G867" i="20"/>
  <c r="F868" i="20"/>
  <c r="G868" i="20"/>
  <c r="F869" i="20"/>
  <c r="G869" i="20"/>
  <c r="F870" i="20"/>
  <c r="G870" i="20"/>
  <c r="F871" i="20"/>
  <c r="G871" i="20"/>
  <c r="F872" i="20"/>
  <c r="G872" i="20"/>
  <c r="F873" i="20"/>
  <c r="G873" i="20"/>
  <c r="F874" i="20"/>
  <c r="G874" i="20"/>
  <c r="F875" i="20"/>
  <c r="G875" i="20"/>
  <c r="F876" i="20"/>
  <c r="G876" i="20"/>
  <c r="F877" i="20"/>
  <c r="G877" i="20"/>
  <c r="F878" i="20"/>
  <c r="G878" i="20"/>
  <c r="F879" i="20"/>
  <c r="G879" i="20"/>
  <c r="F880" i="20"/>
  <c r="G880" i="20"/>
  <c r="F881" i="20"/>
  <c r="G881" i="20"/>
  <c r="F882" i="20"/>
  <c r="G882" i="20"/>
  <c r="F883" i="20"/>
  <c r="G883" i="20"/>
  <c r="F884" i="20"/>
  <c r="G884" i="20"/>
  <c r="F885" i="20"/>
  <c r="G885" i="20"/>
  <c r="F886" i="20"/>
  <c r="G886" i="20"/>
  <c r="F887" i="20"/>
  <c r="G887" i="20"/>
  <c r="F888" i="20"/>
  <c r="G888" i="20"/>
  <c r="F889" i="20"/>
  <c r="G889" i="20"/>
  <c r="F890" i="20"/>
  <c r="G890" i="20"/>
  <c r="F891" i="20"/>
  <c r="G891" i="20"/>
  <c r="F892" i="20"/>
  <c r="G892" i="20"/>
  <c r="F893" i="20"/>
  <c r="G893" i="20"/>
  <c r="F894" i="20"/>
  <c r="G894" i="20"/>
  <c r="F895" i="20"/>
  <c r="G895" i="20"/>
  <c r="F896" i="20"/>
  <c r="G896" i="20"/>
  <c r="F897" i="20"/>
  <c r="G897" i="20"/>
  <c r="F898" i="20"/>
  <c r="G898" i="20"/>
  <c r="F899" i="20"/>
  <c r="G899" i="20"/>
  <c r="F900" i="20"/>
  <c r="G900" i="20"/>
  <c r="F901" i="20"/>
  <c r="G901" i="20"/>
  <c r="F902" i="20"/>
  <c r="G902" i="20"/>
  <c r="F903" i="20"/>
  <c r="G903" i="20"/>
  <c r="F904" i="20"/>
  <c r="G904" i="20"/>
  <c r="F905" i="20"/>
  <c r="G905" i="20"/>
  <c r="F906" i="20"/>
  <c r="G906" i="20"/>
  <c r="F907" i="20"/>
  <c r="G907" i="20"/>
  <c r="F908" i="20"/>
  <c r="G908" i="20"/>
  <c r="F909" i="20"/>
  <c r="G909" i="20"/>
  <c r="F910" i="20"/>
  <c r="G910" i="20"/>
  <c r="F911" i="20"/>
  <c r="G911" i="20"/>
  <c r="F912" i="20"/>
  <c r="G912" i="20"/>
  <c r="F913" i="20"/>
  <c r="G913" i="20"/>
  <c r="F914" i="20"/>
  <c r="G914" i="20"/>
  <c r="F915" i="20"/>
  <c r="G915" i="20"/>
  <c r="F916" i="20"/>
  <c r="G916" i="20"/>
  <c r="F917" i="20"/>
  <c r="G917" i="20"/>
  <c r="F918" i="20"/>
  <c r="G918" i="20"/>
  <c r="F919" i="20"/>
  <c r="G919" i="20"/>
  <c r="F920" i="20"/>
  <c r="G920" i="20"/>
  <c r="F921" i="20"/>
  <c r="G921" i="20"/>
  <c r="F922" i="20"/>
  <c r="G922" i="20"/>
  <c r="F923" i="20"/>
  <c r="G923" i="20"/>
  <c r="F924" i="20"/>
  <c r="G924" i="20"/>
  <c r="F925" i="20"/>
  <c r="G925" i="20"/>
  <c r="F926" i="20"/>
  <c r="G926" i="20"/>
  <c r="F927" i="20"/>
  <c r="G927" i="20"/>
  <c r="F928" i="20"/>
  <c r="G928" i="20"/>
  <c r="F929" i="20"/>
  <c r="G929" i="20"/>
  <c r="F930" i="20"/>
  <c r="G930" i="20"/>
  <c r="F931" i="20"/>
  <c r="G931" i="20"/>
  <c r="F932" i="20"/>
  <c r="G932" i="20"/>
  <c r="F933" i="20"/>
  <c r="G933" i="20"/>
  <c r="F934" i="20"/>
  <c r="G934" i="20"/>
  <c r="F935" i="20"/>
  <c r="G935" i="20"/>
  <c r="F936" i="20"/>
  <c r="G936" i="20"/>
  <c r="F937" i="20"/>
  <c r="G937" i="20"/>
  <c r="F938" i="20"/>
  <c r="G938" i="20"/>
  <c r="F939" i="20"/>
  <c r="G939" i="20"/>
  <c r="F940" i="20"/>
  <c r="G940" i="20"/>
  <c r="F941" i="20"/>
  <c r="G941" i="20"/>
  <c r="F942" i="20"/>
  <c r="G942" i="20"/>
  <c r="F943" i="20"/>
  <c r="G943" i="20"/>
  <c r="F944" i="20"/>
  <c r="G944" i="20"/>
  <c r="F945" i="20"/>
  <c r="G945" i="20"/>
  <c r="F946" i="20"/>
  <c r="G946" i="20"/>
  <c r="F947" i="20"/>
  <c r="G947" i="20"/>
  <c r="F948" i="20"/>
  <c r="G948" i="20"/>
  <c r="F949" i="20"/>
  <c r="G949" i="20"/>
  <c r="F950" i="20"/>
  <c r="G950" i="20"/>
  <c r="F951" i="20"/>
  <c r="G951" i="20"/>
  <c r="F952" i="20"/>
  <c r="G952" i="20"/>
  <c r="F953" i="20"/>
  <c r="G953" i="20"/>
  <c r="F954" i="20"/>
  <c r="G954" i="20"/>
  <c r="F955" i="20"/>
  <c r="G955" i="20"/>
  <c r="F956" i="20"/>
  <c r="G956" i="20"/>
  <c r="F957" i="20"/>
  <c r="G957" i="20"/>
  <c r="F958" i="20"/>
  <c r="G958" i="20"/>
  <c r="F959" i="20"/>
  <c r="G959" i="20"/>
  <c r="F960" i="20"/>
  <c r="G960" i="20"/>
  <c r="F961" i="20"/>
  <c r="G961" i="20"/>
  <c r="F962" i="20"/>
  <c r="G962" i="20"/>
  <c r="F963" i="20"/>
  <c r="G963" i="20"/>
  <c r="F964" i="20"/>
  <c r="G964" i="20"/>
  <c r="F965" i="20"/>
  <c r="G965" i="20"/>
  <c r="F966" i="20"/>
  <c r="G966" i="20"/>
  <c r="F967" i="20"/>
  <c r="G967" i="20"/>
  <c r="F968" i="20"/>
  <c r="G968" i="20"/>
  <c r="F969" i="20"/>
  <c r="G969" i="20"/>
  <c r="F970" i="20"/>
  <c r="G970" i="20"/>
  <c r="F971" i="20"/>
  <c r="G971" i="20"/>
  <c r="F972" i="20"/>
  <c r="G972" i="20"/>
  <c r="F973" i="20"/>
  <c r="G973" i="20"/>
  <c r="F974" i="20"/>
  <c r="G974" i="20"/>
  <c r="F975" i="20"/>
  <c r="G975" i="20"/>
  <c r="F976" i="20"/>
  <c r="G976" i="20"/>
  <c r="F977" i="20"/>
  <c r="G977" i="20"/>
  <c r="F978" i="20"/>
  <c r="G978" i="20"/>
  <c r="F979" i="20"/>
  <c r="G979" i="20"/>
  <c r="F980" i="20"/>
  <c r="G980" i="20"/>
  <c r="F981" i="20"/>
  <c r="G981" i="20"/>
  <c r="F982" i="20"/>
  <c r="G982" i="20"/>
  <c r="F983" i="20"/>
  <c r="G983" i="20"/>
  <c r="F984" i="20"/>
  <c r="G984" i="20"/>
  <c r="F985" i="20"/>
  <c r="G985" i="20"/>
  <c r="F986" i="20"/>
  <c r="G986" i="20"/>
  <c r="F987" i="20"/>
  <c r="G987" i="20"/>
  <c r="F988" i="20"/>
  <c r="G988" i="20"/>
  <c r="F989" i="20"/>
  <c r="G989" i="20"/>
  <c r="F990" i="20"/>
  <c r="G990" i="20"/>
  <c r="F991" i="20"/>
  <c r="G991" i="20"/>
  <c r="F992" i="20"/>
  <c r="G992" i="20"/>
  <c r="F993" i="20"/>
  <c r="G993" i="20"/>
  <c r="F994" i="20"/>
  <c r="G994" i="20"/>
  <c r="F995" i="20"/>
  <c r="G995" i="20"/>
  <c r="F996" i="20"/>
  <c r="G996" i="20"/>
  <c r="F997" i="20"/>
  <c r="G997" i="20"/>
  <c r="F998" i="20"/>
  <c r="G998" i="20"/>
  <c r="F999" i="20"/>
  <c r="G999" i="20"/>
  <c r="F1000" i="20"/>
  <c r="G1000" i="20"/>
  <c r="F1001" i="20"/>
  <c r="G1001" i="20"/>
  <c r="F1002" i="20"/>
  <c r="G1002" i="20"/>
  <c r="F1003" i="20"/>
  <c r="G1003" i="20"/>
  <c r="F1004" i="20"/>
  <c r="G1004" i="20"/>
  <c r="F1005" i="20"/>
  <c r="G1005" i="20"/>
  <c r="F1006" i="20"/>
  <c r="G1006" i="20"/>
  <c r="G7" i="20"/>
  <c r="F7" i="20"/>
  <c r="C8" i="20"/>
  <c r="D8" i="20"/>
  <c r="C9" i="20"/>
  <c r="D9" i="20"/>
  <c r="C10" i="20"/>
  <c r="D10" i="20"/>
  <c r="C11" i="20"/>
  <c r="D11" i="20"/>
  <c r="C12" i="20"/>
  <c r="D12" i="20"/>
  <c r="C13" i="20"/>
  <c r="D13" i="20"/>
  <c r="C14" i="20"/>
  <c r="D14" i="20"/>
  <c r="C15" i="20"/>
  <c r="D15" i="20"/>
  <c r="C16" i="20"/>
  <c r="D16" i="20"/>
  <c r="C17" i="20"/>
  <c r="D17" i="20"/>
  <c r="C18" i="20"/>
  <c r="D18" i="20"/>
  <c r="C19" i="20"/>
  <c r="D19" i="20"/>
  <c r="C20" i="20"/>
  <c r="D20" i="20"/>
  <c r="C21" i="20"/>
  <c r="D21" i="20"/>
  <c r="C22" i="20"/>
  <c r="D22" i="20"/>
  <c r="C23" i="20"/>
  <c r="D23" i="20"/>
  <c r="C24" i="20"/>
  <c r="D24" i="20"/>
  <c r="C25" i="20"/>
  <c r="D25" i="20"/>
  <c r="C26" i="20"/>
  <c r="D26" i="20"/>
  <c r="C27" i="20"/>
  <c r="D27" i="20"/>
  <c r="C28" i="20"/>
  <c r="D28" i="20"/>
  <c r="C29" i="20"/>
  <c r="D29" i="20"/>
  <c r="C30" i="20"/>
  <c r="D30" i="20"/>
  <c r="C31" i="20"/>
  <c r="D31" i="20"/>
  <c r="C32" i="20"/>
  <c r="D32" i="20"/>
  <c r="C33" i="20"/>
  <c r="D33" i="20"/>
  <c r="C34" i="20"/>
  <c r="D34" i="20"/>
  <c r="C35" i="20"/>
  <c r="D35" i="20"/>
  <c r="C36" i="20"/>
  <c r="D36" i="20"/>
  <c r="C37" i="20"/>
  <c r="D37" i="20"/>
  <c r="C38" i="20"/>
  <c r="D38" i="20"/>
  <c r="C39" i="20"/>
  <c r="D39" i="20"/>
  <c r="C40" i="20"/>
  <c r="D40" i="20"/>
  <c r="C41" i="20"/>
  <c r="D41" i="20"/>
  <c r="C42" i="20"/>
  <c r="D42" i="20"/>
  <c r="C43" i="20"/>
  <c r="D43" i="20"/>
  <c r="C44" i="20"/>
  <c r="D44" i="20"/>
  <c r="C45" i="20"/>
  <c r="D45" i="20"/>
  <c r="C46" i="20"/>
  <c r="D46" i="20"/>
  <c r="C47" i="20"/>
  <c r="D47" i="20"/>
  <c r="C48" i="20"/>
  <c r="D48" i="20"/>
  <c r="C49" i="20"/>
  <c r="D49" i="20"/>
  <c r="C50" i="20"/>
  <c r="D50" i="20"/>
  <c r="C51" i="20"/>
  <c r="D51" i="20"/>
  <c r="C52" i="20"/>
  <c r="D52" i="20"/>
  <c r="C53" i="20"/>
  <c r="D53" i="20"/>
  <c r="C54" i="20"/>
  <c r="D54" i="20"/>
  <c r="C55" i="20"/>
  <c r="D55" i="20"/>
  <c r="C56" i="20"/>
  <c r="D56" i="20"/>
  <c r="C57" i="20"/>
  <c r="D57" i="20"/>
  <c r="C58" i="20"/>
  <c r="D58" i="20"/>
  <c r="C59" i="20"/>
  <c r="D59" i="20"/>
  <c r="C60" i="20"/>
  <c r="D60" i="20"/>
  <c r="C61" i="20"/>
  <c r="D61" i="20"/>
  <c r="C62" i="20"/>
  <c r="D62" i="20"/>
  <c r="C63" i="20"/>
  <c r="D63" i="20"/>
  <c r="C64" i="20"/>
  <c r="D64" i="20"/>
  <c r="C65" i="20"/>
  <c r="D65" i="20"/>
  <c r="C66" i="20"/>
  <c r="D66" i="20"/>
  <c r="C67" i="20"/>
  <c r="D67" i="20"/>
  <c r="C68" i="20"/>
  <c r="D68" i="20"/>
  <c r="C69" i="20"/>
  <c r="D69" i="20"/>
  <c r="C70" i="20"/>
  <c r="D70" i="20"/>
  <c r="C71" i="20"/>
  <c r="D71" i="20"/>
  <c r="C72" i="20"/>
  <c r="D72" i="20"/>
  <c r="C73" i="20"/>
  <c r="D73" i="20"/>
  <c r="C74" i="20"/>
  <c r="D74" i="20"/>
  <c r="C75" i="20"/>
  <c r="D75" i="20"/>
  <c r="C76" i="20"/>
  <c r="D76" i="20"/>
  <c r="C77" i="20"/>
  <c r="D77" i="20"/>
  <c r="C78" i="20"/>
  <c r="D78" i="20"/>
  <c r="C79" i="20"/>
  <c r="D79" i="20"/>
  <c r="C80" i="20"/>
  <c r="D80" i="20"/>
  <c r="C81" i="20"/>
  <c r="D81" i="20"/>
  <c r="C82" i="20"/>
  <c r="D82" i="20"/>
  <c r="C83" i="20"/>
  <c r="D83" i="20"/>
  <c r="C84" i="20"/>
  <c r="D84" i="20"/>
  <c r="C85" i="20"/>
  <c r="D85" i="20"/>
  <c r="C86" i="20"/>
  <c r="D86" i="20"/>
  <c r="C87" i="20"/>
  <c r="D87" i="20"/>
  <c r="C88" i="20"/>
  <c r="D88" i="20"/>
  <c r="C89" i="20"/>
  <c r="D89" i="20"/>
  <c r="C90" i="20"/>
  <c r="D90" i="20"/>
  <c r="C91" i="20"/>
  <c r="D91" i="20"/>
  <c r="C92" i="20"/>
  <c r="D92" i="20"/>
  <c r="C93" i="20"/>
  <c r="D93" i="20"/>
  <c r="C94" i="20"/>
  <c r="D94" i="20"/>
  <c r="C95" i="20"/>
  <c r="D95" i="20"/>
  <c r="C96" i="20"/>
  <c r="D96" i="20"/>
  <c r="C97" i="20"/>
  <c r="D97" i="20"/>
  <c r="C98" i="20"/>
  <c r="D98" i="20"/>
  <c r="C99" i="20"/>
  <c r="D99" i="20"/>
  <c r="C100" i="20"/>
  <c r="D100" i="20"/>
  <c r="C101" i="20"/>
  <c r="D101" i="20"/>
  <c r="C102" i="20"/>
  <c r="D102" i="20"/>
  <c r="C103" i="20"/>
  <c r="D103" i="20"/>
  <c r="C104" i="20"/>
  <c r="D104" i="20"/>
  <c r="C105" i="20"/>
  <c r="D105" i="20"/>
  <c r="C106" i="20"/>
  <c r="D106" i="20"/>
  <c r="C107" i="20"/>
  <c r="D107" i="20"/>
  <c r="C108" i="20"/>
  <c r="D108" i="20"/>
  <c r="C109" i="20"/>
  <c r="D109" i="20"/>
  <c r="C110" i="20"/>
  <c r="D110" i="20"/>
  <c r="C111" i="20"/>
  <c r="D111" i="20"/>
  <c r="C112" i="20"/>
  <c r="D112" i="20"/>
  <c r="C113" i="20"/>
  <c r="D113" i="20"/>
  <c r="C114" i="20"/>
  <c r="D114" i="20"/>
  <c r="C115" i="20"/>
  <c r="D115" i="20"/>
  <c r="C116" i="20"/>
  <c r="D116" i="20"/>
  <c r="C117" i="20"/>
  <c r="D117" i="20"/>
  <c r="C118" i="20"/>
  <c r="D118" i="20"/>
  <c r="C119" i="20"/>
  <c r="D119" i="20"/>
  <c r="C120" i="20"/>
  <c r="D120" i="20"/>
  <c r="C121" i="20"/>
  <c r="D121" i="20"/>
  <c r="C122" i="20"/>
  <c r="D122" i="20"/>
  <c r="C123" i="20"/>
  <c r="D123" i="20"/>
  <c r="C124" i="20"/>
  <c r="D124" i="20"/>
  <c r="C125" i="20"/>
  <c r="D125" i="20"/>
  <c r="C126" i="20"/>
  <c r="D126" i="20"/>
  <c r="C127" i="20"/>
  <c r="D127" i="20"/>
  <c r="C128" i="20"/>
  <c r="D128" i="20"/>
  <c r="C129" i="20"/>
  <c r="D129" i="20"/>
  <c r="C130" i="20"/>
  <c r="D130" i="20"/>
  <c r="C131" i="20"/>
  <c r="D131" i="20"/>
  <c r="C132" i="20"/>
  <c r="D132" i="20"/>
  <c r="C133" i="20"/>
  <c r="D133" i="20"/>
  <c r="C134" i="20"/>
  <c r="D134" i="20"/>
  <c r="C135" i="20"/>
  <c r="D135" i="20"/>
  <c r="C136" i="20"/>
  <c r="D136" i="20"/>
  <c r="C137" i="20"/>
  <c r="D137" i="20"/>
  <c r="C138" i="20"/>
  <c r="D138" i="20"/>
  <c r="C139" i="20"/>
  <c r="D139" i="20"/>
  <c r="C140" i="20"/>
  <c r="D140" i="20"/>
  <c r="C141" i="20"/>
  <c r="D141" i="20"/>
  <c r="C142" i="20"/>
  <c r="D142" i="20"/>
  <c r="C143" i="20"/>
  <c r="D143" i="20"/>
  <c r="C144" i="20"/>
  <c r="D144" i="20"/>
  <c r="C145" i="20"/>
  <c r="D145" i="20"/>
  <c r="C146" i="20"/>
  <c r="D146" i="20"/>
  <c r="C147" i="20"/>
  <c r="D147" i="20"/>
  <c r="C148" i="20"/>
  <c r="D148" i="20"/>
  <c r="C149" i="20"/>
  <c r="D149" i="20"/>
  <c r="C150" i="20"/>
  <c r="D150" i="20"/>
  <c r="C151" i="20"/>
  <c r="D151" i="20"/>
  <c r="C152" i="20"/>
  <c r="D152" i="20"/>
  <c r="C153" i="20"/>
  <c r="D153" i="20"/>
  <c r="C154" i="20"/>
  <c r="D154" i="20"/>
  <c r="C155" i="20"/>
  <c r="D155" i="20"/>
  <c r="C156" i="20"/>
  <c r="D156" i="20"/>
  <c r="C157" i="20"/>
  <c r="D157" i="20"/>
  <c r="C158" i="20"/>
  <c r="D158" i="20"/>
  <c r="C159" i="20"/>
  <c r="D159" i="20"/>
  <c r="C160" i="20"/>
  <c r="D160" i="20"/>
  <c r="C161" i="20"/>
  <c r="D161" i="20"/>
  <c r="C162" i="20"/>
  <c r="D162" i="20"/>
  <c r="C163" i="20"/>
  <c r="D163" i="20"/>
  <c r="C164" i="20"/>
  <c r="D164" i="20"/>
  <c r="C165" i="20"/>
  <c r="D165" i="20"/>
  <c r="C166" i="20"/>
  <c r="D166" i="20"/>
  <c r="C167" i="20"/>
  <c r="D167" i="20"/>
  <c r="C168" i="20"/>
  <c r="D168" i="20"/>
  <c r="C169" i="20"/>
  <c r="D169" i="20"/>
  <c r="C170" i="20"/>
  <c r="D170" i="20"/>
  <c r="C171" i="20"/>
  <c r="D171" i="20"/>
  <c r="C172" i="20"/>
  <c r="D172" i="20"/>
  <c r="C173" i="20"/>
  <c r="D173" i="20"/>
  <c r="C174" i="20"/>
  <c r="D174" i="20"/>
  <c r="C175" i="20"/>
  <c r="D175" i="20"/>
  <c r="C176" i="20"/>
  <c r="D176" i="20"/>
  <c r="C177" i="20"/>
  <c r="D177" i="20"/>
  <c r="C178" i="20"/>
  <c r="D178" i="20"/>
  <c r="C179" i="20"/>
  <c r="D179" i="20"/>
  <c r="C180" i="20"/>
  <c r="D180" i="20"/>
  <c r="C181" i="20"/>
  <c r="D181" i="20"/>
  <c r="C182" i="20"/>
  <c r="D182" i="20"/>
  <c r="C183" i="20"/>
  <c r="D183" i="20"/>
  <c r="C184" i="20"/>
  <c r="D184" i="20"/>
  <c r="C185" i="20"/>
  <c r="D185" i="20"/>
  <c r="C186" i="20"/>
  <c r="D186" i="20"/>
  <c r="C187" i="20"/>
  <c r="D187" i="20"/>
  <c r="C188" i="20"/>
  <c r="D188" i="20"/>
  <c r="C189" i="20"/>
  <c r="D189" i="20"/>
  <c r="C190" i="20"/>
  <c r="D190" i="20"/>
  <c r="C191" i="20"/>
  <c r="D191" i="20"/>
  <c r="C192" i="20"/>
  <c r="D192" i="20"/>
  <c r="C193" i="20"/>
  <c r="D193" i="20"/>
  <c r="C194" i="20"/>
  <c r="D194" i="20"/>
  <c r="C195" i="20"/>
  <c r="D195" i="20"/>
  <c r="C196" i="20"/>
  <c r="D196" i="20"/>
  <c r="C197" i="20"/>
  <c r="D197" i="20"/>
  <c r="C198" i="20"/>
  <c r="D198" i="20"/>
  <c r="C199" i="20"/>
  <c r="D199" i="20"/>
  <c r="C200" i="20"/>
  <c r="D200" i="20"/>
  <c r="C201" i="20"/>
  <c r="D201" i="20"/>
  <c r="C202" i="20"/>
  <c r="D202" i="20"/>
  <c r="C203" i="20"/>
  <c r="D203" i="20"/>
  <c r="C204" i="20"/>
  <c r="D204" i="20"/>
  <c r="C205" i="20"/>
  <c r="D205" i="20"/>
  <c r="C206" i="20"/>
  <c r="D206" i="20"/>
  <c r="C207" i="20"/>
  <c r="D207" i="20"/>
  <c r="C208" i="20"/>
  <c r="D208" i="20"/>
  <c r="C209" i="20"/>
  <c r="D209" i="20"/>
  <c r="C210" i="20"/>
  <c r="D210" i="20"/>
  <c r="C211" i="20"/>
  <c r="D211" i="20"/>
  <c r="C212" i="20"/>
  <c r="D212" i="20"/>
  <c r="C213" i="20"/>
  <c r="D213" i="20"/>
  <c r="C214" i="20"/>
  <c r="D214" i="20"/>
  <c r="C215" i="20"/>
  <c r="D215" i="20"/>
  <c r="C216" i="20"/>
  <c r="D216" i="20"/>
  <c r="C217" i="20"/>
  <c r="D217" i="20"/>
  <c r="C218" i="20"/>
  <c r="D218" i="20"/>
  <c r="C219" i="20"/>
  <c r="D219" i="20"/>
  <c r="C220" i="20"/>
  <c r="D220" i="20"/>
  <c r="C221" i="20"/>
  <c r="D221" i="20"/>
  <c r="C222" i="20"/>
  <c r="D222" i="20"/>
  <c r="C223" i="20"/>
  <c r="D223" i="20"/>
  <c r="C224" i="20"/>
  <c r="D224" i="20"/>
  <c r="C225" i="20"/>
  <c r="D225" i="20"/>
  <c r="C226" i="20"/>
  <c r="D226" i="20"/>
  <c r="C227" i="20"/>
  <c r="D227" i="20"/>
  <c r="C228" i="20"/>
  <c r="D228" i="20"/>
  <c r="C229" i="20"/>
  <c r="D229" i="20"/>
  <c r="C230" i="20"/>
  <c r="D230" i="20"/>
  <c r="C231" i="20"/>
  <c r="D231" i="20"/>
  <c r="C232" i="20"/>
  <c r="D232" i="20"/>
  <c r="C233" i="20"/>
  <c r="D233" i="20"/>
  <c r="C234" i="20"/>
  <c r="D234" i="20"/>
  <c r="C235" i="20"/>
  <c r="D235" i="20"/>
  <c r="C236" i="20"/>
  <c r="D236" i="20"/>
  <c r="C237" i="20"/>
  <c r="D237" i="20"/>
  <c r="C238" i="20"/>
  <c r="D238" i="20"/>
  <c r="C239" i="20"/>
  <c r="D239" i="20"/>
  <c r="C240" i="20"/>
  <c r="D240" i="20"/>
  <c r="C241" i="20"/>
  <c r="D241" i="20"/>
  <c r="C242" i="20"/>
  <c r="D242" i="20"/>
  <c r="C243" i="20"/>
  <c r="D243" i="20"/>
  <c r="C244" i="20"/>
  <c r="D244" i="20"/>
  <c r="C245" i="20"/>
  <c r="D245" i="20"/>
  <c r="C246" i="20"/>
  <c r="D246" i="20"/>
  <c r="C247" i="20"/>
  <c r="D247" i="20"/>
  <c r="C248" i="20"/>
  <c r="D248" i="20"/>
  <c r="C249" i="20"/>
  <c r="D249" i="20"/>
  <c r="C250" i="20"/>
  <c r="D250" i="20"/>
  <c r="C251" i="20"/>
  <c r="D251" i="20"/>
  <c r="C252" i="20"/>
  <c r="D252" i="20"/>
  <c r="C253" i="20"/>
  <c r="D253" i="20"/>
  <c r="C254" i="20"/>
  <c r="D254" i="20"/>
  <c r="C255" i="20"/>
  <c r="D255" i="20"/>
  <c r="C256" i="20"/>
  <c r="D256" i="20"/>
  <c r="C257" i="20"/>
  <c r="D257" i="20"/>
  <c r="C258" i="20"/>
  <c r="D258" i="20"/>
  <c r="C259" i="20"/>
  <c r="D259" i="20"/>
  <c r="C260" i="20"/>
  <c r="D260" i="20"/>
  <c r="C261" i="20"/>
  <c r="D261" i="20"/>
  <c r="C262" i="20"/>
  <c r="D262" i="20"/>
  <c r="C263" i="20"/>
  <c r="D263" i="20"/>
  <c r="C264" i="20"/>
  <c r="D264" i="20"/>
  <c r="C265" i="20"/>
  <c r="D265" i="20"/>
  <c r="C266" i="20"/>
  <c r="D266" i="20"/>
  <c r="C267" i="20"/>
  <c r="D267" i="20"/>
  <c r="C268" i="20"/>
  <c r="D268" i="20"/>
  <c r="C269" i="20"/>
  <c r="D269" i="20"/>
  <c r="C270" i="20"/>
  <c r="D270" i="20"/>
  <c r="C271" i="20"/>
  <c r="D271" i="20"/>
  <c r="C272" i="20"/>
  <c r="D272" i="20"/>
  <c r="C273" i="20"/>
  <c r="D273" i="20"/>
  <c r="C274" i="20"/>
  <c r="D274" i="20"/>
  <c r="C275" i="20"/>
  <c r="D275" i="20"/>
  <c r="C276" i="20"/>
  <c r="D276" i="20"/>
  <c r="C277" i="20"/>
  <c r="D277" i="20"/>
  <c r="C278" i="20"/>
  <c r="D278" i="20"/>
  <c r="C279" i="20"/>
  <c r="D279" i="20"/>
  <c r="C280" i="20"/>
  <c r="D280" i="20"/>
  <c r="C281" i="20"/>
  <c r="D281" i="20"/>
  <c r="C282" i="20"/>
  <c r="D282" i="20"/>
  <c r="C283" i="20"/>
  <c r="D283" i="20"/>
  <c r="C284" i="20"/>
  <c r="D284" i="20"/>
  <c r="C285" i="20"/>
  <c r="D285" i="20"/>
  <c r="C286" i="20"/>
  <c r="D286" i="20"/>
  <c r="C287" i="20"/>
  <c r="D287" i="20"/>
  <c r="C288" i="20"/>
  <c r="D288" i="20"/>
  <c r="C289" i="20"/>
  <c r="D289" i="20"/>
  <c r="C290" i="20"/>
  <c r="D290" i="20"/>
  <c r="C291" i="20"/>
  <c r="D291" i="20"/>
  <c r="C292" i="20"/>
  <c r="D292" i="20"/>
  <c r="C293" i="20"/>
  <c r="D293" i="20"/>
  <c r="C294" i="20"/>
  <c r="D294" i="20"/>
  <c r="C295" i="20"/>
  <c r="D295" i="20"/>
  <c r="C296" i="20"/>
  <c r="D296" i="20"/>
  <c r="C297" i="20"/>
  <c r="D297" i="20"/>
  <c r="C298" i="20"/>
  <c r="D298" i="20"/>
  <c r="C299" i="20"/>
  <c r="D299" i="20"/>
  <c r="C300" i="20"/>
  <c r="D300" i="20"/>
  <c r="C301" i="20"/>
  <c r="D301" i="20"/>
  <c r="C302" i="20"/>
  <c r="D302" i="20"/>
  <c r="C303" i="20"/>
  <c r="D303" i="20"/>
  <c r="C304" i="20"/>
  <c r="D304" i="20"/>
  <c r="C305" i="20"/>
  <c r="D305" i="20"/>
  <c r="C306" i="20"/>
  <c r="D306" i="20"/>
  <c r="C307" i="20"/>
  <c r="D307" i="20"/>
  <c r="C308" i="20"/>
  <c r="D308" i="20"/>
  <c r="C309" i="20"/>
  <c r="D309" i="20"/>
  <c r="C310" i="20"/>
  <c r="D310" i="20"/>
  <c r="C311" i="20"/>
  <c r="D311" i="20"/>
  <c r="C312" i="20"/>
  <c r="D312" i="20"/>
  <c r="C313" i="20"/>
  <c r="D313" i="20"/>
  <c r="C314" i="20"/>
  <c r="D314" i="20"/>
  <c r="C315" i="20"/>
  <c r="D315" i="20"/>
  <c r="C316" i="20"/>
  <c r="D316" i="20"/>
  <c r="C317" i="20"/>
  <c r="D317" i="20"/>
  <c r="C318" i="20"/>
  <c r="D318" i="20"/>
  <c r="C319" i="20"/>
  <c r="D319" i="20"/>
  <c r="C320" i="20"/>
  <c r="D320" i="20"/>
  <c r="C321" i="20"/>
  <c r="D321" i="20"/>
  <c r="C322" i="20"/>
  <c r="D322" i="20"/>
  <c r="C323" i="20"/>
  <c r="D323" i="20"/>
  <c r="C324" i="20"/>
  <c r="D324" i="20"/>
  <c r="C325" i="20"/>
  <c r="D325" i="20"/>
  <c r="C326" i="20"/>
  <c r="D326" i="20"/>
  <c r="C327" i="20"/>
  <c r="D327" i="20"/>
  <c r="C328" i="20"/>
  <c r="D328" i="20"/>
  <c r="C329" i="20"/>
  <c r="D329" i="20"/>
  <c r="C330" i="20"/>
  <c r="D330" i="20"/>
  <c r="C331" i="20"/>
  <c r="D331" i="20"/>
  <c r="C332" i="20"/>
  <c r="D332" i="20"/>
  <c r="C333" i="20"/>
  <c r="D333" i="20"/>
  <c r="C334" i="20"/>
  <c r="D334" i="20"/>
  <c r="C335" i="20"/>
  <c r="D335" i="20"/>
  <c r="C336" i="20"/>
  <c r="D336" i="20"/>
  <c r="C337" i="20"/>
  <c r="D337" i="20"/>
  <c r="C338" i="20"/>
  <c r="D338" i="20"/>
  <c r="C339" i="20"/>
  <c r="D339" i="20"/>
  <c r="C340" i="20"/>
  <c r="D340" i="20"/>
  <c r="C341" i="20"/>
  <c r="D341" i="20"/>
  <c r="C342" i="20"/>
  <c r="D342" i="20"/>
  <c r="C343" i="20"/>
  <c r="D343" i="20"/>
  <c r="C344" i="20"/>
  <c r="D344" i="20"/>
  <c r="C345" i="20"/>
  <c r="D345" i="20"/>
  <c r="C346" i="20"/>
  <c r="D346" i="20"/>
  <c r="C347" i="20"/>
  <c r="D347" i="20"/>
  <c r="C348" i="20"/>
  <c r="D348" i="20"/>
  <c r="C349" i="20"/>
  <c r="D349" i="20"/>
  <c r="C350" i="20"/>
  <c r="D350" i="20"/>
  <c r="C351" i="20"/>
  <c r="D351" i="20"/>
  <c r="C352" i="20"/>
  <c r="D352" i="20"/>
  <c r="C353" i="20"/>
  <c r="D353" i="20"/>
  <c r="C354" i="20"/>
  <c r="D354" i="20"/>
  <c r="C355" i="20"/>
  <c r="D355" i="20"/>
  <c r="C356" i="20"/>
  <c r="D356" i="20"/>
  <c r="C357" i="20"/>
  <c r="D357" i="20"/>
  <c r="C358" i="20"/>
  <c r="D358" i="20"/>
  <c r="C359" i="20"/>
  <c r="D359" i="20"/>
  <c r="C360" i="20"/>
  <c r="D360" i="20"/>
  <c r="C361" i="20"/>
  <c r="D361" i="20"/>
  <c r="C362" i="20"/>
  <c r="D362" i="20"/>
  <c r="C363" i="20"/>
  <c r="D363" i="20"/>
  <c r="C364" i="20"/>
  <c r="D364" i="20"/>
  <c r="C365" i="20"/>
  <c r="D365" i="20"/>
  <c r="C366" i="20"/>
  <c r="D366" i="20"/>
  <c r="C367" i="20"/>
  <c r="D367" i="20"/>
  <c r="C368" i="20"/>
  <c r="D368" i="20"/>
  <c r="C369" i="20"/>
  <c r="D369" i="20"/>
  <c r="C370" i="20"/>
  <c r="D370" i="20"/>
  <c r="C371" i="20"/>
  <c r="D371" i="20"/>
  <c r="C372" i="20"/>
  <c r="D372" i="20"/>
  <c r="C373" i="20"/>
  <c r="D373" i="20"/>
  <c r="C374" i="20"/>
  <c r="D374" i="20"/>
  <c r="C375" i="20"/>
  <c r="D375" i="20"/>
  <c r="C376" i="20"/>
  <c r="D376" i="20"/>
  <c r="C377" i="20"/>
  <c r="D377" i="20"/>
  <c r="C378" i="20"/>
  <c r="D378" i="20"/>
  <c r="C379" i="20"/>
  <c r="D379" i="20"/>
  <c r="C380" i="20"/>
  <c r="D380" i="20"/>
  <c r="C381" i="20"/>
  <c r="D381" i="20"/>
  <c r="C382" i="20"/>
  <c r="D382" i="20"/>
  <c r="C383" i="20"/>
  <c r="D383" i="20"/>
  <c r="C384" i="20"/>
  <c r="D384" i="20"/>
  <c r="C385" i="20"/>
  <c r="D385" i="20"/>
  <c r="C386" i="20"/>
  <c r="D386" i="20"/>
  <c r="C387" i="20"/>
  <c r="D387" i="20"/>
  <c r="C388" i="20"/>
  <c r="D388" i="20"/>
  <c r="C389" i="20"/>
  <c r="D389" i="20"/>
  <c r="C390" i="20"/>
  <c r="D390" i="20"/>
  <c r="C391" i="20"/>
  <c r="D391" i="20"/>
  <c r="C392" i="20"/>
  <c r="D392" i="20"/>
  <c r="C393" i="20"/>
  <c r="D393" i="20"/>
  <c r="C394" i="20"/>
  <c r="D394" i="20"/>
  <c r="C395" i="20"/>
  <c r="D395" i="20"/>
  <c r="C396" i="20"/>
  <c r="D396" i="20"/>
  <c r="C397" i="20"/>
  <c r="D397" i="20"/>
  <c r="C398" i="20"/>
  <c r="D398" i="20"/>
  <c r="C399" i="20"/>
  <c r="D399" i="20"/>
  <c r="C400" i="20"/>
  <c r="D400" i="20"/>
  <c r="C401" i="20"/>
  <c r="D401" i="20"/>
  <c r="C402" i="20"/>
  <c r="D402" i="20"/>
  <c r="C403" i="20"/>
  <c r="D403" i="20"/>
  <c r="C404" i="20"/>
  <c r="D404" i="20"/>
  <c r="C405" i="20"/>
  <c r="D405" i="20"/>
  <c r="C406" i="20"/>
  <c r="D406" i="20"/>
  <c r="C407" i="20"/>
  <c r="D407" i="20"/>
  <c r="C408" i="20"/>
  <c r="D408" i="20"/>
  <c r="C409" i="20"/>
  <c r="D409" i="20"/>
  <c r="C410" i="20"/>
  <c r="D410" i="20"/>
  <c r="C411" i="20"/>
  <c r="D411" i="20"/>
  <c r="C412" i="20"/>
  <c r="D412" i="20"/>
  <c r="C413" i="20"/>
  <c r="D413" i="20"/>
  <c r="C414" i="20"/>
  <c r="D414" i="20"/>
  <c r="C415" i="20"/>
  <c r="D415" i="20"/>
  <c r="C416" i="20"/>
  <c r="D416" i="20"/>
  <c r="C417" i="20"/>
  <c r="D417" i="20"/>
  <c r="C418" i="20"/>
  <c r="D418" i="20"/>
  <c r="C419" i="20"/>
  <c r="D419" i="20"/>
  <c r="C420" i="20"/>
  <c r="D420" i="20"/>
  <c r="C421" i="20"/>
  <c r="D421" i="20"/>
  <c r="C422" i="20"/>
  <c r="D422" i="20"/>
  <c r="C423" i="20"/>
  <c r="D423" i="20"/>
  <c r="C424" i="20"/>
  <c r="D424" i="20"/>
  <c r="C425" i="20"/>
  <c r="D425" i="20"/>
  <c r="C426" i="20"/>
  <c r="D426" i="20"/>
  <c r="C427" i="20"/>
  <c r="D427" i="20"/>
  <c r="C428" i="20"/>
  <c r="D428" i="20"/>
  <c r="C429" i="20"/>
  <c r="D429" i="20"/>
  <c r="C430" i="20"/>
  <c r="D430" i="20"/>
  <c r="C431" i="20"/>
  <c r="D431" i="20"/>
  <c r="C432" i="20"/>
  <c r="D432" i="20"/>
  <c r="C433" i="20"/>
  <c r="D433" i="20"/>
  <c r="C434" i="20"/>
  <c r="D434" i="20"/>
  <c r="C435" i="20"/>
  <c r="D435" i="20"/>
  <c r="C436" i="20"/>
  <c r="D436" i="20"/>
  <c r="C437" i="20"/>
  <c r="D437" i="20"/>
  <c r="C438" i="20"/>
  <c r="D438" i="20"/>
  <c r="C439" i="20"/>
  <c r="D439" i="20"/>
  <c r="C440" i="20"/>
  <c r="D440" i="20"/>
  <c r="C441" i="20"/>
  <c r="D441" i="20"/>
  <c r="C442" i="20"/>
  <c r="D442" i="20"/>
  <c r="C443" i="20"/>
  <c r="D443" i="20"/>
  <c r="C444" i="20"/>
  <c r="D444" i="20"/>
  <c r="C445" i="20"/>
  <c r="D445" i="20"/>
  <c r="C446" i="20"/>
  <c r="D446" i="20"/>
  <c r="C447" i="20"/>
  <c r="D447" i="20"/>
  <c r="C448" i="20"/>
  <c r="D448" i="20"/>
  <c r="C449" i="20"/>
  <c r="D449" i="20"/>
  <c r="C450" i="20"/>
  <c r="D450" i="20"/>
  <c r="C451" i="20"/>
  <c r="D451" i="20"/>
  <c r="C452" i="20"/>
  <c r="D452" i="20"/>
  <c r="C453" i="20"/>
  <c r="D453" i="20"/>
  <c r="C454" i="20"/>
  <c r="D454" i="20"/>
  <c r="C455" i="20"/>
  <c r="D455" i="20"/>
  <c r="C456" i="20"/>
  <c r="D456" i="20"/>
  <c r="C457" i="20"/>
  <c r="D457" i="20"/>
  <c r="C458" i="20"/>
  <c r="D458" i="20"/>
  <c r="C459" i="20"/>
  <c r="D459" i="20"/>
  <c r="C460" i="20"/>
  <c r="D460" i="20"/>
  <c r="C461" i="20"/>
  <c r="D461" i="20"/>
  <c r="C462" i="20"/>
  <c r="D462" i="20"/>
  <c r="C463" i="20"/>
  <c r="D463" i="20"/>
  <c r="C464" i="20"/>
  <c r="D464" i="20"/>
  <c r="C465" i="20"/>
  <c r="D465" i="20"/>
  <c r="C466" i="20"/>
  <c r="D466" i="20"/>
  <c r="C467" i="20"/>
  <c r="D467" i="20"/>
  <c r="C468" i="20"/>
  <c r="D468" i="20"/>
  <c r="C469" i="20"/>
  <c r="D469" i="20"/>
  <c r="C470" i="20"/>
  <c r="D470" i="20"/>
  <c r="C471" i="20"/>
  <c r="D471" i="20"/>
  <c r="C472" i="20"/>
  <c r="D472" i="20"/>
  <c r="C473" i="20"/>
  <c r="D473" i="20"/>
  <c r="C474" i="20"/>
  <c r="D474" i="20"/>
  <c r="C475" i="20"/>
  <c r="D475" i="20"/>
  <c r="C476" i="20"/>
  <c r="D476" i="20"/>
  <c r="C477" i="20"/>
  <c r="D477" i="20"/>
  <c r="C478" i="20"/>
  <c r="D478" i="20"/>
  <c r="C479" i="20"/>
  <c r="D479" i="20"/>
  <c r="C480" i="20"/>
  <c r="D480" i="20"/>
  <c r="C481" i="20"/>
  <c r="D481" i="20"/>
  <c r="C482" i="20"/>
  <c r="D482" i="20"/>
  <c r="C483" i="20"/>
  <c r="D483" i="20"/>
  <c r="C484" i="20"/>
  <c r="D484" i="20"/>
  <c r="C485" i="20"/>
  <c r="D485" i="20"/>
  <c r="C486" i="20"/>
  <c r="D486" i="20"/>
  <c r="C487" i="20"/>
  <c r="D487" i="20"/>
  <c r="C488" i="20"/>
  <c r="D488" i="20"/>
  <c r="C489" i="20"/>
  <c r="D489" i="20"/>
  <c r="C490" i="20"/>
  <c r="D490" i="20"/>
  <c r="C491" i="20"/>
  <c r="D491" i="20"/>
  <c r="C492" i="20"/>
  <c r="D492" i="20"/>
  <c r="C493" i="20"/>
  <c r="D493" i="20"/>
  <c r="C494" i="20"/>
  <c r="D494" i="20"/>
  <c r="C495" i="20"/>
  <c r="D495" i="20"/>
  <c r="C496" i="20"/>
  <c r="D496" i="20"/>
  <c r="C497" i="20"/>
  <c r="D497" i="20"/>
  <c r="C498" i="20"/>
  <c r="D498" i="20"/>
  <c r="C499" i="20"/>
  <c r="D499" i="20"/>
  <c r="C500" i="20"/>
  <c r="D500" i="20"/>
  <c r="C501" i="20"/>
  <c r="D501" i="20"/>
  <c r="C502" i="20"/>
  <c r="D502" i="20"/>
  <c r="C503" i="20"/>
  <c r="D503" i="20"/>
  <c r="C504" i="20"/>
  <c r="D504" i="20"/>
  <c r="C505" i="20"/>
  <c r="D505" i="20"/>
  <c r="C506" i="20"/>
  <c r="D506" i="20"/>
  <c r="C507" i="20"/>
  <c r="D507" i="20"/>
  <c r="C508" i="20"/>
  <c r="D508" i="20"/>
  <c r="C509" i="20"/>
  <c r="D509" i="20"/>
  <c r="C510" i="20"/>
  <c r="D510" i="20"/>
  <c r="C511" i="20"/>
  <c r="D511" i="20"/>
  <c r="C512" i="20"/>
  <c r="D512" i="20"/>
  <c r="C513" i="20"/>
  <c r="D513" i="20"/>
  <c r="C514" i="20"/>
  <c r="D514" i="20"/>
  <c r="C515" i="20"/>
  <c r="D515" i="20"/>
  <c r="C516" i="20"/>
  <c r="D516" i="20"/>
  <c r="C517" i="20"/>
  <c r="D517" i="20"/>
  <c r="C518" i="20"/>
  <c r="D518" i="20"/>
  <c r="C519" i="20"/>
  <c r="D519" i="20"/>
  <c r="C520" i="20"/>
  <c r="D520" i="20"/>
  <c r="C521" i="20"/>
  <c r="D521" i="20"/>
  <c r="C522" i="20"/>
  <c r="D522" i="20"/>
  <c r="C523" i="20"/>
  <c r="D523" i="20"/>
  <c r="C524" i="20"/>
  <c r="D524" i="20"/>
  <c r="C525" i="20"/>
  <c r="D525" i="20"/>
  <c r="C526" i="20"/>
  <c r="D526" i="20"/>
  <c r="C527" i="20"/>
  <c r="D527" i="20"/>
  <c r="C528" i="20"/>
  <c r="D528" i="20"/>
  <c r="C529" i="20"/>
  <c r="D529" i="20"/>
  <c r="C530" i="20"/>
  <c r="D530" i="20"/>
  <c r="C531" i="20"/>
  <c r="D531" i="20"/>
  <c r="C532" i="20"/>
  <c r="D532" i="20"/>
  <c r="C533" i="20"/>
  <c r="D533" i="20"/>
  <c r="C534" i="20"/>
  <c r="D534" i="20"/>
  <c r="C535" i="20"/>
  <c r="D535" i="20"/>
  <c r="C536" i="20"/>
  <c r="D536" i="20"/>
  <c r="C537" i="20"/>
  <c r="D537" i="20"/>
  <c r="C538" i="20"/>
  <c r="D538" i="20"/>
  <c r="C539" i="20"/>
  <c r="D539" i="20"/>
  <c r="C540" i="20"/>
  <c r="D540" i="20"/>
  <c r="C541" i="20"/>
  <c r="D541" i="20"/>
  <c r="C542" i="20"/>
  <c r="D542" i="20"/>
  <c r="C543" i="20"/>
  <c r="D543" i="20"/>
  <c r="C544" i="20"/>
  <c r="D544" i="20"/>
  <c r="C545" i="20"/>
  <c r="D545" i="20"/>
  <c r="C546" i="20"/>
  <c r="D546" i="20"/>
  <c r="C547" i="20"/>
  <c r="D547" i="20"/>
  <c r="C548" i="20"/>
  <c r="D548" i="20"/>
  <c r="C549" i="20"/>
  <c r="D549" i="20"/>
  <c r="C550" i="20"/>
  <c r="D550" i="20"/>
  <c r="C551" i="20"/>
  <c r="D551" i="20"/>
  <c r="C552" i="20"/>
  <c r="D552" i="20"/>
  <c r="C553" i="20"/>
  <c r="D553" i="20"/>
  <c r="C554" i="20"/>
  <c r="D554" i="20"/>
  <c r="C555" i="20"/>
  <c r="D555" i="20"/>
  <c r="C556" i="20"/>
  <c r="D556" i="20"/>
  <c r="C557" i="20"/>
  <c r="D557" i="20"/>
  <c r="C558" i="20"/>
  <c r="D558" i="20"/>
  <c r="C559" i="20"/>
  <c r="D559" i="20"/>
  <c r="C560" i="20"/>
  <c r="D560" i="20"/>
  <c r="C561" i="20"/>
  <c r="D561" i="20"/>
  <c r="C562" i="20"/>
  <c r="D562" i="20"/>
  <c r="C563" i="20"/>
  <c r="D563" i="20"/>
  <c r="C564" i="20"/>
  <c r="D564" i="20"/>
  <c r="C565" i="20"/>
  <c r="D565" i="20"/>
  <c r="C566" i="20"/>
  <c r="D566" i="20"/>
  <c r="C567" i="20"/>
  <c r="D567" i="20"/>
  <c r="C568" i="20"/>
  <c r="D568" i="20"/>
  <c r="C569" i="20"/>
  <c r="D569" i="20"/>
  <c r="C570" i="20"/>
  <c r="D570" i="20"/>
  <c r="C571" i="20"/>
  <c r="D571" i="20"/>
  <c r="C572" i="20"/>
  <c r="D572" i="20"/>
  <c r="C573" i="20"/>
  <c r="D573" i="20"/>
  <c r="C574" i="20"/>
  <c r="D574" i="20"/>
  <c r="C575" i="20"/>
  <c r="D575" i="20"/>
  <c r="C576" i="20"/>
  <c r="D576" i="20"/>
  <c r="C577" i="20"/>
  <c r="D577" i="20"/>
  <c r="C578" i="20"/>
  <c r="D578" i="20"/>
  <c r="C579" i="20"/>
  <c r="D579" i="20"/>
  <c r="C580" i="20"/>
  <c r="D580" i="20"/>
  <c r="C581" i="20"/>
  <c r="D581" i="20"/>
  <c r="C582" i="20"/>
  <c r="D582" i="20"/>
  <c r="C583" i="20"/>
  <c r="D583" i="20"/>
  <c r="C584" i="20"/>
  <c r="D584" i="20"/>
  <c r="C585" i="20"/>
  <c r="D585" i="20"/>
  <c r="C586" i="20"/>
  <c r="D586" i="20"/>
  <c r="C587" i="20"/>
  <c r="D587" i="20"/>
  <c r="C588" i="20"/>
  <c r="D588" i="20"/>
  <c r="C589" i="20"/>
  <c r="D589" i="20"/>
  <c r="C590" i="20"/>
  <c r="D590" i="20"/>
  <c r="C591" i="20"/>
  <c r="D591" i="20"/>
  <c r="C592" i="20"/>
  <c r="D592" i="20"/>
  <c r="C593" i="20"/>
  <c r="D593" i="20"/>
  <c r="C594" i="20"/>
  <c r="D594" i="20"/>
  <c r="C595" i="20"/>
  <c r="D595" i="20"/>
  <c r="C596" i="20"/>
  <c r="D596" i="20"/>
  <c r="C597" i="20"/>
  <c r="D597" i="20"/>
  <c r="C598" i="20"/>
  <c r="D598" i="20"/>
  <c r="C599" i="20"/>
  <c r="D599" i="20"/>
  <c r="C600" i="20"/>
  <c r="D600" i="20"/>
  <c r="C601" i="20"/>
  <c r="D601" i="20"/>
  <c r="C602" i="20"/>
  <c r="D602" i="20"/>
  <c r="C603" i="20"/>
  <c r="D603" i="20"/>
  <c r="C604" i="20"/>
  <c r="D604" i="20"/>
  <c r="C605" i="20"/>
  <c r="D605" i="20"/>
  <c r="C606" i="20"/>
  <c r="D606" i="20"/>
  <c r="C607" i="20"/>
  <c r="D607" i="20"/>
  <c r="C608" i="20"/>
  <c r="D608" i="20"/>
  <c r="C609" i="20"/>
  <c r="D609" i="20"/>
  <c r="C610" i="20"/>
  <c r="D610" i="20"/>
  <c r="C611" i="20"/>
  <c r="D611" i="20"/>
  <c r="C612" i="20"/>
  <c r="D612" i="20"/>
  <c r="C613" i="20"/>
  <c r="D613" i="20"/>
  <c r="C614" i="20"/>
  <c r="D614" i="20"/>
  <c r="C615" i="20"/>
  <c r="D615" i="20"/>
  <c r="C616" i="20"/>
  <c r="D616" i="20"/>
  <c r="C617" i="20"/>
  <c r="D617" i="20"/>
  <c r="C618" i="20"/>
  <c r="D618" i="20"/>
  <c r="C619" i="20"/>
  <c r="D619" i="20"/>
  <c r="C620" i="20"/>
  <c r="D620" i="20"/>
  <c r="C621" i="20"/>
  <c r="D621" i="20"/>
  <c r="C622" i="20"/>
  <c r="D622" i="20"/>
  <c r="C623" i="20"/>
  <c r="D623" i="20"/>
  <c r="C624" i="20"/>
  <c r="D624" i="20"/>
  <c r="C625" i="20"/>
  <c r="D625" i="20"/>
  <c r="C626" i="20"/>
  <c r="D626" i="20"/>
  <c r="C627" i="20"/>
  <c r="D627" i="20"/>
  <c r="C628" i="20"/>
  <c r="D628" i="20"/>
  <c r="C629" i="20"/>
  <c r="D629" i="20"/>
  <c r="C630" i="20"/>
  <c r="D630" i="20"/>
  <c r="C631" i="20"/>
  <c r="D631" i="20"/>
  <c r="C632" i="20"/>
  <c r="D632" i="20"/>
  <c r="C633" i="20"/>
  <c r="D633" i="20"/>
  <c r="C634" i="20"/>
  <c r="D634" i="20"/>
  <c r="C635" i="20"/>
  <c r="D635" i="20"/>
  <c r="C636" i="20"/>
  <c r="D636" i="20"/>
  <c r="C637" i="20"/>
  <c r="D637" i="20"/>
  <c r="C638" i="20"/>
  <c r="D638" i="20"/>
  <c r="C639" i="20"/>
  <c r="D639" i="20"/>
  <c r="C640" i="20"/>
  <c r="D640" i="20"/>
  <c r="C641" i="20"/>
  <c r="D641" i="20"/>
  <c r="C642" i="20"/>
  <c r="D642" i="20"/>
  <c r="C643" i="20"/>
  <c r="D643" i="20"/>
  <c r="C644" i="20"/>
  <c r="D644" i="20"/>
  <c r="C645" i="20"/>
  <c r="D645" i="20"/>
  <c r="C646" i="20"/>
  <c r="D646" i="20"/>
  <c r="C647" i="20"/>
  <c r="D647" i="20"/>
  <c r="C648" i="20"/>
  <c r="D648" i="20"/>
  <c r="C649" i="20"/>
  <c r="D649" i="20"/>
  <c r="C650" i="20"/>
  <c r="D650" i="20"/>
  <c r="C651" i="20"/>
  <c r="D651" i="20"/>
  <c r="C652" i="20"/>
  <c r="D652" i="20"/>
  <c r="C653" i="20"/>
  <c r="D653" i="20"/>
  <c r="C654" i="20"/>
  <c r="D654" i="20"/>
  <c r="C655" i="20"/>
  <c r="D655" i="20"/>
  <c r="C656" i="20"/>
  <c r="D656" i="20"/>
  <c r="C657" i="20"/>
  <c r="D657" i="20"/>
  <c r="C658" i="20"/>
  <c r="D658" i="20"/>
  <c r="C659" i="20"/>
  <c r="D659" i="20"/>
  <c r="C660" i="20"/>
  <c r="D660" i="20"/>
  <c r="C661" i="20"/>
  <c r="D661" i="20"/>
  <c r="C662" i="20"/>
  <c r="D662" i="20"/>
  <c r="C663" i="20"/>
  <c r="D663" i="20"/>
  <c r="C664" i="20"/>
  <c r="D664" i="20"/>
  <c r="C665" i="20"/>
  <c r="D665" i="20"/>
  <c r="C666" i="20"/>
  <c r="D666" i="20"/>
  <c r="C667" i="20"/>
  <c r="D667" i="20"/>
  <c r="C668" i="20"/>
  <c r="D668" i="20"/>
  <c r="C669" i="20"/>
  <c r="D669" i="20"/>
  <c r="C670" i="20"/>
  <c r="D670" i="20"/>
  <c r="C671" i="20"/>
  <c r="D671" i="20"/>
  <c r="C672" i="20"/>
  <c r="D672" i="20"/>
  <c r="C673" i="20"/>
  <c r="D673" i="20"/>
  <c r="C674" i="20"/>
  <c r="D674" i="20"/>
  <c r="C675" i="20"/>
  <c r="D675" i="20"/>
  <c r="C676" i="20"/>
  <c r="D676" i="20"/>
  <c r="C677" i="20"/>
  <c r="D677" i="20"/>
  <c r="C678" i="20"/>
  <c r="D678" i="20"/>
  <c r="C679" i="20"/>
  <c r="D679" i="20"/>
  <c r="C680" i="20"/>
  <c r="D680" i="20"/>
  <c r="C681" i="20"/>
  <c r="D681" i="20"/>
  <c r="C682" i="20"/>
  <c r="D682" i="20"/>
  <c r="C683" i="20"/>
  <c r="D683" i="20"/>
  <c r="C684" i="20"/>
  <c r="D684" i="20"/>
  <c r="C685" i="20"/>
  <c r="D685" i="20"/>
  <c r="C686" i="20"/>
  <c r="D686" i="20"/>
  <c r="C687" i="20"/>
  <c r="D687" i="20"/>
  <c r="C688" i="20"/>
  <c r="D688" i="20"/>
  <c r="C689" i="20"/>
  <c r="D689" i="20"/>
  <c r="C690" i="20"/>
  <c r="D690" i="20"/>
  <c r="C691" i="20"/>
  <c r="D691" i="20"/>
  <c r="C692" i="20"/>
  <c r="D692" i="20"/>
  <c r="C693" i="20"/>
  <c r="D693" i="20"/>
  <c r="C694" i="20"/>
  <c r="D694" i="20"/>
  <c r="C695" i="20"/>
  <c r="D695" i="20"/>
  <c r="C696" i="20"/>
  <c r="D696" i="20"/>
  <c r="C697" i="20"/>
  <c r="D697" i="20"/>
  <c r="C698" i="20"/>
  <c r="D698" i="20"/>
  <c r="C699" i="20"/>
  <c r="D699" i="20"/>
  <c r="C700" i="20"/>
  <c r="D700" i="20"/>
  <c r="C701" i="20"/>
  <c r="D701" i="20"/>
  <c r="C702" i="20"/>
  <c r="D702" i="20"/>
  <c r="C703" i="20"/>
  <c r="D703" i="20"/>
  <c r="C704" i="20"/>
  <c r="D704" i="20"/>
  <c r="C705" i="20"/>
  <c r="D705" i="20"/>
  <c r="C706" i="20"/>
  <c r="D706" i="20"/>
  <c r="C707" i="20"/>
  <c r="D707" i="20"/>
  <c r="C708" i="20"/>
  <c r="D708" i="20"/>
  <c r="C709" i="20"/>
  <c r="D709" i="20"/>
  <c r="C710" i="20"/>
  <c r="D710" i="20"/>
  <c r="C711" i="20"/>
  <c r="D711" i="20"/>
  <c r="C712" i="20"/>
  <c r="D712" i="20"/>
  <c r="C713" i="20"/>
  <c r="D713" i="20"/>
  <c r="C714" i="20"/>
  <c r="D714" i="20"/>
  <c r="C715" i="20"/>
  <c r="D715" i="20"/>
  <c r="C716" i="20"/>
  <c r="D716" i="20"/>
  <c r="C717" i="20"/>
  <c r="D717" i="20"/>
  <c r="C718" i="20"/>
  <c r="D718" i="20"/>
  <c r="C719" i="20"/>
  <c r="D719" i="20"/>
  <c r="C720" i="20"/>
  <c r="D720" i="20"/>
  <c r="C721" i="20"/>
  <c r="D721" i="20"/>
  <c r="C722" i="20"/>
  <c r="D722" i="20"/>
  <c r="C723" i="20"/>
  <c r="D723" i="20"/>
  <c r="C724" i="20"/>
  <c r="D724" i="20"/>
  <c r="C725" i="20"/>
  <c r="D725" i="20"/>
  <c r="C726" i="20"/>
  <c r="D726" i="20"/>
  <c r="C727" i="20"/>
  <c r="D727" i="20"/>
  <c r="C728" i="20"/>
  <c r="D728" i="20"/>
  <c r="C729" i="20"/>
  <c r="D729" i="20"/>
  <c r="C730" i="20"/>
  <c r="D730" i="20"/>
  <c r="C731" i="20"/>
  <c r="D731" i="20"/>
  <c r="C732" i="20"/>
  <c r="D732" i="20"/>
  <c r="C733" i="20"/>
  <c r="D733" i="20"/>
  <c r="C734" i="20"/>
  <c r="D734" i="20"/>
  <c r="C735" i="20"/>
  <c r="D735" i="20"/>
  <c r="C736" i="20"/>
  <c r="D736" i="20"/>
  <c r="C737" i="20"/>
  <c r="D737" i="20"/>
  <c r="C738" i="20"/>
  <c r="D738" i="20"/>
  <c r="C739" i="20"/>
  <c r="D739" i="20"/>
  <c r="C740" i="20"/>
  <c r="D740" i="20"/>
  <c r="C741" i="20"/>
  <c r="D741" i="20"/>
  <c r="C742" i="20"/>
  <c r="D742" i="20"/>
  <c r="C743" i="20"/>
  <c r="D743" i="20"/>
  <c r="C744" i="20"/>
  <c r="D744" i="20"/>
  <c r="C745" i="20"/>
  <c r="D745" i="20"/>
  <c r="C746" i="20"/>
  <c r="D746" i="20"/>
  <c r="C747" i="20"/>
  <c r="D747" i="20"/>
  <c r="C748" i="20"/>
  <c r="D748" i="20"/>
  <c r="C749" i="20"/>
  <c r="D749" i="20"/>
  <c r="C750" i="20"/>
  <c r="D750" i="20"/>
  <c r="C751" i="20"/>
  <c r="D751" i="20"/>
  <c r="C752" i="20"/>
  <c r="D752" i="20"/>
  <c r="C753" i="20"/>
  <c r="D753" i="20"/>
  <c r="C754" i="20"/>
  <c r="D754" i="20"/>
  <c r="C755" i="20"/>
  <c r="D755" i="20"/>
  <c r="C756" i="20"/>
  <c r="D756" i="20"/>
  <c r="C757" i="20"/>
  <c r="D757" i="20"/>
  <c r="C758" i="20"/>
  <c r="D758" i="20"/>
  <c r="C759" i="20"/>
  <c r="D759" i="20"/>
  <c r="C760" i="20"/>
  <c r="D760" i="20"/>
  <c r="C761" i="20"/>
  <c r="D761" i="20"/>
  <c r="C762" i="20"/>
  <c r="D762" i="20"/>
  <c r="C763" i="20"/>
  <c r="D763" i="20"/>
  <c r="C764" i="20"/>
  <c r="D764" i="20"/>
  <c r="C765" i="20"/>
  <c r="D765" i="20"/>
  <c r="C766" i="20"/>
  <c r="D766" i="20"/>
  <c r="C767" i="20"/>
  <c r="D767" i="20"/>
  <c r="C768" i="20"/>
  <c r="D768" i="20"/>
  <c r="C769" i="20"/>
  <c r="D769" i="20"/>
  <c r="C770" i="20"/>
  <c r="D770" i="20"/>
  <c r="C771" i="20"/>
  <c r="D771" i="20"/>
  <c r="C772" i="20"/>
  <c r="D772" i="20"/>
  <c r="C773" i="20"/>
  <c r="D773" i="20"/>
  <c r="C774" i="20"/>
  <c r="D774" i="20"/>
  <c r="C775" i="20"/>
  <c r="D775" i="20"/>
  <c r="C776" i="20"/>
  <c r="D776" i="20"/>
  <c r="C777" i="20"/>
  <c r="D777" i="20"/>
  <c r="C778" i="20"/>
  <c r="D778" i="20"/>
  <c r="C779" i="20"/>
  <c r="D779" i="20"/>
  <c r="C780" i="20"/>
  <c r="D780" i="20"/>
  <c r="C781" i="20"/>
  <c r="D781" i="20"/>
  <c r="C782" i="20"/>
  <c r="D782" i="20"/>
  <c r="C783" i="20"/>
  <c r="D783" i="20"/>
  <c r="C784" i="20"/>
  <c r="D784" i="20"/>
  <c r="C785" i="20"/>
  <c r="D785" i="20"/>
  <c r="C786" i="20"/>
  <c r="D786" i="20"/>
  <c r="C787" i="20"/>
  <c r="D787" i="20"/>
  <c r="C788" i="20"/>
  <c r="D788" i="20"/>
  <c r="C789" i="20"/>
  <c r="D789" i="20"/>
  <c r="C790" i="20"/>
  <c r="D790" i="20"/>
  <c r="C791" i="20"/>
  <c r="D791" i="20"/>
  <c r="C792" i="20"/>
  <c r="D792" i="20"/>
  <c r="C793" i="20"/>
  <c r="D793" i="20"/>
  <c r="C794" i="20"/>
  <c r="D794" i="20"/>
  <c r="C795" i="20"/>
  <c r="D795" i="20"/>
  <c r="C796" i="20"/>
  <c r="D796" i="20"/>
  <c r="C797" i="20"/>
  <c r="D797" i="20"/>
  <c r="C798" i="20"/>
  <c r="D798" i="20"/>
  <c r="C799" i="20"/>
  <c r="D799" i="20"/>
  <c r="C800" i="20"/>
  <c r="D800" i="20"/>
  <c r="C801" i="20"/>
  <c r="D801" i="20"/>
  <c r="C802" i="20"/>
  <c r="D802" i="20"/>
  <c r="C803" i="20"/>
  <c r="D803" i="20"/>
  <c r="C804" i="20"/>
  <c r="D804" i="20"/>
  <c r="C805" i="20"/>
  <c r="D805" i="20"/>
  <c r="C806" i="20"/>
  <c r="D806" i="20"/>
  <c r="C807" i="20"/>
  <c r="D807" i="20"/>
  <c r="C808" i="20"/>
  <c r="D808" i="20"/>
  <c r="C809" i="20"/>
  <c r="D809" i="20"/>
  <c r="C810" i="20"/>
  <c r="D810" i="20"/>
  <c r="C811" i="20"/>
  <c r="D811" i="20"/>
  <c r="C812" i="20"/>
  <c r="D812" i="20"/>
  <c r="C813" i="20"/>
  <c r="D813" i="20"/>
  <c r="C814" i="20"/>
  <c r="D814" i="20"/>
  <c r="C815" i="20"/>
  <c r="D815" i="20"/>
  <c r="C816" i="20"/>
  <c r="D816" i="20"/>
  <c r="C817" i="20"/>
  <c r="D817" i="20"/>
  <c r="C818" i="20"/>
  <c r="D818" i="20"/>
  <c r="C819" i="20"/>
  <c r="D819" i="20"/>
  <c r="C820" i="20"/>
  <c r="D820" i="20"/>
  <c r="C821" i="20"/>
  <c r="D821" i="20"/>
  <c r="C822" i="20"/>
  <c r="D822" i="20"/>
  <c r="C823" i="20"/>
  <c r="D823" i="20"/>
  <c r="C824" i="20"/>
  <c r="D824" i="20"/>
  <c r="C825" i="20"/>
  <c r="D825" i="20"/>
  <c r="C826" i="20"/>
  <c r="D826" i="20"/>
  <c r="C827" i="20"/>
  <c r="D827" i="20"/>
  <c r="C828" i="20"/>
  <c r="D828" i="20"/>
  <c r="C829" i="20"/>
  <c r="D829" i="20"/>
  <c r="C830" i="20"/>
  <c r="D830" i="20"/>
  <c r="C831" i="20"/>
  <c r="D831" i="20"/>
  <c r="C832" i="20"/>
  <c r="D832" i="20"/>
  <c r="C833" i="20"/>
  <c r="D833" i="20"/>
  <c r="C834" i="20"/>
  <c r="D834" i="20"/>
  <c r="C835" i="20"/>
  <c r="D835" i="20"/>
  <c r="C836" i="20"/>
  <c r="D836" i="20"/>
  <c r="C837" i="20"/>
  <c r="D837" i="20"/>
  <c r="C838" i="20"/>
  <c r="D838" i="20"/>
  <c r="C839" i="20"/>
  <c r="D839" i="20"/>
  <c r="C840" i="20"/>
  <c r="D840" i="20"/>
  <c r="C841" i="20"/>
  <c r="D841" i="20"/>
  <c r="C842" i="20"/>
  <c r="D842" i="20"/>
  <c r="C843" i="20"/>
  <c r="D843" i="20"/>
  <c r="C844" i="20"/>
  <c r="D844" i="20"/>
  <c r="C845" i="20"/>
  <c r="D845" i="20"/>
  <c r="C846" i="20"/>
  <c r="D846" i="20"/>
  <c r="C847" i="20"/>
  <c r="D847" i="20"/>
  <c r="C848" i="20"/>
  <c r="D848" i="20"/>
  <c r="C849" i="20"/>
  <c r="D849" i="20"/>
  <c r="C850" i="20"/>
  <c r="D850" i="20"/>
  <c r="C851" i="20"/>
  <c r="D851" i="20"/>
  <c r="C852" i="20"/>
  <c r="D852" i="20"/>
  <c r="C853" i="20"/>
  <c r="D853" i="20"/>
  <c r="C854" i="20"/>
  <c r="D854" i="20"/>
  <c r="C855" i="20"/>
  <c r="D855" i="20"/>
  <c r="C856" i="20"/>
  <c r="D856" i="20"/>
  <c r="C857" i="20"/>
  <c r="D857" i="20"/>
  <c r="C858" i="20"/>
  <c r="D858" i="20"/>
  <c r="C859" i="20"/>
  <c r="D859" i="20"/>
  <c r="C860" i="20"/>
  <c r="D860" i="20"/>
  <c r="C861" i="20"/>
  <c r="D861" i="20"/>
  <c r="C862" i="20"/>
  <c r="D862" i="20"/>
  <c r="C863" i="20"/>
  <c r="D863" i="20"/>
  <c r="C864" i="20"/>
  <c r="D864" i="20"/>
  <c r="C865" i="20"/>
  <c r="D865" i="20"/>
  <c r="C866" i="20"/>
  <c r="D866" i="20"/>
  <c r="C867" i="20"/>
  <c r="D867" i="20"/>
  <c r="C868" i="20"/>
  <c r="D868" i="20"/>
  <c r="C869" i="20"/>
  <c r="D869" i="20"/>
  <c r="C870" i="20"/>
  <c r="D870" i="20"/>
  <c r="C871" i="20"/>
  <c r="D871" i="20"/>
  <c r="C872" i="20"/>
  <c r="D872" i="20"/>
  <c r="C873" i="20"/>
  <c r="D873" i="20"/>
  <c r="C874" i="20"/>
  <c r="D874" i="20"/>
  <c r="C875" i="20"/>
  <c r="D875" i="20"/>
  <c r="C876" i="20"/>
  <c r="D876" i="20"/>
  <c r="C877" i="20"/>
  <c r="D877" i="20"/>
  <c r="C878" i="20"/>
  <c r="D878" i="20"/>
  <c r="C879" i="20"/>
  <c r="D879" i="20"/>
  <c r="C880" i="20"/>
  <c r="D880" i="20"/>
  <c r="C881" i="20"/>
  <c r="D881" i="20"/>
  <c r="C882" i="20"/>
  <c r="D882" i="20"/>
  <c r="C883" i="20"/>
  <c r="D883" i="20"/>
  <c r="C884" i="20"/>
  <c r="D884" i="20"/>
  <c r="C885" i="20"/>
  <c r="D885" i="20"/>
  <c r="C886" i="20"/>
  <c r="D886" i="20"/>
  <c r="C887" i="20"/>
  <c r="D887" i="20"/>
  <c r="C888" i="20"/>
  <c r="D888" i="20"/>
  <c r="C889" i="20"/>
  <c r="D889" i="20"/>
  <c r="C890" i="20"/>
  <c r="D890" i="20"/>
  <c r="C891" i="20"/>
  <c r="D891" i="20"/>
  <c r="C892" i="20"/>
  <c r="D892" i="20"/>
  <c r="C893" i="20"/>
  <c r="D893" i="20"/>
  <c r="C894" i="20"/>
  <c r="D894" i="20"/>
  <c r="C895" i="20"/>
  <c r="D895" i="20"/>
  <c r="C896" i="20"/>
  <c r="D896" i="20"/>
  <c r="C897" i="20"/>
  <c r="D897" i="20"/>
  <c r="C898" i="20"/>
  <c r="D898" i="20"/>
  <c r="C899" i="20"/>
  <c r="D899" i="20"/>
  <c r="C900" i="20"/>
  <c r="D900" i="20"/>
  <c r="C901" i="20"/>
  <c r="D901" i="20"/>
  <c r="C902" i="20"/>
  <c r="D902" i="20"/>
  <c r="C903" i="20"/>
  <c r="D903" i="20"/>
  <c r="C904" i="20"/>
  <c r="D904" i="20"/>
  <c r="C905" i="20"/>
  <c r="D905" i="20"/>
  <c r="C906" i="20"/>
  <c r="D906" i="20"/>
  <c r="C907" i="20"/>
  <c r="D907" i="20"/>
  <c r="C908" i="20"/>
  <c r="D908" i="20"/>
  <c r="C909" i="20"/>
  <c r="D909" i="20"/>
  <c r="C910" i="20"/>
  <c r="D910" i="20"/>
  <c r="C911" i="20"/>
  <c r="D911" i="20"/>
  <c r="C912" i="20"/>
  <c r="D912" i="20"/>
  <c r="C913" i="20"/>
  <c r="D913" i="20"/>
  <c r="C914" i="20"/>
  <c r="D914" i="20"/>
  <c r="C915" i="20"/>
  <c r="D915" i="20"/>
  <c r="C916" i="20"/>
  <c r="D916" i="20"/>
  <c r="C917" i="20"/>
  <c r="D917" i="20"/>
  <c r="C918" i="20"/>
  <c r="D918" i="20"/>
  <c r="C919" i="20"/>
  <c r="D919" i="20"/>
  <c r="C920" i="20"/>
  <c r="D920" i="20"/>
  <c r="C921" i="20"/>
  <c r="D921" i="20"/>
  <c r="C922" i="20"/>
  <c r="D922" i="20"/>
  <c r="C923" i="20"/>
  <c r="D923" i="20"/>
  <c r="C924" i="20"/>
  <c r="D924" i="20"/>
  <c r="C925" i="20"/>
  <c r="D925" i="20"/>
  <c r="C926" i="20"/>
  <c r="D926" i="20"/>
  <c r="C927" i="20"/>
  <c r="D927" i="20"/>
  <c r="C928" i="20"/>
  <c r="D928" i="20"/>
  <c r="C929" i="20"/>
  <c r="D929" i="20"/>
  <c r="C930" i="20"/>
  <c r="D930" i="20"/>
  <c r="C931" i="20"/>
  <c r="D931" i="20"/>
  <c r="C932" i="20"/>
  <c r="D932" i="20"/>
  <c r="C933" i="20"/>
  <c r="D933" i="20"/>
  <c r="C934" i="20"/>
  <c r="D934" i="20"/>
  <c r="C935" i="20"/>
  <c r="D935" i="20"/>
  <c r="C936" i="20"/>
  <c r="D936" i="20"/>
  <c r="C937" i="20"/>
  <c r="D937" i="20"/>
  <c r="C938" i="20"/>
  <c r="D938" i="20"/>
  <c r="C939" i="20"/>
  <c r="D939" i="20"/>
  <c r="C940" i="20"/>
  <c r="D940" i="20"/>
  <c r="C941" i="20"/>
  <c r="D941" i="20"/>
  <c r="C942" i="20"/>
  <c r="D942" i="20"/>
  <c r="C943" i="20"/>
  <c r="D943" i="20"/>
  <c r="C944" i="20"/>
  <c r="D944" i="20"/>
  <c r="C945" i="20"/>
  <c r="D945" i="20"/>
  <c r="C946" i="20"/>
  <c r="D946" i="20"/>
  <c r="C947" i="20"/>
  <c r="D947" i="20"/>
  <c r="C948" i="20"/>
  <c r="D948" i="20"/>
  <c r="C949" i="20"/>
  <c r="D949" i="20"/>
  <c r="C950" i="20"/>
  <c r="D950" i="20"/>
  <c r="C951" i="20"/>
  <c r="D951" i="20"/>
  <c r="C952" i="20"/>
  <c r="D952" i="20"/>
  <c r="C953" i="20"/>
  <c r="D953" i="20"/>
  <c r="C954" i="20"/>
  <c r="D954" i="20"/>
  <c r="C955" i="20"/>
  <c r="D955" i="20"/>
  <c r="C956" i="20"/>
  <c r="D956" i="20"/>
  <c r="C957" i="20"/>
  <c r="D957" i="20"/>
  <c r="C958" i="20"/>
  <c r="D958" i="20"/>
  <c r="C959" i="20"/>
  <c r="D959" i="20"/>
  <c r="C960" i="20"/>
  <c r="D960" i="20"/>
  <c r="C961" i="20"/>
  <c r="D961" i="20"/>
  <c r="C962" i="20"/>
  <c r="D962" i="20"/>
  <c r="C963" i="20"/>
  <c r="D963" i="20"/>
  <c r="C964" i="20"/>
  <c r="D964" i="20"/>
  <c r="C965" i="20"/>
  <c r="D965" i="20"/>
  <c r="C966" i="20"/>
  <c r="D966" i="20"/>
  <c r="C967" i="20"/>
  <c r="D967" i="20"/>
  <c r="C968" i="20"/>
  <c r="D968" i="20"/>
  <c r="C969" i="20"/>
  <c r="D969" i="20"/>
  <c r="C970" i="20"/>
  <c r="D970" i="20"/>
  <c r="C971" i="20"/>
  <c r="D971" i="20"/>
  <c r="C972" i="20"/>
  <c r="D972" i="20"/>
  <c r="C973" i="20"/>
  <c r="D973" i="20"/>
  <c r="C974" i="20"/>
  <c r="D974" i="20"/>
  <c r="C975" i="20"/>
  <c r="D975" i="20"/>
  <c r="C976" i="20"/>
  <c r="D976" i="20"/>
  <c r="C977" i="20"/>
  <c r="D977" i="20"/>
  <c r="C978" i="20"/>
  <c r="D978" i="20"/>
  <c r="C979" i="20"/>
  <c r="D979" i="20"/>
  <c r="C980" i="20"/>
  <c r="D980" i="20"/>
  <c r="C981" i="20"/>
  <c r="D981" i="20"/>
  <c r="C982" i="20"/>
  <c r="D982" i="20"/>
  <c r="C983" i="20"/>
  <c r="D983" i="20"/>
  <c r="C984" i="20"/>
  <c r="D984" i="20"/>
  <c r="C985" i="20"/>
  <c r="D985" i="20"/>
  <c r="C986" i="20"/>
  <c r="D986" i="20"/>
  <c r="C987" i="20"/>
  <c r="D987" i="20"/>
  <c r="C988" i="20"/>
  <c r="D988" i="20"/>
  <c r="C989" i="20"/>
  <c r="D989" i="20"/>
  <c r="C990" i="20"/>
  <c r="D990" i="20"/>
  <c r="C991" i="20"/>
  <c r="D991" i="20"/>
  <c r="C992" i="20"/>
  <c r="D992" i="20"/>
  <c r="C993" i="20"/>
  <c r="D993" i="20"/>
  <c r="C994" i="20"/>
  <c r="D994" i="20"/>
  <c r="C995" i="20"/>
  <c r="D995" i="20"/>
  <c r="C996" i="20"/>
  <c r="D996" i="20"/>
  <c r="C997" i="20"/>
  <c r="D997" i="20"/>
  <c r="C998" i="20"/>
  <c r="D998" i="20"/>
  <c r="C999" i="20"/>
  <c r="D999" i="20"/>
  <c r="C1000" i="20"/>
  <c r="D1000" i="20"/>
  <c r="C1001" i="20"/>
  <c r="D1001" i="20"/>
  <c r="C1002" i="20"/>
  <c r="D1002" i="20"/>
  <c r="C1003" i="20"/>
  <c r="D1003" i="20"/>
  <c r="C1004" i="20"/>
  <c r="D1004" i="20"/>
  <c r="C1005" i="20"/>
  <c r="D1005" i="20"/>
  <c r="C1006" i="20"/>
  <c r="D1006" i="20"/>
  <c r="D7" i="20"/>
  <c r="C7" i="20"/>
  <c r="J39" i="97"/>
  <c r="K38" i="97"/>
  <c r="D38" i="97"/>
  <c r="C39" i="97"/>
  <c r="O39" i="97"/>
  <c r="O40" i="97" s="1"/>
  <c r="N39" i="97"/>
  <c r="N40" i="97" s="1"/>
  <c r="M39" i="97"/>
  <c r="M40" i="97" s="1"/>
  <c r="L39" i="97"/>
  <c r="K39" i="97"/>
  <c r="K40" i="97" s="1"/>
  <c r="J45" i="97"/>
  <c r="J44" i="97"/>
  <c r="J43" i="97"/>
  <c r="J42" i="97"/>
  <c r="J41" i="97"/>
  <c r="J40" i="97"/>
  <c r="K58" i="94"/>
  <c r="J58" i="94"/>
  <c r="K56" i="94"/>
  <c r="J56" i="94"/>
  <c r="K55" i="94"/>
  <c r="J55" i="94"/>
  <c r="K57" i="94"/>
  <c r="J57" i="94"/>
  <c r="K54" i="94"/>
  <c r="J54" i="94"/>
  <c r="K53" i="94"/>
  <c r="J53" i="94"/>
  <c r="K52" i="94"/>
  <c r="J52" i="94"/>
  <c r="K51" i="94"/>
  <c r="J51" i="94"/>
  <c r="K50" i="94"/>
  <c r="J50" i="94"/>
  <c r="K49" i="94"/>
  <c r="J49" i="94"/>
  <c r="M9" i="93"/>
  <c r="M8" i="93"/>
  <c r="F10" i="21"/>
  <c r="I3" i="21"/>
  <c r="I7" i="21"/>
  <c r="F5" i="21"/>
  <c r="I12" i="21"/>
  <c r="F9" i="21"/>
  <c r="I4" i="21"/>
  <c r="F4" i="21"/>
  <c r="F8" i="21"/>
  <c r="I10" i="21"/>
  <c r="I11" i="21"/>
  <c r="F12" i="21"/>
  <c r="F11" i="21"/>
  <c r="I8" i="21"/>
  <c r="F6" i="21"/>
  <c r="I9" i="21"/>
  <c r="I5" i="21"/>
  <c r="I6" i="21"/>
  <c r="F3" i="21"/>
  <c r="F7" i="21"/>
  <c r="S14" i="70" l="1"/>
  <c r="T14" i="70" s="1"/>
  <c r="M14" i="70"/>
  <c r="N13" i="70"/>
  <c r="L53" i="94"/>
  <c r="H994" i="20"/>
  <c r="H442" i="20"/>
  <c r="H426" i="20"/>
  <c r="H418" i="20"/>
  <c r="H402" i="20"/>
  <c r="H382" i="20"/>
  <c r="H318" i="20"/>
  <c r="H310" i="20"/>
  <c r="H298" i="20"/>
  <c r="H274" i="20"/>
  <c r="H262" i="20"/>
  <c r="H238" i="20"/>
  <c r="H230" i="20"/>
  <c r="H206" i="20"/>
  <c r="H162" i="20"/>
  <c r="H138" i="20"/>
  <c r="H106" i="20"/>
  <c r="H94" i="20"/>
  <c r="H773" i="20"/>
  <c r="H842" i="20"/>
  <c r="H778" i="20"/>
  <c r="H566" i="20"/>
  <c r="H558" i="20"/>
  <c r="H546" i="20"/>
  <c r="H466" i="20"/>
  <c r="H70" i="20"/>
  <c r="H682" i="20"/>
  <c r="H646" i="20"/>
  <c r="H62" i="20"/>
  <c r="H46" i="20"/>
  <c r="H344" i="20"/>
  <c r="H40" i="20"/>
  <c r="H38" i="20"/>
  <c r="H888" i="20"/>
  <c r="H22" i="20"/>
  <c r="H14" i="20"/>
  <c r="H460" i="20"/>
  <c r="H92" i="20"/>
  <c r="H68" i="20"/>
  <c r="H992" i="20"/>
  <c r="H924" i="20"/>
  <c r="H768" i="20"/>
  <c r="H740" i="20"/>
  <c r="H672" i="20"/>
  <c r="H616" i="20"/>
  <c r="H496" i="20"/>
  <c r="H248" i="20"/>
  <c r="H196" i="20"/>
  <c r="H168" i="20"/>
  <c r="H140" i="20"/>
  <c r="H16" i="20"/>
  <c r="H985" i="20"/>
  <c r="H969" i="20"/>
  <c r="H961" i="20"/>
  <c r="H925" i="20"/>
  <c r="H905" i="20"/>
  <c r="H869" i="20"/>
  <c r="H861" i="20"/>
  <c r="H837" i="20"/>
  <c r="H809" i="20"/>
  <c r="H793" i="20"/>
  <c r="H765" i="20"/>
  <c r="H717" i="20"/>
  <c r="H705" i="20"/>
  <c r="H701" i="20"/>
  <c r="H697" i="20"/>
  <c r="H649" i="20"/>
  <c r="H641" i="20"/>
  <c r="H625" i="20"/>
  <c r="H601" i="20"/>
  <c r="H577" i="20"/>
  <c r="H569" i="20"/>
  <c r="H561" i="20"/>
  <c r="H549" i="20"/>
  <c r="H505" i="20"/>
  <c r="H493" i="20"/>
  <c r="H485" i="20"/>
  <c r="H465" i="20"/>
  <c r="H461" i="20"/>
  <c r="H453" i="20"/>
  <c r="H445" i="20"/>
  <c r="H441" i="20"/>
  <c r="H433" i="20"/>
  <c r="H417" i="20"/>
  <c r="H401" i="20"/>
  <c r="H393" i="20"/>
  <c r="H357" i="20"/>
  <c r="H337" i="20"/>
  <c r="H333" i="20"/>
  <c r="H325" i="20"/>
  <c r="H313" i="20"/>
  <c r="H301" i="20"/>
  <c r="H285" i="20"/>
  <c r="H265" i="20"/>
  <c r="H261" i="20"/>
  <c r="H245" i="20"/>
  <c r="H241" i="20"/>
  <c r="H213" i="20"/>
  <c r="H189" i="20"/>
  <c r="H173" i="20"/>
  <c r="H165" i="20"/>
  <c r="H157" i="20"/>
  <c r="H149" i="20"/>
  <c r="H125" i="20"/>
  <c r="H117" i="20"/>
  <c r="H113" i="20"/>
  <c r="H97" i="20"/>
  <c r="H93" i="20"/>
  <c r="H89" i="20"/>
  <c r="H77" i="20"/>
  <c r="H61" i="20"/>
  <c r="H57" i="20"/>
  <c r="H45" i="20"/>
  <c r="H41" i="20"/>
  <c r="H25" i="20"/>
  <c r="H13" i="20"/>
  <c r="H9" i="20"/>
  <c r="H109" i="20"/>
  <c r="H617" i="20"/>
  <c r="H281" i="20"/>
  <c r="H229" i="20"/>
  <c r="H988" i="20"/>
  <c r="H980" i="20"/>
  <c r="H972" i="20"/>
  <c r="H968" i="20"/>
  <c r="H964" i="20"/>
  <c r="H960" i="20"/>
  <c r="H956" i="20"/>
  <c r="H952" i="20"/>
  <c r="H948" i="20"/>
  <c r="H940" i="20"/>
  <c r="H936" i="20"/>
  <c r="H932" i="20"/>
  <c r="H928" i="20"/>
  <c r="H920" i="20"/>
  <c r="H916" i="20"/>
  <c r="H908" i="20"/>
  <c r="H904" i="20"/>
  <c r="H900" i="20"/>
  <c r="H896" i="20"/>
  <c r="H892" i="20"/>
  <c r="H884" i="20"/>
  <c r="H880" i="20"/>
  <c r="H876" i="20"/>
  <c r="H872" i="20"/>
  <c r="H868" i="20"/>
  <c r="H864" i="20"/>
  <c r="H860" i="20"/>
  <c r="H856" i="20"/>
  <c r="H852" i="20"/>
  <c r="H844" i="20"/>
  <c r="H840" i="20"/>
  <c r="H836" i="20"/>
  <c r="H832" i="20"/>
  <c r="H828" i="20"/>
  <c r="H824" i="20"/>
  <c r="H820" i="20"/>
  <c r="H812" i="20"/>
  <c r="H808" i="20"/>
  <c r="H804" i="20"/>
  <c r="H800" i="20"/>
  <c r="H796" i="20"/>
  <c r="H792" i="20"/>
  <c r="H788" i="20"/>
  <c r="H780" i="20"/>
  <c r="H776" i="20"/>
  <c r="H772" i="20"/>
  <c r="H764" i="20"/>
  <c r="H760" i="20"/>
  <c r="H756" i="20"/>
  <c r="H752" i="20"/>
  <c r="H748" i="20"/>
  <c r="H744" i="20"/>
  <c r="H732" i="20"/>
  <c r="H728" i="20"/>
  <c r="H724" i="20"/>
  <c r="H716" i="20"/>
  <c r="H712" i="20"/>
  <c r="H708" i="20"/>
  <c r="H704" i="20"/>
  <c r="H700" i="20"/>
  <c r="H696" i="20"/>
  <c r="H692" i="20"/>
  <c r="H684" i="20"/>
  <c r="H680" i="20"/>
  <c r="H676" i="20"/>
  <c r="H668" i="20"/>
  <c r="H664" i="20"/>
  <c r="H660" i="20"/>
  <c r="H652" i="20"/>
  <c r="H648" i="20"/>
  <c r="H644" i="20"/>
  <c r="H640" i="20"/>
  <c r="H636" i="20"/>
  <c r="H632" i="20"/>
  <c r="H628" i="20"/>
  <c r="H624" i="20"/>
  <c r="H620" i="20"/>
  <c r="H612" i="20"/>
  <c r="H604" i="20"/>
  <c r="H600" i="20"/>
  <c r="H596" i="20"/>
  <c r="H588" i="20"/>
  <c r="H584" i="20"/>
  <c r="H580" i="20"/>
  <c r="H576" i="20"/>
  <c r="H572" i="20"/>
  <c r="H568" i="20"/>
  <c r="H564" i="20"/>
  <c r="H556" i="20"/>
  <c r="H552" i="20"/>
  <c r="H548" i="20"/>
  <c r="H544" i="20"/>
  <c r="H540" i="20"/>
  <c r="H536" i="20"/>
  <c r="H532" i="20"/>
  <c r="H524" i="20"/>
  <c r="H520" i="20"/>
  <c r="H516" i="20"/>
  <c r="H512" i="20"/>
  <c r="H508" i="20"/>
  <c r="H504" i="20"/>
  <c r="H500" i="20"/>
  <c r="H492" i="20"/>
  <c r="H488" i="20"/>
  <c r="H484" i="20"/>
  <c r="H476" i="20"/>
  <c r="H472" i="20"/>
  <c r="H468" i="20"/>
  <c r="H456" i="20"/>
  <c r="H452" i="20"/>
  <c r="H448" i="20"/>
  <c r="H444" i="20"/>
  <c r="H440" i="20"/>
  <c r="H436" i="20"/>
  <c r="H428" i="20"/>
  <c r="H424" i="20"/>
  <c r="H420" i="20"/>
  <c r="H416" i="20"/>
  <c r="H412" i="20"/>
  <c r="H408" i="20"/>
  <c r="H130" i="20"/>
  <c r="H404" i="20"/>
  <c r="H396" i="20"/>
  <c r="H392" i="20"/>
  <c r="H388" i="20"/>
  <c r="H384" i="20"/>
  <c r="H380" i="20"/>
  <c r="H376" i="20"/>
  <c r="H372" i="20"/>
  <c r="H368" i="20"/>
  <c r="H364" i="20"/>
  <c r="H360" i="20"/>
  <c r="H356" i="20"/>
  <c r="H348" i="20"/>
  <c r="H340" i="20"/>
  <c r="H332" i="20"/>
  <c r="H324" i="20"/>
  <c r="H320" i="20"/>
  <c r="H316" i="20"/>
  <c r="H312" i="20"/>
  <c r="H308" i="20"/>
  <c r="H304" i="20"/>
  <c r="H300" i="20"/>
  <c r="H296" i="20"/>
  <c r="H292" i="20"/>
  <c r="H288" i="20"/>
  <c r="H284" i="20"/>
  <c r="H280" i="20"/>
  <c r="H276" i="20"/>
  <c r="H272" i="20"/>
  <c r="H268" i="20"/>
  <c r="H260" i="20"/>
  <c r="H256" i="20"/>
  <c r="H252" i="20"/>
  <c r="H244" i="20"/>
  <c r="H240" i="20"/>
  <c r="H236" i="20"/>
  <c r="H232" i="20"/>
  <c r="H228" i="20"/>
  <c r="H224" i="20"/>
  <c r="H220" i="20"/>
  <c r="H216" i="20"/>
  <c r="H212" i="20"/>
  <c r="H208" i="20"/>
  <c r="H204" i="20"/>
  <c r="H200" i="20"/>
  <c r="H192" i="20"/>
  <c r="H188" i="20"/>
  <c r="H184" i="20"/>
  <c r="H180" i="20"/>
  <c r="H176" i="20"/>
  <c r="H172" i="20"/>
  <c r="H164" i="20"/>
  <c r="H160" i="20"/>
  <c r="H156" i="20"/>
  <c r="H152" i="20"/>
  <c r="H148" i="20"/>
  <c r="H144" i="20"/>
  <c r="H136" i="20"/>
  <c r="H132" i="20"/>
  <c r="H128" i="20"/>
  <c r="H124" i="20"/>
  <c r="H120" i="20"/>
  <c r="H116" i="20"/>
  <c r="H112" i="20"/>
  <c r="H108" i="20"/>
  <c r="H104" i="20"/>
  <c r="H100" i="20"/>
  <c r="H96" i="20"/>
  <c r="H88" i="20"/>
  <c r="H84" i="20"/>
  <c r="H80" i="20"/>
  <c r="H76" i="20"/>
  <c r="H72" i="20"/>
  <c r="H64" i="20"/>
  <c r="H60" i="20"/>
  <c r="H56" i="20"/>
  <c r="H52" i="20"/>
  <c r="H48" i="20"/>
  <c r="H44" i="20"/>
  <c r="H36" i="20"/>
  <c r="H32" i="20"/>
  <c r="H28" i="20"/>
  <c r="H24" i="20"/>
  <c r="H20" i="20"/>
  <c r="H12" i="20"/>
  <c r="H953" i="20"/>
  <c r="H769" i="20"/>
  <c r="H745" i="20"/>
  <c r="H669" i="20"/>
  <c r="H525" i="20"/>
  <c r="H345" i="20"/>
  <c r="H225" i="20"/>
  <c r="H137" i="20"/>
  <c r="H73" i="20"/>
  <c r="H29" i="20"/>
  <c r="H885" i="20"/>
  <c r="H521" i="20"/>
  <c r="H473" i="20"/>
  <c r="H369" i="20"/>
  <c r="H349" i="20"/>
  <c r="H1004" i="20"/>
  <c r="H1000" i="20"/>
  <c r="H7" i="20"/>
  <c r="H895" i="20"/>
  <c r="H859" i="20"/>
  <c r="H391" i="20"/>
  <c r="H371" i="20"/>
  <c r="H183" i="20"/>
  <c r="H43" i="20"/>
  <c r="H19" i="20"/>
  <c r="H894" i="20"/>
  <c r="H502" i="20"/>
  <c r="H334" i="20"/>
  <c r="H86" i="20"/>
  <c r="H54" i="20"/>
  <c r="H914" i="20"/>
  <c r="H1001" i="20"/>
  <c r="H993" i="20"/>
  <c r="H941" i="20"/>
  <c r="H917" i="20"/>
  <c r="H909" i="20"/>
  <c r="H897" i="20"/>
  <c r="H893" i="20"/>
  <c r="H881" i="20"/>
  <c r="H845" i="20"/>
  <c r="H821" i="20"/>
  <c r="H801" i="20"/>
  <c r="H777" i="20"/>
  <c r="H757" i="20"/>
  <c r="H753" i="20"/>
  <c r="H733" i="20"/>
  <c r="H709" i="20"/>
  <c r="H689" i="20"/>
  <c r="H661" i="20"/>
  <c r="H613" i="20"/>
  <c r="H609" i="20"/>
  <c r="H593" i="20"/>
  <c r="H557" i="20"/>
  <c r="H533" i="20"/>
  <c r="H517" i="20"/>
  <c r="H513" i="20"/>
  <c r="H501" i="20"/>
  <c r="H457" i="20"/>
  <c r="H409" i="20"/>
  <c r="H385" i="20"/>
  <c r="H341" i="20"/>
  <c r="H297" i="20"/>
  <c r="H289" i="20"/>
  <c r="H277" i="20"/>
  <c r="H253" i="20"/>
  <c r="H249" i="20"/>
  <c r="H237" i="20"/>
  <c r="H233" i="20"/>
  <c r="H221" i="20"/>
  <c r="H217" i="20"/>
  <c r="H205" i="20"/>
  <c r="H197" i="20"/>
  <c r="H181" i="20"/>
  <c r="H141" i="20"/>
  <c r="H121" i="20"/>
  <c r="H85" i="20"/>
  <c r="H81" i="20"/>
  <c r="H69" i="20"/>
  <c r="H53" i="20"/>
  <c r="H49" i="20"/>
  <c r="H37" i="20"/>
  <c r="H33" i="20"/>
  <c r="H21" i="20"/>
  <c r="H17" i="20"/>
  <c r="H534" i="20"/>
  <c r="H450" i="20"/>
  <c r="H390" i="20"/>
  <c r="H358" i="20"/>
  <c r="H322" i="20"/>
  <c r="H170" i="20"/>
  <c r="H114" i="20"/>
  <c r="H30" i="20"/>
  <c r="H996" i="20"/>
  <c r="H984" i="20"/>
  <c r="H1005" i="20"/>
  <c r="H997" i="20"/>
  <c r="H989" i="20"/>
  <c r="H981" i="20"/>
  <c r="H977" i="20"/>
  <c r="H973" i="20"/>
  <c r="H965" i="20"/>
  <c r="H957" i="20"/>
  <c r="H949" i="20"/>
  <c r="H945" i="20"/>
  <c r="H937" i="20"/>
  <c r="H933" i="20"/>
  <c r="H929" i="20"/>
  <c r="H921" i="20"/>
  <c r="H913" i="20"/>
  <c r="H901" i="20"/>
  <c r="H927" i="20"/>
  <c r="H811" i="20"/>
  <c r="H695" i="20"/>
  <c r="H635" i="20"/>
  <c r="H591" i="20"/>
  <c r="H407" i="20"/>
  <c r="H958" i="20"/>
  <c r="H938" i="20"/>
  <c r="H926" i="20"/>
  <c r="H810" i="20"/>
  <c r="H790" i="20"/>
  <c r="H730" i="20"/>
  <c r="H889" i="20"/>
  <c r="H877" i="20"/>
  <c r="H873" i="20"/>
  <c r="H865" i="20"/>
  <c r="H857" i="20"/>
  <c r="H853" i="20"/>
  <c r="H849" i="20"/>
  <c r="H841" i="20"/>
  <c r="H833" i="20"/>
  <c r="H829" i="20"/>
  <c r="H825" i="20"/>
  <c r="H817" i="20"/>
  <c r="H813" i="20"/>
  <c r="H805" i="20"/>
  <c r="H797" i="20"/>
  <c r="H789" i="20"/>
  <c r="H785" i="20"/>
  <c r="H781" i="20"/>
  <c r="H761" i="20"/>
  <c r="H749" i="20"/>
  <c r="H741" i="20"/>
  <c r="H737" i="20"/>
  <c r="H729" i="20"/>
  <c r="H725" i="20"/>
  <c r="H721" i="20"/>
  <c r="H713" i="20"/>
  <c r="H693" i="20"/>
  <c r="H681" i="20"/>
  <c r="H677" i="20"/>
  <c r="H673" i="20"/>
  <c r="H665" i="20"/>
  <c r="H657" i="20"/>
  <c r="H653" i="20"/>
  <c r="H645" i="20"/>
  <c r="H637" i="20"/>
  <c r="H633" i="20"/>
  <c r="H629" i="20"/>
  <c r="H621" i="20"/>
  <c r="H605" i="20"/>
  <c r="H597" i="20"/>
  <c r="H589" i="20"/>
  <c r="H585" i="20"/>
  <c r="H581" i="20"/>
  <c r="H573" i="20"/>
  <c r="H565" i="20"/>
  <c r="H553" i="20"/>
  <c r="H545" i="20"/>
  <c r="H541" i="20"/>
  <c r="H537" i="20"/>
  <c r="H529" i="20"/>
  <c r="H509" i="20"/>
  <c r="H497" i="20"/>
  <c r="H489" i="20"/>
  <c r="H481" i="20"/>
  <c r="H477" i="20"/>
  <c r="H469" i="20"/>
  <c r="H449" i="20"/>
  <c r="H437" i="20"/>
  <c r="H429" i="20"/>
  <c r="H425" i="20"/>
  <c r="H421" i="20"/>
  <c r="H413" i="20"/>
  <c r="H405" i="20"/>
  <c r="H397" i="20"/>
  <c r="H389" i="20"/>
  <c r="H381" i="20"/>
  <c r="H377" i="20"/>
  <c r="H373" i="20"/>
  <c r="H365" i="20"/>
  <c r="H361" i="20"/>
  <c r="H353" i="20"/>
  <c r="H329" i="20"/>
  <c r="H317" i="20"/>
  <c r="H309" i="20"/>
  <c r="H293" i="20"/>
  <c r="H269" i="20"/>
  <c r="H201" i="20"/>
  <c r="H185" i="20"/>
  <c r="H177" i="20"/>
  <c r="H169" i="20"/>
  <c r="H161" i="20"/>
  <c r="H153" i="20"/>
  <c r="H145" i="20"/>
  <c r="H133" i="20"/>
  <c r="H101" i="20"/>
  <c r="H995" i="20"/>
  <c r="H979" i="20"/>
  <c r="H963" i="20"/>
  <c r="H947" i="20"/>
  <c r="H931" i="20"/>
  <c r="H915" i="20"/>
  <c r="H899" i="20"/>
  <c r="H883" i="20"/>
  <c r="H867" i="20"/>
  <c r="H843" i="20"/>
  <c r="H827" i="20"/>
  <c r="H807" i="20"/>
  <c r="H795" i="20"/>
  <c r="H779" i="20"/>
  <c r="H763" i="20"/>
  <c r="H747" i="20"/>
  <c r="H731" i="20"/>
  <c r="H715" i="20"/>
  <c r="H699" i="20"/>
  <c r="H683" i="20"/>
  <c r="H671" i="20"/>
  <c r="H663" i="20"/>
  <c r="H651" i="20"/>
  <c r="H643" i="20"/>
  <c r="H627" i="20"/>
  <c r="H619" i="20"/>
  <c r="H611" i="20"/>
  <c r="H599" i="20"/>
  <c r="H583" i="20"/>
  <c r="H571" i="20"/>
  <c r="H563" i="20"/>
  <c r="H555" i="20"/>
  <c r="H547" i="20"/>
  <c r="H539" i="20"/>
  <c r="H531" i="20"/>
  <c r="H523" i="20"/>
  <c r="H515" i="20"/>
  <c r="H507" i="20"/>
  <c r="H499" i="20"/>
  <c r="H491" i="20"/>
  <c r="H483" i="20"/>
  <c r="H475" i="20"/>
  <c r="H467" i="20"/>
  <c r="H459" i="20"/>
  <c r="H451" i="20"/>
  <c r="H443" i="20"/>
  <c r="H435" i="20"/>
  <c r="H427" i="20"/>
  <c r="H419" i="20"/>
  <c r="H411" i="20"/>
  <c r="H403" i="20"/>
  <c r="H395" i="20"/>
  <c r="H387" i="20"/>
  <c r="H379" i="20"/>
  <c r="H367" i="20"/>
  <c r="H359" i="20"/>
  <c r="H351" i="20"/>
  <c r="H343" i="20"/>
  <c r="H335" i="20"/>
  <c r="H331" i="20"/>
  <c r="H323" i="20"/>
  <c r="H315" i="20"/>
  <c r="H311" i="20"/>
  <c r="H275" i="20"/>
  <c r="H231" i="20"/>
  <c r="H159" i="20"/>
  <c r="H103" i="20"/>
  <c r="H79" i="20"/>
  <c r="H11" i="20"/>
  <c r="H987" i="20"/>
  <c r="H971" i="20"/>
  <c r="H955" i="20"/>
  <c r="H939" i="20"/>
  <c r="H911" i="20"/>
  <c r="H891" i="20"/>
  <c r="H875" i="20"/>
  <c r="H851" i="20"/>
  <c r="H835" i="20"/>
  <c r="H819" i="20"/>
  <c r="H803" i="20"/>
  <c r="H787" i="20"/>
  <c r="H771" i="20"/>
  <c r="H755" i="20"/>
  <c r="H739" i="20"/>
  <c r="H723" i="20"/>
  <c r="H707" i="20"/>
  <c r="H691" i="20"/>
  <c r="H675" i="20"/>
  <c r="H655" i="20"/>
  <c r="H579" i="20"/>
  <c r="H999" i="20"/>
  <c r="H983" i="20"/>
  <c r="H967" i="20"/>
  <c r="H951" i="20"/>
  <c r="H935" i="20"/>
  <c r="H919" i="20"/>
  <c r="H903" i="20"/>
  <c r="H887" i="20"/>
  <c r="H871" i="20"/>
  <c r="H855" i="20"/>
  <c r="H839" i="20"/>
  <c r="H823" i="20"/>
  <c r="H791" i="20"/>
  <c r="H775" i="20"/>
  <c r="H759" i="20"/>
  <c r="H743" i="20"/>
  <c r="H727" i="20"/>
  <c r="H711" i="20"/>
  <c r="H687" i="20"/>
  <c r="H607" i="20"/>
  <c r="H1003" i="20"/>
  <c r="H991" i="20"/>
  <c r="H975" i="20"/>
  <c r="H959" i="20"/>
  <c r="H943" i="20"/>
  <c r="H923" i="20"/>
  <c r="H907" i="20"/>
  <c r="H863" i="20"/>
  <c r="H847" i="20"/>
  <c r="H831" i="20"/>
  <c r="H815" i="20"/>
  <c r="H799" i="20"/>
  <c r="H783" i="20"/>
  <c r="H767" i="20"/>
  <c r="H735" i="20"/>
  <c r="H719" i="20"/>
  <c r="H703" i="20"/>
  <c r="H679" i="20"/>
  <c r="H667" i="20"/>
  <c r="H659" i="20"/>
  <c r="H647" i="20"/>
  <c r="H639" i="20"/>
  <c r="H631" i="20"/>
  <c r="H623" i="20"/>
  <c r="H615" i="20"/>
  <c r="H603" i="20"/>
  <c r="H595" i="20"/>
  <c r="H587" i="20"/>
  <c r="H575" i="20"/>
  <c r="H567" i="20"/>
  <c r="H559" i="20"/>
  <c r="H551" i="20"/>
  <c r="H543" i="20"/>
  <c r="H535" i="20"/>
  <c r="H527" i="20"/>
  <c r="H519" i="20"/>
  <c r="H511" i="20"/>
  <c r="H503" i="20"/>
  <c r="H495" i="20"/>
  <c r="H487" i="20"/>
  <c r="H479" i="20"/>
  <c r="H471" i="20"/>
  <c r="H463" i="20"/>
  <c r="H455" i="20"/>
  <c r="H447" i="20"/>
  <c r="H439" i="20"/>
  <c r="H431" i="20"/>
  <c r="H423" i="20"/>
  <c r="H415" i="20"/>
  <c r="H399" i="20"/>
  <c r="H383" i="20"/>
  <c r="H375" i="20"/>
  <c r="H363" i="20"/>
  <c r="H355" i="20"/>
  <c r="H347" i="20"/>
  <c r="H339" i="20"/>
  <c r="H327" i="20"/>
  <c r="H319" i="20"/>
  <c r="H307" i="20"/>
  <c r="H171" i="20"/>
  <c r="H87" i="20"/>
  <c r="H51" i="20"/>
  <c r="H303" i="20"/>
  <c r="H299" i="20"/>
  <c r="H295" i="20"/>
  <c r="H291" i="20"/>
  <c r="H287" i="20"/>
  <c r="H283" i="20"/>
  <c r="H279" i="20"/>
  <c r="H271" i="20"/>
  <c r="H263" i="20"/>
  <c r="H259" i="20"/>
  <c r="H255" i="20"/>
  <c r="H251" i="20"/>
  <c r="H247" i="20"/>
  <c r="H243" i="20"/>
  <c r="H239" i="20"/>
  <c r="H235" i="20"/>
  <c r="H227" i="20"/>
  <c r="H223" i="20"/>
  <c r="H219" i="20"/>
  <c r="H215" i="20"/>
  <c r="H211" i="20"/>
  <c r="H207" i="20"/>
  <c r="H203" i="20"/>
  <c r="H199" i="20"/>
  <c r="H195" i="20"/>
  <c r="H191" i="20"/>
  <c r="H187" i="20"/>
  <c r="H179" i="20"/>
  <c r="H175" i="20"/>
  <c r="H167" i="20"/>
  <c r="H163" i="20"/>
  <c r="H155" i="20"/>
  <c r="H151" i="20"/>
  <c r="H147" i="20"/>
  <c r="H143" i="20"/>
  <c r="H135" i="20"/>
  <c r="H131" i="20"/>
  <c r="H127" i="20"/>
  <c r="H123" i="20"/>
  <c r="H119" i="20"/>
  <c r="H115" i="20"/>
  <c r="H111" i="20"/>
  <c r="H107" i="20"/>
  <c r="H99" i="20"/>
  <c r="H95" i="20"/>
  <c r="H91" i="20"/>
  <c r="H83" i="20"/>
  <c r="H71" i="20"/>
  <c r="H67" i="20"/>
  <c r="H63" i="20"/>
  <c r="H59" i="20"/>
  <c r="H55" i="20"/>
  <c r="H47" i="20"/>
  <c r="H39" i="20"/>
  <c r="H35" i="20"/>
  <c r="H31" i="20"/>
  <c r="H27" i="20"/>
  <c r="H23" i="20"/>
  <c r="H15" i="20"/>
  <c r="H1006" i="20"/>
  <c r="H1002" i="20"/>
  <c r="H998" i="20"/>
  <c r="H990" i="20"/>
  <c r="H986" i="20"/>
  <c r="H982" i="20"/>
  <c r="H978" i="20"/>
  <c r="H974" i="20"/>
  <c r="H970" i="20"/>
  <c r="H966" i="20"/>
  <c r="H962" i="20"/>
  <c r="H954" i="20"/>
  <c r="H950" i="20"/>
  <c r="H946" i="20"/>
  <c r="H942" i="20"/>
  <c r="H934" i="20"/>
  <c r="H930" i="20"/>
  <c r="H922" i="20"/>
  <c r="H918" i="20"/>
  <c r="H910" i="20"/>
  <c r="H906" i="20"/>
  <c r="H902" i="20"/>
  <c r="H898" i="20"/>
  <c r="H890" i="20"/>
  <c r="H886" i="20"/>
  <c r="H882" i="20"/>
  <c r="H878" i="20"/>
  <c r="H874" i="20"/>
  <c r="H870" i="20"/>
  <c r="H866" i="20"/>
  <c r="H862" i="20"/>
  <c r="H858" i="20"/>
  <c r="H854" i="20"/>
  <c r="H850" i="20"/>
  <c r="H846" i="20"/>
  <c r="H838" i="20"/>
  <c r="H834" i="20"/>
  <c r="H830" i="20"/>
  <c r="H826" i="20"/>
  <c r="H822" i="20"/>
  <c r="H818" i="20"/>
  <c r="H814" i="20"/>
  <c r="H806" i="20"/>
  <c r="H802" i="20"/>
  <c r="H798" i="20"/>
  <c r="H794" i="20"/>
  <c r="H786" i="20"/>
  <c r="H782" i="20"/>
  <c r="H774" i="20"/>
  <c r="H770" i="20"/>
  <c r="H766" i="20"/>
  <c r="H762" i="20"/>
  <c r="H758" i="20"/>
  <c r="H754" i="20"/>
  <c r="H750" i="20"/>
  <c r="H742" i="20"/>
  <c r="H738" i="20"/>
  <c r="H734" i="20"/>
  <c r="H726" i="20"/>
  <c r="H722" i="20"/>
  <c r="H718" i="20"/>
  <c r="H714" i="20"/>
  <c r="H710" i="20"/>
  <c r="H706" i="20"/>
  <c r="H702" i="20"/>
  <c r="H698" i="20"/>
  <c r="H694" i="20"/>
  <c r="H690" i="20"/>
  <c r="H686" i="20"/>
  <c r="H678" i="20"/>
  <c r="H674" i="20"/>
  <c r="H670" i="20"/>
  <c r="H666" i="20"/>
  <c r="H662" i="20"/>
  <c r="H650" i="20"/>
  <c r="H638" i="20"/>
  <c r="H626" i="20"/>
  <c r="H602" i="20"/>
  <c r="H590" i="20"/>
  <c r="H554" i="20"/>
  <c r="H510" i="20"/>
  <c r="H474" i="20"/>
  <c r="H658" i="20"/>
  <c r="H630" i="20"/>
  <c r="H610" i="20"/>
  <c r="H594" i="20"/>
  <c r="H578" i="20"/>
  <c r="H570" i="20"/>
  <c r="H530" i="20"/>
  <c r="H654" i="20"/>
  <c r="H642" i="20"/>
  <c r="H634" i="20"/>
  <c r="H622" i="20"/>
  <c r="H614" i="20"/>
  <c r="H606" i="20"/>
  <c r="H598" i="20"/>
  <c r="H586" i="20"/>
  <c r="H582" i="20"/>
  <c r="H574" i="20"/>
  <c r="H562" i="20"/>
  <c r="H550" i="20"/>
  <c r="H542" i="20"/>
  <c r="H538" i="20"/>
  <c r="H526" i="20"/>
  <c r="H522" i="20"/>
  <c r="H518" i="20"/>
  <c r="H514" i="20"/>
  <c r="H506" i="20"/>
  <c r="H494" i="20"/>
  <c r="H486" i="20"/>
  <c r="H482" i="20"/>
  <c r="H478" i="20"/>
  <c r="H470" i="20"/>
  <c r="H462" i="20"/>
  <c r="H458" i="20"/>
  <c r="H454" i="20"/>
  <c r="H446" i="20"/>
  <c r="H438" i="20"/>
  <c r="H434" i="20"/>
  <c r="H410" i="20"/>
  <c r="H398" i="20"/>
  <c r="H374" i="20"/>
  <c r="H366" i="20"/>
  <c r="H354" i="20"/>
  <c r="H350" i="20"/>
  <c r="H342" i="20"/>
  <c r="H314" i="20"/>
  <c r="H306" i="20"/>
  <c r="H290" i="20"/>
  <c r="H282" i="20"/>
  <c r="H258" i="20"/>
  <c r="H254" i="20"/>
  <c r="H246" i="20"/>
  <c r="H222" i="20"/>
  <c r="H214" i="20"/>
  <c r="H198" i="20"/>
  <c r="H186" i="20"/>
  <c r="H178" i="20"/>
  <c r="H154" i="20"/>
  <c r="H146" i="20"/>
  <c r="H134" i="20"/>
  <c r="H122" i="20"/>
  <c r="H102" i="20"/>
  <c r="H98" i="20"/>
  <c r="H90" i="20"/>
  <c r="H82" i="20"/>
  <c r="H74" i="20"/>
  <c r="H66" i="20"/>
  <c r="H58" i="20"/>
  <c r="H50" i="20"/>
  <c r="H42" i="20"/>
  <c r="H34" i="20"/>
  <c r="H26" i="20"/>
  <c r="H18" i="20"/>
  <c r="H10" i="20"/>
  <c r="H430" i="20"/>
  <c r="H422" i="20"/>
  <c r="H414" i="20"/>
  <c r="H406" i="20"/>
  <c r="H394" i="20"/>
  <c r="H386" i="20"/>
  <c r="H378" i="20"/>
  <c r="H370" i="20"/>
  <c r="H346" i="20"/>
  <c r="H338" i="20"/>
  <c r="H330" i="20"/>
  <c r="H326" i="20"/>
  <c r="H302" i="20"/>
  <c r="H294" i="20"/>
  <c r="H286" i="20"/>
  <c r="H278" i="20"/>
  <c r="H270" i="20"/>
  <c r="H266" i="20"/>
  <c r="H250" i="20"/>
  <c r="H242" i="20"/>
  <c r="H234" i="20"/>
  <c r="H226" i="20"/>
  <c r="H218" i="20"/>
  <c r="H210" i="20"/>
  <c r="H202" i="20"/>
  <c r="H194" i="20"/>
  <c r="H190" i="20"/>
  <c r="H182" i="20"/>
  <c r="H174" i="20"/>
  <c r="H166" i="20"/>
  <c r="H158" i="20"/>
  <c r="H150" i="20"/>
  <c r="H142" i="20"/>
  <c r="H126" i="20"/>
  <c r="H118" i="20"/>
  <c r="H110" i="20"/>
  <c r="H8" i="20"/>
  <c r="F6" i="20"/>
  <c r="H139" i="20"/>
  <c r="H273" i="20"/>
  <c r="H328" i="20"/>
  <c r="H751" i="20"/>
  <c r="G6" i="20"/>
  <c r="H78" i="20"/>
  <c r="H105" i="20"/>
  <c r="H267" i="20"/>
  <c r="H879" i="20"/>
  <c r="H75" i="20"/>
  <c r="H209" i="20"/>
  <c r="H264" i="20"/>
  <c r="H498" i="20"/>
  <c r="H685" i="20"/>
  <c r="H305" i="20"/>
  <c r="H352" i="20"/>
  <c r="H362" i="20"/>
  <c r="H480" i="20"/>
  <c r="H490" i="20"/>
  <c r="H608" i="20"/>
  <c r="H618" i="20"/>
  <c r="H736" i="20"/>
  <c r="H746" i="20"/>
  <c r="H65" i="20"/>
  <c r="H129" i="20"/>
  <c r="H193" i="20"/>
  <c r="H257" i="20"/>
  <c r="H321" i="20"/>
  <c r="H432" i="20"/>
  <c r="H560" i="20"/>
  <c r="H688" i="20"/>
  <c r="H816" i="20"/>
  <c r="H944" i="20"/>
  <c r="H336" i="20"/>
  <c r="H400" i="20"/>
  <c r="H464" i="20"/>
  <c r="H528" i="20"/>
  <c r="H592" i="20"/>
  <c r="H656" i="20"/>
  <c r="H720" i="20"/>
  <c r="H784" i="20"/>
  <c r="H848" i="20"/>
  <c r="H912" i="20"/>
  <c r="H976" i="20"/>
  <c r="L50" i="94"/>
  <c r="L54" i="94"/>
  <c r="L58" i="94"/>
  <c r="L40" i="97"/>
  <c r="L55" i="94"/>
  <c r="L49" i="94"/>
  <c r="L56" i="94"/>
  <c r="L51" i="94"/>
  <c r="L57" i="94"/>
  <c r="L52" i="94"/>
  <c r="H10" i="21"/>
  <c r="H3" i="21"/>
  <c r="H6" i="21"/>
  <c r="E10" i="21"/>
  <c r="H11" i="21"/>
  <c r="E9" i="21"/>
  <c r="E4" i="21"/>
  <c r="E8" i="21"/>
  <c r="E6" i="21"/>
  <c r="E12" i="21"/>
  <c r="E11" i="21"/>
  <c r="H5" i="21"/>
  <c r="H7" i="21"/>
  <c r="E3" i="21"/>
  <c r="H8" i="21"/>
  <c r="H4" i="21"/>
  <c r="E5" i="21"/>
  <c r="H12" i="21"/>
  <c r="H9" i="21"/>
  <c r="E7" i="21"/>
  <c r="S15" i="70" l="1"/>
  <c r="T15" i="70" s="1"/>
  <c r="M15" i="70"/>
  <c r="N14" i="70"/>
  <c r="H6" i="20"/>
  <c r="S16" i="70" l="1"/>
  <c r="T16" i="70" s="1"/>
  <c r="M16" i="70"/>
  <c r="N16" i="70" s="1"/>
  <c r="N15" i="70"/>
  <c r="G5" i="70"/>
  <c r="G6" i="70" s="1"/>
  <c r="G7" i="70" s="1"/>
  <c r="G8" i="70" s="1"/>
  <c r="G9" i="70" s="1"/>
  <c r="G10" i="70" s="1"/>
  <c r="G11" i="70" s="1"/>
  <c r="G12" i="70" s="1"/>
  <c r="G13" i="70" s="1"/>
  <c r="G14" i="70" s="1"/>
  <c r="G15" i="70" s="1"/>
  <c r="G16" i="70" s="1"/>
  <c r="G17" i="70" s="1"/>
  <c r="G18" i="70" s="1"/>
  <c r="G19" i="70" s="1"/>
  <c r="G20" i="70" s="1"/>
  <c r="G21" i="70" s="1"/>
  <c r="G22" i="70" s="1"/>
  <c r="G23" i="70" s="1"/>
  <c r="G24" i="70" s="1"/>
  <c r="G25" i="70" s="1"/>
  <c r="G26" i="70" s="1"/>
  <c r="G27" i="70" s="1"/>
  <c r="G28" i="70" s="1"/>
  <c r="G29" i="70" s="1"/>
  <c r="G30" i="70" s="1"/>
  <c r="G31" i="70" s="1"/>
  <c r="G32" i="70" s="1"/>
  <c r="G33" i="70" s="1"/>
  <c r="G34" i="70" s="1"/>
  <c r="G35" i="70" s="1"/>
  <c r="G36" i="70" s="1"/>
  <c r="G37" i="70" s="1"/>
  <c r="G38" i="70" s="1"/>
  <c r="G39" i="70" s="1"/>
  <c r="G40" i="70" s="1"/>
  <c r="G41" i="70" s="1"/>
  <c r="G42" i="70" s="1"/>
  <c r="G43" i="70" s="1"/>
  <c r="G44" i="70" s="1"/>
  <c r="G45" i="70" s="1"/>
  <c r="G46" i="70" s="1"/>
  <c r="G47" i="70" s="1"/>
  <c r="G48" i="70" s="1"/>
  <c r="G49" i="70" s="1"/>
  <c r="G50" i="70" s="1"/>
  <c r="G51" i="70" s="1"/>
  <c r="G52" i="70" s="1"/>
  <c r="G53" i="70" s="1"/>
  <c r="G54" i="70" s="1"/>
  <c r="G55" i="70" s="1"/>
  <c r="G56" i="70" s="1"/>
  <c r="G57" i="70" s="1"/>
  <c r="G58" i="70" s="1"/>
  <c r="G59" i="70" s="1"/>
  <c r="G60" i="70" s="1"/>
  <c r="G61" i="70" s="1"/>
  <c r="G62" i="70" s="1"/>
  <c r="G63" i="70" s="1"/>
  <c r="G64" i="70" s="1"/>
  <c r="G65" i="70" s="1"/>
  <c r="G66" i="70" s="1"/>
  <c r="G67" i="70" s="1"/>
  <c r="G68" i="70" s="1"/>
  <c r="G69" i="70" s="1"/>
  <c r="G70" i="70" s="1"/>
  <c r="G71" i="70" s="1"/>
  <c r="G72" i="70" s="1"/>
  <c r="G73" i="70" s="1"/>
  <c r="G74" i="70" s="1"/>
  <c r="G75" i="70" s="1"/>
  <c r="G76" i="70" s="1"/>
  <c r="G77" i="70" s="1"/>
  <c r="G78" i="70" s="1"/>
  <c r="G79" i="70" s="1"/>
  <c r="G80" i="70" s="1"/>
  <c r="G81" i="70" s="1"/>
  <c r="G82" i="70" s="1"/>
  <c r="G83" i="70" s="1"/>
  <c r="G84" i="70" s="1"/>
  <c r="G85" i="70" s="1"/>
  <c r="G86" i="70" s="1"/>
  <c r="G87" i="70" s="1"/>
  <c r="G88" i="70" s="1"/>
  <c r="G89" i="70" s="1"/>
  <c r="G90" i="70" s="1"/>
  <c r="G91" i="70" s="1"/>
  <c r="G92" i="70" s="1"/>
  <c r="G93" i="70" s="1"/>
  <c r="G94" i="70" s="1"/>
  <c r="G95" i="70" s="1"/>
  <c r="G96" i="70" s="1"/>
  <c r="G97" i="70" s="1"/>
  <c r="G98" i="70" s="1"/>
  <c r="G99" i="70" s="1"/>
  <c r="G100" i="70" s="1"/>
  <c r="G101" i="70" s="1"/>
  <c r="G102" i="70" s="1"/>
  <c r="G103" i="70" s="1"/>
  <c r="G104" i="70" s="1"/>
  <c r="S17" i="70" l="1"/>
  <c r="M17" i="70"/>
  <c r="E55" i="94"/>
  <c r="D55" i="94"/>
  <c r="S18" i="70" l="1"/>
  <c r="T17" i="70"/>
  <c r="M18" i="70"/>
  <c r="N17" i="70"/>
  <c r="F55" i="94"/>
  <c r="S19" i="70" l="1"/>
  <c r="T18" i="70"/>
  <c r="M19" i="70"/>
  <c r="N18" i="70"/>
  <c r="D3" i="19"/>
  <c r="F3" i="19"/>
  <c r="S20" i="70" l="1"/>
  <c r="T19" i="70"/>
  <c r="M20" i="70"/>
  <c r="N19" i="70"/>
  <c r="E3" i="19"/>
  <c r="C3" i="19"/>
  <c r="S21" i="70" l="1"/>
  <c r="T20" i="70"/>
  <c r="M21" i="70"/>
  <c r="N20" i="70"/>
  <c r="D13" i="97"/>
  <c r="D14" i="97"/>
  <c r="D15" i="97"/>
  <c r="D20" i="97" s="1"/>
  <c r="D25" i="97" s="1"/>
  <c r="D30" i="97" s="1"/>
  <c r="D35" i="97" s="1"/>
  <c r="D16" i="97"/>
  <c r="D12" i="97"/>
  <c r="D17" i="97" s="1"/>
  <c r="D22" i="97" s="1"/>
  <c r="D27" i="97" s="1"/>
  <c r="D32" i="97" s="1"/>
  <c r="S22" i="70" l="1"/>
  <c r="T21" i="70"/>
  <c r="M22" i="70"/>
  <c r="N21" i="70"/>
  <c r="D19" i="97"/>
  <c r="O41" i="97"/>
  <c r="M41" i="97"/>
  <c r="D18" i="97"/>
  <c r="K41" i="97"/>
  <c r="L41" i="97"/>
  <c r="D21" i="97"/>
  <c r="N41" i="97"/>
  <c r="S23" i="70" l="1"/>
  <c r="T22" i="70"/>
  <c r="M23" i="70"/>
  <c r="N22" i="70"/>
  <c r="D24" i="97"/>
  <c r="O42" i="97"/>
  <c r="M42" i="97"/>
  <c r="D23" i="97"/>
  <c r="K42" i="97"/>
  <c r="L42" i="97"/>
  <c r="D26" i="97"/>
  <c r="N42" i="97"/>
  <c r="C45" i="97"/>
  <c r="C44" i="97"/>
  <c r="C43" i="97"/>
  <c r="C42" i="97"/>
  <c r="C41" i="97"/>
  <c r="C40" i="97"/>
  <c r="H39" i="97"/>
  <c r="H42" i="97" s="1"/>
  <c r="G39" i="97"/>
  <c r="F39" i="97"/>
  <c r="E39" i="97"/>
  <c r="D39" i="97"/>
  <c r="S24" i="70" l="1"/>
  <c r="T23" i="70"/>
  <c r="M24" i="70"/>
  <c r="N23" i="70"/>
  <c r="G43" i="97"/>
  <c r="D29" i="97"/>
  <c r="O43" i="97"/>
  <c r="M43" i="97"/>
  <c r="D28" i="97"/>
  <c r="K43" i="97"/>
  <c r="L43" i="97"/>
  <c r="D31" i="97"/>
  <c r="G44" i="97" s="1"/>
  <c r="N43" i="97"/>
  <c r="F44" i="97"/>
  <c r="G40" i="97"/>
  <c r="H40" i="97"/>
  <c r="E40" i="97"/>
  <c r="F40" i="97"/>
  <c r="H41" i="97"/>
  <c r="G41" i="97"/>
  <c r="D43" i="97"/>
  <c r="D42" i="97"/>
  <c r="F43" i="97"/>
  <c r="E42" i="97"/>
  <c r="E41" i="97"/>
  <c r="G42" i="97"/>
  <c r="E43" i="97"/>
  <c r="D41" i="97"/>
  <c r="F42" i="97"/>
  <c r="H43" i="97"/>
  <c r="D40" i="97"/>
  <c r="F41" i="97"/>
  <c r="S25" i="70" l="1"/>
  <c r="T24" i="70"/>
  <c r="M25" i="70"/>
  <c r="N24" i="70"/>
  <c r="D44" i="97"/>
  <c r="H44" i="97"/>
  <c r="D34" i="97"/>
  <c r="M44" i="97"/>
  <c r="O44" i="97"/>
  <c r="D33" i="97"/>
  <c r="K44" i="97"/>
  <c r="L44" i="97"/>
  <c r="E44" i="97"/>
  <c r="D36" i="97"/>
  <c r="N44" i="97"/>
  <c r="E49" i="94"/>
  <c r="D49" i="94"/>
  <c r="E57" i="94"/>
  <c r="D57" i="94"/>
  <c r="S26" i="70" l="1"/>
  <c r="T25" i="70"/>
  <c r="M26" i="70"/>
  <c r="N25" i="70"/>
  <c r="O45" i="97"/>
  <c r="M45" i="97"/>
  <c r="F45" i="97"/>
  <c r="H45" i="97"/>
  <c r="K45" i="97"/>
  <c r="L45" i="97"/>
  <c r="E45" i="97"/>
  <c r="D45" i="97"/>
  <c r="N45" i="97"/>
  <c r="G45" i="97"/>
  <c r="F49" i="94"/>
  <c r="F57" i="94"/>
  <c r="S27" i="70" l="1"/>
  <c r="T27" i="70"/>
  <c r="T26" i="70"/>
  <c r="M27" i="70"/>
  <c r="N26" i="70"/>
  <c r="B2" i="19"/>
  <c r="B2" i="20"/>
  <c r="D6" i="94"/>
  <c r="S28" i="70" l="1"/>
  <c r="M28" i="70"/>
  <c r="N27" i="70"/>
  <c r="B6" i="20"/>
  <c r="C2" i="94"/>
  <c r="C2" i="97"/>
  <c r="D33" i="96"/>
  <c r="B33" i="96" s="1" a="1"/>
  <c r="B33" i="96" s="1"/>
  <c r="B6" i="34"/>
  <c r="S29" i="70" l="1"/>
  <c r="T28" i="70"/>
  <c r="M29" i="70"/>
  <c r="N28" i="70"/>
  <c r="F6" i="34"/>
  <c r="J6" i="34"/>
  <c r="S30" i="70" l="1"/>
  <c r="T30" i="70" s="1"/>
  <c r="T29" i="70"/>
  <c r="M30" i="70"/>
  <c r="N30" i="70" s="1"/>
  <c r="N29" i="70"/>
  <c r="B3" i="16"/>
  <c r="E3" i="39"/>
  <c r="B10" i="16"/>
  <c r="H2" i="21"/>
  <c r="C17" i="6"/>
  <c r="J7" i="20"/>
  <c r="J8" i="20" s="1"/>
  <c r="J9" i="20" s="1"/>
  <c r="J10" i="20" s="1"/>
  <c r="J11" i="20" s="1"/>
  <c r="J12" i="20" s="1"/>
  <c r="J13" i="20" s="1"/>
  <c r="J14" i="20" s="1"/>
  <c r="J15" i="20" s="1"/>
  <c r="J16" i="20" s="1"/>
  <c r="J17" i="20" s="1"/>
  <c r="J18" i="20" s="1"/>
  <c r="J19" i="20" s="1"/>
  <c r="J20" i="20" s="1"/>
  <c r="J21" i="20" s="1"/>
  <c r="J22" i="20" s="1"/>
  <c r="J23" i="20" s="1"/>
  <c r="J24" i="20" s="1"/>
  <c r="J25" i="20" s="1"/>
  <c r="J26" i="20" s="1"/>
  <c r="J27" i="20" s="1"/>
  <c r="J28" i="20" s="1"/>
  <c r="J29" i="20" s="1"/>
  <c r="J30" i="20" s="1"/>
  <c r="J31" i="20" s="1"/>
  <c r="J32" i="20" s="1"/>
  <c r="J33" i="20" s="1"/>
  <c r="J34" i="20" s="1"/>
  <c r="J35" i="20" s="1"/>
  <c r="J36" i="20" s="1"/>
  <c r="J37" i="20" s="1"/>
  <c r="J38" i="20" s="1"/>
  <c r="J39" i="20" s="1"/>
  <c r="J40" i="20" s="1"/>
  <c r="J41" i="20" s="1"/>
  <c r="J42" i="20" s="1"/>
  <c r="J43" i="20" s="1"/>
  <c r="J44" i="20" s="1"/>
  <c r="J45" i="20" s="1"/>
  <c r="J46" i="20" s="1"/>
  <c r="B5" i="19"/>
  <c r="D3" i="96"/>
  <c r="C3" i="96"/>
  <c r="B3" i="96"/>
  <c r="S31" i="70" l="1"/>
  <c r="M31" i="70"/>
  <c r="C7" i="6"/>
  <c r="E15" i="16"/>
  <c r="B5" i="39"/>
  <c r="E5" i="39" s="1"/>
  <c r="E8" i="39" s="1"/>
  <c r="B4" i="39"/>
  <c r="E4" i="39" s="1"/>
  <c r="E7" i="39" s="1"/>
  <c r="E5" i="19"/>
  <c r="F5" i="19" s="1"/>
  <c r="C5" i="19"/>
  <c r="P5" i="20"/>
  <c r="H5" i="20"/>
  <c r="G5" i="20"/>
  <c r="O5" i="20"/>
  <c r="N5" i="20"/>
  <c r="F5" i="20"/>
  <c r="I50" i="94"/>
  <c r="I55" i="94"/>
  <c r="I57" i="94"/>
  <c r="B6" i="19"/>
  <c r="C3" i="16"/>
  <c r="E3" i="16"/>
  <c r="D3" i="16"/>
  <c r="J4" i="94"/>
  <c r="K4" i="94"/>
  <c r="E4" i="94"/>
  <c r="E4" i="97"/>
  <c r="K4" i="97"/>
  <c r="J4" i="97"/>
  <c r="D5" i="97"/>
  <c r="C50" i="94"/>
  <c r="C55" i="94"/>
  <c r="C57" i="94"/>
  <c r="E20" i="5"/>
  <c r="P5" i="102" s="1"/>
  <c r="C16" i="6"/>
  <c r="F20" i="5"/>
  <c r="C18" i="6"/>
  <c r="E2" i="21"/>
  <c r="K6" i="34"/>
  <c r="B2" i="21"/>
  <c r="C6" i="94"/>
  <c r="L6" i="34"/>
  <c r="G16" i="6"/>
  <c r="G6" i="6"/>
  <c r="D32" i="39"/>
  <c r="C2" i="6"/>
  <c r="I5" i="34"/>
  <c r="C9" i="6"/>
  <c r="G6" i="34"/>
  <c r="M5" i="20"/>
  <c r="E5" i="20"/>
  <c r="I6" i="34"/>
  <c r="H6" i="34"/>
  <c r="C13" i="6"/>
  <c r="D5" i="94"/>
  <c r="C2" i="21"/>
  <c r="J5" i="20"/>
  <c r="C5" i="6"/>
  <c r="F30" i="5"/>
  <c r="S32" i="70" l="1"/>
  <c r="T31" i="70"/>
  <c r="M32" i="70"/>
  <c r="N31" i="70"/>
  <c r="M5" i="102"/>
  <c r="I5" i="102"/>
  <c r="N5" i="102"/>
  <c r="J5" i="102"/>
  <c r="J7" i="102"/>
  <c r="K7" i="102"/>
  <c r="E2" i="19"/>
  <c r="G4" i="94"/>
  <c r="C2" i="19"/>
  <c r="E6" i="19"/>
  <c r="F6" i="19" s="1"/>
  <c r="C6" i="19"/>
  <c r="C10" i="16"/>
  <c r="C15" i="16"/>
  <c r="L4" i="20"/>
  <c r="D4" i="20"/>
  <c r="G4" i="97"/>
  <c r="Q5" i="20"/>
  <c r="D10" i="16"/>
  <c r="D15" i="16"/>
  <c r="O4" i="20"/>
  <c r="G4" i="20"/>
  <c r="R5" i="20"/>
  <c r="H4" i="97"/>
  <c r="A9" i="93"/>
  <c r="O4" i="97"/>
  <c r="O4" i="94"/>
  <c r="N4" i="97"/>
  <c r="N4" i="94"/>
  <c r="H4" i="94"/>
  <c r="I2" i="21"/>
  <c r="I4" i="97"/>
  <c r="B7" i="19"/>
  <c r="E7" i="19" s="1"/>
  <c r="A8" i="93"/>
  <c r="F4" i="97"/>
  <c r="M4" i="97"/>
  <c r="F4" i="94"/>
  <c r="L4" i="97"/>
  <c r="M4" i="94"/>
  <c r="F2" i="21"/>
  <c r="L4" i="94"/>
  <c r="I4" i="94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6" i="20"/>
  <c r="F31" i="5"/>
  <c r="F29" i="5"/>
  <c r="F28" i="5"/>
  <c r="S33" i="70" l="1"/>
  <c r="T32" i="70"/>
  <c r="M33" i="70"/>
  <c r="N32" i="70"/>
  <c r="F7" i="19"/>
  <c r="C7" i="19"/>
  <c r="B8" i="19"/>
  <c r="C30" i="5"/>
  <c r="C28" i="5"/>
  <c r="C29" i="5"/>
  <c r="S34" i="70" l="1"/>
  <c r="T33" i="70"/>
  <c r="M34" i="70"/>
  <c r="N34" i="70" s="1"/>
  <c r="N33" i="70"/>
  <c r="C8" i="19"/>
  <c r="E8" i="19"/>
  <c r="F8" i="19" s="1"/>
  <c r="B9" i="19"/>
  <c r="D19" i="5"/>
  <c r="C3" i="103" s="1"/>
  <c r="C10" i="5"/>
  <c r="C13" i="5"/>
  <c r="C17" i="5"/>
  <c r="C23" i="5"/>
  <c r="C26" i="5"/>
  <c r="S35" i="70" l="1"/>
  <c r="T34" i="70"/>
  <c r="M35" i="70"/>
  <c r="E9" i="19"/>
  <c r="F9" i="19" s="1"/>
  <c r="C9" i="19"/>
  <c r="B10" i="19"/>
  <c r="C5" i="20"/>
  <c r="K5" i="20"/>
  <c r="D5" i="20"/>
  <c r="L5" i="20"/>
  <c r="S36" i="70" l="1"/>
  <c r="T35" i="70"/>
  <c r="M36" i="70"/>
  <c r="N35" i="70"/>
  <c r="C10" i="19"/>
  <c r="E10" i="19"/>
  <c r="F10" i="19" s="1"/>
  <c r="B11" i="19"/>
  <c r="E52" i="94"/>
  <c r="D52" i="94"/>
  <c r="E53" i="94"/>
  <c r="D53" i="94"/>
  <c r="E56" i="94"/>
  <c r="D56" i="94"/>
  <c r="S37" i="70" l="1"/>
  <c r="T36" i="70"/>
  <c r="M37" i="70"/>
  <c r="N36" i="70"/>
  <c r="C11" i="19"/>
  <c r="E11" i="19"/>
  <c r="F11" i="19" s="1"/>
  <c r="B12" i="19"/>
  <c r="S38" i="70" l="1"/>
  <c r="T38" i="70" s="1"/>
  <c r="T37" i="70"/>
  <c r="M38" i="70"/>
  <c r="N37" i="70"/>
  <c r="C12" i="19"/>
  <c r="E12" i="19"/>
  <c r="F12" i="19" s="1"/>
  <c r="B13" i="19"/>
  <c r="S39" i="70" l="1"/>
  <c r="M39" i="70"/>
  <c r="N38" i="70"/>
  <c r="C13" i="19"/>
  <c r="E13" i="19"/>
  <c r="F13" i="19" s="1"/>
  <c r="B14" i="19"/>
  <c r="S40" i="70" l="1"/>
  <c r="T39" i="70"/>
  <c r="M40" i="70"/>
  <c r="N39" i="70"/>
  <c r="E14" i="19"/>
  <c r="F14" i="19" s="1"/>
  <c r="C14" i="19"/>
  <c r="B15" i="19"/>
  <c r="S41" i="70" l="1"/>
  <c r="T40" i="70"/>
  <c r="M41" i="70"/>
  <c r="N40" i="70"/>
  <c r="C15" i="19"/>
  <c r="E15" i="19"/>
  <c r="F15" i="19" s="1"/>
  <c r="B16" i="19"/>
  <c r="S42" i="70" l="1"/>
  <c r="T41" i="70"/>
  <c r="M42" i="70"/>
  <c r="N42" i="70" s="1"/>
  <c r="N41" i="70"/>
  <c r="C16" i="19"/>
  <c r="E16" i="19"/>
  <c r="F16" i="19" s="1"/>
  <c r="B17" i="19"/>
  <c r="C3" i="5"/>
  <c r="L5" i="5"/>
  <c r="C25" i="5"/>
  <c r="C21" i="5"/>
  <c r="C20" i="5"/>
  <c r="C16" i="5"/>
  <c r="C12" i="5"/>
  <c r="C5" i="5"/>
  <c r="C9" i="5"/>
  <c r="C8" i="5"/>
  <c r="D7" i="5"/>
  <c r="S43" i="70" l="1"/>
  <c r="T42" i="70"/>
  <c r="M43" i="70"/>
  <c r="C17" i="19"/>
  <c r="E17" i="19"/>
  <c r="F17" i="19" s="1"/>
  <c r="B18" i="19"/>
  <c r="S44" i="70" l="1"/>
  <c r="T43" i="70"/>
  <c r="M44" i="70"/>
  <c r="N43" i="70"/>
  <c r="C18" i="19"/>
  <c r="E18" i="19"/>
  <c r="F18" i="19" s="1"/>
  <c r="B19" i="19"/>
  <c r="S45" i="70" l="1"/>
  <c r="T44" i="70"/>
  <c r="M45" i="70"/>
  <c r="N44" i="70"/>
  <c r="E19" i="19"/>
  <c r="F19" i="19" s="1"/>
  <c r="C19" i="19"/>
  <c r="B20" i="19"/>
  <c r="S46" i="70" l="1"/>
  <c r="T46" i="70" s="1"/>
  <c r="T45" i="70"/>
  <c r="M46" i="70"/>
  <c r="N45" i="70"/>
  <c r="C20" i="19"/>
  <c r="E20" i="19"/>
  <c r="F20" i="19" s="1"/>
  <c r="B21" i="19"/>
  <c r="S47" i="70" l="1"/>
  <c r="M47" i="70"/>
  <c r="N46" i="70"/>
  <c r="C21" i="19"/>
  <c r="E21" i="19"/>
  <c r="F21" i="19" s="1"/>
  <c r="B22" i="19"/>
  <c r="S48" i="70" l="1"/>
  <c r="T47" i="70"/>
  <c r="M48" i="70"/>
  <c r="N47" i="70"/>
  <c r="E22" i="19"/>
  <c r="F22" i="19" s="1"/>
  <c r="C22" i="19"/>
  <c r="B23" i="19"/>
  <c r="S49" i="70" l="1"/>
  <c r="T49" i="70"/>
  <c r="T48" i="70"/>
  <c r="M49" i="70"/>
  <c r="N48" i="70"/>
  <c r="E23" i="19"/>
  <c r="F23" i="19" s="1"/>
  <c r="C23" i="19"/>
  <c r="B24" i="19"/>
  <c r="E50" i="94"/>
  <c r="D50" i="94"/>
  <c r="S50" i="70" l="1"/>
  <c r="M50" i="70"/>
  <c r="N49" i="70"/>
  <c r="C24" i="19"/>
  <c r="E24" i="19"/>
  <c r="F24" i="19" s="1"/>
  <c r="B25" i="19"/>
  <c r="F50" i="94"/>
  <c r="S51" i="70" l="1"/>
  <c r="T51" i="70"/>
  <c r="T50" i="70"/>
  <c r="M51" i="70"/>
  <c r="N50" i="70"/>
  <c r="E25" i="19"/>
  <c r="F25" i="19" s="1"/>
  <c r="C25" i="19"/>
  <c r="B26" i="19"/>
  <c r="S52" i="70" l="1"/>
  <c r="M52" i="70"/>
  <c r="N52" i="70" s="1"/>
  <c r="N51" i="70"/>
  <c r="C26" i="19"/>
  <c r="E26" i="19"/>
  <c r="F26" i="19" s="1"/>
  <c r="B27" i="19"/>
  <c r="E4" i="6"/>
  <c r="D4" i="6"/>
  <c r="S53" i="70" l="1"/>
  <c r="T53" i="70" s="1"/>
  <c r="T52" i="70"/>
  <c r="M53" i="70"/>
  <c r="N53" i="70" s="1"/>
  <c r="C27" i="19"/>
  <c r="E27" i="19"/>
  <c r="F27" i="19" s="1"/>
  <c r="B28" i="19"/>
  <c r="E51" i="94"/>
  <c r="E54" i="94"/>
  <c r="D51" i="94"/>
  <c r="D54" i="94"/>
  <c r="E58" i="94"/>
  <c r="D58" i="94"/>
  <c r="S54" i="70" l="1"/>
  <c r="M54" i="70"/>
  <c r="C28" i="19"/>
  <c r="E28" i="19"/>
  <c r="F28" i="19" s="1"/>
  <c r="B29" i="19"/>
  <c r="F56" i="94"/>
  <c r="F54" i="94"/>
  <c r="F58" i="94"/>
  <c r="F51" i="94"/>
  <c r="F53" i="94"/>
  <c r="F52" i="94"/>
  <c r="S55" i="70" l="1"/>
  <c r="T54" i="70"/>
  <c r="M55" i="70"/>
  <c r="N54" i="70"/>
  <c r="C29" i="19"/>
  <c r="E29" i="19"/>
  <c r="F29" i="19" s="1"/>
  <c r="B30" i="19"/>
  <c r="S56" i="70" l="1"/>
  <c r="T55" i="70"/>
  <c r="M56" i="70"/>
  <c r="N55" i="70"/>
  <c r="I53" i="94"/>
  <c r="E30" i="19"/>
  <c r="F30" i="19" s="1"/>
  <c r="C30" i="19"/>
  <c r="B31" i="19"/>
  <c r="S57" i="70" l="1"/>
  <c r="T56" i="70"/>
  <c r="M57" i="70"/>
  <c r="N56" i="70"/>
  <c r="C52" i="94"/>
  <c r="C31" i="19"/>
  <c r="E31" i="19"/>
  <c r="F31" i="19" s="1"/>
  <c r="B32" i="19"/>
  <c r="S58" i="70" l="1"/>
  <c r="T57" i="70"/>
  <c r="M58" i="70"/>
  <c r="N57" i="70"/>
  <c r="C32" i="19"/>
  <c r="E32" i="19"/>
  <c r="F32" i="19" s="1"/>
  <c r="B33" i="19"/>
  <c r="S59" i="70" l="1"/>
  <c r="T59" i="70" s="1"/>
  <c r="T58" i="70"/>
  <c r="M59" i="70"/>
  <c r="N58" i="70"/>
  <c r="I54" i="94"/>
  <c r="C33" i="19"/>
  <c r="E33" i="19"/>
  <c r="F33" i="19" s="1"/>
  <c r="B34" i="19"/>
  <c r="S60" i="70" l="1"/>
  <c r="T60" i="70"/>
  <c r="M60" i="70"/>
  <c r="N59" i="70"/>
  <c r="C54" i="94"/>
  <c r="C34" i="19"/>
  <c r="E34" i="19"/>
  <c r="F34" i="19" s="1"/>
  <c r="B35" i="19"/>
  <c r="S61" i="70" l="1"/>
  <c r="M61" i="70"/>
  <c r="N60" i="70"/>
  <c r="E35" i="19"/>
  <c r="F35" i="19" s="1"/>
  <c r="C35" i="19"/>
  <c r="B36" i="19"/>
  <c r="S62" i="70" l="1"/>
  <c r="T61" i="70"/>
  <c r="M62" i="70"/>
  <c r="N61" i="70"/>
  <c r="C36" i="19"/>
  <c r="E36" i="19"/>
  <c r="F36" i="19" s="1"/>
  <c r="B37" i="19"/>
  <c r="S63" i="70" l="1"/>
  <c r="T63" i="70"/>
  <c r="T62" i="70"/>
  <c r="M63" i="70"/>
  <c r="N62" i="70"/>
  <c r="E37" i="19"/>
  <c r="F37" i="19" s="1"/>
  <c r="C37" i="19"/>
  <c r="B38" i="19"/>
  <c r="S64" i="70" l="1"/>
  <c r="M64" i="70"/>
  <c r="N63" i="70"/>
  <c r="E38" i="19"/>
  <c r="F38" i="19" s="1"/>
  <c r="C38" i="19"/>
  <c r="B39" i="19"/>
  <c r="S65" i="70" l="1"/>
  <c r="T64" i="70"/>
  <c r="M65" i="70"/>
  <c r="N64" i="70"/>
  <c r="E39" i="19"/>
  <c r="F39" i="19" s="1"/>
  <c r="C39" i="19"/>
  <c r="B40" i="19"/>
  <c r="S66" i="70" l="1"/>
  <c r="T65" i="70"/>
  <c r="M66" i="70"/>
  <c r="N65" i="70"/>
  <c r="E40" i="19"/>
  <c r="F40" i="19" s="1"/>
  <c r="C40" i="19"/>
  <c r="B41" i="19"/>
  <c r="S67" i="70" l="1"/>
  <c r="T66" i="70"/>
  <c r="M67" i="70"/>
  <c r="N66" i="70"/>
  <c r="E41" i="19"/>
  <c r="F41" i="19" s="1"/>
  <c r="C41" i="19"/>
  <c r="B42" i="19"/>
  <c r="G5" i="93"/>
  <c r="H5" i="93"/>
  <c r="I5" i="93"/>
  <c r="J5" i="93"/>
  <c r="K5" i="93"/>
  <c r="L5" i="93"/>
  <c r="M5" i="93"/>
  <c r="G6" i="93"/>
  <c r="H6" i="93"/>
  <c r="I6" i="93"/>
  <c r="J6" i="93"/>
  <c r="K6" i="93"/>
  <c r="L6" i="93"/>
  <c r="M6" i="93"/>
  <c r="G3" i="93"/>
  <c r="H3" i="93"/>
  <c r="I3" i="93"/>
  <c r="J3" i="93"/>
  <c r="K3" i="93"/>
  <c r="L3" i="93"/>
  <c r="M3" i="93"/>
  <c r="G2" i="93"/>
  <c r="D5" i="6" s="1"/>
  <c r="H2" i="93"/>
  <c r="D7" i="6" s="1"/>
  <c r="I2" i="93"/>
  <c r="D9" i="6" s="1"/>
  <c r="J2" i="93"/>
  <c r="K2" i="93"/>
  <c r="E7" i="6" s="1"/>
  <c r="L2" i="93"/>
  <c r="E9" i="6" s="1"/>
  <c r="M2" i="93"/>
  <c r="E15" i="6"/>
  <c r="D15" i="6"/>
  <c r="E77" i="20"/>
  <c r="E86" i="20"/>
  <c r="E94" i="20"/>
  <c r="E126" i="20"/>
  <c r="E135" i="20"/>
  <c r="E141" i="20"/>
  <c r="E155" i="20"/>
  <c r="E158" i="20"/>
  <c r="E166" i="20"/>
  <c r="E181" i="20"/>
  <c r="E183" i="20"/>
  <c r="E190" i="20"/>
  <c r="E197" i="20"/>
  <c r="E205" i="20"/>
  <c r="E206" i="20"/>
  <c r="E212" i="20"/>
  <c r="E213" i="20"/>
  <c r="E221" i="20"/>
  <c r="E225" i="20"/>
  <c r="E227" i="20"/>
  <c r="E229" i="20"/>
  <c r="E232" i="20"/>
  <c r="E240" i="20"/>
  <c r="E245" i="20"/>
  <c r="E246" i="20"/>
  <c r="E262" i="20"/>
  <c r="E294" i="20"/>
  <c r="E303" i="20"/>
  <c r="E310" i="20"/>
  <c r="E347" i="20"/>
  <c r="E349" i="20"/>
  <c r="E358" i="20"/>
  <c r="E374" i="20"/>
  <c r="E382" i="20"/>
  <c r="E400" i="20"/>
  <c r="E405" i="20"/>
  <c r="E407" i="20"/>
  <c r="E411" i="20"/>
  <c r="E414" i="20"/>
  <c r="E437" i="20"/>
  <c r="E464" i="20"/>
  <c r="E494" i="20"/>
  <c r="E517" i="20"/>
  <c r="E533" i="20"/>
  <c r="E534" i="20"/>
  <c r="E551" i="20"/>
  <c r="E558" i="20"/>
  <c r="E574" i="20"/>
  <c r="E592" i="20"/>
  <c r="E599" i="20"/>
  <c r="E611" i="20"/>
  <c r="E622" i="20"/>
  <c r="E625" i="20"/>
  <c r="E627" i="20"/>
  <c r="E670" i="20"/>
  <c r="E677" i="20"/>
  <c r="E710" i="20"/>
  <c r="E718" i="20"/>
  <c r="E726" i="20"/>
  <c r="E734" i="20"/>
  <c r="E742" i="20"/>
  <c r="E749" i="20"/>
  <c r="E750" i="20"/>
  <c r="E765" i="20"/>
  <c r="E766" i="20"/>
  <c r="E773" i="20"/>
  <c r="E774" i="20"/>
  <c r="E814" i="20"/>
  <c r="E878" i="20"/>
  <c r="E894" i="20"/>
  <c r="E910" i="20"/>
  <c r="E934" i="20"/>
  <c r="E950" i="20"/>
  <c r="E965" i="20"/>
  <c r="E990" i="20"/>
  <c r="E1006" i="20"/>
  <c r="S68" i="70" l="1"/>
  <c r="T67" i="70"/>
  <c r="M68" i="70"/>
  <c r="N67" i="70"/>
  <c r="C42" i="19"/>
  <c r="E42" i="19"/>
  <c r="F42" i="19" s="1"/>
  <c r="B43" i="19"/>
  <c r="E367" i="20"/>
  <c r="E579" i="20"/>
  <c r="E78" i="20"/>
  <c r="E701" i="20"/>
  <c r="E430" i="20"/>
  <c r="E379" i="20"/>
  <c r="E73" i="20"/>
  <c r="E139" i="20"/>
  <c r="E822" i="20"/>
  <c r="E565" i="20"/>
  <c r="E495" i="20"/>
  <c r="E982" i="20"/>
  <c r="E805" i="20"/>
  <c r="E366" i="20"/>
  <c r="E390" i="20"/>
  <c r="E359" i="20"/>
  <c r="E870" i="20"/>
  <c r="E230" i="20"/>
  <c r="E191" i="20"/>
  <c r="E341" i="20"/>
  <c r="E518" i="20"/>
  <c r="E446" i="20"/>
  <c r="E791" i="20"/>
  <c r="E453" i="20"/>
  <c r="E553" i="20"/>
  <c r="E167" i="20"/>
  <c r="E454" i="20"/>
  <c r="E797" i="20"/>
  <c r="E509" i="20"/>
  <c r="E587" i="20"/>
  <c r="E273" i="20"/>
  <c r="E255" i="20"/>
  <c r="E733" i="20"/>
  <c r="E326" i="20"/>
  <c r="E286" i="20"/>
  <c r="E261" i="20"/>
  <c r="E301" i="20"/>
  <c r="E696" i="20"/>
  <c r="E929" i="20"/>
  <c r="E593" i="20"/>
  <c r="E471" i="20"/>
  <c r="E208" i="20"/>
  <c r="E214" i="20"/>
  <c r="E211" i="20"/>
  <c r="E69" i="20"/>
  <c r="E409" i="20"/>
  <c r="E98" i="20"/>
  <c r="E943" i="20"/>
  <c r="E434" i="20"/>
  <c r="E984" i="20"/>
  <c r="E55" i="20"/>
  <c r="E496" i="20"/>
  <c r="E149" i="20"/>
  <c r="E325" i="20"/>
  <c r="E153" i="20"/>
  <c r="E99" i="20"/>
  <c r="E754" i="20"/>
  <c r="E752" i="20"/>
  <c r="E661" i="20"/>
  <c r="E966" i="20"/>
  <c r="E641" i="20"/>
  <c r="E1005" i="20"/>
  <c r="E342" i="20"/>
  <c r="E318" i="20"/>
  <c r="E224" i="20"/>
  <c r="E422" i="20"/>
  <c r="E117" i="20"/>
  <c r="E179" i="20"/>
  <c r="E789" i="20"/>
  <c r="E217" i="20"/>
  <c r="E254" i="20"/>
  <c r="E959" i="20"/>
  <c r="E926" i="20"/>
  <c r="E973" i="20"/>
  <c r="E827" i="20"/>
  <c r="E348" i="20"/>
  <c r="E949" i="20"/>
  <c r="E933" i="20"/>
  <c r="E136" i="20"/>
  <c r="E958" i="20"/>
  <c r="E727" i="20"/>
  <c r="E849" i="20"/>
  <c r="E597" i="20"/>
  <c r="E865" i="20"/>
  <c r="E705" i="20"/>
  <c r="E37" i="20"/>
  <c r="E896" i="20"/>
  <c r="E879" i="20"/>
  <c r="E861" i="20"/>
  <c r="E810" i="20"/>
  <c r="E867" i="20"/>
  <c r="E771" i="20"/>
  <c r="E376" i="20"/>
  <c r="E334" i="20"/>
  <c r="E429" i="20"/>
  <c r="E689" i="20"/>
  <c r="E237" i="20"/>
  <c r="E610" i="20"/>
  <c r="E919" i="20"/>
  <c r="E869" i="20"/>
  <c r="E485" i="20"/>
  <c r="E157" i="20"/>
  <c r="E837" i="20"/>
  <c r="E83" i="20"/>
  <c r="E717" i="20"/>
  <c r="E173" i="20"/>
  <c r="E573" i="20"/>
  <c r="E133" i="20"/>
  <c r="E278" i="20"/>
  <c r="E741" i="20"/>
  <c r="E53" i="20"/>
  <c r="E598" i="20"/>
  <c r="E613" i="20"/>
  <c r="E738" i="20"/>
  <c r="E944" i="20"/>
  <c r="E29" i="20"/>
  <c r="E477" i="20"/>
  <c r="E605" i="20"/>
  <c r="E143" i="20"/>
  <c r="E493" i="20"/>
  <c r="E582" i="20"/>
  <c r="E603" i="20"/>
  <c r="E783" i="20"/>
  <c r="E645" i="20"/>
  <c r="E357" i="20"/>
  <c r="E137" i="20"/>
  <c r="E408" i="20"/>
  <c r="E725" i="20"/>
  <c r="E992" i="20"/>
  <c r="E416" i="20"/>
  <c r="E798" i="20"/>
  <c r="E162" i="20"/>
  <c r="E346" i="20"/>
  <c r="E675" i="20"/>
  <c r="E398" i="20"/>
  <c r="E780" i="20"/>
  <c r="E54" i="20"/>
  <c r="E461" i="20"/>
  <c r="E850" i="20"/>
  <c r="E942" i="20"/>
  <c r="E85" i="20"/>
  <c r="E794" i="20"/>
  <c r="E945" i="20"/>
  <c r="E782" i="20"/>
  <c r="E340" i="20"/>
  <c r="E902" i="20"/>
  <c r="E188" i="20"/>
  <c r="E643" i="20"/>
  <c r="E667" i="20"/>
  <c r="E815" i="20"/>
  <c r="E897" i="20"/>
  <c r="E431" i="20"/>
  <c r="E487" i="20"/>
  <c r="E674" i="20"/>
  <c r="E829" i="20"/>
  <c r="E442" i="20"/>
  <c r="E505" i="20"/>
  <c r="E540" i="20"/>
  <c r="E630" i="20"/>
  <c r="E67" i="20"/>
  <c r="E663" i="20"/>
  <c r="E538" i="20"/>
  <c r="E601" i="20"/>
  <c r="E168" i="20"/>
  <c r="E785" i="20"/>
  <c r="E368" i="20"/>
  <c r="E686" i="20"/>
  <c r="E872" i="20"/>
  <c r="E692" i="20"/>
  <c r="E586" i="20"/>
  <c r="E491" i="20"/>
  <c r="E951" i="20"/>
  <c r="E76" i="20"/>
  <c r="E901" i="20"/>
  <c r="E92" i="20"/>
  <c r="E880" i="20"/>
  <c r="E925" i="20"/>
  <c r="E537" i="20"/>
  <c r="E256" i="20"/>
  <c r="E589" i="20"/>
  <c r="E764" i="20"/>
  <c r="E998" i="20"/>
  <c r="E930" i="20"/>
  <c r="E541" i="20"/>
  <c r="E524" i="20"/>
  <c r="E939" i="20"/>
  <c r="E892" i="20"/>
  <c r="E703" i="20"/>
  <c r="E877" i="20"/>
  <c r="E813" i="20"/>
  <c r="E758" i="20"/>
  <c r="E693" i="20"/>
  <c r="E187" i="20"/>
  <c r="E84" i="20"/>
  <c r="E365" i="20"/>
  <c r="E682" i="20"/>
  <c r="E730" i="20"/>
  <c r="E130" i="20"/>
  <c r="E305" i="20"/>
  <c r="E836" i="20"/>
  <c r="E498" i="20"/>
  <c r="E43" i="20"/>
  <c r="E617" i="20"/>
  <c r="E134" i="20"/>
  <c r="E904" i="20"/>
  <c r="E698" i="20"/>
  <c r="E112" i="20"/>
  <c r="E269" i="20"/>
  <c r="E662" i="20"/>
  <c r="E563" i="20"/>
  <c r="E329" i="20"/>
  <c r="E313" i="20"/>
  <c r="E575" i="20"/>
  <c r="E28" i="20"/>
  <c r="E478" i="20"/>
  <c r="E632" i="20"/>
  <c r="E100" i="20"/>
  <c r="E450" i="20"/>
  <c r="E512" i="20"/>
  <c r="E235" i="20"/>
  <c r="E807" i="20"/>
  <c r="E123" i="20"/>
  <c r="E912" i="20"/>
  <c r="E571" i="20"/>
  <c r="E588" i="20"/>
  <c r="E75" i="20"/>
  <c r="E612" i="20"/>
  <c r="E427" i="20"/>
  <c r="E884" i="20"/>
  <c r="E510" i="20"/>
  <c r="E389" i="20"/>
  <c r="E619" i="20"/>
  <c r="E514" i="20"/>
  <c r="E66" i="20"/>
  <c r="E744" i="20"/>
  <c r="E823" i="20"/>
  <c r="E728" i="20"/>
  <c r="E978" i="20"/>
  <c r="E856" i="20"/>
  <c r="E801" i="20"/>
  <c r="E216" i="20"/>
  <c r="E72" i="20"/>
  <c r="E539" i="20"/>
  <c r="E832" i="20"/>
  <c r="E1004" i="20"/>
  <c r="E712" i="20"/>
  <c r="E283" i="20"/>
  <c r="E44" i="20"/>
  <c r="E350" i="20"/>
  <c r="E723" i="20"/>
  <c r="E755" i="20"/>
  <c r="E886" i="20"/>
  <c r="E792" i="20"/>
  <c r="E722" i="20"/>
  <c r="E980" i="20"/>
  <c r="E854" i="20"/>
  <c r="E13" i="20"/>
  <c r="E272" i="20"/>
  <c r="E68" i="20"/>
  <c r="E455" i="20"/>
  <c r="E911" i="20"/>
  <c r="E932" i="20"/>
  <c r="E811" i="20"/>
  <c r="E826" i="20"/>
  <c r="E572" i="20"/>
  <c r="E30" i="20"/>
  <c r="E196" i="20"/>
  <c r="E93" i="20"/>
  <c r="E223" i="20"/>
  <c r="E148" i="20"/>
  <c r="E309" i="20"/>
  <c r="E469" i="20"/>
  <c r="E644" i="20"/>
  <c r="E941" i="20"/>
  <c r="E106" i="20"/>
  <c r="E63" i="20"/>
  <c r="E448" i="20"/>
  <c r="E101" i="20"/>
  <c r="E239" i="20"/>
  <c r="E559" i="20"/>
  <c r="E266" i="20"/>
  <c r="E709" i="20"/>
  <c r="E324" i="20"/>
  <c r="E314" i="20"/>
  <c r="E899" i="20"/>
  <c r="E635" i="20"/>
  <c r="E812" i="20"/>
  <c r="E508" i="20"/>
  <c r="E646" i="20"/>
  <c r="E102" i="20"/>
  <c r="E87" i="20"/>
  <c r="E203" i="20"/>
  <c r="E841" i="20"/>
  <c r="E536" i="20"/>
  <c r="E847" i="20"/>
  <c r="E222" i="20"/>
  <c r="E460" i="20"/>
  <c r="E664" i="20"/>
  <c r="E526" i="20"/>
  <c r="E960" i="20"/>
  <c r="E678" i="20"/>
  <c r="E23" i="20"/>
  <c r="E486" i="20"/>
  <c r="E557" i="20"/>
  <c r="E543" i="20"/>
  <c r="E547" i="20"/>
  <c r="E549" i="20"/>
  <c r="E372" i="20"/>
  <c r="E201" i="20"/>
  <c r="E669" i="20"/>
  <c r="E248" i="20"/>
  <c r="E729" i="20"/>
  <c r="E435" i="20"/>
  <c r="E52" i="20"/>
  <c r="E898" i="20"/>
  <c r="E501" i="20"/>
  <c r="E956" i="20"/>
  <c r="E736" i="20"/>
  <c r="E128" i="20"/>
  <c r="E595" i="20"/>
  <c r="E624" i="20"/>
  <c r="E49" i="20"/>
  <c r="E552" i="20"/>
  <c r="E423" i="20"/>
  <c r="E441" i="20"/>
  <c r="E300" i="20"/>
  <c r="E343" i="20"/>
  <c r="E25" i="20"/>
  <c r="E41" i="20"/>
  <c r="E345" i="20"/>
  <c r="E857" i="20"/>
  <c r="E695" i="20"/>
  <c r="E874" i="20"/>
  <c r="E863" i="20"/>
  <c r="E666" i="20"/>
  <c r="E974" i="20"/>
  <c r="E739" i="20"/>
  <c r="E817" i="20"/>
  <c r="E220" i="20"/>
  <c r="E337" i="20"/>
  <c r="E535" i="20"/>
  <c r="E500" i="20"/>
  <c r="E784" i="20"/>
  <c r="E121" i="20"/>
  <c r="E614" i="20"/>
  <c r="E110" i="20"/>
  <c r="E997" i="20"/>
  <c r="E607" i="20"/>
  <c r="E356" i="20"/>
  <c r="E410" i="20"/>
  <c r="E855" i="20"/>
  <c r="E616" i="20"/>
  <c r="E976" i="20"/>
  <c r="E977" i="20"/>
  <c r="E968" i="20"/>
  <c r="E175" i="20"/>
  <c r="E504" i="20"/>
  <c r="E438" i="20"/>
  <c r="E917" i="20"/>
  <c r="E377" i="20"/>
  <c r="E97" i="20"/>
  <c r="E647" i="20"/>
  <c r="E156" i="20"/>
  <c r="E439" i="20"/>
  <c r="E591" i="20"/>
  <c r="E481" i="20"/>
  <c r="E264" i="20"/>
  <c r="E277" i="20"/>
  <c r="E306" i="20"/>
  <c r="E769" i="20"/>
  <c r="E609" i="20"/>
  <c r="E777" i="20"/>
  <c r="E989" i="20"/>
  <c r="E40" i="20"/>
  <c r="E419" i="20"/>
  <c r="E428" i="20"/>
  <c r="E369" i="20"/>
  <c r="E581" i="20"/>
  <c r="E385" i="20"/>
  <c r="E525" i="20"/>
  <c r="E360" i="20"/>
  <c r="E351" i="20"/>
  <c r="E31" i="20"/>
  <c r="E48" i="20"/>
  <c r="E913" i="20"/>
  <c r="E694" i="20"/>
  <c r="E657" i="20"/>
  <c r="E152" i="20"/>
  <c r="E885" i="20"/>
  <c r="E384" i="20"/>
  <c r="E713" i="20"/>
  <c r="E991" i="20"/>
  <c r="E502" i="20"/>
  <c r="E562" i="20"/>
  <c r="E176" i="20"/>
  <c r="E381" i="20"/>
  <c r="E65" i="20"/>
  <c r="E839" i="20"/>
  <c r="E339" i="20"/>
  <c r="E523" i="20"/>
  <c r="E544" i="20"/>
  <c r="E862" i="20"/>
  <c r="E642" i="20"/>
  <c r="E554" i="20"/>
  <c r="E843" i="20"/>
  <c r="E189" i="20"/>
  <c r="E231" i="20"/>
  <c r="E602" i="20"/>
  <c r="E297" i="20"/>
  <c r="E443" i="20"/>
  <c r="E317" i="20"/>
  <c r="E821" i="20"/>
  <c r="E702" i="20"/>
  <c r="E830" i="20"/>
  <c r="E276" i="20"/>
  <c r="E253" i="20"/>
  <c r="E640" i="20"/>
  <c r="E440" i="20"/>
  <c r="E207" i="20"/>
  <c r="E332" i="20"/>
  <c r="E708" i="20"/>
  <c r="E688" i="20"/>
  <c r="E761" i="20"/>
  <c r="E743" i="20"/>
  <c r="E834" i="20"/>
  <c r="E397" i="20"/>
  <c r="E922" i="20"/>
  <c r="E615" i="20"/>
  <c r="E127" i="20"/>
  <c r="E373" i="20"/>
  <c r="E113" i="20"/>
  <c r="E293" i="20"/>
  <c r="E659" i="20"/>
  <c r="E470" i="20"/>
  <c r="E938" i="20"/>
  <c r="E56" i="20"/>
  <c r="E292" i="20"/>
  <c r="E238" i="20"/>
  <c r="E748" i="20"/>
  <c r="E391" i="20"/>
  <c r="E680" i="20"/>
  <c r="E606" i="20"/>
  <c r="E808" i="20"/>
  <c r="E484" i="20"/>
  <c r="E840" i="20"/>
  <c r="E165" i="20"/>
  <c r="E621" i="20"/>
  <c r="E936" i="20"/>
  <c r="E800" i="20"/>
  <c r="E776" i="20"/>
  <c r="E672" i="20"/>
  <c r="E104" i="20"/>
  <c r="E344" i="20"/>
  <c r="E108" i="20"/>
  <c r="E838" i="20"/>
  <c r="E844" i="20"/>
  <c r="E648" i="20"/>
  <c r="E132" i="20"/>
  <c r="E449" i="20"/>
  <c r="E215" i="20"/>
  <c r="E375" i="20"/>
  <c r="E488" i="20"/>
  <c r="E302" i="20"/>
  <c r="E953" i="20"/>
  <c r="E511" i="20"/>
  <c r="E848" i="20"/>
  <c r="E271" i="20"/>
  <c r="E462" i="20"/>
  <c r="E975" i="20"/>
  <c r="E983" i="20"/>
  <c r="E653" i="20"/>
  <c r="E15" i="20"/>
  <c r="E888" i="20"/>
  <c r="E737" i="20"/>
  <c r="E447" i="20"/>
  <c r="E762" i="20"/>
  <c r="E673" i="20"/>
  <c r="E280" i="20"/>
  <c r="E171" i="20"/>
  <c r="E608" i="20"/>
  <c r="E472" i="20"/>
  <c r="E550" i="20"/>
  <c r="E937" i="20"/>
  <c r="E319" i="20"/>
  <c r="E109" i="20"/>
  <c r="E311" i="20"/>
  <c r="E184" i="20"/>
  <c r="E781" i="20"/>
  <c r="E629" i="20"/>
  <c r="E192" i="20"/>
  <c r="E521" i="20"/>
  <c r="E120" i="20"/>
  <c r="E20" i="20"/>
  <c r="E961" i="20"/>
  <c r="E649" i="20"/>
  <c r="E921" i="20"/>
  <c r="E8" i="6"/>
  <c r="D8" i="6"/>
  <c r="E10" i="6"/>
  <c r="D10" i="6"/>
  <c r="E923" i="20"/>
  <c r="E924" i="20"/>
  <c r="E193" i="20"/>
  <c r="E473" i="20"/>
  <c r="E660" i="20"/>
  <c r="E144" i="20"/>
  <c r="E265" i="20"/>
  <c r="E948" i="20"/>
  <c r="E489" i="20"/>
  <c r="E628" i="20"/>
  <c r="E107" i="20"/>
  <c r="E909" i="20"/>
  <c r="E282" i="20"/>
  <c r="E209" i="20"/>
  <c r="E860" i="20"/>
  <c r="E788" i="20"/>
  <c r="E364" i="20"/>
  <c r="E852" i="20"/>
  <c r="E760" i="20"/>
  <c r="E88" i="20"/>
  <c r="E355" i="20"/>
  <c r="E883" i="20"/>
  <c r="E853" i="20"/>
  <c r="E889" i="20"/>
  <c r="E90" i="20"/>
  <c r="E163" i="20"/>
  <c r="E424" i="20"/>
  <c r="E466" i="20"/>
  <c r="E957" i="20"/>
  <c r="E218" i="20"/>
  <c r="E972" i="20"/>
  <c r="E767" i="20"/>
  <c r="E1001" i="20"/>
  <c r="E604" i="20"/>
  <c r="E580" i="20"/>
  <c r="E719" i="20"/>
  <c r="E475" i="20"/>
  <c r="E219" i="20"/>
  <c r="E584" i="20"/>
  <c r="E289" i="20"/>
  <c r="E399" i="20"/>
  <c r="E770" i="20"/>
  <c r="E715" i="20"/>
  <c r="E180" i="20"/>
  <c r="E307" i="20"/>
  <c r="E881" i="20"/>
  <c r="E756" i="20"/>
  <c r="E178" i="20"/>
  <c r="E299" i="20"/>
  <c r="E995" i="20"/>
  <c r="E600" i="20"/>
  <c r="E999" i="20"/>
  <c r="E118" i="20"/>
  <c r="E323" i="20"/>
  <c r="E656" i="20"/>
  <c r="E451" i="20"/>
  <c r="E623" i="20"/>
  <c r="E322" i="20"/>
  <c r="E796" i="20"/>
  <c r="E465" i="20"/>
  <c r="E186" i="20"/>
  <c r="E638" i="20"/>
  <c r="E436" i="20"/>
  <c r="E138" i="20"/>
  <c r="E685" i="20"/>
  <c r="E260" i="20"/>
  <c r="E542" i="20"/>
  <c r="E198" i="20"/>
  <c r="E935" i="20"/>
  <c r="E520" i="20"/>
  <c r="E633" i="20"/>
  <c r="E1003" i="20"/>
  <c r="E803" i="20"/>
  <c r="E596" i="20"/>
  <c r="E859" i="20"/>
  <c r="E122" i="20"/>
  <c r="E146" i="20"/>
  <c r="E954" i="20"/>
  <c r="E392" i="20"/>
  <c r="E362" i="20"/>
  <c r="E70" i="20"/>
  <c r="E62" i="20"/>
  <c r="E779" i="20"/>
  <c r="E639" i="20"/>
  <c r="E940" i="20"/>
  <c r="E415" i="20"/>
  <c r="E336" i="20"/>
  <c r="E51" i="20"/>
  <c r="E721" i="20"/>
  <c r="E907" i="20"/>
  <c r="E80" i="20"/>
  <c r="E530" i="20"/>
  <c r="E393" i="20"/>
  <c r="E716" i="20"/>
  <c r="E387" i="20"/>
  <c r="E576" i="20"/>
  <c r="E560" i="20"/>
  <c r="E818" i="20"/>
  <c r="E142" i="20"/>
  <c r="E497" i="20"/>
  <c r="E699" i="20"/>
  <c r="E452" i="20"/>
  <c r="E200" i="20"/>
  <c r="E315" i="20"/>
  <c r="E915" i="20"/>
  <c r="E476" i="20"/>
  <c r="E50" i="20"/>
  <c r="E492" i="20"/>
  <c r="E1000" i="20"/>
  <c r="E751" i="20"/>
  <c r="E177" i="20"/>
  <c r="E456" i="20"/>
  <c r="E304" i="20"/>
  <c r="E527" i="20"/>
  <c r="E987" i="20"/>
  <c r="E354" i="20"/>
  <c r="E119" i="20"/>
  <c r="E516" i="20"/>
  <c r="E64" i="20"/>
  <c r="E714" i="20"/>
  <c r="E36" i="20"/>
  <c r="E363" i="20"/>
  <c r="E395" i="20"/>
  <c r="E417" i="20"/>
  <c r="E876" i="20"/>
  <c r="E845" i="20"/>
  <c r="E793" i="20"/>
  <c r="E170" i="20"/>
  <c r="E394" i="20"/>
  <c r="E210" i="20"/>
  <c r="E918" i="20"/>
  <c r="E34" i="20"/>
  <c r="E328" i="20"/>
  <c r="E528" i="20"/>
  <c r="E569" i="20"/>
  <c r="E676" i="20"/>
  <c r="E969" i="20"/>
  <c r="E249" i="20"/>
  <c r="E994" i="20"/>
  <c r="E507" i="20"/>
  <c r="E567" i="20"/>
  <c r="E905" i="20"/>
  <c r="E887" i="20"/>
  <c r="E746" i="20"/>
  <c r="E833" i="20"/>
  <c r="E194" i="20"/>
  <c r="E11" i="20"/>
  <c r="E463" i="20"/>
  <c r="E418" i="20"/>
  <c r="E763" i="20"/>
  <c r="E145" i="20"/>
  <c r="E546" i="20"/>
  <c r="E47" i="20"/>
  <c r="E316" i="20"/>
  <c r="E204" i="20"/>
  <c r="E819" i="20"/>
  <c r="E636" i="20"/>
  <c r="E577" i="20"/>
  <c r="E594" i="20"/>
  <c r="E775" i="20"/>
  <c r="E529" i="20"/>
  <c r="E82" i="20"/>
  <c r="E700" i="20"/>
  <c r="E202" i="20"/>
  <c r="E799" i="20"/>
  <c r="E490" i="20"/>
  <c r="E786" i="20"/>
  <c r="E842" i="20"/>
  <c r="E474" i="20"/>
  <c r="E900" i="20"/>
  <c r="E458" i="20"/>
  <c r="E556" i="20"/>
  <c r="E927" i="20"/>
  <c r="E665" i="20"/>
  <c r="E26" i="20"/>
  <c r="E996" i="20"/>
  <c r="E268" i="20"/>
  <c r="E233" i="20"/>
  <c r="E757" i="20"/>
  <c r="E308" i="20"/>
  <c r="E250" i="20"/>
  <c r="E820" i="20"/>
  <c r="E242" i="20"/>
  <c r="E585" i="20"/>
  <c r="E947" i="20"/>
  <c r="E522" i="20"/>
  <c r="E652" i="20"/>
  <c r="E444" i="20"/>
  <c r="E169" i="20"/>
  <c r="E482" i="20"/>
  <c r="E503" i="20"/>
  <c r="E291" i="20"/>
  <c r="E79" i="20"/>
  <c r="E631" i="20"/>
  <c r="E795" i="20"/>
  <c r="E787" i="20"/>
  <c r="E275" i="20"/>
  <c r="E868" i="20"/>
  <c r="E745" i="20"/>
  <c r="E259" i="20"/>
  <c r="E548" i="20"/>
  <c r="E578" i="20"/>
  <c r="E684" i="20"/>
  <c r="E288" i="20"/>
  <c r="E720" i="20"/>
  <c r="E890" i="20"/>
  <c r="E620" i="20"/>
  <c r="E963" i="20"/>
  <c r="E234" i="20"/>
  <c r="E858" i="20"/>
  <c r="E986" i="20"/>
  <c r="E432" i="20"/>
  <c r="E60" i="20"/>
  <c r="E740" i="20"/>
  <c r="E893" i="20"/>
  <c r="E124" i="20"/>
  <c r="E244" i="20"/>
  <c r="E386" i="20"/>
  <c r="E835" i="20"/>
  <c r="E706" i="20"/>
  <c r="E258" i="20"/>
  <c r="E519" i="20"/>
  <c r="E626" i="20"/>
  <c r="E732" i="20"/>
  <c r="E284" i="20"/>
  <c r="E467" i="20"/>
  <c r="E790" i="20"/>
  <c r="E946" i="20"/>
  <c r="E515" i="20"/>
  <c r="E971" i="20"/>
  <c r="E658" i="20"/>
  <c r="E274" i="20"/>
  <c r="E851" i="20"/>
  <c r="E864" i="20"/>
  <c r="E668" i="20"/>
  <c r="E655" i="20"/>
  <c r="E296" i="20"/>
  <c r="E252" i="20"/>
  <c r="E962" i="20"/>
  <c r="E707" i="20"/>
  <c r="E59" i="20"/>
  <c r="E882" i="20"/>
  <c r="E483" i="20"/>
  <c r="E711" i="20"/>
  <c r="E967" i="20"/>
  <c r="E964" i="20"/>
  <c r="E735" i="20"/>
  <c r="E151" i="20"/>
  <c r="E981" i="20"/>
  <c r="E618" i="20"/>
  <c r="E568" i="20"/>
  <c r="E687" i="20"/>
  <c r="E690" i="20"/>
  <c r="E506" i="20"/>
  <c r="E114" i="20"/>
  <c r="E257" i="20"/>
  <c r="E970" i="20"/>
  <c r="E806" i="20"/>
  <c r="E182" i="20"/>
  <c r="E199" i="20"/>
  <c r="E532" i="20"/>
  <c r="E931" i="20"/>
  <c r="E383" i="20"/>
  <c r="E91" i="20"/>
  <c r="E804" i="20"/>
  <c r="E590" i="20"/>
  <c r="E406" i="20"/>
  <c r="E159" i="20"/>
  <c r="E172" i="20"/>
  <c r="E140" i="20"/>
  <c r="E993" i="20"/>
  <c r="E147" i="20"/>
  <c r="E809" i="20"/>
  <c r="E828" i="20"/>
  <c r="E985" i="20"/>
  <c r="E988" i="20"/>
  <c r="E753" i="20"/>
  <c r="E778" i="20"/>
  <c r="E545" i="20"/>
  <c r="E401" i="20"/>
  <c r="E564" i="20"/>
  <c r="E131" i="20"/>
  <c r="E425" i="20"/>
  <c r="E928" i="20"/>
  <c r="E891" i="20"/>
  <c r="E9" i="20"/>
  <c r="E846" i="20"/>
  <c r="E914" i="20"/>
  <c r="E116" i="20"/>
  <c r="E499" i="20"/>
  <c r="E871" i="20"/>
  <c r="E312" i="20"/>
  <c r="E637" i="20"/>
  <c r="E35" i="20"/>
  <c r="E111" i="20"/>
  <c r="E654" i="20"/>
  <c r="E955" i="20"/>
  <c r="E772" i="20"/>
  <c r="E403" i="20"/>
  <c r="E251" i="20"/>
  <c r="E875" i="20"/>
  <c r="E290" i="20"/>
  <c r="E330" i="20"/>
  <c r="E236" i="20"/>
  <c r="E1002" i="20"/>
  <c r="E58" i="20"/>
  <c r="E412" i="20"/>
  <c r="E479" i="20"/>
  <c r="E831" i="20"/>
  <c r="E161" i="20"/>
  <c r="E378" i="20"/>
  <c r="E561" i="20"/>
  <c r="E566" i="20"/>
  <c r="E71" i="20"/>
  <c r="E555" i="20"/>
  <c r="E825" i="20"/>
  <c r="E174" i="20"/>
  <c r="E824" i="20"/>
  <c r="E426" i="20"/>
  <c r="E747" i="20"/>
  <c r="E89" i="20"/>
  <c r="E697" i="20"/>
  <c r="E370" i="20"/>
  <c r="E683" i="20"/>
  <c r="E583" i="20"/>
  <c r="E267" i="20"/>
  <c r="E295" i="20"/>
  <c r="E46" i="20"/>
  <c r="E8" i="20"/>
  <c r="E164" i="20"/>
  <c r="E908" i="20"/>
  <c r="E895" i="20"/>
  <c r="E335" i="20"/>
  <c r="E952" i="20"/>
  <c r="E81" i="20"/>
  <c r="E651" i="20"/>
  <c r="E724" i="20"/>
  <c r="E338" i="20"/>
  <c r="E671" i="20"/>
  <c r="E270" i="20"/>
  <c r="E802" i="20"/>
  <c r="E650" i="20"/>
  <c r="E228" i="20"/>
  <c r="E388" i="20"/>
  <c r="E380" i="20"/>
  <c r="E281" i="20"/>
  <c r="E457" i="20"/>
  <c r="E480" i="20"/>
  <c r="E361" i="20"/>
  <c r="E327" i="20"/>
  <c r="E731" i="20"/>
  <c r="E979" i="20"/>
  <c r="E195" i="20"/>
  <c r="E243" i="20"/>
  <c r="E634" i="20"/>
  <c r="E160" i="20"/>
  <c r="E287" i="20"/>
  <c r="E185" i="20"/>
  <c r="E115" i="20"/>
  <c r="E873" i="20"/>
  <c r="E298" i="20"/>
  <c r="E226" i="20"/>
  <c r="E570" i="20"/>
  <c r="E404" i="20"/>
  <c r="E816" i="20"/>
  <c r="E95" i="20"/>
  <c r="E16" i="20"/>
  <c r="E320" i="20"/>
  <c r="E920" i="20"/>
  <c r="E468" i="20"/>
  <c r="E17" i="20"/>
  <c r="E691" i="20"/>
  <c r="E433" i="20"/>
  <c r="C6" i="20"/>
  <c r="D6" i="20"/>
  <c r="E420" i="20"/>
  <c r="E74" i="20"/>
  <c r="E866" i="20"/>
  <c r="E679" i="20"/>
  <c r="E371" i="20"/>
  <c r="E768" i="20"/>
  <c r="E704" i="20"/>
  <c r="E42" i="20"/>
  <c r="E32" i="20"/>
  <c r="E154" i="20"/>
  <c r="E903" i="20"/>
  <c r="E18" i="20"/>
  <c r="E6" i="6"/>
  <c r="D6" i="6"/>
  <c r="E445" i="20"/>
  <c r="E22" i="20"/>
  <c r="E5" i="6"/>
  <c r="E7" i="20"/>
  <c r="E352" i="20"/>
  <c r="E279" i="20"/>
  <c r="E24" i="20"/>
  <c r="E513" i="20"/>
  <c r="E321" i="20"/>
  <c r="E353" i="20"/>
  <c r="E105" i="20"/>
  <c r="E57" i="20"/>
  <c r="E241" i="20"/>
  <c r="E906" i="20"/>
  <c r="E531" i="20"/>
  <c r="E103" i="20"/>
  <c r="E10" i="20"/>
  <c r="E33" i="20"/>
  <c r="E27" i="20"/>
  <c r="E331" i="20"/>
  <c r="E125" i="20"/>
  <c r="E39" i="20"/>
  <c r="E247" i="20"/>
  <c r="E263" i="20"/>
  <c r="E285" i="20"/>
  <c r="E396" i="20"/>
  <c r="E96" i="20"/>
  <c r="E21" i="20"/>
  <c r="E402" i="20"/>
  <c r="E38" i="20"/>
  <c r="E14" i="20"/>
  <c r="E333" i="20"/>
  <c r="E61" i="20"/>
  <c r="E421" i="20"/>
  <c r="E459" i="20"/>
  <c r="E413" i="20"/>
  <c r="E681" i="20"/>
  <c r="E916" i="20"/>
  <c r="E129" i="20"/>
  <c r="E759" i="20"/>
  <c r="E150" i="20"/>
  <c r="E45" i="20"/>
  <c r="E19" i="20"/>
  <c r="B5" i="93"/>
  <c r="E3" i="93"/>
  <c r="B6" i="93"/>
  <c r="B2" i="93"/>
  <c r="E2" i="93"/>
  <c r="E5" i="93"/>
  <c r="E6" i="93"/>
  <c r="B3" i="93"/>
  <c r="M7" i="93"/>
  <c r="C3" i="93"/>
  <c r="C6" i="93"/>
  <c r="C5" i="93"/>
  <c r="C2" i="93"/>
  <c r="F7" i="6" s="1"/>
  <c r="E12" i="20"/>
  <c r="C11" i="21"/>
  <c r="C7" i="21"/>
  <c r="C12" i="21"/>
  <c r="C9" i="21"/>
  <c r="C10" i="21"/>
  <c r="C8" i="21"/>
  <c r="C5" i="21"/>
  <c r="C4" i="21"/>
  <c r="C6" i="21"/>
  <c r="C3" i="21"/>
  <c r="S69" i="70" l="1"/>
  <c r="T68" i="70"/>
  <c r="M69" i="70"/>
  <c r="N68" i="70"/>
  <c r="I58" i="94"/>
  <c r="C43" i="19"/>
  <c r="E43" i="19"/>
  <c r="F43" i="19" s="1"/>
  <c r="D16" i="16"/>
  <c r="C16" i="16"/>
  <c r="B44" i="19"/>
  <c r="F9" i="6"/>
  <c r="G7" i="6"/>
  <c r="G8" i="6"/>
  <c r="F8" i="6"/>
  <c r="G10" i="6"/>
  <c r="G9" i="6"/>
  <c r="F10" i="6"/>
  <c r="E6" i="20"/>
  <c r="F6" i="6"/>
  <c r="F5" i="6"/>
  <c r="D2" i="93"/>
  <c r="D6" i="93"/>
  <c r="D5" i="93"/>
  <c r="D3" i="93"/>
  <c r="E16" i="16"/>
  <c r="F2" i="93"/>
  <c r="F6" i="93"/>
  <c r="F3" i="93"/>
  <c r="F5" i="93"/>
  <c r="B4" i="21"/>
  <c r="B12" i="21"/>
  <c r="B3" i="21"/>
  <c r="B7" i="21"/>
  <c r="B5" i="21"/>
  <c r="B11" i="21"/>
  <c r="B6" i="21"/>
  <c r="B9" i="21"/>
  <c r="B8" i="21"/>
  <c r="B10" i="21"/>
  <c r="S70" i="70" l="1"/>
  <c r="T70" i="70" s="1"/>
  <c r="T69" i="70"/>
  <c r="M70" i="70"/>
  <c r="N70" i="70" s="1"/>
  <c r="N69" i="70"/>
  <c r="C58" i="94"/>
  <c r="C44" i="19"/>
  <c r="E44" i="19"/>
  <c r="F44" i="19" s="1"/>
  <c r="B45" i="19"/>
  <c r="J8" i="6"/>
  <c r="J10" i="6"/>
  <c r="S71" i="70" l="1"/>
  <c r="T71" i="70" s="1"/>
  <c r="M71" i="70"/>
  <c r="C45" i="19"/>
  <c r="E45" i="19"/>
  <c r="F45" i="19" s="1"/>
  <c r="B46" i="19"/>
  <c r="S72" i="70" l="1"/>
  <c r="T72" i="70"/>
  <c r="M72" i="70"/>
  <c r="N72" i="70"/>
  <c r="N71" i="70"/>
  <c r="E46" i="19"/>
  <c r="F46" i="19" s="1"/>
  <c r="C46" i="19"/>
  <c r="B47" i="19"/>
  <c r="S73" i="70" l="1"/>
  <c r="M73" i="70"/>
  <c r="N73" i="70" s="1"/>
  <c r="C47" i="19"/>
  <c r="E47" i="19"/>
  <c r="F47" i="19" s="1"/>
  <c r="B48" i="19"/>
  <c r="S74" i="70" l="1"/>
  <c r="T74" i="70" s="1"/>
  <c r="T73" i="70"/>
  <c r="M74" i="70"/>
  <c r="C48" i="19"/>
  <c r="E48" i="19"/>
  <c r="F48" i="19" s="1"/>
  <c r="B49" i="19"/>
  <c r="S75" i="70" l="1"/>
  <c r="M75" i="70"/>
  <c r="N74" i="70"/>
  <c r="E49" i="19"/>
  <c r="F49" i="19" s="1"/>
  <c r="C49" i="19"/>
  <c r="B50" i="19"/>
  <c r="S76" i="70" l="1"/>
  <c r="T75" i="70"/>
  <c r="M76" i="70"/>
  <c r="N75" i="70"/>
  <c r="C50" i="19"/>
  <c r="E50" i="19"/>
  <c r="F50" i="19" s="1"/>
  <c r="B51" i="19"/>
  <c r="S77" i="70" l="1"/>
  <c r="T76" i="70"/>
  <c r="M77" i="70"/>
  <c r="N76" i="70"/>
  <c r="E51" i="19"/>
  <c r="F51" i="19" s="1"/>
  <c r="C51" i="19"/>
  <c r="B52" i="19"/>
  <c r="S78" i="70" l="1"/>
  <c r="T77" i="70"/>
  <c r="M78" i="70"/>
  <c r="N78" i="70" s="1"/>
  <c r="N77" i="70"/>
  <c r="C52" i="19"/>
  <c r="E52" i="19"/>
  <c r="F52" i="19" s="1"/>
  <c r="B53" i="19"/>
  <c r="S79" i="70" l="1"/>
  <c r="T78" i="70"/>
  <c r="M79" i="70"/>
  <c r="E53" i="19"/>
  <c r="F53" i="19" s="1"/>
  <c r="C53" i="19"/>
  <c r="B54" i="19"/>
  <c r="S80" i="70" l="1"/>
  <c r="T79" i="70"/>
  <c r="M80" i="70"/>
  <c r="N79" i="70"/>
  <c r="E54" i="19"/>
  <c r="F54" i="19" s="1"/>
  <c r="C54" i="19"/>
  <c r="B55" i="19"/>
  <c r="S81" i="70" l="1"/>
  <c r="T80" i="70"/>
  <c r="M81" i="70"/>
  <c r="N80" i="70"/>
  <c r="E55" i="19"/>
  <c r="F55" i="19" s="1"/>
  <c r="C55" i="19"/>
  <c r="S82" i="70" l="1"/>
  <c r="T82" i="70"/>
  <c r="T81" i="70"/>
  <c r="M82" i="70"/>
  <c r="N81" i="70"/>
  <c r="H5" i="70"/>
  <c r="S83" i="70" l="1"/>
  <c r="M83" i="70"/>
  <c r="N82" i="70"/>
  <c r="H7" i="70"/>
  <c r="H6" i="70"/>
  <c r="S84" i="70" l="1"/>
  <c r="T84" i="70" s="1"/>
  <c r="T83" i="70"/>
  <c r="M84" i="70"/>
  <c r="N83" i="70"/>
  <c r="H8" i="70"/>
  <c r="S85" i="70" l="1"/>
  <c r="M85" i="70"/>
  <c r="N84" i="70"/>
  <c r="H10" i="70"/>
  <c r="H9" i="70"/>
  <c r="S86" i="70" l="1"/>
  <c r="T86" i="70" s="1"/>
  <c r="T85" i="70"/>
  <c r="M86" i="70"/>
  <c r="N86" i="70"/>
  <c r="N85" i="70"/>
  <c r="H11" i="70"/>
  <c r="S87" i="70" l="1"/>
  <c r="M87" i="70"/>
  <c r="H13" i="70"/>
  <c r="H12" i="70"/>
  <c r="S88" i="70" l="1"/>
  <c r="T87" i="70"/>
  <c r="M88" i="70"/>
  <c r="N87" i="70"/>
  <c r="H14" i="70"/>
  <c r="S89" i="70" l="1"/>
  <c r="T88" i="70"/>
  <c r="M89" i="70"/>
  <c r="N88" i="70"/>
  <c r="H15" i="70"/>
  <c r="S90" i="70" l="1"/>
  <c r="T89" i="70"/>
  <c r="M90" i="70"/>
  <c r="N89" i="70"/>
  <c r="H17" i="70"/>
  <c r="H16" i="70"/>
  <c r="S91" i="70" l="1"/>
  <c r="T90" i="70"/>
  <c r="M91" i="70"/>
  <c r="N90" i="70"/>
  <c r="H18" i="70"/>
  <c r="S92" i="70" l="1"/>
  <c r="T91" i="70"/>
  <c r="M92" i="70"/>
  <c r="N91" i="70"/>
  <c r="H20" i="70"/>
  <c r="H19" i="70"/>
  <c r="S93" i="70" l="1"/>
  <c r="T93" i="70"/>
  <c r="T92" i="70"/>
  <c r="M93" i="70"/>
  <c r="N92" i="70"/>
  <c r="H21" i="70"/>
  <c r="S94" i="70" l="1"/>
  <c r="M94" i="70"/>
  <c r="N94" i="70"/>
  <c r="N93" i="70"/>
  <c r="H22" i="70"/>
  <c r="W31" i="39"/>
  <c r="S95" i="70" l="1"/>
  <c r="T94" i="70"/>
  <c r="M95" i="70"/>
  <c r="N95" i="70"/>
  <c r="C9" i="39"/>
  <c r="H23" i="70"/>
  <c r="S96" i="70" l="1"/>
  <c r="T96" i="70"/>
  <c r="T95" i="70"/>
  <c r="M96" i="70"/>
  <c r="N96" i="70"/>
  <c r="G7" i="39"/>
  <c r="O7" i="39"/>
  <c r="W7" i="39"/>
  <c r="L8" i="39"/>
  <c r="T8" i="39"/>
  <c r="H7" i="39"/>
  <c r="P7" i="39"/>
  <c r="X7" i="39"/>
  <c r="M8" i="39"/>
  <c r="U8" i="39"/>
  <c r="I7" i="39"/>
  <c r="Q7" i="39"/>
  <c r="Y7" i="39"/>
  <c r="N8" i="39"/>
  <c r="V8" i="39"/>
  <c r="J7" i="39"/>
  <c r="R7" i="39"/>
  <c r="G8" i="39"/>
  <c r="O8" i="39"/>
  <c r="K7" i="39"/>
  <c r="S7" i="39"/>
  <c r="H8" i="39"/>
  <c r="P8" i="39"/>
  <c r="X8" i="39"/>
  <c r="U7" i="39"/>
  <c r="V7" i="39"/>
  <c r="S8" i="39"/>
  <c r="W8" i="39"/>
  <c r="L7" i="39"/>
  <c r="T7" i="39"/>
  <c r="I8" i="39"/>
  <c r="Y8" i="39"/>
  <c r="J8" i="39"/>
  <c r="F7" i="39"/>
  <c r="N7" i="39"/>
  <c r="K8" i="39"/>
  <c r="Q8" i="39"/>
  <c r="M7" i="39"/>
  <c r="R8" i="39"/>
  <c r="F8" i="39"/>
  <c r="H24" i="70"/>
  <c r="S97" i="70" l="1"/>
  <c r="M97" i="70"/>
  <c r="I52" i="94"/>
  <c r="H25" i="70"/>
  <c r="S98" i="70" l="1"/>
  <c r="T97" i="70"/>
  <c r="M98" i="70"/>
  <c r="N97" i="70"/>
  <c r="C53" i="94"/>
  <c r="H27" i="70"/>
  <c r="H26" i="70"/>
  <c r="S99" i="70" l="1"/>
  <c r="T98" i="70"/>
  <c r="M99" i="70"/>
  <c r="N98" i="70"/>
  <c r="I49" i="94"/>
  <c r="H28" i="70"/>
  <c r="S100" i="70" l="1"/>
  <c r="T99" i="70"/>
  <c r="M100" i="70"/>
  <c r="N99" i="70"/>
  <c r="H30" i="70"/>
  <c r="H29" i="70"/>
  <c r="S101" i="70" l="1"/>
  <c r="T100" i="70"/>
  <c r="M101" i="70"/>
  <c r="N100" i="70"/>
  <c r="H32" i="70"/>
  <c r="H31" i="70"/>
  <c r="S102" i="70" l="1"/>
  <c r="T101" i="70"/>
  <c r="M102" i="70"/>
  <c r="N101" i="70"/>
  <c r="H33" i="70"/>
  <c r="D34" i="39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D52" i="39" s="1"/>
  <c r="S103" i="70" l="1"/>
  <c r="T102" i="70"/>
  <c r="M103" i="70"/>
  <c r="N103" i="70"/>
  <c r="N102" i="70"/>
  <c r="H35" i="70"/>
  <c r="H34" i="70"/>
  <c r="S104" i="70" l="1"/>
  <c r="T104" i="70" s="1"/>
  <c r="T103" i="70"/>
  <c r="M104" i="70"/>
  <c r="N104" i="70" s="1"/>
  <c r="H36" i="70"/>
  <c r="H37" i="70" l="1"/>
  <c r="H38" i="70" l="1"/>
  <c r="H39" i="70" l="1"/>
  <c r="H40" i="70" l="1"/>
  <c r="D4" i="19"/>
  <c r="H41" i="70" l="1"/>
  <c r="H42" i="70" l="1"/>
  <c r="H43" i="70" l="1"/>
  <c r="H45" i="70" l="1"/>
  <c r="H44" i="70"/>
  <c r="H47" i="70" l="1"/>
  <c r="H46" i="70"/>
  <c r="H48" i="70" l="1"/>
  <c r="H49" i="70" l="1"/>
  <c r="H50" i="70" l="1"/>
  <c r="H51" i="70" l="1"/>
  <c r="H52" i="70" l="1"/>
  <c r="H53" i="70" l="1"/>
  <c r="H54" i="70" l="1"/>
  <c r="H55" i="70" l="1"/>
  <c r="H56" i="70" l="1"/>
  <c r="H57" i="70" l="1"/>
  <c r="H59" i="70" l="1"/>
  <c r="H58" i="70"/>
  <c r="H60" i="70" l="1"/>
  <c r="H61" i="70" l="1"/>
  <c r="H63" i="70" l="1"/>
  <c r="H62" i="70"/>
  <c r="N42" i="41"/>
  <c r="O42" i="41" s="1"/>
  <c r="R22" i="41" s="1"/>
  <c r="X13" i="41" s="1"/>
  <c r="L42" i="41"/>
  <c r="G42" i="41"/>
  <c r="N41" i="41"/>
  <c r="O41" i="41" s="1"/>
  <c r="R21" i="41" s="1"/>
  <c r="L41" i="41"/>
  <c r="G41" i="41"/>
  <c r="N40" i="41"/>
  <c r="O40" i="41" s="1"/>
  <c r="R20" i="41" s="1"/>
  <c r="L40" i="41"/>
  <c r="G40" i="41"/>
  <c r="N39" i="41"/>
  <c r="O39" i="41" s="1"/>
  <c r="R19" i="41" s="1"/>
  <c r="L39" i="41"/>
  <c r="G39" i="41"/>
  <c r="N38" i="41"/>
  <c r="O38" i="41" s="1"/>
  <c r="L38" i="41"/>
  <c r="G38" i="41"/>
  <c r="N37" i="41"/>
  <c r="O37" i="41" s="1"/>
  <c r="R18" i="41" s="1"/>
  <c r="L37" i="41"/>
  <c r="G37" i="41"/>
  <c r="N36" i="41"/>
  <c r="O36" i="41" s="1"/>
  <c r="L36" i="41"/>
  <c r="G36" i="41"/>
  <c r="N35" i="41"/>
  <c r="O35" i="41" s="1"/>
  <c r="R17" i="41" s="1"/>
  <c r="L35" i="41"/>
  <c r="G35" i="41"/>
  <c r="N34" i="41"/>
  <c r="O34" i="41" s="1"/>
  <c r="L34" i="41"/>
  <c r="G34" i="41"/>
  <c r="N33" i="41"/>
  <c r="O33" i="41" s="1"/>
  <c r="R16" i="41" s="1"/>
  <c r="L33" i="41"/>
  <c r="G33" i="41"/>
  <c r="N32" i="41"/>
  <c r="O32" i="41" s="1"/>
  <c r="L32" i="41"/>
  <c r="G32" i="41"/>
  <c r="N31" i="41"/>
  <c r="O31" i="41" s="1"/>
  <c r="R15" i="41" s="1"/>
  <c r="L31" i="41"/>
  <c r="G31" i="41"/>
  <c r="N30" i="41"/>
  <c r="O30" i="41" s="1"/>
  <c r="L30" i="41"/>
  <c r="G30" i="41"/>
  <c r="N29" i="41"/>
  <c r="O29" i="41" s="1"/>
  <c r="R14" i="41" s="1"/>
  <c r="L29" i="41"/>
  <c r="G29" i="41"/>
  <c r="N28" i="41"/>
  <c r="O28" i="41" s="1"/>
  <c r="L28" i="41"/>
  <c r="G28" i="41"/>
  <c r="N27" i="41"/>
  <c r="O27" i="41" s="1"/>
  <c r="R13" i="41" s="1"/>
  <c r="L27" i="41"/>
  <c r="G27" i="41"/>
  <c r="N26" i="41"/>
  <c r="O26" i="41" s="1"/>
  <c r="L26" i="41"/>
  <c r="G26" i="41"/>
  <c r="N25" i="41"/>
  <c r="O25" i="41" s="1"/>
  <c r="R12" i="41" s="1"/>
  <c r="L25" i="41"/>
  <c r="G25" i="41"/>
  <c r="N24" i="41"/>
  <c r="O24" i="41" s="1"/>
  <c r="L24" i="41"/>
  <c r="G24" i="41"/>
  <c r="N23" i="41"/>
  <c r="O23" i="41" s="1"/>
  <c r="R11" i="41" s="1"/>
  <c r="L23" i="41"/>
  <c r="G23" i="41"/>
  <c r="T22" i="41"/>
  <c r="S22" i="41"/>
  <c r="N22" i="41"/>
  <c r="O22" i="41" s="1"/>
  <c r="L22" i="41"/>
  <c r="G22" i="41"/>
  <c r="T21" i="41"/>
  <c r="S21" i="41"/>
  <c r="N21" i="41"/>
  <c r="O21" i="41" s="1"/>
  <c r="R10" i="41" s="1"/>
  <c r="L21" i="41"/>
  <c r="G21" i="41"/>
  <c r="T20" i="41"/>
  <c r="S20" i="41"/>
  <c r="N20" i="41"/>
  <c r="O20" i="41" s="1"/>
  <c r="L20" i="41"/>
  <c r="G20" i="41"/>
  <c r="T19" i="41"/>
  <c r="S19" i="41"/>
  <c r="N19" i="41"/>
  <c r="O19" i="41" s="1"/>
  <c r="R9" i="41" s="1"/>
  <c r="L19" i="41"/>
  <c r="G19" i="41"/>
  <c r="T18" i="41"/>
  <c r="S18" i="41"/>
  <c r="N18" i="41"/>
  <c r="O18" i="41" s="1"/>
  <c r="L18" i="41"/>
  <c r="G18" i="41"/>
  <c r="T17" i="41"/>
  <c r="S17" i="41"/>
  <c r="N17" i="41"/>
  <c r="O17" i="41" s="1"/>
  <c r="R8" i="41" s="1"/>
  <c r="L17" i="41"/>
  <c r="G17" i="41"/>
  <c r="T16" i="41"/>
  <c r="S16" i="41"/>
  <c r="N16" i="41"/>
  <c r="O16" i="41" s="1"/>
  <c r="L16" i="41"/>
  <c r="G16" i="41"/>
  <c r="T15" i="41"/>
  <c r="S15" i="41"/>
  <c r="N15" i="41"/>
  <c r="O15" i="41" s="1"/>
  <c r="R7" i="41" s="1"/>
  <c r="L15" i="41"/>
  <c r="G15" i="41"/>
  <c r="T14" i="41"/>
  <c r="S14" i="41"/>
  <c r="N14" i="41"/>
  <c r="O14" i="41" s="1"/>
  <c r="L14" i="41"/>
  <c r="G14" i="41"/>
  <c r="T13" i="41"/>
  <c r="S13" i="41"/>
  <c r="N13" i="41"/>
  <c r="O13" i="41" s="1"/>
  <c r="R6" i="41" s="1"/>
  <c r="L13" i="41"/>
  <c r="G13" i="41"/>
  <c r="T12" i="41"/>
  <c r="S12" i="41"/>
  <c r="N12" i="41"/>
  <c r="O12" i="41" s="1"/>
  <c r="L12" i="41"/>
  <c r="G12" i="41"/>
  <c r="T11" i="41"/>
  <c r="S11" i="41"/>
  <c r="N11" i="41"/>
  <c r="O11" i="41" s="1"/>
  <c r="R5" i="41" s="1"/>
  <c r="L11" i="41"/>
  <c r="G11" i="41"/>
  <c r="T10" i="41"/>
  <c r="S10" i="41"/>
  <c r="N10" i="41"/>
  <c r="O10" i="41" s="1"/>
  <c r="L10" i="41"/>
  <c r="G10" i="41"/>
  <c r="T9" i="41"/>
  <c r="S9" i="41"/>
  <c r="N9" i="41"/>
  <c r="O9" i="41" s="1"/>
  <c r="L9" i="41"/>
  <c r="G9" i="41"/>
  <c r="T8" i="41"/>
  <c r="S8" i="41"/>
  <c r="N8" i="41"/>
  <c r="O8" i="41" s="1"/>
  <c r="L8" i="41"/>
  <c r="G8" i="41"/>
  <c r="T7" i="41"/>
  <c r="S7" i="41"/>
  <c r="N7" i="41"/>
  <c r="O7" i="41" s="1"/>
  <c r="R4" i="41" s="1"/>
  <c r="L7" i="41"/>
  <c r="G7" i="41"/>
  <c r="T6" i="41"/>
  <c r="S6" i="41"/>
  <c r="N6" i="41"/>
  <c r="O6" i="41" s="1"/>
  <c r="L6" i="41"/>
  <c r="G6" i="41"/>
  <c r="T5" i="41"/>
  <c r="S5" i="41"/>
  <c r="N5" i="41"/>
  <c r="O5" i="41" s="1"/>
  <c r="L5" i="41"/>
  <c r="G5" i="41"/>
  <c r="T4" i="41"/>
  <c r="S4" i="41"/>
  <c r="N4" i="41"/>
  <c r="O4" i="41" s="1"/>
  <c r="L4" i="41"/>
  <c r="G4" i="41"/>
  <c r="T3" i="41"/>
  <c r="S3" i="41"/>
  <c r="N3" i="41"/>
  <c r="O3" i="41" s="1"/>
  <c r="R3" i="41" s="1"/>
  <c r="L3" i="41"/>
  <c r="G3" i="41"/>
  <c r="N42" i="40"/>
  <c r="O42" i="40" s="1"/>
  <c r="R22" i="40" s="1"/>
  <c r="L42" i="40"/>
  <c r="G42" i="40"/>
  <c r="N41" i="40"/>
  <c r="O41" i="40" s="1"/>
  <c r="R21" i="40" s="1"/>
  <c r="L41" i="40"/>
  <c r="G41" i="40"/>
  <c r="N40" i="40"/>
  <c r="O40" i="40" s="1"/>
  <c r="R20" i="40" s="1"/>
  <c r="L40" i="40"/>
  <c r="G40" i="40"/>
  <c r="N39" i="40"/>
  <c r="O39" i="40" s="1"/>
  <c r="R19" i="40" s="1"/>
  <c r="L39" i="40"/>
  <c r="G39" i="40"/>
  <c r="N38" i="40"/>
  <c r="O38" i="40" s="1"/>
  <c r="L38" i="40"/>
  <c r="G38" i="40"/>
  <c r="N37" i="40"/>
  <c r="O37" i="40" s="1"/>
  <c r="R18" i="40" s="1"/>
  <c r="L37" i="40"/>
  <c r="G37" i="40"/>
  <c r="N36" i="40"/>
  <c r="O36" i="40" s="1"/>
  <c r="L36" i="40"/>
  <c r="G36" i="40"/>
  <c r="N35" i="40"/>
  <c r="O35" i="40" s="1"/>
  <c r="R17" i="40" s="1"/>
  <c r="L35" i="40"/>
  <c r="G35" i="40"/>
  <c r="N34" i="40"/>
  <c r="O34" i="40" s="1"/>
  <c r="L34" i="40"/>
  <c r="G34" i="40"/>
  <c r="N33" i="40"/>
  <c r="O33" i="40" s="1"/>
  <c r="R16" i="40" s="1"/>
  <c r="L33" i="40"/>
  <c r="G33" i="40"/>
  <c r="N32" i="40"/>
  <c r="O32" i="40" s="1"/>
  <c r="L32" i="40"/>
  <c r="G32" i="40"/>
  <c r="N31" i="40"/>
  <c r="O31" i="40" s="1"/>
  <c r="R15" i="40" s="1"/>
  <c r="L31" i="40"/>
  <c r="G31" i="40"/>
  <c r="N30" i="40"/>
  <c r="O30" i="40" s="1"/>
  <c r="L30" i="40"/>
  <c r="G30" i="40"/>
  <c r="N29" i="40"/>
  <c r="O29" i="40" s="1"/>
  <c r="R14" i="40" s="1"/>
  <c r="L29" i="40"/>
  <c r="G29" i="40"/>
  <c r="N28" i="40"/>
  <c r="O28" i="40" s="1"/>
  <c r="L28" i="40"/>
  <c r="G28" i="40"/>
  <c r="N27" i="40"/>
  <c r="O27" i="40" s="1"/>
  <c r="R13" i="40" s="1"/>
  <c r="L27" i="40"/>
  <c r="G27" i="40"/>
  <c r="N26" i="40"/>
  <c r="O26" i="40" s="1"/>
  <c r="L26" i="40"/>
  <c r="G26" i="40"/>
  <c r="N25" i="40"/>
  <c r="O25" i="40" s="1"/>
  <c r="R12" i="40" s="1"/>
  <c r="L25" i="40"/>
  <c r="G25" i="40"/>
  <c r="N24" i="40"/>
  <c r="O24" i="40" s="1"/>
  <c r="L24" i="40"/>
  <c r="G24" i="40"/>
  <c r="N23" i="40"/>
  <c r="O23" i="40" s="1"/>
  <c r="R11" i="40" s="1"/>
  <c r="L23" i="40"/>
  <c r="G23" i="40"/>
  <c r="T22" i="40"/>
  <c r="S22" i="40"/>
  <c r="N22" i="40"/>
  <c r="O22" i="40" s="1"/>
  <c r="L22" i="40"/>
  <c r="G22" i="40"/>
  <c r="T21" i="40"/>
  <c r="S21" i="40"/>
  <c r="N21" i="40"/>
  <c r="O21" i="40" s="1"/>
  <c r="R10" i="40" s="1"/>
  <c r="L21" i="40"/>
  <c r="G21" i="40"/>
  <c r="T20" i="40"/>
  <c r="S20" i="40"/>
  <c r="N20" i="40"/>
  <c r="O20" i="40" s="1"/>
  <c r="L20" i="40"/>
  <c r="G20" i="40"/>
  <c r="T19" i="40"/>
  <c r="S19" i="40"/>
  <c r="N19" i="40"/>
  <c r="O19" i="40" s="1"/>
  <c r="R9" i="40" s="1"/>
  <c r="L19" i="40"/>
  <c r="G19" i="40"/>
  <c r="T18" i="40"/>
  <c r="S18" i="40"/>
  <c r="N18" i="40"/>
  <c r="O18" i="40" s="1"/>
  <c r="L18" i="40"/>
  <c r="G18" i="40"/>
  <c r="T17" i="40"/>
  <c r="S17" i="40"/>
  <c r="N17" i="40"/>
  <c r="O17" i="40" s="1"/>
  <c r="R8" i="40" s="1"/>
  <c r="L17" i="40"/>
  <c r="G17" i="40"/>
  <c r="T16" i="40"/>
  <c r="S16" i="40"/>
  <c r="N16" i="40"/>
  <c r="O16" i="40" s="1"/>
  <c r="L16" i="40"/>
  <c r="G16" i="40"/>
  <c r="T15" i="40"/>
  <c r="S15" i="40"/>
  <c r="N15" i="40"/>
  <c r="O15" i="40" s="1"/>
  <c r="R7" i="40" s="1"/>
  <c r="L15" i="40"/>
  <c r="G15" i="40"/>
  <c r="T14" i="40"/>
  <c r="S14" i="40"/>
  <c r="N14" i="40"/>
  <c r="O14" i="40" s="1"/>
  <c r="L14" i="40"/>
  <c r="G14" i="40"/>
  <c r="T13" i="40"/>
  <c r="S13" i="40"/>
  <c r="N13" i="40"/>
  <c r="O13" i="40" s="1"/>
  <c r="R6" i="40" s="1"/>
  <c r="L13" i="40"/>
  <c r="G13" i="40"/>
  <c r="T12" i="40"/>
  <c r="S12" i="40"/>
  <c r="N12" i="40"/>
  <c r="O12" i="40" s="1"/>
  <c r="L12" i="40"/>
  <c r="G12" i="40"/>
  <c r="T11" i="40"/>
  <c r="S11" i="40"/>
  <c r="N11" i="40"/>
  <c r="O11" i="40" s="1"/>
  <c r="R5" i="40" s="1"/>
  <c r="L11" i="40"/>
  <c r="G11" i="40"/>
  <c r="T10" i="40"/>
  <c r="S10" i="40"/>
  <c r="N10" i="40"/>
  <c r="O10" i="40" s="1"/>
  <c r="L10" i="40"/>
  <c r="G10" i="40"/>
  <c r="T9" i="40"/>
  <c r="S9" i="40"/>
  <c r="N9" i="40"/>
  <c r="O9" i="40" s="1"/>
  <c r="L9" i="40"/>
  <c r="G9" i="40"/>
  <c r="T8" i="40"/>
  <c r="S8" i="40"/>
  <c r="N8" i="40"/>
  <c r="O8" i="40" s="1"/>
  <c r="L8" i="40"/>
  <c r="G8" i="40"/>
  <c r="T7" i="40"/>
  <c r="S7" i="40"/>
  <c r="N7" i="40"/>
  <c r="O7" i="40" s="1"/>
  <c r="R4" i="40" s="1"/>
  <c r="L7" i="40"/>
  <c r="G7" i="40"/>
  <c r="T6" i="40"/>
  <c r="S6" i="40"/>
  <c r="N6" i="40"/>
  <c r="O6" i="40" s="1"/>
  <c r="L6" i="40"/>
  <c r="G6" i="40"/>
  <c r="T5" i="40"/>
  <c r="S5" i="40"/>
  <c r="N5" i="40"/>
  <c r="O5" i="40" s="1"/>
  <c r="L5" i="40"/>
  <c r="G5" i="40"/>
  <c r="T4" i="40"/>
  <c r="S4" i="40"/>
  <c r="N4" i="40"/>
  <c r="O4" i="40" s="1"/>
  <c r="L4" i="40"/>
  <c r="G4" i="40"/>
  <c r="T3" i="40"/>
  <c r="S3" i="40"/>
  <c r="N3" i="40"/>
  <c r="O3" i="40" s="1"/>
  <c r="R3" i="40" s="1"/>
  <c r="L3" i="40"/>
  <c r="G3" i="40"/>
  <c r="X13" i="40" l="1"/>
  <c r="H64" i="70"/>
  <c r="X5" i="41"/>
  <c r="X5" i="40"/>
  <c r="X4" i="40"/>
  <c r="X11" i="40"/>
  <c r="X6" i="40"/>
  <c r="X12" i="40"/>
  <c r="X10" i="41"/>
  <c r="X9" i="41"/>
  <c r="X3" i="41"/>
  <c r="X11" i="41"/>
  <c r="X6" i="41"/>
  <c r="X4" i="41"/>
  <c r="X12" i="41"/>
  <c r="X10" i="40"/>
  <c r="X9" i="40"/>
  <c r="X3" i="40"/>
  <c r="X8" i="41"/>
  <c r="X8" i="40"/>
  <c r="X7" i="40"/>
  <c r="X7" i="41"/>
  <c r="H65" i="70" l="1"/>
  <c r="H67" i="70" l="1"/>
  <c r="H66" i="70"/>
  <c r="F9" i="39"/>
  <c r="E33" i="39"/>
  <c r="H68" i="70" l="1"/>
  <c r="L33" i="39"/>
  <c r="T33" i="39"/>
  <c r="O33" i="39"/>
  <c r="H33" i="39"/>
  <c r="F33" i="39"/>
  <c r="I33" i="39"/>
  <c r="J33" i="39"/>
  <c r="S33" i="39"/>
  <c r="M33" i="39"/>
  <c r="U33" i="39"/>
  <c r="N33" i="39"/>
  <c r="V33" i="39"/>
  <c r="G33" i="39"/>
  <c r="P33" i="39"/>
  <c r="Q33" i="39"/>
  <c r="R33" i="39"/>
  <c r="K33" i="39"/>
  <c r="W33" i="39" l="1"/>
  <c r="H69" i="70" l="1"/>
  <c r="I51" i="94" l="1"/>
  <c r="C51" i="94"/>
  <c r="H71" i="70"/>
  <c r="H70" i="70"/>
  <c r="H72" i="70" l="1"/>
  <c r="I56" i="94" l="1"/>
  <c r="H74" i="70"/>
  <c r="H73" i="70"/>
  <c r="C56" i="94" l="1"/>
  <c r="H75" i="70"/>
  <c r="D5" i="19"/>
  <c r="D6" i="19" l="1"/>
  <c r="B17" i="16"/>
  <c r="C17" i="16" l="1"/>
  <c r="D17" i="16"/>
  <c r="E17" i="16"/>
  <c r="H77" i="70"/>
  <c r="H76" i="70"/>
  <c r="D7" i="19"/>
  <c r="B18" i="16"/>
  <c r="D18" i="16" l="1"/>
  <c r="C18" i="16"/>
  <c r="E18" i="16"/>
  <c r="D8" i="19"/>
  <c r="B19" i="16"/>
  <c r="C19" i="16" l="1"/>
  <c r="D19" i="16"/>
  <c r="E19" i="16"/>
  <c r="H79" i="70"/>
  <c r="H78" i="70"/>
  <c r="D9" i="19"/>
  <c r="B20" i="16"/>
  <c r="D20" i="16" l="1"/>
  <c r="C20" i="16"/>
  <c r="E20" i="16"/>
  <c r="H80" i="70"/>
  <c r="D10" i="19"/>
  <c r="B21" i="16"/>
  <c r="D21" i="16" l="1"/>
  <c r="C21" i="16"/>
  <c r="E21" i="16"/>
  <c r="H81" i="70"/>
  <c r="D11" i="19"/>
  <c r="B22" i="16"/>
  <c r="D22" i="16" l="1"/>
  <c r="C22" i="16"/>
  <c r="E22" i="16"/>
  <c r="H82" i="70"/>
  <c r="D12" i="19"/>
  <c r="B23" i="16"/>
  <c r="D23" i="16" l="1"/>
  <c r="C23" i="16"/>
  <c r="E23" i="16"/>
  <c r="H83" i="70"/>
  <c r="D13" i="19"/>
  <c r="B24" i="16"/>
  <c r="D24" i="16" l="1"/>
  <c r="C24" i="16"/>
  <c r="E24" i="16"/>
  <c r="H84" i="70"/>
  <c r="D14" i="19"/>
  <c r="B25" i="16"/>
  <c r="D25" i="16" l="1"/>
  <c r="C25" i="16"/>
  <c r="E25" i="16"/>
  <c r="D15" i="19"/>
  <c r="B26" i="16"/>
  <c r="C26" i="16" l="1"/>
  <c r="D26" i="16"/>
  <c r="E26" i="16"/>
  <c r="H86" i="70"/>
  <c r="H85" i="70"/>
  <c r="D16" i="19"/>
  <c r="B27" i="16"/>
  <c r="C27" i="16" l="1"/>
  <c r="D27" i="16"/>
  <c r="E27" i="16"/>
  <c r="H87" i="70"/>
  <c r="D17" i="19"/>
  <c r="B28" i="16"/>
  <c r="D28" i="16" l="1"/>
  <c r="C28" i="16"/>
  <c r="E28" i="16"/>
  <c r="D18" i="19"/>
  <c r="B29" i="16"/>
  <c r="C29" i="16" l="1"/>
  <c r="D29" i="16"/>
  <c r="E29" i="16"/>
  <c r="H88" i="70"/>
  <c r="D19" i="19"/>
  <c r="B30" i="16"/>
  <c r="D30" i="16" l="1"/>
  <c r="C30" i="16"/>
  <c r="E30" i="16"/>
  <c r="H90" i="70"/>
  <c r="H89" i="70"/>
  <c r="D20" i="19"/>
  <c r="B31" i="16"/>
  <c r="D31" i="16" l="1"/>
  <c r="C31" i="16"/>
  <c r="E31" i="16"/>
  <c r="H91" i="70"/>
  <c r="D21" i="19"/>
  <c r="B32" i="16"/>
  <c r="C32" i="16" l="1"/>
  <c r="D32" i="16"/>
  <c r="E32" i="16"/>
  <c r="H92" i="70"/>
  <c r="D22" i="19"/>
  <c r="B33" i="16"/>
  <c r="C33" i="16" l="1"/>
  <c r="D33" i="16"/>
  <c r="E33" i="16"/>
  <c r="H93" i="70"/>
  <c r="D23" i="19"/>
  <c r="B34" i="16"/>
  <c r="D34" i="16" l="1"/>
  <c r="C34" i="16"/>
  <c r="E34" i="16"/>
  <c r="H94" i="70"/>
  <c r="D24" i="19"/>
  <c r="B35" i="16"/>
  <c r="C35" i="16" l="1"/>
  <c r="D35" i="16"/>
  <c r="E35" i="16"/>
  <c r="H95" i="70"/>
  <c r="D25" i="19"/>
  <c r="B36" i="16"/>
  <c r="C36" i="16" l="1"/>
  <c r="D36" i="16"/>
  <c r="E36" i="16"/>
  <c r="H96" i="70"/>
  <c r="D26" i="19"/>
  <c r="B37" i="16"/>
  <c r="C37" i="16" l="1"/>
  <c r="D37" i="16"/>
  <c r="E37" i="16"/>
  <c r="H97" i="70"/>
  <c r="D27" i="19"/>
  <c r="B38" i="16"/>
  <c r="D38" i="16" l="1"/>
  <c r="C38" i="16"/>
  <c r="E38" i="16"/>
  <c r="H98" i="70"/>
  <c r="D28" i="19"/>
  <c r="B39" i="16"/>
  <c r="D39" i="16" l="1"/>
  <c r="C39" i="16"/>
  <c r="E39" i="16"/>
  <c r="H99" i="70"/>
  <c r="D29" i="19"/>
  <c r="B40" i="16"/>
  <c r="C40" i="16" l="1"/>
  <c r="D40" i="16"/>
  <c r="E40" i="16"/>
  <c r="H100" i="70"/>
  <c r="D30" i="19"/>
  <c r="B41" i="16"/>
  <c r="D41" i="16" l="1"/>
  <c r="C41" i="16"/>
  <c r="E41" i="16"/>
  <c r="H101" i="70"/>
  <c r="D31" i="19"/>
  <c r="B7" i="16"/>
  <c r="H102" i="70" l="1"/>
  <c r="D32" i="19"/>
  <c r="H103" i="70" l="1"/>
  <c r="D33" i="19"/>
  <c r="H104" i="70" l="1"/>
  <c r="D34" i="19"/>
  <c r="E6" i="16"/>
  <c r="D6" i="16"/>
  <c r="C6" i="16"/>
  <c r="D35" i="19" l="1"/>
  <c r="D7" i="16"/>
  <c r="E7" i="16"/>
  <c r="C7" i="16"/>
  <c r="D36" i="19" l="1"/>
  <c r="D37" i="19" l="1"/>
  <c r="D38" i="19" l="1"/>
  <c r="D39" i="19" l="1"/>
  <c r="D40" i="19" l="1"/>
  <c r="D41" i="19" l="1"/>
  <c r="D42" i="19" l="1"/>
  <c r="D43" i="19" l="1"/>
  <c r="D44" i="19" l="1"/>
  <c r="D45" i="19" l="1"/>
  <c r="D46" i="19" l="1"/>
  <c r="D47" i="19" l="1"/>
  <c r="D48" i="19" l="1"/>
  <c r="D49" i="19" l="1"/>
  <c r="D50" i="19" l="1"/>
  <c r="D51" i="19" l="1"/>
  <c r="D52" i="19" l="1"/>
  <c r="D53" i="19" l="1"/>
  <c r="D54" i="19" l="1"/>
  <c r="D55" i="19" l="1"/>
  <c r="F17" i="6" l="1"/>
  <c r="E17" i="6"/>
  <c r="D17" i="6"/>
  <c r="F18" i="6"/>
  <c r="E18" i="6"/>
  <c r="D18" i="6"/>
  <c r="F5" i="97" l="1"/>
  <c r="H5" i="94"/>
  <c r="H5" i="97"/>
  <c r="E16" i="6"/>
  <c r="D16" i="6"/>
  <c r="E11" i="93"/>
  <c r="C11" i="93"/>
  <c r="F5" i="94"/>
  <c r="E5" i="97" l="1"/>
  <c r="I5" i="97" s="1"/>
  <c r="F16" i="6"/>
  <c r="B11" i="93"/>
  <c r="E5" i="94"/>
  <c r="G17" i="6" l="1"/>
  <c r="G18" i="6"/>
  <c r="G5" i="97"/>
  <c r="G5" i="94"/>
  <c r="I5" i="94"/>
  <c r="D11" i="93"/>
  <c r="F11" i="93"/>
  <c r="H9" i="39" l="1"/>
  <c r="E35" i="39"/>
  <c r="G9" i="39"/>
  <c r="E34" i="39"/>
  <c r="M34" i="39" l="1"/>
  <c r="P34" i="39"/>
  <c r="F34" i="39"/>
  <c r="L34" i="39"/>
  <c r="J34" i="39"/>
  <c r="U34" i="39"/>
  <c r="Q34" i="39"/>
  <c r="R34" i="39"/>
  <c r="N34" i="39"/>
  <c r="H34" i="39"/>
  <c r="I34" i="39"/>
  <c r="O34" i="39"/>
  <c r="K34" i="39"/>
  <c r="S34" i="39"/>
  <c r="V34" i="39"/>
  <c r="G34" i="39"/>
  <c r="T34" i="39"/>
  <c r="S35" i="39"/>
  <c r="P35" i="39"/>
  <c r="T35" i="39"/>
  <c r="V35" i="39"/>
  <c r="L35" i="39"/>
  <c r="Q35" i="39"/>
  <c r="F35" i="39"/>
  <c r="H35" i="39"/>
  <c r="J35" i="39"/>
  <c r="R35" i="39"/>
  <c r="M35" i="39"/>
  <c r="U35" i="39"/>
  <c r="G35" i="39"/>
  <c r="I35" i="39"/>
  <c r="N35" i="39"/>
  <c r="K35" i="39"/>
  <c r="O35" i="39"/>
  <c r="I9" i="39"/>
  <c r="E36" i="39"/>
  <c r="W34" i="39" l="1"/>
  <c r="W35" i="39"/>
  <c r="P36" i="39"/>
  <c r="L36" i="39"/>
  <c r="S36" i="39"/>
  <c r="G36" i="39"/>
  <c r="I36" i="39"/>
  <c r="M36" i="39"/>
  <c r="N36" i="39"/>
  <c r="O36" i="39"/>
  <c r="U36" i="39"/>
  <c r="Q36" i="39"/>
  <c r="T36" i="39"/>
  <c r="K36" i="39"/>
  <c r="F36" i="39"/>
  <c r="J36" i="39"/>
  <c r="R36" i="39"/>
  <c r="H36" i="39"/>
  <c r="V36" i="39"/>
  <c r="J9" i="39"/>
  <c r="E37" i="39"/>
  <c r="W36" i="39" l="1"/>
  <c r="E38" i="39"/>
  <c r="K9" i="39"/>
  <c r="O37" i="39"/>
  <c r="L37" i="39"/>
  <c r="H37" i="39"/>
  <c r="M37" i="39"/>
  <c r="P37" i="39"/>
  <c r="R37" i="39"/>
  <c r="I37" i="39"/>
  <c r="S37" i="39"/>
  <c r="F37" i="39"/>
  <c r="T37" i="39"/>
  <c r="Q37" i="39"/>
  <c r="N37" i="39"/>
  <c r="U37" i="39"/>
  <c r="V37" i="39"/>
  <c r="J37" i="39"/>
  <c r="G37" i="39"/>
  <c r="K37" i="39"/>
  <c r="N38" i="39" l="1"/>
  <c r="K38" i="39"/>
  <c r="G38" i="39"/>
  <c r="Q38" i="39"/>
  <c r="O38" i="39"/>
  <c r="R38" i="39"/>
  <c r="T38" i="39"/>
  <c r="M38" i="39"/>
  <c r="I38" i="39"/>
  <c r="F38" i="39"/>
  <c r="J38" i="39"/>
  <c r="V38" i="39"/>
  <c r="P38" i="39"/>
  <c r="U38" i="39"/>
  <c r="L38" i="39"/>
  <c r="S38" i="39"/>
  <c r="H38" i="39"/>
  <c r="W37" i="39"/>
  <c r="L9" i="39"/>
  <c r="E39" i="39"/>
  <c r="M9" i="39" l="1"/>
  <c r="E40" i="39"/>
  <c r="T39" i="39"/>
  <c r="I39" i="39"/>
  <c r="M39" i="39"/>
  <c r="N39" i="39"/>
  <c r="Q39" i="39"/>
  <c r="O39" i="39"/>
  <c r="K39" i="39"/>
  <c r="S39" i="39"/>
  <c r="R39" i="39"/>
  <c r="J39" i="39"/>
  <c r="F39" i="39"/>
  <c r="U39" i="39"/>
  <c r="L39" i="39"/>
  <c r="H39" i="39"/>
  <c r="P39" i="39"/>
  <c r="G39" i="39"/>
  <c r="V39" i="39"/>
  <c r="W38" i="39"/>
  <c r="W39" i="39" l="1"/>
  <c r="N9" i="39"/>
  <c r="E41" i="39"/>
  <c r="N40" i="39"/>
  <c r="V40" i="39"/>
  <c r="J40" i="39"/>
  <c r="R40" i="39"/>
  <c r="K40" i="39"/>
  <c r="H40" i="39"/>
  <c r="O40" i="39"/>
  <c r="L40" i="39"/>
  <c r="S40" i="39"/>
  <c r="T40" i="39"/>
  <c r="G40" i="39"/>
  <c r="U40" i="39"/>
  <c r="P40" i="39"/>
  <c r="M40" i="39"/>
  <c r="I40" i="39"/>
  <c r="F40" i="39"/>
  <c r="Q40" i="39"/>
  <c r="W40" i="39" l="1"/>
  <c r="G41" i="39"/>
  <c r="K41" i="39"/>
  <c r="L41" i="39"/>
  <c r="H41" i="39"/>
  <c r="P41" i="39"/>
  <c r="S41" i="39"/>
  <c r="U41" i="39"/>
  <c r="O41" i="39"/>
  <c r="M41" i="39"/>
  <c r="Q41" i="39"/>
  <c r="I41" i="39"/>
  <c r="R41" i="39"/>
  <c r="T41" i="39"/>
  <c r="J41" i="39"/>
  <c r="N41" i="39"/>
  <c r="F41" i="39"/>
  <c r="V41" i="39"/>
  <c r="O9" i="39"/>
  <c r="E42" i="39"/>
  <c r="E43" i="39" l="1"/>
  <c r="P9" i="39"/>
  <c r="U42" i="39"/>
  <c r="T42" i="39"/>
  <c r="M42" i="39"/>
  <c r="H42" i="39"/>
  <c r="L42" i="39"/>
  <c r="S42" i="39"/>
  <c r="R42" i="39"/>
  <c r="V42" i="39"/>
  <c r="K42" i="39"/>
  <c r="J42" i="39"/>
  <c r="I42" i="39"/>
  <c r="P42" i="39"/>
  <c r="G42" i="39"/>
  <c r="N42" i="39"/>
  <c r="Q42" i="39"/>
  <c r="F42" i="39"/>
  <c r="O42" i="39"/>
  <c r="W41" i="39"/>
  <c r="W42" i="39" l="1"/>
  <c r="E44" i="39"/>
  <c r="Q9" i="39"/>
  <c r="R43" i="39"/>
  <c r="F43" i="39"/>
  <c r="Q43" i="39"/>
  <c r="I43" i="39"/>
  <c r="G43" i="39"/>
  <c r="J43" i="39"/>
  <c r="S43" i="39"/>
  <c r="P43" i="39"/>
  <c r="N43" i="39"/>
  <c r="T43" i="39"/>
  <c r="V43" i="39"/>
  <c r="O43" i="39"/>
  <c r="L43" i="39"/>
  <c r="K43" i="39"/>
  <c r="U43" i="39"/>
  <c r="M43" i="39"/>
  <c r="H43" i="39"/>
  <c r="E45" i="39" l="1"/>
  <c r="R9" i="39"/>
  <c r="W43" i="39"/>
  <c r="G44" i="39"/>
  <c r="N44" i="39"/>
  <c r="V44" i="39"/>
  <c r="P44" i="39"/>
  <c r="R44" i="39"/>
  <c r="I44" i="39"/>
  <c r="T44" i="39"/>
  <c r="U44" i="39"/>
  <c r="S44" i="39"/>
  <c r="O44" i="39"/>
  <c r="Q44" i="39"/>
  <c r="M44" i="39"/>
  <c r="J44" i="39"/>
  <c r="L44" i="39"/>
  <c r="K44" i="39"/>
  <c r="H44" i="39"/>
  <c r="F44" i="39"/>
  <c r="E46" i="39" l="1"/>
  <c r="S9" i="39"/>
  <c r="W44" i="39"/>
  <c r="F45" i="39"/>
  <c r="K45" i="39"/>
  <c r="Q45" i="39"/>
  <c r="H45" i="39"/>
  <c r="O45" i="39"/>
  <c r="J45" i="39"/>
  <c r="P45" i="39"/>
  <c r="M45" i="39"/>
  <c r="R45" i="39"/>
  <c r="S45" i="39"/>
  <c r="V45" i="39"/>
  <c r="L45" i="39"/>
  <c r="I45" i="39"/>
  <c r="U45" i="39"/>
  <c r="G45" i="39"/>
  <c r="T45" i="39"/>
  <c r="N45" i="39"/>
  <c r="W45" i="39" l="1"/>
  <c r="E47" i="39"/>
  <c r="T9" i="39"/>
  <c r="T46" i="39"/>
  <c r="P46" i="39"/>
  <c r="G46" i="39"/>
  <c r="J46" i="39"/>
  <c r="V46" i="39"/>
  <c r="M46" i="39"/>
  <c r="Q46" i="39"/>
  <c r="O46" i="39"/>
  <c r="L46" i="39"/>
  <c r="H46" i="39"/>
  <c r="S46" i="39"/>
  <c r="R46" i="39"/>
  <c r="I46" i="39"/>
  <c r="K46" i="39"/>
  <c r="N46" i="39"/>
  <c r="U46" i="39"/>
  <c r="F46" i="39"/>
  <c r="W46" i="39" l="1"/>
  <c r="E48" i="39"/>
  <c r="U9" i="39"/>
  <c r="H47" i="39"/>
  <c r="Q47" i="39"/>
  <c r="J47" i="39"/>
  <c r="G47" i="39"/>
  <c r="R47" i="39"/>
  <c r="F47" i="39"/>
  <c r="I47" i="39"/>
  <c r="K47" i="39"/>
  <c r="V47" i="39"/>
  <c r="U47" i="39"/>
  <c r="L47" i="39"/>
  <c r="T47" i="39"/>
  <c r="P47" i="39"/>
  <c r="M47" i="39"/>
  <c r="O47" i="39"/>
  <c r="S47" i="39"/>
  <c r="N47" i="39"/>
  <c r="E49" i="39" l="1"/>
  <c r="V9" i="39"/>
  <c r="V48" i="39"/>
  <c r="Q48" i="39"/>
  <c r="M48" i="39"/>
  <c r="O48" i="39"/>
  <c r="H48" i="39"/>
  <c r="G48" i="39"/>
  <c r="F48" i="39"/>
  <c r="T48" i="39"/>
  <c r="L48" i="39"/>
  <c r="J48" i="39"/>
  <c r="U48" i="39"/>
  <c r="R48" i="39"/>
  <c r="N48" i="39"/>
  <c r="K48" i="39"/>
  <c r="S48" i="39"/>
  <c r="P48" i="39"/>
  <c r="I48" i="39"/>
  <c r="W47" i="39"/>
  <c r="E50" i="39" l="1"/>
  <c r="W9" i="39"/>
  <c r="W48" i="39"/>
  <c r="I49" i="39"/>
  <c r="P49" i="39"/>
  <c r="H49" i="39"/>
  <c r="M49" i="39"/>
  <c r="N49" i="39"/>
  <c r="G49" i="39"/>
  <c r="L49" i="39"/>
  <c r="T49" i="39"/>
  <c r="S49" i="39"/>
  <c r="R49" i="39"/>
  <c r="Q49" i="39"/>
  <c r="J49" i="39"/>
  <c r="V49" i="39"/>
  <c r="O49" i="39"/>
  <c r="U49" i="39"/>
  <c r="K49" i="39"/>
  <c r="F49" i="39"/>
  <c r="E51" i="39" l="1"/>
  <c r="X9" i="39"/>
  <c r="Y9" i="39"/>
  <c r="E52" i="39"/>
  <c r="W49" i="39"/>
  <c r="U50" i="39"/>
  <c r="J50" i="39"/>
  <c r="N50" i="39"/>
  <c r="L50" i="39"/>
  <c r="I50" i="39"/>
  <c r="G50" i="39"/>
  <c r="Q50" i="39"/>
  <c r="H50" i="39"/>
  <c r="F50" i="39"/>
  <c r="S50" i="39"/>
  <c r="V50" i="39"/>
  <c r="P50" i="39"/>
  <c r="M50" i="39"/>
  <c r="T50" i="39"/>
  <c r="R50" i="39"/>
  <c r="K50" i="39"/>
  <c r="O50" i="39"/>
  <c r="W50" i="39" l="1"/>
  <c r="J52" i="39"/>
  <c r="T52" i="39"/>
  <c r="F52" i="39"/>
  <c r="G52" i="39"/>
  <c r="L52" i="39"/>
  <c r="R52" i="39"/>
  <c r="I52" i="39"/>
  <c r="S52" i="39"/>
  <c r="H52" i="39"/>
  <c r="O52" i="39"/>
  <c r="K52" i="39"/>
  <c r="P52" i="39"/>
  <c r="V52" i="39"/>
  <c r="Q52" i="39"/>
  <c r="U52" i="39"/>
  <c r="N52" i="39"/>
  <c r="M52" i="39"/>
  <c r="M51" i="39"/>
  <c r="L51" i="39"/>
  <c r="O51" i="39"/>
  <c r="J51" i="39"/>
  <c r="H51" i="39"/>
  <c r="Q51" i="39"/>
  <c r="G51" i="39"/>
  <c r="R51" i="39"/>
  <c r="P51" i="39"/>
  <c r="S51" i="39"/>
  <c r="T51" i="39"/>
  <c r="V51" i="39"/>
  <c r="K51" i="39"/>
  <c r="U51" i="39"/>
  <c r="F51" i="39"/>
  <c r="I51" i="39"/>
  <c r="N51" i="39"/>
  <c r="W52" i="39" l="1"/>
  <c r="W5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K5" authorId="0" shapeId="0" xr:uid="{00000000-0006-0000-0000-000001000000}">
      <text>
        <r>
          <rPr>
            <sz val="8"/>
            <color indexed="81"/>
            <rFont val="Tahoma"/>
            <family val="2"/>
          </rPr>
          <t>'Switch' to control deterministic versus probabilistic analysis:
        0 = deterministic
        1 = probabilistic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<sst xmlns="http://schemas.openxmlformats.org/spreadsheetml/2006/main" count="372" uniqueCount="282">
  <si>
    <t>C(Inc)</t>
  </si>
  <si>
    <t>Mean</t>
  </si>
  <si>
    <t>SD</t>
  </si>
  <si>
    <t>IC95-</t>
  </si>
  <si>
    <t>IC95+</t>
  </si>
  <si>
    <t>Pendiente</t>
  </si>
  <si>
    <t>X</t>
  </si>
  <si>
    <t>Y</t>
  </si>
  <si>
    <t>Población</t>
  </si>
  <si>
    <t>Orden original</t>
  </si>
  <si>
    <t>Parámetro</t>
  </si>
  <si>
    <t>Elipse de confianza</t>
  </si>
  <si>
    <t>Correlación</t>
  </si>
  <si>
    <t>ALFA</t>
  </si>
  <si>
    <t>GRADOS</t>
  </si>
  <si>
    <t>€</t>
  </si>
  <si>
    <t>R2 (Cost)</t>
  </si>
  <si>
    <t>Incremental</t>
  </si>
  <si>
    <t>RCEI</t>
  </si>
  <si>
    <t>All other parameters are left deterministic</t>
  </si>
  <si>
    <t>Name</t>
  </si>
  <si>
    <t>Description/Source</t>
  </si>
  <si>
    <t>Parameters coloured blue are endogenous and so cannot be varied in the sensitivity analysis</t>
  </si>
  <si>
    <t>LY</t>
  </si>
  <si>
    <t>Avg cost</t>
  </si>
  <si>
    <t>N</t>
  </si>
  <si>
    <t>Weighted avg</t>
  </si>
  <si>
    <t>Calculations for follow-up</t>
  </si>
  <si>
    <t>Column N</t>
  </si>
  <si>
    <t>Column 1</t>
  </si>
  <si>
    <t>Years</t>
  </si>
  <si>
    <t>Year</t>
  </si>
  <si>
    <t>Drugs</t>
  </si>
  <si>
    <t>mg/unit</t>
  </si>
  <si>
    <t>Package cost</t>
  </si>
  <si>
    <t>Units/package</t>
  </si>
  <si>
    <t>Deterministic</t>
  </si>
  <si>
    <t>Probabilistic</t>
  </si>
  <si>
    <t>Distribution</t>
  </si>
  <si>
    <t>Upper bound</t>
  </si>
  <si>
    <t>Varones</t>
  </si>
  <si>
    <t>Mujeres</t>
  </si>
  <si>
    <t>Ambos sexos</t>
  </si>
  <si>
    <t>Edad (años)</t>
  </si>
  <si>
    <t>Media</t>
  </si>
  <si>
    <t>DE</t>
  </si>
  <si>
    <t>Dif</t>
  </si>
  <si>
    <t>Media varones</t>
  </si>
  <si>
    <t>Media mujeres</t>
  </si>
  <si>
    <t>0...1</t>
  </si>
  <si>
    <t>1..2</t>
  </si>
  <si>
    <t>2..8</t>
  </si>
  <si>
    <t>1…8</t>
  </si>
  <si>
    <t>8…12</t>
  </si>
  <si>
    <t>8…18</t>
  </si>
  <si>
    <t>0…18</t>
  </si>
  <si>
    <t>0..12</t>
  </si>
  <si>
    <t>1..12</t>
  </si>
  <si>
    <t>12..18</t>
  </si>
  <si>
    <t>Adulto</t>
  </si>
  <si>
    <t>Adultos</t>
  </si>
  <si>
    <t>Fuente: Carrascosa A, Fernández JM, Fernández C, Ferrández A, López-Siguero JP, Sánchez E, et al. Spanish growth studies 2008. New anthropometric standards. Endocrinologia y nutricion : organo de la Sociedad Espanola de Endocrinologia y Nutricion [Internet]. 2008 Dec [Accedido 16-01-2013];55(10):484–506. Disponible en: http://www.ncbi.nlm.nih.gov/pubmed/22980464</t>
  </si>
  <si>
    <t>Parameters coloured orange are linked to the probabilistic sensitivity analysis</t>
  </si>
  <si>
    <t>Standard error</t>
  </si>
  <si>
    <t>Unit costs for tests</t>
  </si>
  <si>
    <t>Lower bound</t>
  </si>
  <si>
    <t>Año</t>
  </si>
  <si>
    <t>Por niño</t>
  </si>
  <si>
    <t>Andalucía</t>
  </si>
  <si>
    <t>Aragón</t>
  </si>
  <si>
    <t>Asturias</t>
  </si>
  <si>
    <t>Islas Baleares</t>
  </si>
  <si>
    <t>Canarias</t>
  </si>
  <si>
    <t>Cantabria</t>
  </si>
  <si>
    <t>Castilla y León</t>
  </si>
  <si>
    <t>Castilla-La Mancha</t>
  </si>
  <si>
    <t>Cataluña</t>
  </si>
  <si>
    <t>Comunidad Valenciana</t>
  </si>
  <si>
    <t>Extremadura</t>
  </si>
  <si>
    <t>Galicia</t>
  </si>
  <si>
    <t>Madrid</t>
  </si>
  <si>
    <t xml:space="preserve">Murcia </t>
  </si>
  <si>
    <t>Navarra</t>
  </si>
  <si>
    <t>País Vasco</t>
  </si>
  <si>
    <t>La Rioja</t>
  </si>
  <si>
    <t>España</t>
  </si>
  <si>
    <t>No</t>
  </si>
  <si>
    <t>Show probabilities?</t>
  </si>
  <si>
    <t>Yes</t>
  </si>
  <si>
    <t>Dependency</t>
  </si>
  <si>
    <t>TOTAL (adjusted to time horizon)</t>
  </si>
  <si>
    <t>Age</t>
  </si>
  <si>
    <t>Deaths</t>
  </si>
  <si>
    <t>Lost</t>
  </si>
  <si>
    <t>Pooled</t>
  </si>
  <si>
    <t>Survival</t>
  </si>
  <si>
    <t>Risk</t>
  </si>
  <si>
    <t>Rate</t>
  </si>
  <si>
    <t>Women</t>
  </si>
  <si>
    <t>Men</t>
  </si>
  <si>
    <t xml:space="preserve">Both </t>
  </si>
  <si>
    <t>Age (years)</t>
  </si>
  <si>
    <t>PSA</t>
  </si>
  <si>
    <t>Live' Value</t>
  </si>
  <si>
    <t>QALY(Inc)</t>
  </si>
  <si>
    <t>LY(inc)</t>
  </si>
  <si>
    <t>ICER(QALY)</t>
  </si>
  <si>
    <t>ICER(LY)</t>
  </si>
  <si>
    <t>M</t>
  </si>
  <si>
    <t>General population</t>
  </si>
  <si>
    <t>Results</t>
  </si>
  <si>
    <t>ICER</t>
  </si>
  <si>
    <t>Base case</t>
  </si>
  <si>
    <t>Parameter</t>
  </si>
  <si>
    <t>Value</t>
  </si>
  <si>
    <t>Min</t>
  </si>
  <si>
    <t>Max</t>
  </si>
  <si>
    <t>Diff</t>
  </si>
  <si>
    <t>English</t>
  </si>
  <si>
    <t>Utilidades</t>
  </si>
  <si>
    <t>Prevalencia al nacimiento</t>
  </si>
  <si>
    <t>Coste</t>
  </si>
  <si>
    <t>Cost</t>
  </si>
  <si>
    <t>Efectividad</t>
  </si>
  <si>
    <t>Effectiveness</t>
  </si>
  <si>
    <t>Disponibilidad a pagar</t>
  </si>
  <si>
    <t>Willingness to pay</t>
  </si>
  <si>
    <t>VEIP (€)</t>
  </si>
  <si>
    <t>EVPI (€)</t>
  </si>
  <si>
    <t>Coste incremental neto</t>
  </si>
  <si>
    <t>Incremental net cost</t>
  </si>
  <si>
    <t>Horizonte temporal</t>
  </si>
  <si>
    <t>Time horizon</t>
  </si>
  <si>
    <t>VEIPP (€)</t>
  </si>
  <si>
    <t>EVPPI (€)</t>
  </si>
  <si>
    <t>Probabilidad</t>
  </si>
  <si>
    <t>Probability</t>
  </si>
  <si>
    <t>Confidence ellipse</t>
  </si>
  <si>
    <t>Caso base</t>
  </si>
  <si>
    <t>AVG</t>
  </si>
  <si>
    <t>AVAC</t>
  </si>
  <si>
    <t>QALY</t>
  </si>
  <si>
    <t>Grupo</t>
  </si>
  <si>
    <t>Group</t>
  </si>
  <si>
    <t>Umbral</t>
  </si>
  <si>
    <t>Threshold</t>
  </si>
  <si>
    <t>BNS</t>
  </si>
  <si>
    <t>NB</t>
  </si>
  <si>
    <t>Muertes</t>
  </si>
  <si>
    <t>Pérdidos</t>
  </si>
  <si>
    <t>Agrupados</t>
  </si>
  <si>
    <t>Probabilístico</t>
  </si>
  <si>
    <t>Determinístico</t>
  </si>
  <si>
    <t>Error estándar</t>
  </si>
  <si>
    <t>Valor en uso</t>
  </si>
  <si>
    <t>Nombre</t>
  </si>
  <si>
    <t>Distribución</t>
  </si>
  <si>
    <t>Descripción/Fuente</t>
  </si>
  <si>
    <t>Generales</t>
  </si>
  <si>
    <t>General</t>
  </si>
  <si>
    <t>Utilities</t>
  </si>
  <si>
    <t>Costes unitarios</t>
  </si>
  <si>
    <t>Unit costs</t>
  </si>
  <si>
    <t>Uso de recursos</t>
  </si>
  <si>
    <t>Resource use</t>
  </si>
  <si>
    <t>Esperanza de vida</t>
  </si>
  <si>
    <t>Life expectancy</t>
  </si>
  <si>
    <t>Pérdidas de productividad</t>
  </si>
  <si>
    <t>Productivity losses</t>
  </si>
  <si>
    <t>Dependendencia</t>
  </si>
  <si>
    <t>Cálculos para seguimiento</t>
  </si>
  <si>
    <t>Media ponderada</t>
  </si>
  <si>
    <t>Fármacos</t>
  </si>
  <si>
    <t>Población general</t>
  </si>
  <si>
    <t>Valor</t>
  </si>
  <si>
    <t>Resultados</t>
  </si>
  <si>
    <t>Original order</t>
  </si>
  <si>
    <t>Promedio</t>
  </si>
  <si>
    <t>Average</t>
  </si>
  <si>
    <t>Umbral de referencia</t>
  </si>
  <si>
    <t>Reference threshold</t>
  </si>
  <si>
    <t>Curva de aceptabilidad</t>
  </si>
  <si>
    <t>Acceptability curve</t>
  </si>
  <si>
    <t>costScreening</t>
  </si>
  <si>
    <t>LYScreening</t>
  </si>
  <si>
    <t>QALYScreening</t>
  </si>
  <si>
    <t>costNotScreening</t>
  </si>
  <si>
    <t>LYNotScreening</t>
  </si>
  <si>
    <t>QALYNotScreening</t>
  </si>
  <si>
    <t>Costes unitarios de pruebas</t>
  </si>
  <si>
    <t>Nombre comercial</t>
  </si>
  <si>
    <t>Trade name</t>
  </si>
  <si>
    <t>PVP/PVL</t>
  </si>
  <si>
    <t>Unidades/presentación</t>
  </si>
  <si>
    <t>mg/unidad</t>
  </si>
  <si>
    <t>cost/mg</t>
  </si>
  <si>
    <t>coste/mg</t>
  </si>
  <si>
    <t>TOTAL (ajustado al horizonte temporal)</t>
  </si>
  <si>
    <t>Límite inferior</t>
  </si>
  <si>
    <t>Límite superior</t>
  </si>
  <si>
    <t>¿Mostrar probabilidades?</t>
  </si>
  <si>
    <t>Sí</t>
  </si>
  <si>
    <t>Edad</t>
  </si>
  <si>
    <t>Supervivencia</t>
  </si>
  <si>
    <t>Coste promedio</t>
  </si>
  <si>
    <t>Casos</t>
  </si>
  <si>
    <t>Cases</t>
  </si>
  <si>
    <t>pUndetectedSuddenDeath</t>
  </si>
  <si>
    <t>RRClinicallyDetected</t>
  </si>
  <si>
    <t>Muerte súbita</t>
  </si>
  <si>
    <t>Detected</t>
  </si>
  <si>
    <t>Detectado</t>
  </si>
  <si>
    <t>No detectado</t>
  </si>
  <si>
    <t>Undetected</t>
  </si>
  <si>
    <t>Sudden death</t>
  </si>
  <si>
    <t>Análisis de Sensibilidad Probabilístico</t>
  </si>
  <si>
    <t>Birth prevalence</t>
  </si>
  <si>
    <t>Actualizado € 2014</t>
  </si>
  <si>
    <t>Updated € 2014</t>
  </si>
  <si>
    <t>Probabilities</t>
  </si>
  <si>
    <t>Probabilidades</t>
  </si>
  <si>
    <t>Coste de hospitalización</t>
  </si>
  <si>
    <t>Coste de hospitalización (miocardiopatía)</t>
  </si>
  <si>
    <t>Cost of hospitalization</t>
  </si>
  <si>
    <t>Cost of hospitalization (cardiomyopathy)</t>
  </si>
  <si>
    <t>Simulaciones de MC</t>
  </si>
  <si>
    <t>MC simulations</t>
  </si>
  <si>
    <t>Años</t>
  </si>
  <si>
    <t>IP</t>
  </si>
  <si>
    <t>BI</t>
  </si>
  <si>
    <t>Poblacional</t>
  </si>
  <si>
    <t>Population</t>
  </si>
  <si>
    <t>Individual</t>
  </si>
  <si>
    <t>Media armónica</t>
  </si>
  <si>
    <t>Harmonic mean</t>
  </si>
  <si>
    <t>Transformado</t>
  </si>
  <si>
    <t>Transformed</t>
  </si>
  <si>
    <t>Probabilidad de mortalidad</t>
  </si>
  <si>
    <t>Mortality probability</t>
  </si>
  <si>
    <t>Historia natural</t>
  </si>
  <si>
    <t>Natural history</t>
  </si>
  <si>
    <t>Agrupación</t>
  </si>
  <si>
    <t>Grouping</t>
  </si>
  <si>
    <t>Incertidumbre</t>
  </si>
  <si>
    <t>Uncertainty</t>
  </si>
  <si>
    <t>stTreeNode</t>
  </si>
  <si>
    <t>text</t>
  </si>
  <si>
    <t>stProbability</t>
  </si>
  <si>
    <t>stTreeCorner</t>
  </si>
  <si>
    <t>stCost</t>
  </si>
  <si>
    <t>stEffect1</t>
  </si>
  <si>
    <t>stEffect2</t>
  </si>
  <si>
    <t>Identifier</t>
  </si>
  <si>
    <t>Style sample</t>
  </si>
  <si>
    <t>stTreeBranch</t>
  </si>
  <si>
    <t>payoffTitles</t>
  </si>
  <si>
    <t>Structure</t>
  </si>
  <si>
    <t>intervention</t>
  </si>
  <si>
    <t>summaryTitles</t>
  </si>
  <si>
    <t>summaryRow</t>
  </si>
  <si>
    <t>Descripción</t>
  </si>
  <si>
    <t>Fuente</t>
  </si>
  <si>
    <t>Descuento</t>
  </si>
  <si>
    <t>Discount</t>
  </si>
  <si>
    <t>parameterRow</t>
  </si>
  <si>
    <t>A</t>
  </si>
  <si>
    <t>B</t>
  </si>
  <si>
    <t>Tamaño de la población</t>
  </si>
  <si>
    <t>Population size</t>
  </si>
  <si>
    <t>SampleParam</t>
  </si>
  <si>
    <t>Median</t>
  </si>
  <si>
    <t>Index</t>
  </si>
  <si>
    <t>Source: https://www.ine.es/jaxiT3/Tabla.htm?t=50902&amp;L=0</t>
  </si>
  <si>
    <t>Index Healthcare</t>
  </si>
  <si>
    <t>Test</t>
  </si>
  <si>
    <t>Value updated</t>
  </si>
  <si>
    <t>Year updated</t>
  </si>
  <si>
    <t>Study year</t>
  </si>
  <si>
    <t>QALE</t>
  </si>
  <si>
    <t>LE</t>
  </si>
  <si>
    <t>Español</t>
  </si>
  <si>
    <t>Sourcee: INE Mortality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</si>
</sst>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#,##0.00\ &quot;€&quot;"/>
    <numFmt numFmtId="166" formatCode="0.00000000"/>
    <numFmt numFmtId="167" formatCode="#,##0_ ;\-#,##0\ "/>
    <numFmt numFmtId="168" formatCode="0.0000000"/>
    <numFmt numFmtId="169" formatCode="0.000000"/>
    <numFmt numFmtId="170" formatCode="0.00000"/>
    <numFmt numFmtId="171" formatCode="0.0000"/>
    <numFmt numFmtId="172" formatCode="0.0%"/>
    <numFmt numFmtId="173" formatCode="#,##0.00000"/>
    <numFmt numFmtId="174" formatCode="#,##0\ &quot;€&quot;"/>
  </numFmts>
  <fonts count="2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9"/>
      <name val="Arial"/>
      <family val="2"/>
    </font>
    <font>
      <sz val="8"/>
      <color indexed="81"/>
      <name val="Tahoma"/>
      <family val="2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indexed="32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16"/>
      </left>
      <right/>
      <top style="medium">
        <color indexed="16"/>
      </top>
      <bottom style="medium">
        <color indexed="16"/>
      </bottom>
      <diagonal/>
    </border>
    <border>
      <left/>
      <right style="medium">
        <color indexed="16"/>
      </right>
      <top style="medium">
        <color indexed="16"/>
      </top>
      <bottom style="medium">
        <color indexed="16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  <xf numFmtId="164" fontId="2" fillId="0" borderId="0" applyFont="0" applyFill="0" applyBorder="0" applyAlignment="0" applyProtection="0"/>
  </cellStyleXfs>
  <cellXfs count="130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44" fontId="0" fillId="2" borderId="0" xfId="2" applyFont="1" applyFill="1"/>
    <xf numFmtId="0" fontId="3" fillId="6" borderId="0" xfId="0" applyFont="1" applyFill="1"/>
    <xf numFmtId="0" fontId="0" fillId="7" borderId="0" xfId="0" applyFill="1"/>
    <xf numFmtId="0" fontId="3" fillId="8" borderId="0" xfId="0" applyFont="1" applyFill="1"/>
    <xf numFmtId="0" fontId="0" fillId="3" borderId="1" xfId="0" applyFill="1" applyBorder="1"/>
    <xf numFmtId="10" fontId="0" fillId="2" borderId="1" xfId="3" applyNumberFormat="1" applyFont="1" applyFill="1" applyBorder="1"/>
    <xf numFmtId="0" fontId="3" fillId="8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5" borderId="0" xfId="0" applyFont="1" applyFill="1"/>
    <xf numFmtId="0" fontId="0" fillId="9" borderId="0" xfId="0" applyFill="1"/>
    <xf numFmtId="165" fontId="0" fillId="10" borderId="1" xfId="0" applyNumberFormat="1" applyFill="1" applyBorder="1"/>
    <xf numFmtId="0" fontId="0" fillId="9" borderId="4" xfId="0" applyFill="1" applyBorder="1"/>
    <xf numFmtId="0" fontId="0" fillId="9" borderId="3" xfId="0" applyFill="1" applyBorder="1"/>
    <xf numFmtId="0" fontId="0" fillId="12" borderId="0" xfId="0" applyFill="1"/>
    <xf numFmtId="0" fontId="7" fillId="12" borderId="5" xfId="0" applyFont="1" applyFill="1" applyBorder="1" applyAlignment="1">
      <alignment horizontal="center"/>
    </xf>
    <xf numFmtId="0" fontId="10" fillId="12" borderId="0" xfId="0" applyFont="1" applyFill="1"/>
    <xf numFmtId="0" fontId="8" fillId="13" borderId="5" xfId="0" applyFont="1" applyFill="1" applyBorder="1" applyAlignment="1">
      <alignment horizontal="left"/>
    </xf>
    <xf numFmtId="0" fontId="8" fillId="13" borderId="6" xfId="0" applyFont="1" applyFill="1" applyBorder="1" applyAlignment="1">
      <alignment horizontal="center"/>
    </xf>
    <xf numFmtId="0" fontId="0" fillId="14" borderId="0" xfId="0" applyFill="1"/>
    <xf numFmtId="0" fontId="5" fillId="9" borderId="2" xfId="0" applyFont="1" applyFill="1" applyBorder="1" applyAlignment="1">
      <alignment horizontal="center"/>
    </xf>
    <xf numFmtId="166" fontId="3" fillId="15" borderId="1" xfId="0" applyNumberFormat="1" applyFont="1" applyFill="1" applyBorder="1"/>
    <xf numFmtId="0" fontId="0" fillId="17" borderId="0" xfId="0" applyFill="1"/>
    <xf numFmtId="165" fontId="0" fillId="17" borderId="0" xfId="0" applyNumberFormat="1" applyFill="1"/>
    <xf numFmtId="0" fontId="3" fillId="16" borderId="0" xfId="0" applyFont="1" applyFill="1" applyAlignment="1">
      <alignment horizontal="left"/>
    </xf>
    <xf numFmtId="0" fontId="3" fillId="19" borderId="0" xfId="0" applyFont="1" applyFill="1" applyAlignment="1">
      <alignment horizontal="right"/>
    </xf>
    <xf numFmtId="0" fontId="3" fillId="19" borderId="0" xfId="0" applyFont="1" applyFill="1"/>
    <xf numFmtId="3" fontId="0" fillId="12" borderId="0" xfId="0" applyNumberFormat="1" applyFill="1"/>
    <xf numFmtId="0" fontId="11" fillId="11" borderId="0" xfId="0" applyFont="1" applyFill="1"/>
    <xf numFmtId="0" fontId="0" fillId="20" borderId="0" xfId="0" applyFill="1"/>
    <xf numFmtId="0" fontId="3" fillId="22" borderId="0" xfId="0" applyFont="1" applyFill="1"/>
    <xf numFmtId="0" fontId="3" fillId="21" borderId="0" xfId="0" applyFont="1" applyFill="1"/>
    <xf numFmtId="0" fontId="0" fillId="2" borderId="1" xfId="0" applyFill="1" applyBorder="1"/>
    <xf numFmtId="7" fontId="0" fillId="23" borderId="0" xfId="0" applyNumberFormat="1" applyFill="1"/>
    <xf numFmtId="165" fontId="0" fillId="23" borderId="0" xfId="0" applyNumberFormat="1" applyFill="1"/>
    <xf numFmtId="3" fontId="0" fillId="2" borderId="1" xfId="0" applyNumberFormat="1" applyFill="1" applyBorder="1"/>
    <xf numFmtId="0" fontId="0" fillId="24" borderId="0" xfId="0" applyFill="1"/>
    <xf numFmtId="165" fontId="0" fillId="20" borderId="0" xfId="0" applyNumberFormat="1" applyFill="1"/>
    <xf numFmtId="0" fontId="15" fillId="5" borderId="0" xfId="0" applyFont="1" applyFill="1"/>
    <xf numFmtId="0" fontId="11" fillId="12" borderId="0" xfId="0" applyFont="1" applyFill="1"/>
    <xf numFmtId="167" fontId="0" fillId="20" borderId="0" xfId="0" applyNumberFormat="1" applyFill="1" applyAlignment="1">
      <alignment horizontal="center"/>
    </xf>
    <xf numFmtId="0" fontId="3" fillId="19" borderId="0" xfId="0" applyFont="1" applyFill="1" applyAlignment="1">
      <alignment horizontal="center"/>
    </xf>
    <xf numFmtId="0" fontId="3" fillId="18" borderId="0" xfId="0" applyFont="1" applyFill="1" applyAlignment="1">
      <alignment horizontal="left"/>
    </xf>
    <xf numFmtId="165" fontId="0" fillId="2" borderId="0" xfId="0" applyNumberFormat="1" applyFill="1"/>
    <xf numFmtId="0" fontId="3" fillId="9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3" fillId="25" borderId="0" xfId="0" applyFont="1" applyFill="1" applyAlignment="1">
      <alignment horizontal="left"/>
    </xf>
    <xf numFmtId="0" fontId="3" fillId="16" borderId="0" xfId="0" quotePrefix="1" applyFont="1" applyFill="1" applyAlignment="1">
      <alignment horizontal="left"/>
    </xf>
    <xf numFmtId="2" fontId="0" fillId="12" borderId="0" xfId="0" applyNumberFormat="1" applyFill="1"/>
    <xf numFmtId="170" fontId="0" fillId="11" borderId="1" xfId="0" applyNumberFormat="1" applyFill="1" applyBorder="1"/>
    <xf numFmtId="170" fontId="0" fillId="5" borderId="1" xfId="0" applyNumberFormat="1" applyFill="1" applyBorder="1"/>
    <xf numFmtId="0" fontId="0" fillId="20" borderId="0" xfId="0" applyFill="1" applyAlignment="1">
      <alignment horizontal="center"/>
    </xf>
    <xf numFmtId="7" fontId="0" fillId="20" borderId="0" xfId="0" applyNumberFormat="1" applyFill="1" applyAlignment="1">
      <alignment horizontal="center"/>
    </xf>
    <xf numFmtId="0" fontId="0" fillId="5" borderId="7" xfId="0" applyFill="1" applyBorder="1"/>
    <xf numFmtId="0" fontId="0" fillId="7" borderId="8" xfId="0" applyFill="1" applyBorder="1"/>
    <xf numFmtId="0" fontId="0" fillId="4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170" fontId="0" fillId="2" borderId="0" xfId="0" applyNumberFormat="1" applyFill="1"/>
    <xf numFmtId="0" fontId="3" fillId="27" borderId="0" xfId="0" applyFont="1" applyFill="1"/>
    <xf numFmtId="165" fontId="0" fillId="4" borderId="0" xfId="0" applyNumberFormat="1" applyFill="1"/>
    <xf numFmtId="170" fontId="0" fillId="4" borderId="0" xfId="0" applyNumberFormat="1" applyFill="1"/>
    <xf numFmtId="2" fontId="0" fillId="4" borderId="0" xfId="0" applyNumberFormat="1" applyFill="1"/>
    <xf numFmtId="4" fontId="0" fillId="2" borderId="0" xfId="0" applyNumberFormat="1" applyFill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169" fontId="0" fillId="4" borderId="0" xfId="0" applyNumberFormat="1" applyFill="1"/>
    <xf numFmtId="171" fontId="0" fillId="9" borderId="0" xfId="0" applyNumberFormat="1" applyFill="1"/>
    <xf numFmtId="168" fontId="0" fillId="9" borderId="0" xfId="0" applyNumberFormat="1" applyFill="1"/>
    <xf numFmtId="167" fontId="0" fillId="2" borderId="0" xfId="5" applyNumberFormat="1" applyFont="1" applyFill="1"/>
    <xf numFmtId="0" fontId="3" fillId="15" borderId="0" xfId="0" applyFont="1" applyFill="1"/>
    <xf numFmtId="0" fontId="0" fillId="0" borderId="0" xfId="0" quotePrefix="1"/>
    <xf numFmtId="0" fontId="17" fillId="12" borderId="0" xfId="0" applyFont="1" applyFill="1"/>
    <xf numFmtId="0" fontId="18" fillId="12" borderId="0" xfId="0" applyFont="1" applyFill="1"/>
    <xf numFmtId="0" fontId="0" fillId="12" borderId="0" xfId="0" applyFill="1" applyAlignment="1">
      <alignment horizontal="center"/>
    </xf>
    <xf numFmtId="168" fontId="0" fillId="17" borderId="0" xfId="0" applyNumberFormat="1" applyFill="1"/>
    <xf numFmtId="164" fontId="0" fillId="4" borderId="0" xfId="5" applyFont="1" applyFill="1"/>
    <xf numFmtId="0" fontId="3" fillId="27" borderId="0" xfId="0" applyFont="1" applyFill="1" applyAlignment="1">
      <alignment horizontal="left"/>
    </xf>
    <xf numFmtId="0" fontId="3" fillId="6" borderId="0" xfId="3" applyNumberFormat="1" applyFont="1" applyFill="1"/>
    <xf numFmtId="4" fontId="0" fillId="4" borderId="0" xfId="0" applyNumberFormat="1" applyFill="1"/>
    <xf numFmtId="0" fontId="13" fillId="0" borderId="0" xfId="0" applyFont="1"/>
    <xf numFmtId="0" fontId="3" fillId="6" borderId="0" xfId="0" applyFont="1" applyFill="1" applyAlignment="1">
      <alignment horizontal="left" wrapText="1"/>
    </xf>
    <xf numFmtId="7" fontId="0" fillId="2" borderId="0" xfId="0" applyNumberFormat="1" applyFill="1"/>
    <xf numFmtId="169" fontId="0" fillId="2" borderId="0" xfId="0" applyNumberFormat="1" applyFill="1"/>
    <xf numFmtId="0" fontId="0" fillId="0" borderId="11" xfId="0" applyBorder="1"/>
    <xf numFmtId="0" fontId="0" fillId="4" borderId="8" xfId="0" applyFill="1" applyBorder="1"/>
    <xf numFmtId="173" fontId="0" fillId="2" borderId="0" xfId="0" applyNumberFormat="1" applyFill="1"/>
    <xf numFmtId="172" fontId="3" fillId="6" borderId="0" xfId="3" applyNumberFormat="1" applyFont="1" applyFill="1" applyAlignment="1">
      <alignment horizontal="left"/>
    </xf>
    <xf numFmtId="8" fontId="0" fillId="4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0" fontId="0" fillId="23" borderId="0" xfId="0" applyFill="1"/>
    <xf numFmtId="174" fontId="0" fillId="23" borderId="0" xfId="0" applyNumberFormat="1" applyFill="1"/>
    <xf numFmtId="0" fontId="13" fillId="22" borderId="0" xfId="0" applyFont="1" applyFill="1"/>
    <xf numFmtId="165" fontId="5" fillId="28" borderId="0" xfId="0" applyNumberFormat="1" applyFont="1" applyFill="1"/>
    <xf numFmtId="174" fontId="5" fillId="28" borderId="0" xfId="0" applyNumberFormat="1" applyFont="1" applyFill="1"/>
    <xf numFmtId="0" fontId="0" fillId="3" borderId="1" xfId="0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3" fillId="29" borderId="2" xfId="0" applyFont="1" applyFill="1" applyBorder="1" applyAlignment="1">
      <alignment horizontal="center"/>
    </xf>
    <xf numFmtId="0" fontId="0" fillId="11" borderId="1" xfId="0" applyFill="1" applyBorder="1"/>
    <xf numFmtId="0" fontId="3" fillId="18" borderId="2" xfId="0" applyFont="1" applyFill="1" applyBorder="1" applyAlignment="1">
      <alignment horizontal="center"/>
    </xf>
    <xf numFmtId="0" fontId="0" fillId="5" borderId="1" xfId="0" applyFill="1" applyBorder="1"/>
    <xf numFmtId="0" fontId="3" fillId="27" borderId="2" xfId="0" applyFont="1" applyFill="1" applyBorder="1" applyAlignment="1">
      <alignment horizontal="center"/>
    </xf>
    <xf numFmtId="0" fontId="3" fillId="30" borderId="0" xfId="0" applyFont="1" applyFill="1"/>
    <xf numFmtId="0" fontId="3" fillId="31" borderId="0" xfId="0" applyFont="1" applyFill="1" applyAlignment="1">
      <alignment horizontal="center"/>
    </xf>
    <xf numFmtId="0" fontId="5" fillId="9" borderId="13" xfId="0" applyFont="1" applyFill="1" applyBorder="1" applyAlignment="1">
      <alignment horizontal="right"/>
    </xf>
    <xf numFmtId="0" fontId="12" fillId="12" borderId="0" xfId="0" applyFont="1" applyFill="1" applyAlignment="1">
      <alignment horizontal="left"/>
    </xf>
    <xf numFmtId="0" fontId="14" fillId="12" borderId="0" xfId="0" applyFont="1" applyFill="1" applyAlignment="1">
      <alignment horizontal="left"/>
    </xf>
    <xf numFmtId="0" fontId="19" fillId="12" borderId="0" xfId="0" applyFont="1" applyFill="1" applyAlignment="1">
      <alignment horizontal="left"/>
    </xf>
    <xf numFmtId="0" fontId="3" fillId="26" borderId="0" xfId="0" applyFont="1" applyFill="1" applyAlignment="1">
      <alignment horizontal="right"/>
    </xf>
    <xf numFmtId="0" fontId="0" fillId="9" borderId="0" xfId="0" applyFill="1" applyAlignment="1">
      <alignment horizontal="right"/>
    </xf>
    <xf numFmtId="0" fontId="3" fillId="9" borderId="0" xfId="0" applyFont="1" applyFill="1" applyAlignment="1">
      <alignment horizontal="right"/>
    </xf>
    <xf numFmtId="0" fontId="16" fillId="26" borderId="0" xfId="0" applyFont="1" applyFill="1" applyAlignment="1">
      <alignment horizontal="right"/>
    </xf>
    <xf numFmtId="0" fontId="3" fillId="18" borderId="0" xfId="0" applyFont="1" applyFill="1" applyAlignment="1">
      <alignment horizontal="left" wrapText="1"/>
    </xf>
    <xf numFmtId="0" fontId="0" fillId="11" borderId="0" xfId="0" applyFill="1"/>
    <xf numFmtId="0" fontId="3" fillId="16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3" fillId="6" borderId="0" xfId="0" applyFont="1" applyFill="1" applyAlignment="1">
      <alignment horizontal="center" wrapText="1"/>
    </xf>
    <xf numFmtId="0" fontId="3" fillId="19" borderId="0" xfId="0" applyFont="1" applyFill="1" applyAlignment="1">
      <alignment horizontal="center"/>
    </xf>
    <xf numFmtId="0" fontId="3" fillId="29" borderId="0" xfId="0" applyFont="1" applyFill="1" applyAlignment="1">
      <alignment horizontal="left"/>
    </xf>
    <xf numFmtId="0" fontId="16" fillId="10" borderId="0" xfId="0" applyFont="1" applyFill="1" applyAlignment="1">
      <alignment horizontal="right"/>
    </xf>
    <xf numFmtId="0" fontId="16" fillId="32" borderId="0" xfId="0" applyFont="1" applyFill="1" applyAlignment="1">
      <alignment horizontal="right"/>
    </xf>
    <xf numFmtId="0" fontId="16" fillId="11" borderId="0" xfId="0" applyFont="1" applyFill="1" applyAlignment="1">
      <alignment horizontal="right"/>
    </xf>
    <xf numFmtId="0" fontId="16" fillId="19" borderId="0" xfId="0" applyFont="1" applyFill="1" applyAlignment="1">
      <alignment horizontal="right"/>
    </xf>
    <xf numFmtId="0" fontId="16" fillId="5" borderId="0" xfId="0" applyFont="1" applyFill="1" applyAlignment="1">
      <alignment horizontal="right"/>
    </xf>
    <xf numFmtId="0" fontId="16" fillId="6" borderId="0" xfId="0" applyFont="1" applyFill="1" applyAlignment="1">
      <alignment horizontal="right"/>
    </xf>
  </cellXfs>
  <cellStyles count="6">
    <cellStyle name="Millares" xfId="5" builtinId="3"/>
    <cellStyle name="Moneda" xfId="2" builtinId="4"/>
    <cellStyle name="Normal" xfId="0" builtinId="0"/>
    <cellStyle name="Normal 2" xfId="1" xr:uid="{00000000-0005-0000-0000-000003000000}"/>
    <cellStyle name="Normal 3" xfId="4" xr:uid="{00000000-0005-0000-0000-000004000000}"/>
    <cellStyle name="Porcentaje" xfId="3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theme="4"/>
      </font>
    </dxf>
    <dxf>
      <font>
        <color theme="9" tint="-0.24994659260841701"/>
      </font>
    </dxf>
    <dxf>
      <font>
        <color theme="4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016135430953392E-2"/>
          <c:y val="3.98927527338142E-2"/>
          <c:w val="0.80760823112724278"/>
          <c:h val="0.79202844553003593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'Cost-effectiveness'!$C$3</c:f>
              <c:strCache>
                <c:ptCount val="1"/>
                <c:pt idx="0">
                  <c:v>Willingness to pay 30,000</c:v>
                </c:pt>
              </c:strCache>
            </c:strRef>
          </c:tx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'Cost-effectiveness'!$C$6:$C$7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9C-4635-AD01-BCC774DB2D6C}"/>
            </c:ext>
          </c:extLst>
        </c:ser>
        <c:ser>
          <c:idx val="3"/>
          <c:order val="4"/>
          <c:tx>
            <c:strRef>
              <c:f>'Cost-effectiveness'!$D$3</c:f>
              <c:strCache>
                <c:ptCount val="1"/>
                <c:pt idx="0">
                  <c:v>Willingness to pay 20,000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'Cost-effectiveness'!$D$6:$D$7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9C-4635-AD01-BCC774DB2D6C}"/>
            </c:ext>
          </c:extLst>
        </c:ser>
        <c:ser>
          <c:idx val="4"/>
          <c:order val="5"/>
          <c:tx>
            <c:strRef>
              <c:f>'Cost-effectiveness'!$E$3</c:f>
              <c:strCache>
                <c:ptCount val="1"/>
                <c:pt idx="0">
                  <c:v>Willingness to pay 10,000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'Cost-effectiveness'!$E$6:$E$7</c:f>
              <c:numCache>
                <c:formatCode>General</c:formatCode>
                <c:ptCount val="2"/>
                <c:pt idx="0">
                  <c:v>-5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9C-4635-AD01-BCC774DB2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2136"/>
        <c:axId val="357502920"/>
      </c:scatterChart>
      <c:scatterChart>
        <c:scatterStyle val="lineMarker"/>
        <c:varyColors val="0"/>
        <c:ser>
          <c:idx val="0"/>
          <c:order val="0"/>
          <c:tx>
            <c:strRef>
              <c:f>Localization!$B$72</c:f>
              <c:strCache>
                <c:ptCount val="1"/>
                <c:pt idx="0">
                  <c:v>MC simulations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chemeClr val="tx2"/>
              </a:solidFill>
              <a:ln>
                <a:noFill/>
                <a:prstDash val="solid"/>
              </a:ln>
            </c:spPr>
          </c:marker>
          <c:xVal>
            <c:numRef>
              <c:f>Process!$E$12:$E$1011</c:f>
              <c:numCache>
                <c:formatCode>General</c:formatCode>
                <c:ptCount val="1000"/>
                <c:pt idx="0">
                  <c:v>1.0975793011880342E-4</c:v>
                </c:pt>
                <c:pt idx="1">
                  <c:v>7.5334869926280135E-5</c:v>
                </c:pt>
                <c:pt idx="2">
                  <c:v>2.0449315069726026E-5</c:v>
                </c:pt>
                <c:pt idx="3">
                  <c:v>3.3612803502336419E-5</c:v>
                </c:pt>
                <c:pt idx="4">
                  <c:v>2.3442394308403891E-5</c:v>
                </c:pt>
                <c:pt idx="5">
                  <c:v>4.1081552396349252E-5</c:v>
                </c:pt>
                <c:pt idx="6">
                  <c:v>6.0905694201807137E-5</c:v>
                </c:pt>
                <c:pt idx="7">
                  <c:v>1.5540111890288699E-4</c:v>
                </c:pt>
                <c:pt idx="8">
                  <c:v>6.1221932387667266E-5</c:v>
                </c:pt>
                <c:pt idx="9">
                  <c:v>7.6006031008546415E-5</c:v>
                </c:pt>
                <c:pt idx="10">
                  <c:v>1.162889497798858E-4</c:v>
                </c:pt>
                <c:pt idx="11">
                  <c:v>5.2242673241664761E-5</c:v>
                </c:pt>
                <c:pt idx="12">
                  <c:v>1.0264235730517157E-4</c:v>
                </c:pt>
                <c:pt idx="13">
                  <c:v>2.3232630081082561E-5</c:v>
                </c:pt>
                <c:pt idx="14">
                  <c:v>5.8044191863615424E-5</c:v>
                </c:pt>
                <c:pt idx="15">
                  <c:v>5.22966492368937E-5</c:v>
                </c:pt>
                <c:pt idx="16">
                  <c:v>3.5603198071498809E-5</c:v>
                </c:pt>
                <c:pt idx="17">
                  <c:v>4.7839131415372549E-5</c:v>
                </c:pt>
                <c:pt idx="18">
                  <c:v>8.6238237454239197E-5</c:v>
                </c:pt>
                <c:pt idx="19">
                  <c:v>7.7485046169556426E-5</c:v>
                </c:pt>
                <c:pt idx="20">
                  <c:v>3.1141353272090555E-5</c:v>
                </c:pt>
                <c:pt idx="21">
                  <c:v>3.7091715931580893E-5</c:v>
                </c:pt>
                <c:pt idx="22">
                  <c:v>2.5726354866861811E-5</c:v>
                </c:pt>
                <c:pt idx="23">
                  <c:v>5.6239524646173322E-5</c:v>
                </c:pt>
                <c:pt idx="24">
                  <c:v>5.7880760856221514E-5</c:v>
                </c:pt>
                <c:pt idx="25">
                  <c:v>7.8412174268294166E-5</c:v>
                </c:pt>
                <c:pt idx="26">
                  <c:v>2.7717193468390633E-5</c:v>
                </c:pt>
                <c:pt idx="27">
                  <c:v>6.4980194920849499E-5</c:v>
                </c:pt>
                <c:pt idx="28">
                  <c:v>2.114834376598651E-5</c:v>
                </c:pt>
                <c:pt idx="29">
                  <c:v>1.250688105791653E-4</c:v>
                </c:pt>
                <c:pt idx="30">
                  <c:v>3.5454367562692823E-5</c:v>
                </c:pt>
                <c:pt idx="31">
                  <c:v>1.5096815026538479E-5</c:v>
                </c:pt>
                <c:pt idx="32">
                  <c:v>4.0390654351796229E-5</c:v>
                </c:pt>
                <c:pt idx="33">
                  <c:v>8.849439229763334E-5</c:v>
                </c:pt>
                <c:pt idx="34">
                  <c:v>4.3327723513897354E-5</c:v>
                </c:pt>
                <c:pt idx="35">
                  <c:v>6.9217746226257759E-5</c:v>
                </c:pt>
                <c:pt idx="36">
                  <c:v>7.7635894761840518E-5</c:v>
                </c:pt>
                <c:pt idx="37">
                  <c:v>6.1525656832372988E-5</c:v>
                </c:pt>
                <c:pt idx="38">
                  <c:v>4.3401337588733213E-5</c:v>
                </c:pt>
                <c:pt idx="39">
                  <c:v>5.1230489511056021E-5</c:v>
                </c:pt>
                <c:pt idx="40">
                  <c:v>1.0932351484527203E-4</c:v>
                </c:pt>
                <c:pt idx="41">
                  <c:v>7.8925652449157724E-5</c:v>
                </c:pt>
                <c:pt idx="42">
                  <c:v>9.9270589142719246E-5</c:v>
                </c:pt>
                <c:pt idx="43">
                  <c:v>1.1074449553305499E-4</c:v>
                </c:pt>
                <c:pt idx="44">
                  <c:v>3.4570474692685593E-5</c:v>
                </c:pt>
                <c:pt idx="45">
                  <c:v>4.1005791544534986E-5</c:v>
                </c:pt>
                <c:pt idx="46">
                  <c:v>4.2212127628005192E-5</c:v>
                </c:pt>
                <c:pt idx="47">
                  <c:v>9.4501633842725141E-5</c:v>
                </c:pt>
                <c:pt idx="48">
                  <c:v>6.1965739906355566E-5</c:v>
                </c:pt>
                <c:pt idx="49">
                  <c:v>2.6511648652416397E-5</c:v>
                </c:pt>
                <c:pt idx="50">
                  <c:v>5.4913531570832674E-5</c:v>
                </c:pt>
                <c:pt idx="51">
                  <c:v>9.7058849704012573E-5</c:v>
                </c:pt>
                <c:pt idx="52">
                  <c:v>6.568307123089312E-5</c:v>
                </c:pt>
                <c:pt idx="53">
                  <c:v>3.5933154926226507E-5</c:v>
                </c:pt>
                <c:pt idx="54">
                  <c:v>8.7237171712217787E-5</c:v>
                </c:pt>
                <c:pt idx="55">
                  <c:v>2.8924867802260223E-5</c:v>
                </c:pt>
                <c:pt idx="56">
                  <c:v>5.8517339631691812E-5</c:v>
                </c:pt>
                <c:pt idx="57">
                  <c:v>3.9503702634391402E-5</c:v>
                </c:pt>
                <c:pt idx="58">
                  <c:v>8.4526061815637377E-5</c:v>
                </c:pt>
                <c:pt idx="59">
                  <c:v>2.7764802474905537E-5</c:v>
                </c:pt>
                <c:pt idx="60">
                  <c:v>6.0480593578660091E-5</c:v>
                </c:pt>
                <c:pt idx="61">
                  <c:v>8.6282081561250834E-5</c:v>
                </c:pt>
                <c:pt idx="62">
                  <c:v>4.0468062927345727E-5</c:v>
                </c:pt>
                <c:pt idx="63">
                  <c:v>1.3461157259087031E-5</c:v>
                </c:pt>
                <c:pt idx="64">
                  <c:v>3.7710198508733583E-5</c:v>
                </c:pt>
                <c:pt idx="65">
                  <c:v>3.2791702032852754E-5</c:v>
                </c:pt>
                <c:pt idx="66">
                  <c:v>6.4913860796877998E-5</c:v>
                </c:pt>
                <c:pt idx="67">
                  <c:v>1.6244927592268255E-4</c:v>
                </c:pt>
                <c:pt idx="68">
                  <c:v>4.7361264705614303E-5</c:v>
                </c:pt>
                <c:pt idx="69">
                  <c:v>3.1562807350837829E-5</c:v>
                </c:pt>
                <c:pt idx="70">
                  <c:v>1.7052174779763618E-5</c:v>
                </c:pt>
                <c:pt idx="71">
                  <c:v>3.0967621871269557E-5</c:v>
                </c:pt>
                <c:pt idx="72">
                  <c:v>7.180852564658835E-5</c:v>
                </c:pt>
                <c:pt idx="73">
                  <c:v>8.0242133876140542E-5</c:v>
                </c:pt>
                <c:pt idx="74">
                  <c:v>6.4219666665366049E-5</c:v>
                </c:pt>
                <c:pt idx="75">
                  <c:v>9.7266703175336033E-5</c:v>
                </c:pt>
                <c:pt idx="76">
                  <c:v>7.3206332768194216E-5</c:v>
                </c:pt>
                <c:pt idx="77">
                  <c:v>2.7172873835468181E-5</c:v>
                </c:pt>
                <c:pt idx="78">
                  <c:v>4.8219602621912827E-5</c:v>
                </c:pt>
                <c:pt idx="79">
                  <c:v>5.6952781974928257E-5</c:v>
                </c:pt>
                <c:pt idx="80">
                  <c:v>3.7884623239392567E-5</c:v>
                </c:pt>
                <c:pt idx="81">
                  <c:v>2.8911718366941841E-5</c:v>
                </c:pt>
                <c:pt idx="82">
                  <c:v>3.5833072409729994E-5</c:v>
                </c:pt>
                <c:pt idx="83">
                  <c:v>2.131455886456024E-5</c:v>
                </c:pt>
                <c:pt idx="84">
                  <c:v>4.6714079420695498E-5</c:v>
                </c:pt>
                <c:pt idx="85">
                  <c:v>1.6188364884683892E-4</c:v>
                </c:pt>
                <c:pt idx="86">
                  <c:v>9.8632297401479718E-5</c:v>
                </c:pt>
                <c:pt idx="87">
                  <c:v>5.284847557263106E-5</c:v>
                </c:pt>
                <c:pt idx="88">
                  <c:v>3.0529494292608206E-5</c:v>
                </c:pt>
                <c:pt idx="89">
                  <c:v>3.1188078509458705E-4</c:v>
                </c:pt>
                <c:pt idx="90">
                  <c:v>9.6352176484515439E-5</c:v>
                </c:pt>
                <c:pt idx="91">
                  <c:v>1.2143380083173838E-4</c:v>
                </c:pt>
                <c:pt idx="92">
                  <c:v>5.3299691465724663E-5</c:v>
                </c:pt>
                <c:pt idx="93">
                  <c:v>5.6593042526031923E-5</c:v>
                </c:pt>
                <c:pt idx="94">
                  <c:v>8.7824008573988976E-5</c:v>
                </c:pt>
                <c:pt idx="95">
                  <c:v>1.1035263779746174E-4</c:v>
                </c:pt>
                <c:pt idx="96">
                  <c:v>6.7579534427153476E-5</c:v>
                </c:pt>
                <c:pt idx="97">
                  <c:v>4.7946562229839174E-5</c:v>
                </c:pt>
                <c:pt idx="98">
                  <c:v>5.6203501852536419E-5</c:v>
                </c:pt>
                <c:pt idx="99">
                  <c:v>3.4443757037649902E-5</c:v>
                </c:pt>
                <c:pt idx="100">
                  <c:v>2.4186931085523611E-5</c:v>
                </c:pt>
                <c:pt idx="101">
                  <c:v>3.1651205052440901E-5</c:v>
                </c:pt>
                <c:pt idx="102">
                  <c:v>3.2004690485365472E-5</c:v>
                </c:pt>
                <c:pt idx="103">
                  <c:v>3.4441043776922697E-5</c:v>
                </c:pt>
                <c:pt idx="104">
                  <c:v>7.923155973799112E-5</c:v>
                </c:pt>
                <c:pt idx="105">
                  <c:v>4.2002472948610148E-5</c:v>
                </c:pt>
                <c:pt idx="106">
                  <c:v>1.1250824747577326E-4</c:v>
                </c:pt>
                <c:pt idx="107">
                  <c:v>2.4759541929597617E-5</c:v>
                </c:pt>
                <c:pt idx="108">
                  <c:v>5.8710467321532178E-5</c:v>
                </c:pt>
                <c:pt idx="109">
                  <c:v>3.6362880980078671E-5</c:v>
                </c:pt>
                <c:pt idx="110">
                  <c:v>5.2290485417216814E-5</c:v>
                </c:pt>
                <c:pt idx="111">
                  <c:v>4.9683115943111034E-5</c:v>
                </c:pt>
                <c:pt idx="112">
                  <c:v>5.5524702560205696E-5</c:v>
                </c:pt>
                <c:pt idx="113">
                  <c:v>1.1758717323928636E-4</c:v>
                </c:pt>
                <c:pt idx="114">
                  <c:v>4.4376759749553685E-5</c:v>
                </c:pt>
                <c:pt idx="115">
                  <c:v>6.4038426760504308E-5</c:v>
                </c:pt>
                <c:pt idx="116">
                  <c:v>1.7946099038823604E-5</c:v>
                </c:pt>
                <c:pt idx="117">
                  <c:v>4.3939574005946724E-5</c:v>
                </c:pt>
                <c:pt idx="118">
                  <c:v>5.1340933705290581E-5</c:v>
                </c:pt>
                <c:pt idx="119">
                  <c:v>2.3125365483878113E-5</c:v>
                </c:pt>
                <c:pt idx="120">
                  <c:v>6.3949663836382342E-5</c:v>
                </c:pt>
                <c:pt idx="121">
                  <c:v>2.4293633526184522E-5</c:v>
                </c:pt>
                <c:pt idx="122">
                  <c:v>2.7190345448957487E-5</c:v>
                </c:pt>
                <c:pt idx="123">
                  <c:v>5.517445092451112E-5</c:v>
                </c:pt>
                <c:pt idx="124">
                  <c:v>2.0343186136528857E-5</c:v>
                </c:pt>
                <c:pt idx="125">
                  <c:v>1.5704356727042068E-5</c:v>
                </c:pt>
                <c:pt idx="126">
                  <c:v>8.501401179472623E-5</c:v>
                </c:pt>
                <c:pt idx="127">
                  <c:v>5.4689369001437171E-5</c:v>
                </c:pt>
                <c:pt idx="128">
                  <c:v>5.4333901438496923E-5</c:v>
                </c:pt>
                <c:pt idx="129">
                  <c:v>7.4236629064472481E-5</c:v>
                </c:pt>
                <c:pt idx="130">
                  <c:v>8.4017065052677253E-5</c:v>
                </c:pt>
                <c:pt idx="131">
                  <c:v>4.1612694513304405E-5</c:v>
                </c:pt>
                <c:pt idx="132">
                  <c:v>7.6669295694387074E-5</c:v>
                </c:pt>
                <c:pt idx="133">
                  <c:v>9.9717896834050634E-5</c:v>
                </c:pt>
                <c:pt idx="134">
                  <c:v>6.6720575539136462E-5</c:v>
                </c:pt>
                <c:pt idx="135">
                  <c:v>9.6998517935986683E-5</c:v>
                </c:pt>
                <c:pt idx="136">
                  <c:v>1.2975416604632528E-4</c:v>
                </c:pt>
                <c:pt idx="137">
                  <c:v>3.8705367721547645E-5</c:v>
                </c:pt>
                <c:pt idx="138">
                  <c:v>1.0304637568836483E-4</c:v>
                </c:pt>
                <c:pt idx="139">
                  <c:v>6.9076807776013993E-5</c:v>
                </c:pt>
                <c:pt idx="140">
                  <c:v>1.0604232141275816E-5</c:v>
                </c:pt>
                <c:pt idx="141">
                  <c:v>5.2927100050226272E-5</c:v>
                </c:pt>
                <c:pt idx="142">
                  <c:v>8.872692670536253E-5</c:v>
                </c:pt>
                <c:pt idx="143">
                  <c:v>2.6935998434396424E-5</c:v>
                </c:pt>
                <c:pt idx="144">
                  <c:v>8.8726995386423368E-5</c:v>
                </c:pt>
                <c:pt idx="145">
                  <c:v>3.7678005575969564E-5</c:v>
                </c:pt>
                <c:pt idx="146">
                  <c:v>5.4178085456157987E-5</c:v>
                </c:pt>
                <c:pt idx="147">
                  <c:v>6.4688250088096311E-5</c:v>
                </c:pt>
                <c:pt idx="148">
                  <c:v>7.0442640822676594E-5</c:v>
                </c:pt>
                <c:pt idx="149">
                  <c:v>4.8145150035594497E-5</c:v>
                </c:pt>
                <c:pt idx="150">
                  <c:v>6.3404780210163381E-5</c:v>
                </c:pt>
                <c:pt idx="151">
                  <c:v>4.4165281302355197E-5</c:v>
                </c:pt>
                <c:pt idx="152">
                  <c:v>6.343224596250252E-5</c:v>
                </c:pt>
                <c:pt idx="153">
                  <c:v>5.017807635354643E-5</c:v>
                </c:pt>
                <c:pt idx="154">
                  <c:v>7.2286572965651885E-5</c:v>
                </c:pt>
                <c:pt idx="155">
                  <c:v>7.878737522304391E-5</c:v>
                </c:pt>
                <c:pt idx="156">
                  <c:v>5.9162984481275771E-5</c:v>
                </c:pt>
                <c:pt idx="157">
                  <c:v>3.4620570616539226E-5</c:v>
                </c:pt>
                <c:pt idx="158">
                  <c:v>4.1786444700875336E-5</c:v>
                </c:pt>
                <c:pt idx="159">
                  <c:v>3.8277054279944878E-5</c:v>
                </c:pt>
                <c:pt idx="160">
                  <c:v>1.5064721804947112E-4</c:v>
                </c:pt>
                <c:pt idx="161">
                  <c:v>3.3440535226247903E-5</c:v>
                </c:pt>
                <c:pt idx="162">
                  <c:v>6.1304177329191134E-5</c:v>
                </c:pt>
                <c:pt idx="163">
                  <c:v>4.9619986814519734E-5</c:v>
                </c:pt>
                <c:pt idx="164">
                  <c:v>5.9064350011794886E-5</c:v>
                </c:pt>
                <c:pt idx="165">
                  <c:v>5.0754832042088083E-5</c:v>
                </c:pt>
                <c:pt idx="166">
                  <c:v>4.3492981607329284E-5</c:v>
                </c:pt>
                <c:pt idx="167">
                  <c:v>5.1531157161832652E-5</c:v>
                </c:pt>
                <c:pt idx="168">
                  <c:v>5.440030246361971E-5</c:v>
                </c:pt>
                <c:pt idx="169">
                  <c:v>5.2156024068494844E-5</c:v>
                </c:pt>
                <c:pt idx="170">
                  <c:v>1.0851351625973393E-4</c:v>
                </c:pt>
                <c:pt idx="171">
                  <c:v>8.3147292812668638E-5</c:v>
                </c:pt>
                <c:pt idx="172">
                  <c:v>1.0506273839538949E-4</c:v>
                </c:pt>
                <c:pt idx="173">
                  <c:v>6.8505655903550178E-5</c:v>
                </c:pt>
                <c:pt idx="174">
                  <c:v>8.38420188102873E-5</c:v>
                </c:pt>
                <c:pt idx="175">
                  <c:v>8.1263009480636583E-5</c:v>
                </c:pt>
                <c:pt idx="176">
                  <c:v>1.3636753590517969E-4</c:v>
                </c:pt>
                <c:pt idx="177">
                  <c:v>4.7952994872701993E-5</c:v>
                </c:pt>
                <c:pt idx="178">
                  <c:v>1.3959394926033042E-4</c:v>
                </c:pt>
                <c:pt idx="179">
                  <c:v>3.8147689110701322E-5</c:v>
                </c:pt>
                <c:pt idx="180">
                  <c:v>9.2798234533120194E-5</c:v>
                </c:pt>
                <c:pt idx="181">
                  <c:v>1.9694451783180966E-5</c:v>
                </c:pt>
                <c:pt idx="182">
                  <c:v>2.8180592273940874E-5</c:v>
                </c:pt>
                <c:pt idx="183">
                  <c:v>3.4857868833171324E-5</c:v>
                </c:pt>
                <c:pt idx="184">
                  <c:v>4.1665290446246672E-5</c:v>
                </c:pt>
                <c:pt idx="185">
                  <c:v>6.9597941831034404E-5</c:v>
                </c:pt>
                <c:pt idx="186">
                  <c:v>2.8808447844141938E-5</c:v>
                </c:pt>
                <c:pt idx="187">
                  <c:v>2.3853499481418794E-5</c:v>
                </c:pt>
                <c:pt idx="188">
                  <c:v>5.9196542533612728E-5</c:v>
                </c:pt>
                <c:pt idx="189">
                  <c:v>3.5070679253124126E-5</c:v>
                </c:pt>
                <c:pt idx="190">
                  <c:v>5.9842601331183687E-5</c:v>
                </c:pt>
                <c:pt idx="191">
                  <c:v>4.5713095595090181E-5</c:v>
                </c:pt>
                <c:pt idx="192">
                  <c:v>1.6827002984598494E-4</c:v>
                </c:pt>
                <c:pt idx="193">
                  <c:v>4.9562401510883092E-5</c:v>
                </c:pt>
                <c:pt idx="194">
                  <c:v>3.4784538915033636E-5</c:v>
                </c:pt>
                <c:pt idx="195">
                  <c:v>8.3481027893128612E-5</c:v>
                </c:pt>
                <c:pt idx="196">
                  <c:v>4.8799162428281306E-5</c:v>
                </c:pt>
                <c:pt idx="197">
                  <c:v>2.4128378868226719E-5</c:v>
                </c:pt>
                <c:pt idx="198">
                  <c:v>5.148001966404081E-5</c:v>
                </c:pt>
                <c:pt idx="199">
                  <c:v>6.4429580877600756E-5</c:v>
                </c:pt>
                <c:pt idx="200">
                  <c:v>1.7613562899754243E-4</c:v>
                </c:pt>
                <c:pt idx="201">
                  <c:v>9.8348388824831545E-5</c:v>
                </c:pt>
                <c:pt idx="202">
                  <c:v>3.6212806190150104E-5</c:v>
                </c:pt>
                <c:pt idx="203">
                  <c:v>8.2462456333587397E-5</c:v>
                </c:pt>
                <c:pt idx="204">
                  <c:v>5.2853473860636768E-5</c:v>
                </c:pt>
                <c:pt idx="205">
                  <c:v>6.0819107300602582E-5</c:v>
                </c:pt>
                <c:pt idx="206">
                  <c:v>2.4749295100434665E-5</c:v>
                </c:pt>
                <c:pt idx="207">
                  <c:v>7.8037202644765102E-5</c:v>
                </c:pt>
                <c:pt idx="208">
                  <c:v>8.361827921277154E-5</c:v>
                </c:pt>
                <c:pt idx="209">
                  <c:v>5.9184284523894348E-5</c:v>
                </c:pt>
                <c:pt idx="210">
                  <c:v>3.0425089423857798E-5</c:v>
                </c:pt>
                <c:pt idx="211">
                  <c:v>1.0481533490391826E-4</c:v>
                </c:pt>
                <c:pt idx="212">
                  <c:v>3.6109169478493186E-5</c:v>
                </c:pt>
                <c:pt idx="213">
                  <c:v>2.930760694752621E-5</c:v>
                </c:pt>
                <c:pt idx="214">
                  <c:v>1.4065211908587116E-4</c:v>
                </c:pt>
                <c:pt idx="215">
                  <c:v>2.2974997186508972E-5</c:v>
                </c:pt>
                <c:pt idx="216">
                  <c:v>1.8377343065623108E-4</c:v>
                </c:pt>
                <c:pt idx="217">
                  <c:v>8.1365344922090799E-5</c:v>
                </c:pt>
                <c:pt idx="218">
                  <c:v>3.7284567795836665E-5</c:v>
                </c:pt>
                <c:pt idx="219">
                  <c:v>3.285016804355223E-5</c:v>
                </c:pt>
                <c:pt idx="220">
                  <c:v>6.08161942921015E-5</c:v>
                </c:pt>
                <c:pt idx="221">
                  <c:v>5.0863119117394717E-5</c:v>
                </c:pt>
                <c:pt idx="222">
                  <c:v>2.7163190775780777E-5</c:v>
                </c:pt>
                <c:pt idx="223">
                  <c:v>2.0305677331577954E-5</c:v>
                </c:pt>
                <c:pt idx="224">
                  <c:v>4.2820548063815522E-5</c:v>
                </c:pt>
                <c:pt idx="225">
                  <c:v>6.1417549051867582E-5</c:v>
                </c:pt>
                <c:pt idx="226">
                  <c:v>4.433270765602515E-5</c:v>
                </c:pt>
                <c:pt idx="227">
                  <c:v>5.4987322343436063E-5</c:v>
                </c:pt>
                <c:pt idx="228">
                  <c:v>5.9585706711828834E-5</c:v>
                </c:pt>
                <c:pt idx="229">
                  <c:v>2.7608236695897403E-5</c:v>
                </c:pt>
                <c:pt idx="230">
                  <c:v>6.4448609823131164E-5</c:v>
                </c:pt>
                <c:pt idx="231">
                  <c:v>4.1560954137764838E-5</c:v>
                </c:pt>
                <c:pt idx="232">
                  <c:v>3.879678834195488E-5</c:v>
                </c:pt>
                <c:pt idx="233">
                  <c:v>1.9249583438707418E-4</c:v>
                </c:pt>
                <c:pt idx="234">
                  <c:v>7.3109222391565254E-5</c:v>
                </c:pt>
                <c:pt idx="235">
                  <c:v>6.3070117771957257E-5</c:v>
                </c:pt>
                <c:pt idx="236">
                  <c:v>6.3367307951978091E-5</c:v>
                </c:pt>
                <c:pt idx="237">
                  <c:v>4.3490633984788474E-5</c:v>
                </c:pt>
                <c:pt idx="238">
                  <c:v>5.2801123992196608E-5</c:v>
                </c:pt>
                <c:pt idx="239">
                  <c:v>5.5845560147815831E-5</c:v>
                </c:pt>
                <c:pt idx="240">
                  <c:v>6.6070629060277497E-5</c:v>
                </c:pt>
                <c:pt idx="241">
                  <c:v>1.1173284953969187E-4</c:v>
                </c:pt>
                <c:pt idx="242">
                  <c:v>5.4187706250985457E-5</c:v>
                </c:pt>
                <c:pt idx="243">
                  <c:v>4.1363239393632512E-5</c:v>
                </c:pt>
                <c:pt idx="244">
                  <c:v>4.6824198136619088E-5</c:v>
                </c:pt>
                <c:pt idx="245">
                  <c:v>6.1379745925904672E-5</c:v>
                </c:pt>
                <c:pt idx="246">
                  <c:v>6.494770811826811E-5</c:v>
                </c:pt>
                <c:pt idx="247">
                  <c:v>7.6708909261924418E-5</c:v>
                </c:pt>
                <c:pt idx="248">
                  <c:v>2.8944293063659643E-5</c:v>
                </c:pt>
                <c:pt idx="249">
                  <c:v>4.4143583281197607E-5</c:v>
                </c:pt>
                <c:pt idx="250">
                  <c:v>6.1552758893412829E-5</c:v>
                </c:pt>
                <c:pt idx="251">
                  <c:v>4.4826347050275217E-5</c:v>
                </c:pt>
                <c:pt idx="252">
                  <c:v>1.7892192276036667E-4</c:v>
                </c:pt>
                <c:pt idx="253">
                  <c:v>7.3494924343719958E-5</c:v>
                </c:pt>
                <c:pt idx="254">
                  <c:v>8.87128801707604E-5</c:v>
                </c:pt>
                <c:pt idx="255">
                  <c:v>7.1462881276573853E-5</c:v>
                </c:pt>
                <c:pt idx="256">
                  <c:v>6.2032865361771883E-5</c:v>
                </c:pt>
                <c:pt idx="257">
                  <c:v>9.4907117873077596E-5</c:v>
                </c:pt>
                <c:pt idx="258">
                  <c:v>1.3456875841910687E-4</c:v>
                </c:pt>
                <c:pt idx="259">
                  <c:v>5.3923452597359756E-5</c:v>
                </c:pt>
                <c:pt idx="260">
                  <c:v>1.1285961491935836E-4</c:v>
                </c:pt>
                <c:pt idx="261">
                  <c:v>2.1839904963627532E-5</c:v>
                </c:pt>
                <c:pt idx="262">
                  <c:v>6.9642218807786094E-5</c:v>
                </c:pt>
                <c:pt idx="263">
                  <c:v>5.4367279748390729E-5</c:v>
                </c:pt>
                <c:pt idx="264">
                  <c:v>3.6734745950894876E-5</c:v>
                </c:pt>
                <c:pt idx="265">
                  <c:v>8.1521905844539333E-5</c:v>
                </c:pt>
                <c:pt idx="266">
                  <c:v>7.2541945499438043E-5</c:v>
                </c:pt>
                <c:pt idx="267">
                  <c:v>4.5742699498418915E-5</c:v>
                </c:pt>
                <c:pt idx="268">
                  <c:v>2.2256001206599763E-4</c:v>
                </c:pt>
                <c:pt idx="269">
                  <c:v>9.6344851129970266E-5</c:v>
                </c:pt>
                <c:pt idx="270">
                  <c:v>6.0267572408179149E-5</c:v>
                </c:pt>
                <c:pt idx="271">
                  <c:v>2.152145923162152E-5</c:v>
                </c:pt>
                <c:pt idx="272">
                  <c:v>8.2346139741673596E-5</c:v>
                </c:pt>
                <c:pt idx="273">
                  <c:v>1.9930535011880579E-4</c:v>
                </c:pt>
                <c:pt idx="274">
                  <c:v>1.0226539851743155E-4</c:v>
                </c:pt>
                <c:pt idx="275">
                  <c:v>5.2438735668403069E-5</c:v>
                </c:pt>
                <c:pt idx="276">
                  <c:v>6.8053627060749022E-5</c:v>
                </c:pt>
                <c:pt idx="277">
                  <c:v>1.0454029370521312E-4</c:v>
                </c:pt>
                <c:pt idx="278">
                  <c:v>3.5132842207019621E-5</c:v>
                </c:pt>
                <c:pt idx="279">
                  <c:v>4.6101666853815004E-5</c:v>
                </c:pt>
                <c:pt idx="280">
                  <c:v>3.674746050208455E-5</c:v>
                </c:pt>
                <c:pt idx="281">
                  <c:v>4.5632913526105767E-5</c:v>
                </c:pt>
                <c:pt idx="282">
                  <c:v>6.9208673600940074E-5</c:v>
                </c:pt>
                <c:pt idx="283">
                  <c:v>1.5090002882800491E-4</c:v>
                </c:pt>
                <c:pt idx="284">
                  <c:v>6.7024159900341829E-5</c:v>
                </c:pt>
                <c:pt idx="285">
                  <c:v>1.5872472084765832E-4</c:v>
                </c:pt>
                <c:pt idx="286">
                  <c:v>4.9910652322182614E-5</c:v>
                </c:pt>
                <c:pt idx="287">
                  <c:v>1.578005820483952E-4</c:v>
                </c:pt>
                <c:pt idx="288">
                  <c:v>2.8599758163494471E-5</c:v>
                </c:pt>
                <c:pt idx="289">
                  <c:v>8.1377493060585948E-5</c:v>
                </c:pt>
                <c:pt idx="290">
                  <c:v>6.8671255903041128E-5</c:v>
                </c:pt>
                <c:pt idx="291">
                  <c:v>8.3895889254392841E-5</c:v>
                </c:pt>
                <c:pt idx="292">
                  <c:v>1.5171887083909041E-4</c:v>
                </c:pt>
                <c:pt idx="293">
                  <c:v>1.0524652906340748E-4</c:v>
                </c:pt>
                <c:pt idx="294">
                  <c:v>2.1008831610558332E-4</c:v>
                </c:pt>
                <c:pt idx="295">
                  <c:v>3.0235483698959342E-5</c:v>
                </c:pt>
                <c:pt idx="296">
                  <c:v>9.3713440520559743E-5</c:v>
                </c:pt>
                <c:pt idx="297">
                  <c:v>5.4193622901266281E-5</c:v>
                </c:pt>
                <c:pt idx="298">
                  <c:v>3.6362728028649371E-5</c:v>
                </c:pt>
                <c:pt idx="299">
                  <c:v>5.2293192979391279E-5</c:v>
                </c:pt>
                <c:pt idx="300">
                  <c:v>1.7296985125270226E-4</c:v>
                </c:pt>
                <c:pt idx="301">
                  <c:v>7.9017199766440172E-5</c:v>
                </c:pt>
                <c:pt idx="302">
                  <c:v>9.8819283948614611E-5</c:v>
                </c:pt>
                <c:pt idx="303">
                  <c:v>1.2513688262316691E-4</c:v>
                </c:pt>
                <c:pt idx="304">
                  <c:v>8.8620397782790405E-5</c:v>
                </c:pt>
                <c:pt idx="305">
                  <c:v>6.3394272718397815E-5</c:v>
                </c:pt>
                <c:pt idx="306">
                  <c:v>3.4429864246732222E-5</c:v>
                </c:pt>
                <c:pt idx="307">
                  <c:v>2.6043342163717398E-5</c:v>
                </c:pt>
                <c:pt idx="308">
                  <c:v>8.426511945813786E-5</c:v>
                </c:pt>
                <c:pt idx="309">
                  <c:v>6.1616753605164831E-5</c:v>
                </c:pt>
                <c:pt idx="310">
                  <c:v>4.6257004797212176E-5</c:v>
                </c:pt>
                <c:pt idx="311">
                  <c:v>7.4903016408001122E-5</c:v>
                </c:pt>
                <c:pt idx="312">
                  <c:v>3.5050439535666555E-5</c:v>
                </c:pt>
                <c:pt idx="313">
                  <c:v>6.6655813203198022E-5</c:v>
                </c:pt>
                <c:pt idx="314">
                  <c:v>2.8464192133981214E-5</c:v>
                </c:pt>
                <c:pt idx="315">
                  <c:v>3.33843787529986E-5</c:v>
                </c:pt>
                <c:pt idx="316">
                  <c:v>6.1907057414600786E-5</c:v>
                </c:pt>
                <c:pt idx="317">
                  <c:v>7.2182855888058839E-5</c:v>
                </c:pt>
                <c:pt idx="318">
                  <c:v>2.7094766497981482E-5</c:v>
                </c:pt>
                <c:pt idx="319">
                  <c:v>4.9100910256782981E-5</c:v>
                </c:pt>
                <c:pt idx="320">
                  <c:v>1.1101080481523695E-4</c:v>
                </c:pt>
                <c:pt idx="321">
                  <c:v>6.8984636367730445E-5</c:v>
                </c:pt>
                <c:pt idx="322">
                  <c:v>5.2257340648509398E-5</c:v>
                </c:pt>
                <c:pt idx="323">
                  <c:v>6.4778356446026919E-5</c:v>
                </c:pt>
                <c:pt idx="324">
                  <c:v>6.5731697024062896E-5</c:v>
                </c:pt>
                <c:pt idx="325">
                  <c:v>5.6092085156222993E-5</c:v>
                </c:pt>
                <c:pt idx="326">
                  <c:v>6.2865032848691271E-5</c:v>
                </c:pt>
                <c:pt idx="327">
                  <c:v>1.2936037086319629E-4</c:v>
                </c:pt>
                <c:pt idx="328">
                  <c:v>6.465886906781293E-5</c:v>
                </c:pt>
                <c:pt idx="329">
                  <c:v>3.9437604037573237E-5</c:v>
                </c:pt>
                <c:pt idx="330">
                  <c:v>5.0566884358005382E-5</c:v>
                </c:pt>
                <c:pt idx="331">
                  <c:v>5.338165842161402E-5</c:v>
                </c:pt>
                <c:pt idx="332">
                  <c:v>6.0049764993408417E-5</c:v>
                </c:pt>
                <c:pt idx="333">
                  <c:v>1.0398027293234691E-4</c:v>
                </c:pt>
                <c:pt idx="334">
                  <c:v>2.9608290642357815E-5</c:v>
                </c:pt>
                <c:pt idx="335">
                  <c:v>5.2506756592407555E-5</c:v>
                </c:pt>
                <c:pt idx="336">
                  <c:v>4.3308009864517771E-5</c:v>
                </c:pt>
                <c:pt idx="337">
                  <c:v>3.4180036958986193E-5</c:v>
                </c:pt>
                <c:pt idx="338">
                  <c:v>3.0696377461225666E-5</c:v>
                </c:pt>
                <c:pt idx="339">
                  <c:v>8.7141778447374918E-5</c:v>
                </c:pt>
                <c:pt idx="340">
                  <c:v>1.4212879434438719E-4</c:v>
                </c:pt>
                <c:pt idx="341">
                  <c:v>3.8901225302367948E-5</c:v>
                </c:pt>
                <c:pt idx="342">
                  <c:v>7.4589404277958238E-5</c:v>
                </c:pt>
                <c:pt idx="343">
                  <c:v>6.3169794380257827E-5</c:v>
                </c:pt>
                <c:pt idx="344">
                  <c:v>3.7780850796309551E-5</c:v>
                </c:pt>
                <c:pt idx="345">
                  <c:v>1.8364956727268122E-4</c:v>
                </c:pt>
                <c:pt idx="346">
                  <c:v>2.9918091097869137E-5</c:v>
                </c:pt>
                <c:pt idx="347">
                  <c:v>6.6497517767771797E-5</c:v>
                </c:pt>
                <c:pt idx="348">
                  <c:v>6.5612893966005004E-5</c:v>
                </c:pt>
                <c:pt idx="349">
                  <c:v>1.574228424594537E-4</c:v>
                </c:pt>
                <c:pt idx="350">
                  <c:v>4.0349779503401351E-5</c:v>
                </c:pt>
                <c:pt idx="351">
                  <c:v>1.3539926493422172E-4</c:v>
                </c:pt>
                <c:pt idx="352">
                  <c:v>3.1265201251073904E-5</c:v>
                </c:pt>
                <c:pt idx="353">
                  <c:v>4.3717616666327785E-5</c:v>
                </c:pt>
                <c:pt idx="354">
                  <c:v>2.2618955831177345E-4</c:v>
                </c:pt>
                <c:pt idx="355">
                  <c:v>6.0200249688335816E-5</c:v>
                </c:pt>
                <c:pt idx="356">
                  <c:v>5.0813229009349925E-5</c:v>
                </c:pt>
                <c:pt idx="357">
                  <c:v>6.2574100763157503E-5</c:v>
                </c:pt>
                <c:pt idx="358">
                  <c:v>5.1294851449057433E-5</c:v>
                </c:pt>
                <c:pt idx="359">
                  <c:v>4.1558409559883103E-5</c:v>
                </c:pt>
                <c:pt idx="360">
                  <c:v>4.2081511114844261E-5</c:v>
                </c:pt>
                <c:pt idx="361">
                  <c:v>5.6790112605398235E-5</c:v>
                </c:pt>
                <c:pt idx="362">
                  <c:v>4.6341977348873797E-5</c:v>
                </c:pt>
                <c:pt idx="363">
                  <c:v>3.7580937917169877E-5</c:v>
                </c:pt>
                <c:pt idx="364">
                  <c:v>8.5725042993090028E-5</c:v>
                </c:pt>
                <c:pt idx="365">
                  <c:v>8.9804871215903859E-5</c:v>
                </c:pt>
                <c:pt idx="366">
                  <c:v>8.1930156337506332E-5</c:v>
                </c:pt>
                <c:pt idx="367">
                  <c:v>7.278677239952458E-5</c:v>
                </c:pt>
                <c:pt idx="368">
                  <c:v>1.1311952237491596E-4</c:v>
                </c:pt>
                <c:pt idx="369">
                  <c:v>5.9623676584408258E-5</c:v>
                </c:pt>
                <c:pt idx="370">
                  <c:v>7.2603665611126189E-5</c:v>
                </c:pt>
                <c:pt idx="371">
                  <c:v>3.466305671651071E-5</c:v>
                </c:pt>
                <c:pt idx="372">
                  <c:v>9.2661680909600364E-5</c:v>
                </c:pt>
                <c:pt idx="373">
                  <c:v>3.1064291796667476E-5</c:v>
                </c:pt>
                <c:pt idx="374">
                  <c:v>8.8296143804456051E-5</c:v>
                </c:pt>
                <c:pt idx="375">
                  <c:v>2.5905293078665181E-5</c:v>
                </c:pt>
                <c:pt idx="376">
                  <c:v>5.2190844993305063E-5</c:v>
                </c:pt>
                <c:pt idx="377">
                  <c:v>6.005840667100415E-5</c:v>
                </c:pt>
                <c:pt idx="378">
                  <c:v>5.9924515440457071E-5</c:v>
                </c:pt>
                <c:pt idx="379">
                  <c:v>4.2468294051190014E-5</c:v>
                </c:pt>
                <c:pt idx="380">
                  <c:v>4.9305629438833876E-5</c:v>
                </c:pt>
                <c:pt idx="381">
                  <c:v>7.1499694499266297E-5</c:v>
                </c:pt>
                <c:pt idx="382">
                  <c:v>6.3567710022027768E-5</c:v>
                </c:pt>
                <c:pt idx="383">
                  <c:v>1.3591373792820605E-4</c:v>
                </c:pt>
                <c:pt idx="384">
                  <c:v>2.8252365780190303E-5</c:v>
                </c:pt>
                <c:pt idx="385">
                  <c:v>7.7220981221870488E-5</c:v>
                </c:pt>
                <c:pt idx="386">
                  <c:v>1.3137667465557001E-4</c:v>
                </c:pt>
                <c:pt idx="387">
                  <c:v>3.0400386467732687E-5</c:v>
                </c:pt>
                <c:pt idx="388">
                  <c:v>7.0917614074517132E-5</c:v>
                </c:pt>
                <c:pt idx="389">
                  <c:v>9.46342204741768E-5</c:v>
                </c:pt>
                <c:pt idx="390">
                  <c:v>7.8169641405168022E-5</c:v>
                </c:pt>
                <c:pt idx="391">
                  <c:v>4.823307082446604E-5</c:v>
                </c:pt>
                <c:pt idx="392">
                  <c:v>6.1653547607676273E-5</c:v>
                </c:pt>
                <c:pt idx="393">
                  <c:v>3.9901708536405067E-5</c:v>
                </c:pt>
                <c:pt idx="394">
                  <c:v>1.9166148046068088E-4</c:v>
                </c:pt>
                <c:pt idx="395">
                  <c:v>5.7316050519062856E-5</c:v>
                </c:pt>
                <c:pt idx="396">
                  <c:v>8.2043994048319746E-5</c:v>
                </c:pt>
                <c:pt idx="397">
                  <c:v>3.9000471453221053E-5</c:v>
                </c:pt>
                <c:pt idx="398">
                  <c:v>5.6973871146226429E-5</c:v>
                </c:pt>
                <c:pt idx="399">
                  <c:v>5.2551269487111085E-5</c:v>
                </c:pt>
                <c:pt idx="400">
                  <c:v>3.1263185285013151E-5</c:v>
                </c:pt>
                <c:pt idx="401">
                  <c:v>5.4901932514894725E-5</c:v>
                </c:pt>
                <c:pt idx="402">
                  <c:v>6.8438141838100819E-5</c:v>
                </c:pt>
                <c:pt idx="403">
                  <c:v>4.1190966104664994E-5</c:v>
                </c:pt>
                <c:pt idx="404">
                  <c:v>1.3025215617545882E-4</c:v>
                </c:pt>
                <c:pt idx="405">
                  <c:v>7.1249262266093183E-5</c:v>
                </c:pt>
                <c:pt idx="406">
                  <c:v>3.4436048835573274E-5</c:v>
                </c:pt>
                <c:pt idx="407">
                  <c:v>9.3499839088906356E-5</c:v>
                </c:pt>
                <c:pt idx="408">
                  <c:v>9.8159340229386771E-5</c:v>
                </c:pt>
                <c:pt idx="409">
                  <c:v>5.4409130850530119E-5</c:v>
                </c:pt>
                <c:pt idx="410">
                  <c:v>6.7811094901060187E-5</c:v>
                </c:pt>
                <c:pt idx="411">
                  <c:v>2.6782969619887353E-5</c:v>
                </c:pt>
                <c:pt idx="412">
                  <c:v>5.330682505899631E-5</c:v>
                </c:pt>
                <c:pt idx="413">
                  <c:v>7.4775643589930496E-5</c:v>
                </c:pt>
                <c:pt idx="414">
                  <c:v>7.5070239592633925E-5</c:v>
                </c:pt>
                <c:pt idx="415">
                  <c:v>2.9609870502156355E-5</c:v>
                </c:pt>
                <c:pt idx="416">
                  <c:v>4.0690361821305032E-5</c:v>
                </c:pt>
                <c:pt idx="417">
                  <c:v>5.7590983967514831E-5</c:v>
                </c:pt>
                <c:pt idx="418">
                  <c:v>6.0362642880562589E-5</c:v>
                </c:pt>
                <c:pt idx="419">
                  <c:v>5.8248231859181487E-5</c:v>
                </c:pt>
                <c:pt idx="420">
                  <c:v>6.7069692242682777E-5</c:v>
                </c:pt>
                <c:pt idx="421">
                  <c:v>8.206275789746087E-5</c:v>
                </c:pt>
                <c:pt idx="422">
                  <c:v>4.5931523175113398E-5</c:v>
                </c:pt>
                <c:pt idx="423">
                  <c:v>6.5360963780847214E-5</c:v>
                </c:pt>
                <c:pt idx="424">
                  <c:v>5.7006020668382007E-5</c:v>
                </c:pt>
                <c:pt idx="425">
                  <c:v>6.2714004002373258E-5</c:v>
                </c:pt>
                <c:pt idx="426">
                  <c:v>1.0107820520488531E-4</c:v>
                </c:pt>
                <c:pt idx="427">
                  <c:v>6.7229331214946342E-5</c:v>
                </c:pt>
                <c:pt idx="428">
                  <c:v>1.3209545224768249E-4</c:v>
                </c:pt>
                <c:pt idx="429">
                  <c:v>1.4433714811801224E-4</c:v>
                </c:pt>
                <c:pt idx="430">
                  <c:v>8.8074970179263801E-5</c:v>
                </c:pt>
                <c:pt idx="431">
                  <c:v>1.2046569987234079E-4</c:v>
                </c:pt>
                <c:pt idx="432">
                  <c:v>5.3125793371577856E-5</c:v>
                </c:pt>
                <c:pt idx="433">
                  <c:v>7.5274418236404017E-5</c:v>
                </c:pt>
                <c:pt idx="434">
                  <c:v>1.5453944774179718E-4</c:v>
                </c:pt>
                <c:pt idx="435">
                  <c:v>7.3689909605434423E-5</c:v>
                </c:pt>
                <c:pt idx="436">
                  <c:v>1.283780311531757E-4</c:v>
                </c:pt>
                <c:pt idx="437">
                  <c:v>1.0306919451252838E-4</c:v>
                </c:pt>
                <c:pt idx="438">
                  <c:v>9.7208054505415475E-5</c:v>
                </c:pt>
                <c:pt idx="439">
                  <c:v>7.4698625287084042E-5</c:v>
                </c:pt>
                <c:pt idx="440">
                  <c:v>4.5399008694602117E-5</c:v>
                </c:pt>
                <c:pt idx="441">
                  <c:v>6.4866258977502866E-5</c:v>
                </c:pt>
                <c:pt idx="442">
                  <c:v>1.7112990624212898E-4</c:v>
                </c:pt>
                <c:pt idx="443">
                  <c:v>1.3849670757792865E-4</c:v>
                </c:pt>
                <c:pt idx="444">
                  <c:v>3.3371251610958552E-5</c:v>
                </c:pt>
                <c:pt idx="445">
                  <c:v>4.0004508964130991E-5</c:v>
                </c:pt>
                <c:pt idx="446">
                  <c:v>4.3206469293011196E-5</c:v>
                </c:pt>
                <c:pt idx="447">
                  <c:v>8.4660725981677842E-5</c:v>
                </c:pt>
                <c:pt idx="448">
                  <c:v>9.6856954627355663E-5</c:v>
                </c:pt>
                <c:pt idx="449">
                  <c:v>4.5024346281508087E-5</c:v>
                </c:pt>
                <c:pt idx="450">
                  <c:v>7.3002779522823857E-5</c:v>
                </c:pt>
                <c:pt idx="451">
                  <c:v>4.911915479155482E-5</c:v>
                </c:pt>
                <c:pt idx="452">
                  <c:v>1.1268667507025043E-4</c:v>
                </c:pt>
                <c:pt idx="453">
                  <c:v>4.188228556500917E-5</c:v>
                </c:pt>
                <c:pt idx="454">
                  <c:v>2.7020814886924427E-5</c:v>
                </c:pt>
                <c:pt idx="455">
                  <c:v>3.4129161395668461E-5</c:v>
                </c:pt>
                <c:pt idx="456">
                  <c:v>2.6702349387619506E-5</c:v>
                </c:pt>
                <c:pt idx="457">
                  <c:v>5.7875558908904168E-5</c:v>
                </c:pt>
                <c:pt idx="458">
                  <c:v>5.7171194647764878E-5</c:v>
                </c:pt>
                <c:pt idx="459">
                  <c:v>3.125315895147196E-5</c:v>
                </c:pt>
                <c:pt idx="460">
                  <c:v>5.1106921457488852E-5</c:v>
                </c:pt>
                <c:pt idx="461">
                  <c:v>1.656196057702175E-4</c:v>
                </c:pt>
                <c:pt idx="462">
                  <c:v>1.5133096820107994E-4</c:v>
                </c:pt>
                <c:pt idx="463">
                  <c:v>5.5066087313093703E-5</c:v>
                </c:pt>
                <c:pt idx="464">
                  <c:v>4.8390153921218371E-5</c:v>
                </c:pt>
                <c:pt idx="465">
                  <c:v>5.9278012109587053E-5</c:v>
                </c:pt>
                <c:pt idx="466">
                  <c:v>9.3053003624277153E-5</c:v>
                </c:pt>
                <c:pt idx="467">
                  <c:v>6.5030049398728806E-5</c:v>
                </c:pt>
                <c:pt idx="468">
                  <c:v>8.4490436094597499E-5</c:v>
                </c:pt>
                <c:pt idx="469">
                  <c:v>1.4635659953299296E-4</c:v>
                </c:pt>
                <c:pt idx="470">
                  <c:v>2.6142056672284752E-5</c:v>
                </c:pt>
                <c:pt idx="471">
                  <c:v>6.4124436516266314E-5</c:v>
                </c:pt>
                <c:pt idx="472">
                  <c:v>2.9777151169696481E-5</c:v>
                </c:pt>
                <c:pt idx="473">
                  <c:v>1.7693365322202226E-5</c:v>
                </c:pt>
                <c:pt idx="474">
                  <c:v>6.2157182728839189E-5</c:v>
                </c:pt>
                <c:pt idx="475">
                  <c:v>1.9058838968888381E-4</c:v>
                </c:pt>
                <c:pt idx="476">
                  <c:v>7.5563266779710148E-5</c:v>
                </c:pt>
                <c:pt idx="477">
                  <c:v>4.9934139635610109E-5</c:v>
                </c:pt>
                <c:pt idx="478">
                  <c:v>1.141765730494626E-4</c:v>
                </c:pt>
                <c:pt idx="479">
                  <c:v>2.8986851532408764E-5</c:v>
                </c:pt>
                <c:pt idx="480">
                  <c:v>7.6121307934329252E-5</c:v>
                </c:pt>
                <c:pt idx="481">
                  <c:v>3.5187486517429534E-5</c:v>
                </c:pt>
                <c:pt idx="482">
                  <c:v>6.4802688985565737E-5</c:v>
                </c:pt>
                <c:pt idx="483">
                  <c:v>1.0583940206387865E-4</c:v>
                </c:pt>
                <c:pt idx="484">
                  <c:v>1.4214043953941768E-4</c:v>
                </c:pt>
                <c:pt idx="485">
                  <c:v>7.8816026565675656E-5</c:v>
                </c:pt>
                <c:pt idx="486">
                  <c:v>3.9930178417080242E-5</c:v>
                </c:pt>
                <c:pt idx="487">
                  <c:v>7.5280424610468799E-5</c:v>
                </c:pt>
                <c:pt idx="488">
                  <c:v>2.0418520738019197E-4</c:v>
                </c:pt>
                <c:pt idx="489">
                  <c:v>3.795309133991509E-5</c:v>
                </c:pt>
                <c:pt idx="490">
                  <c:v>2.7640516400140314E-5</c:v>
                </c:pt>
                <c:pt idx="491">
                  <c:v>1.7313437772159546E-4</c:v>
                </c:pt>
                <c:pt idx="492">
                  <c:v>2.4318878349305351E-5</c:v>
                </c:pt>
                <c:pt idx="493">
                  <c:v>3.2106731175929326E-5</c:v>
                </c:pt>
                <c:pt idx="494">
                  <c:v>9.9779307650038618E-5</c:v>
                </c:pt>
                <c:pt idx="495">
                  <c:v>1.0973412294390528E-4</c:v>
                </c:pt>
                <c:pt idx="496">
                  <c:v>3.6635474245372279E-5</c:v>
                </c:pt>
                <c:pt idx="497">
                  <c:v>1.1263695152052833E-4</c:v>
                </c:pt>
                <c:pt idx="498">
                  <c:v>7.8256328418291332E-5</c:v>
                </c:pt>
                <c:pt idx="499">
                  <c:v>1.0155589846050361E-4</c:v>
                </c:pt>
                <c:pt idx="500">
                  <c:v>7.3518245500281409E-5</c:v>
                </c:pt>
                <c:pt idx="501">
                  <c:v>3.9899642498397725E-5</c:v>
                </c:pt>
                <c:pt idx="502">
                  <c:v>1.539349728929551E-5</c:v>
                </c:pt>
                <c:pt idx="503">
                  <c:v>4.1437914635622519E-5</c:v>
                </c:pt>
                <c:pt idx="504">
                  <c:v>5.8179143053394E-5</c:v>
                </c:pt>
                <c:pt idx="505">
                  <c:v>5.0899200619625162E-5</c:v>
                </c:pt>
                <c:pt idx="506">
                  <c:v>5.0521468097031175E-5</c:v>
                </c:pt>
                <c:pt idx="507">
                  <c:v>2.4240674463982259E-4</c:v>
                </c:pt>
                <c:pt idx="508">
                  <c:v>1.4790283828247652E-4</c:v>
                </c:pt>
                <c:pt idx="509">
                  <c:v>8.0957306948903351E-5</c:v>
                </c:pt>
                <c:pt idx="510">
                  <c:v>4.2414503543142246E-5</c:v>
                </c:pt>
                <c:pt idx="511">
                  <c:v>8.7984507914029564E-5</c:v>
                </c:pt>
                <c:pt idx="512">
                  <c:v>5.4871985362581199E-5</c:v>
                </c:pt>
                <c:pt idx="513">
                  <c:v>5.7884446697187286E-5</c:v>
                </c:pt>
                <c:pt idx="514">
                  <c:v>2.61074338823164E-5</c:v>
                </c:pt>
                <c:pt idx="515">
                  <c:v>1.8997886659377627E-5</c:v>
                </c:pt>
                <c:pt idx="516">
                  <c:v>4.9994358665372829E-5</c:v>
                </c:pt>
                <c:pt idx="517">
                  <c:v>2.5585345181156072E-5</c:v>
                </c:pt>
                <c:pt idx="518">
                  <c:v>8.6603348186997664E-5</c:v>
                </c:pt>
                <c:pt idx="519">
                  <c:v>6.3391400146883825E-5</c:v>
                </c:pt>
                <c:pt idx="520">
                  <c:v>6.9196472129107178E-5</c:v>
                </c:pt>
                <c:pt idx="521">
                  <c:v>3.9101557931076059E-5</c:v>
                </c:pt>
                <c:pt idx="522">
                  <c:v>2.9195337162946089E-5</c:v>
                </c:pt>
                <c:pt idx="523">
                  <c:v>1.3170284452712622E-4</c:v>
                </c:pt>
                <c:pt idx="524">
                  <c:v>7.0205849446836055E-5</c:v>
                </c:pt>
                <c:pt idx="525">
                  <c:v>2.165338452542187E-5</c:v>
                </c:pt>
                <c:pt idx="526">
                  <c:v>4.7357070929621159E-5</c:v>
                </c:pt>
                <c:pt idx="527">
                  <c:v>5.4385768752496233E-5</c:v>
                </c:pt>
                <c:pt idx="528">
                  <c:v>7.8858725064634427E-5</c:v>
                </c:pt>
                <c:pt idx="529">
                  <c:v>5.9146061449411036E-5</c:v>
                </c:pt>
                <c:pt idx="530">
                  <c:v>5.766215495839333E-5</c:v>
                </c:pt>
                <c:pt idx="531">
                  <c:v>6.008623009989833E-5</c:v>
                </c:pt>
                <c:pt idx="532">
                  <c:v>5.7539782726934163E-5</c:v>
                </c:pt>
                <c:pt idx="533">
                  <c:v>3.7191134371283852E-5</c:v>
                </c:pt>
                <c:pt idx="534">
                  <c:v>2.7518307891938321E-5</c:v>
                </c:pt>
                <c:pt idx="535">
                  <c:v>7.9649913978130371E-5</c:v>
                </c:pt>
                <c:pt idx="536">
                  <c:v>4.120469856161435E-5</c:v>
                </c:pt>
                <c:pt idx="537">
                  <c:v>3.8961063062004087E-5</c:v>
                </c:pt>
                <c:pt idx="538">
                  <c:v>1.0017885326973897E-4</c:v>
                </c:pt>
                <c:pt idx="539">
                  <c:v>5.6834401952698954E-5</c:v>
                </c:pt>
                <c:pt idx="540">
                  <c:v>5.4950706037004693E-5</c:v>
                </c:pt>
                <c:pt idx="541">
                  <c:v>2.188994479368489E-5</c:v>
                </c:pt>
                <c:pt idx="542">
                  <c:v>1.8011271805562501E-5</c:v>
                </c:pt>
                <c:pt idx="543">
                  <c:v>4.787363719671589E-5</c:v>
                </c:pt>
                <c:pt idx="544">
                  <c:v>4.335747682659985E-5</c:v>
                </c:pt>
                <c:pt idx="545">
                  <c:v>8.3353421072018818E-5</c:v>
                </c:pt>
                <c:pt idx="546">
                  <c:v>5.7899695899976678E-5</c:v>
                </c:pt>
                <c:pt idx="547">
                  <c:v>1.7384752065652265E-4</c:v>
                </c:pt>
                <c:pt idx="548">
                  <c:v>6.3112273053889112E-5</c:v>
                </c:pt>
                <c:pt idx="549">
                  <c:v>2.3968696954312918E-5</c:v>
                </c:pt>
                <c:pt idx="550">
                  <c:v>4.7729997561418713E-5</c:v>
                </c:pt>
                <c:pt idx="551">
                  <c:v>6.8088745670991102E-5</c:v>
                </c:pt>
                <c:pt idx="552">
                  <c:v>4.0208688147913563E-5</c:v>
                </c:pt>
                <c:pt idx="553">
                  <c:v>1.6635506582929338E-5</c:v>
                </c:pt>
                <c:pt idx="554">
                  <c:v>5.2299470553407446E-5</c:v>
                </c:pt>
                <c:pt idx="555">
                  <c:v>5.3313503478591429E-5</c:v>
                </c:pt>
                <c:pt idx="556">
                  <c:v>5.4542291547221566E-5</c:v>
                </c:pt>
                <c:pt idx="557">
                  <c:v>8.4900062912396379E-5</c:v>
                </c:pt>
                <c:pt idx="558">
                  <c:v>2.6322971457659605E-5</c:v>
                </c:pt>
                <c:pt idx="559">
                  <c:v>1.0149613184040618E-4</c:v>
                </c:pt>
                <c:pt idx="560">
                  <c:v>8.0411383610368148E-5</c:v>
                </c:pt>
                <c:pt idx="561">
                  <c:v>8.6334389273190482E-5</c:v>
                </c:pt>
                <c:pt idx="562">
                  <c:v>7.3026213698312858E-5</c:v>
                </c:pt>
                <c:pt idx="563">
                  <c:v>8.8028336840295651E-5</c:v>
                </c:pt>
                <c:pt idx="564">
                  <c:v>6.0520205977354635E-5</c:v>
                </c:pt>
                <c:pt idx="565">
                  <c:v>5.7796587320524395E-5</c:v>
                </c:pt>
                <c:pt idx="566">
                  <c:v>7.7733727049889012E-5</c:v>
                </c:pt>
                <c:pt idx="567">
                  <c:v>1.426280736076535E-4</c:v>
                </c:pt>
                <c:pt idx="568">
                  <c:v>4.3590353634215262E-5</c:v>
                </c:pt>
                <c:pt idx="569">
                  <c:v>1.8269094443468248E-4</c:v>
                </c:pt>
                <c:pt idx="570">
                  <c:v>6.3993723564692573E-5</c:v>
                </c:pt>
                <c:pt idx="571">
                  <c:v>4.4156321308719271E-5</c:v>
                </c:pt>
                <c:pt idx="572">
                  <c:v>5.3382506663979257E-5</c:v>
                </c:pt>
                <c:pt idx="573">
                  <c:v>1.5076759827437058E-4</c:v>
                </c:pt>
                <c:pt idx="574">
                  <c:v>3.2666239452083801E-5</c:v>
                </c:pt>
                <c:pt idx="575">
                  <c:v>8.1918534281300026E-5</c:v>
                </c:pt>
                <c:pt idx="576">
                  <c:v>4.6523096944639519E-5</c:v>
                </c:pt>
                <c:pt idx="577">
                  <c:v>9.7907732115487534E-5</c:v>
                </c:pt>
                <c:pt idx="578">
                  <c:v>7.5221740594599851E-5</c:v>
                </c:pt>
                <c:pt idx="579">
                  <c:v>6.0212916636714908E-5</c:v>
                </c:pt>
                <c:pt idx="580">
                  <c:v>6.9810046486651345E-5</c:v>
                </c:pt>
                <c:pt idx="581">
                  <c:v>3.5846322337107495E-5</c:v>
                </c:pt>
                <c:pt idx="582">
                  <c:v>5.629465101364417E-5</c:v>
                </c:pt>
                <c:pt idx="583">
                  <c:v>4.7484712503376159E-5</c:v>
                </c:pt>
                <c:pt idx="584">
                  <c:v>4.4314407681156354E-5</c:v>
                </c:pt>
                <c:pt idx="585">
                  <c:v>1.4242858733126695E-4</c:v>
                </c:pt>
                <c:pt idx="586">
                  <c:v>4.9490804673979483E-5</c:v>
                </c:pt>
                <c:pt idx="587">
                  <c:v>1.4296523394108362E-4</c:v>
                </c:pt>
                <c:pt idx="588">
                  <c:v>4.3150069373609767E-5</c:v>
                </c:pt>
                <c:pt idx="589">
                  <c:v>3.147341581311025E-5</c:v>
                </c:pt>
                <c:pt idx="590">
                  <c:v>1.2381932686267305E-4</c:v>
                </c:pt>
                <c:pt idx="591">
                  <c:v>8.8431627549567793E-5</c:v>
                </c:pt>
                <c:pt idx="592">
                  <c:v>4.4580764949841978E-5</c:v>
                </c:pt>
                <c:pt idx="593">
                  <c:v>1.5557224989137808E-4</c:v>
                </c:pt>
                <c:pt idx="594">
                  <c:v>8.8222177588193063E-5</c:v>
                </c:pt>
                <c:pt idx="595">
                  <c:v>4.1811738153541E-5</c:v>
                </c:pt>
                <c:pt idx="596">
                  <c:v>3.1755398964605774E-5</c:v>
                </c:pt>
                <c:pt idx="597">
                  <c:v>3.184329410643727E-5</c:v>
                </c:pt>
                <c:pt idx="598">
                  <c:v>5.4940824554705614E-5</c:v>
                </c:pt>
                <c:pt idx="599">
                  <c:v>7.489831416052084E-5</c:v>
                </c:pt>
                <c:pt idx="600">
                  <c:v>5.0373882633181211E-5</c:v>
                </c:pt>
                <c:pt idx="601">
                  <c:v>6.098900569639909E-5</c:v>
                </c:pt>
                <c:pt idx="602">
                  <c:v>9.1491899663509457E-5</c:v>
                </c:pt>
                <c:pt idx="603">
                  <c:v>3.4754747808563025E-5</c:v>
                </c:pt>
                <c:pt idx="604">
                  <c:v>1.2291752723925242E-4</c:v>
                </c:pt>
                <c:pt idx="605">
                  <c:v>7.1302340533208053E-5</c:v>
                </c:pt>
                <c:pt idx="606">
                  <c:v>6.3803837360154603E-5</c:v>
                </c:pt>
                <c:pt idx="607">
                  <c:v>4.5162472662951814E-5</c:v>
                </c:pt>
                <c:pt idx="608">
                  <c:v>3.3965669540947374E-5</c:v>
                </c:pt>
                <c:pt idx="609">
                  <c:v>7.3649585882407109E-5</c:v>
                </c:pt>
                <c:pt idx="610">
                  <c:v>3.6598718793356966E-5</c:v>
                </c:pt>
                <c:pt idx="611">
                  <c:v>3.6209358661665192E-5</c:v>
                </c:pt>
                <c:pt idx="612">
                  <c:v>7.1369543682919812E-5</c:v>
                </c:pt>
                <c:pt idx="613">
                  <c:v>1.5175033552594641E-4</c:v>
                </c:pt>
                <c:pt idx="614">
                  <c:v>2.1727490068101929E-4</c:v>
                </c:pt>
                <c:pt idx="615">
                  <c:v>3.3159481969136095E-5</c:v>
                </c:pt>
                <c:pt idx="616">
                  <c:v>6.3032547362951163E-5</c:v>
                </c:pt>
                <c:pt idx="617">
                  <c:v>9.3112248002569231E-5</c:v>
                </c:pt>
                <c:pt idx="618">
                  <c:v>2.3266084624040673E-4</c:v>
                </c:pt>
                <c:pt idx="619">
                  <c:v>6.2189114007793478E-5</c:v>
                </c:pt>
                <c:pt idx="620">
                  <c:v>1.1302730140272388E-4</c:v>
                </c:pt>
                <c:pt idx="621">
                  <c:v>3.3103945877854812E-5</c:v>
                </c:pt>
                <c:pt idx="622">
                  <c:v>5.79458304059699E-5</c:v>
                </c:pt>
                <c:pt idx="623">
                  <c:v>1.4281277297456541E-4</c:v>
                </c:pt>
                <c:pt idx="624">
                  <c:v>3.9404552847344121E-5</c:v>
                </c:pt>
                <c:pt idx="625">
                  <c:v>4.0736128333662691E-5</c:v>
                </c:pt>
                <c:pt idx="626">
                  <c:v>2.8961611473476978E-5</c:v>
                </c:pt>
                <c:pt idx="627">
                  <c:v>5.394340337261383E-5</c:v>
                </c:pt>
                <c:pt idx="628">
                  <c:v>4.4691758684933802E-5</c:v>
                </c:pt>
                <c:pt idx="629">
                  <c:v>8.012209614705057E-5</c:v>
                </c:pt>
                <c:pt idx="630">
                  <c:v>1.1431612456291873E-4</c:v>
                </c:pt>
                <c:pt idx="631">
                  <c:v>6.1397789842487782E-5</c:v>
                </c:pt>
                <c:pt idx="632">
                  <c:v>2.3335218775599742E-4</c:v>
                </c:pt>
                <c:pt idx="633">
                  <c:v>4.6924485086918821E-5</c:v>
                </c:pt>
                <c:pt idx="634">
                  <c:v>2.0997346286577567E-5</c:v>
                </c:pt>
                <c:pt idx="635">
                  <c:v>1.0792394298064778E-4</c:v>
                </c:pt>
                <c:pt idx="636">
                  <c:v>9.6388838457528436E-5</c:v>
                </c:pt>
                <c:pt idx="637">
                  <c:v>1.7155944340530027E-4</c:v>
                </c:pt>
                <c:pt idx="638">
                  <c:v>4.3136348804040381E-5</c:v>
                </c:pt>
                <c:pt idx="639">
                  <c:v>5.8932037052983333E-5</c:v>
                </c:pt>
                <c:pt idx="640">
                  <c:v>2.3551452464687372E-5</c:v>
                </c:pt>
                <c:pt idx="641">
                  <c:v>3.4141460293568571E-5</c:v>
                </c:pt>
                <c:pt idx="642">
                  <c:v>7.0258713463999811E-5</c:v>
                </c:pt>
                <c:pt idx="643">
                  <c:v>8.4579148886376743E-5</c:v>
                </c:pt>
                <c:pt idx="644">
                  <c:v>3.5683613639037048E-5</c:v>
                </c:pt>
                <c:pt idx="645">
                  <c:v>1.6737755065676652E-4</c:v>
                </c:pt>
                <c:pt idx="646">
                  <c:v>6.3630163399608364E-5</c:v>
                </c:pt>
                <c:pt idx="647">
                  <c:v>4.4956821380282008E-5</c:v>
                </c:pt>
                <c:pt idx="648">
                  <c:v>3.5204011716416517E-5</c:v>
                </c:pt>
                <c:pt idx="649">
                  <c:v>1.6999147500129652E-4</c:v>
                </c:pt>
                <c:pt idx="650">
                  <c:v>3.9452381969340422E-5</c:v>
                </c:pt>
                <c:pt idx="651">
                  <c:v>2.1669825681414068E-5</c:v>
                </c:pt>
                <c:pt idx="652">
                  <c:v>2.7275557797779015E-4</c:v>
                </c:pt>
                <c:pt idx="653">
                  <c:v>1.3994575571274481E-5</c:v>
                </c:pt>
                <c:pt idx="654">
                  <c:v>9.9227898591180974E-5</c:v>
                </c:pt>
                <c:pt idx="655">
                  <c:v>6.4021992578489062E-5</c:v>
                </c:pt>
                <c:pt idx="656">
                  <c:v>7.0407476140843528E-5</c:v>
                </c:pt>
                <c:pt idx="657">
                  <c:v>5.6745966794835567E-5</c:v>
                </c:pt>
                <c:pt idx="658">
                  <c:v>2.6754640646942107E-5</c:v>
                </c:pt>
                <c:pt idx="659">
                  <c:v>2.854329552803847E-5</c:v>
                </c:pt>
                <c:pt idx="660">
                  <c:v>6.7632777483339623E-5</c:v>
                </c:pt>
                <c:pt idx="661">
                  <c:v>5.6106961029200875E-5</c:v>
                </c:pt>
                <c:pt idx="662">
                  <c:v>2.2117028706247766E-5</c:v>
                </c:pt>
                <c:pt idx="663">
                  <c:v>5.2326762936871773E-5</c:v>
                </c:pt>
                <c:pt idx="664">
                  <c:v>4.2474661590574669E-5</c:v>
                </c:pt>
                <c:pt idx="665">
                  <c:v>6.3842454856910535E-5</c:v>
                </c:pt>
                <c:pt idx="666">
                  <c:v>5.4554409253171343E-5</c:v>
                </c:pt>
                <c:pt idx="667">
                  <c:v>1.7921452123204062E-5</c:v>
                </c:pt>
                <c:pt idx="668">
                  <c:v>8.4903937828784137E-5</c:v>
                </c:pt>
                <c:pt idx="669">
                  <c:v>9.8593427832582847E-5</c:v>
                </c:pt>
                <c:pt idx="670">
                  <c:v>5.826775714368182E-5</c:v>
                </c:pt>
                <c:pt idx="671">
                  <c:v>3.2144004165957085E-5</c:v>
                </c:pt>
                <c:pt idx="672">
                  <c:v>7.2628106689620608E-5</c:v>
                </c:pt>
                <c:pt idx="673">
                  <c:v>1.0453811750821274E-4</c:v>
                </c:pt>
                <c:pt idx="674">
                  <c:v>3.5264027740566917E-5</c:v>
                </c:pt>
                <c:pt idx="675">
                  <c:v>4.7380733651181117E-5</c:v>
                </c:pt>
                <c:pt idx="676">
                  <c:v>4.3524509834469427E-5</c:v>
                </c:pt>
                <c:pt idx="677">
                  <c:v>1.0268069380714451E-4</c:v>
                </c:pt>
                <c:pt idx="678">
                  <c:v>9.4345333344847404E-5</c:v>
                </c:pt>
                <c:pt idx="679">
                  <c:v>4.5815423888484474E-5</c:v>
                </c:pt>
                <c:pt idx="680">
                  <c:v>5.349691066669493E-5</c:v>
                </c:pt>
                <c:pt idx="681">
                  <c:v>9.3547561156981374E-5</c:v>
                </c:pt>
                <c:pt idx="682">
                  <c:v>2.2322180963385563E-4</c:v>
                </c:pt>
                <c:pt idx="683">
                  <c:v>4.0491957634003484E-5</c:v>
                </c:pt>
                <c:pt idx="684">
                  <c:v>3.4489639890722401E-5</c:v>
                </c:pt>
                <c:pt idx="685">
                  <c:v>1.2229717611944579E-4</c:v>
                </c:pt>
                <c:pt idx="686">
                  <c:v>6.9903783103342221E-5</c:v>
                </c:pt>
                <c:pt idx="687">
                  <c:v>6.7228845793465553E-5</c:v>
                </c:pt>
                <c:pt idx="688">
                  <c:v>1.1903072924113189E-4</c:v>
                </c:pt>
                <c:pt idx="689">
                  <c:v>3.8125712780612275E-5</c:v>
                </c:pt>
                <c:pt idx="690">
                  <c:v>3.7905918183867016E-5</c:v>
                </c:pt>
                <c:pt idx="691">
                  <c:v>3.0219770479789076E-5</c:v>
                </c:pt>
                <c:pt idx="692">
                  <c:v>6.4579495191452452E-5</c:v>
                </c:pt>
                <c:pt idx="693">
                  <c:v>1.6733226354759267E-4</c:v>
                </c:pt>
                <c:pt idx="694">
                  <c:v>5.0630866265777286E-5</c:v>
                </c:pt>
                <c:pt idx="695">
                  <c:v>6.7675045446691229E-5</c:v>
                </c:pt>
                <c:pt idx="696">
                  <c:v>5.0836040038859664E-5</c:v>
                </c:pt>
                <c:pt idx="697">
                  <c:v>5.4260373406833651E-5</c:v>
                </c:pt>
                <c:pt idx="698">
                  <c:v>9.0706898301817773E-5</c:v>
                </c:pt>
                <c:pt idx="699">
                  <c:v>5.9827808286172512E-5</c:v>
                </c:pt>
                <c:pt idx="700">
                  <c:v>5.7572294092977927E-5</c:v>
                </c:pt>
                <c:pt idx="701">
                  <c:v>1.8248870929937766E-5</c:v>
                </c:pt>
                <c:pt idx="702">
                  <c:v>8.289240697578748E-5</c:v>
                </c:pt>
                <c:pt idx="703">
                  <c:v>2.8433660666848937E-5</c:v>
                </c:pt>
                <c:pt idx="704">
                  <c:v>8.3043713843267142E-5</c:v>
                </c:pt>
                <c:pt idx="705">
                  <c:v>2.2683488584362976E-5</c:v>
                </c:pt>
                <c:pt idx="706">
                  <c:v>5.3676878799535643E-5</c:v>
                </c:pt>
                <c:pt idx="707">
                  <c:v>6.8606350783539938E-5</c:v>
                </c:pt>
                <c:pt idx="708">
                  <c:v>4.5860152138033072E-5</c:v>
                </c:pt>
                <c:pt idx="709">
                  <c:v>5.8492954895683624E-5</c:v>
                </c:pt>
                <c:pt idx="710">
                  <c:v>6.2939512840642919E-5</c:v>
                </c:pt>
                <c:pt idx="711">
                  <c:v>7.6775753171887118E-5</c:v>
                </c:pt>
                <c:pt idx="712">
                  <c:v>5.8939451005102228E-5</c:v>
                </c:pt>
                <c:pt idx="713">
                  <c:v>5.3874747930393596E-5</c:v>
                </c:pt>
                <c:pt idx="714">
                  <c:v>1.2952793775156124E-4</c:v>
                </c:pt>
                <c:pt idx="715">
                  <c:v>1.7185782398954075E-4</c:v>
                </c:pt>
                <c:pt idx="716">
                  <c:v>8.2768156474344323E-5</c:v>
                </c:pt>
                <c:pt idx="717">
                  <c:v>9.5597478402709157E-5</c:v>
                </c:pt>
                <c:pt idx="718">
                  <c:v>4.8398522984882675E-5</c:v>
                </c:pt>
                <c:pt idx="719">
                  <c:v>3.9075278852607198E-5</c:v>
                </c:pt>
                <c:pt idx="720">
                  <c:v>4.7439120489656261E-5</c:v>
                </c:pt>
                <c:pt idx="721">
                  <c:v>1.862836638331089E-4</c:v>
                </c:pt>
                <c:pt idx="722">
                  <c:v>4.9161276848508351E-5</c:v>
                </c:pt>
                <c:pt idx="723">
                  <c:v>1.1007654265426936E-4</c:v>
                </c:pt>
                <c:pt idx="724">
                  <c:v>3.9147714787191035E-5</c:v>
                </c:pt>
                <c:pt idx="725">
                  <c:v>3.2291688015106956E-5</c:v>
                </c:pt>
                <c:pt idx="726">
                  <c:v>6.3166325773522658E-5</c:v>
                </c:pt>
                <c:pt idx="727">
                  <c:v>4.6783677898787346E-5</c:v>
                </c:pt>
                <c:pt idx="728">
                  <c:v>6.2381857777182859E-5</c:v>
                </c:pt>
                <c:pt idx="729">
                  <c:v>1.1726180117932472E-4</c:v>
                </c:pt>
                <c:pt idx="730">
                  <c:v>5.2970941823105022E-5</c:v>
                </c:pt>
                <c:pt idx="731">
                  <c:v>3.1058698660046957E-5</c:v>
                </c:pt>
                <c:pt idx="732">
                  <c:v>1.0609176208831173E-4</c:v>
                </c:pt>
                <c:pt idx="733">
                  <c:v>2.2063730529708891E-5</c:v>
                </c:pt>
                <c:pt idx="734">
                  <c:v>1.0010469002708078E-4</c:v>
                </c:pt>
                <c:pt idx="735">
                  <c:v>4.8342087861641403E-5</c:v>
                </c:pt>
                <c:pt idx="736">
                  <c:v>2.6350552357001789E-5</c:v>
                </c:pt>
                <c:pt idx="737">
                  <c:v>2.0298475369884272E-5</c:v>
                </c:pt>
                <c:pt idx="738">
                  <c:v>8.9596012223580601E-5</c:v>
                </c:pt>
                <c:pt idx="739">
                  <c:v>7.1779519359438382E-5</c:v>
                </c:pt>
                <c:pt idx="740">
                  <c:v>6.9491896695694777E-5</c:v>
                </c:pt>
                <c:pt idx="741">
                  <c:v>5.0040102340886961E-5</c:v>
                </c:pt>
                <c:pt idx="742">
                  <c:v>3.2267675969421816E-5</c:v>
                </c:pt>
                <c:pt idx="743">
                  <c:v>3.9758318269633719E-5</c:v>
                </c:pt>
                <c:pt idx="744">
                  <c:v>4.1532303075797472E-5</c:v>
                </c:pt>
                <c:pt idx="745">
                  <c:v>8.8127269300741773E-5</c:v>
                </c:pt>
                <c:pt idx="746">
                  <c:v>1.0526563736235062E-4</c:v>
                </c:pt>
                <c:pt idx="747">
                  <c:v>1.0407316239025022E-4</c:v>
                </c:pt>
                <c:pt idx="748">
                  <c:v>3.8689721169049562E-5</c:v>
                </c:pt>
                <c:pt idx="749">
                  <c:v>4.117825151439547E-5</c:v>
                </c:pt>
                <c:pt idx="750">
                  <c:v>4.3380468298437336E-5</c:v>
                </c:pt>
                <c:pt idx="751">
                  <c:v>1.4111912927816661E-4</c:v>
                </c:pt>
                <c:pt idx="752">
                  <c:v>4.1968603248676573E-5</c:v>
                </c:pt>
                <c:pt idx="753">
                  <c:v>2.6445510563632979E-5</c:v>
                </c:pt>
                <c:pt idx="754">
                  <c:v>5.7169209373597596E-5</c:v>
                </c:pt>
                <c:pt idx="755">
                  <c:v>2.2248507725919353E-5</c:v>
                </c:pt>
                <c:pt idx="756">
                  <c:v>4.0035117489622962E-5</c:v>
                </c:pt>
                <c:pt idx="757">
                  <c:v>3.1162274634510823E-5</c:v>
                </c:pt>
                <c:pt idx="758">
                  <c:v>6.6089353868648004E-5</c:v>
                </c:pt>
                <c:pt idx="759">
                  <c:v>4.9586350304053894E-5</c:v>
                </c:pt>
                <c:pt idx="760">
                  <c:v>7.8047955405224911E-5</c:v>
                </c:pt>
                <c:pt idx="761">
                  <c:v>9.5484110818944146E-5</c:v>
                </c:pt>
                <c:pt idx="762">
                  <c:v>1.0298595649516074E-4</c:v>
                </c:pt>
                <c:pt idx="763">
                  <c:v>7.6787369572173247E-5</c:v>
                </c:pt>
                <c:pt idx="764">
                  <c:v>8.985882893242092E-5</c:v>
                </c:pt>
                <c:pt idx="765">
                  <c:v>5.3807649578629935E-5</c:v>
                </c:pt>
                <c:pt idx="766">
                  <c:v>1.2058679834581199E-4</c:v>
                </c:pt>
                <c:pt idx="767">
                  <c:v>1.5101999398225985E-4</c:v>
                </c:pt>
                <c:pt idx="768">
                  <c:v>2.0031331455783175E-4</c:v>
                </c:pt>
                <c:pt idx="769">
                  <c:v>9.2290935608474456E-5</c:v>
                </c:pt>
                <c:pt idx="770">
                  <c:v>6.7663117722105426E-5</c:v>
                </c:pt>
                <c:pt idx="771">
                  <c:v>6.7575227269855986E-5</c:v>
                </c:pt>
                <c:pt idx="772">
                  <c:v>6.7086912313385483E-5</c:v>
                </c:pt>
                <c:pt idx="773">
                  <c:v>5.817017770581856E-5</c:v>
                </c:pt>
                <c:pt idx="774">
                  <c:v>4.9491701684445388E-5</c:v>
                </c:pt>
                <c:pt idx="775">
                  <c:v>2.4663942351565993E-5</c:v>
                </c:pt>
                <c:pt idx="776">
                  <c:v>3.5677229078601158E-5</c:v>
                </c:pt>
                <c:pt idx="777">
                  <c:v>6.4471362932749798E-5</c:v>
                </c:pt>
                <c:pt idx="778">
                  <c:v>7.1473954758261016E-5</c:v>
                </c:pt>
                <c:pt idx="779">
                  <c:v>6.3209101920591593E-5</c:v>
                </c:pt>
                <c:pt idx="780">
                  <c:v>4.9026038581700959E-5</c:v>
                </c:pt>
                <c:pt idx="781">
                  <c:v>2.557300992123146E-5</c:v>
                </c:pt>
                <c:pt idx="782">
                  <c:v>1.0253980264707252E-4</c:v>
                </c:pt>
                <c:pt idx="783">
                  <c:v>3.0001724983463873E-5</c:v>
                </c:pt>
                <c:pt idx="784">
                  <c:v>6.3826412919354425E-5</c:v>
                </c:pt>
                <c:pt idx="785">
                  <c:v>8.2257268324781307E-5</c:v>
                </c:pt>
                <c:pt idx="786">
                  <c:v>7.6771201900527331E-5</c:v>
                </c:pt>
                <c:pt idx="787">
                  <c:v>5.7441988726480986E-5</c:v>
                </c:pt>
                <c:pt idx="788">
                  <c:v>5.8124803501868882E-5</c:v>
                </c:pt>
                <c:pt idx="789">
                  <c:v>1.0768324949594898E-4</c:v>
                </c:pt>
                <c:pt idx="790">
                  <c:v>1.7090317175316727E-4</c:v>
                </c:pt>
                <c:pt idx="791">
                  <c:v>3.6525186594360548E-5</c:v>
                </c:pt>
                <c:pt idx="792">
                  <c:v>2.5741628498110458E-5</c:v>
                </c:pt>
                <c:pt idx="793">
                  <c:v>4.3050303588643146E-5</c:v>
                </c:pt>
                <c:pt idx="794">
                  <c:v>5.2202412753388217E-5</c:v>
                </c:pt>
                <c:pt idx="795">
                  <c:v>6.5176108471121097E-5</c:v>
                </c:pt>
                <c:pt idx="796">
                  <c:v>3.5358838896826228E-5</c:v>
                </c:pt>
                <c:pt idx="797">
                  <c:v>8.0413523090072658E-5</c:v>
                </c:pt>
                <c:pt idx="798">
                  <c:v>8.0298828983416115E-5</c:v>
                </c:pt>
                <c:pt idx="799">
                  <c:v>3.9826689842925589E-5</c:v>
                </c:pt>
                <c:pt idx="800">
                  <c:v>6.9673749063525747E-5</c:v>
                </c:pt>
                <c:pt idx="801">
                  <c:v>7.5125566446843095E-5</c:v>
                </c:pt>
                <c:pt idx="802">
                  <c:v>1.8947068650021492E-5</c:v>
                </c:pt>
                <c:pt idx="803">
                  <c:v>7.4121311147479219E-5</c:v>
                </c:pt>
                <c:pt idx="804">
                  <c:v>5.408361439407372E-5</c:v>
                </c:pt>
                <c:pt idx="805">
                  <c:v>3.6019442138268687E-5</c:v>
                </c:pt>
                <c:pt idx="806">
                  <c:v>6.8709608466832606E-5</c:v>
                </c:pt>
                <c:pt idx="807">
                  <c:v>2.7176845517118409E-5</c:v>
                </c:pt>
                <c:pt idx="808">
                  <c:v>5.1319012936090758E-5</c:v>
                </c:pt>
                <c:pt idx="809">
                  <c:v>9.4764248107281901E-5</c:v>
                </c:pt>
                <c:pt idx="810">
                  <c:v>3.6565956264666966E-5</c:v>
                </c:pt>
                <c:pt idx="811">
                  <c:v>5.4528393437891509E-5</c:v>
                </c:pt>
                <c:pt idx="812">
                  <c:v>1.8098177356762335E-4</c:v>
                </c:pt>
                <c:pt idx="813">
                  <c:v>3.2824316509305618E-5</c:v>
                </c:pt>
                <c:pt idx="814">
                  <c:v>7.3075746339412717E-5</c:v>
                </c:pt>
                <c:pt idx="815">
                  <c:v>9.4003012119259211E-5</c:v>
                </c:pt>
                <c:pt idx="816">
                  <c:v>3.3626807756093058E-5</c:v>
                </c:pt>
                <c:pt idx="817">
                  <c:v>9.1495779471983951E-5</c:v>
                </c:pt>
                <c:pt idx="818">
                  <c:v>7.1299865254559336E-5</c:v>
                </c:pt>
                <c:pt idx="819">
                  <c:v>3.9346926950400984E-5</c:v>
                </c:pt>
                <c:pt idx="820">
                  <c:v>7.1108023590227276E-5</c:v>
                </c:pt>
                <c:pt idx="821">
                  <c:v>1.2852578233335521E-4</c:v>
                </c:pt>
                <c:pt idx="822">
                  <c:v>4.1401266891227806E-5</c:v>
                </c:pt>
                <c:pt idx="823">
                  <c:v>2.8594574274620754E-5</c:v>
                </c:pt>
                <c:pt idx="824">
                  <c:v>4.6249588152136312E-5</c:v>
                </c:pt>
                <c:pt idx="825">
                  <c:v>3.6277033991893859E-5</c:v>
                </c:pt>
                <c:pt idx="826">
                  <c:v>3.847991481364943E-5</c:v>
                </c:pt>
                <c:pt idx="827">
                  <c:v>3.5475313001853692E-5</c:v>
                </c:pt>
                <c:pt idx="828">
                  <c:v>4.9234579680756951E-5</c:v>
                </c:pt>
                <c:pt idx="829">
                  <c:v>8.2428228683539828E-5</c:v>
                </c:pt>
                <c:pt idx="830">
                  <c:v>3.9298588262681733E-5</c:v>
                </c:pt>
                <c:pt idx="831">
                  <c:v>8.4270382249229669E-5</c:v>
                </c:pt>
                <c:pt idx="832">
                  <c:v>1.1764387397050768E-4</c:v>
                </c:pt>
                <c:pt idx="833">
                  <c:v>5.8498884357049974E-5</c:v>
                </c:pt>
                <c:pt idx="834">
                  <c:v>1.0366910448666999E-4</c:v>
                </c:pt>
                <c:pt idx="835">
                  <c:v>2.8782295238727329E-5</c:v>
                </c:pt>
                <c:pt idx="836">
                  <c:v>1.1642324529503867E-4</c:v>
                </c:pt>
                <c:pt idx="837">
                  <c:v>2.9451810256375666E-5</c:v>
                </c:pt>
                <c:pt idx="838">
                  <c:v>6.9065982508220713E-5</c:v>
                </c:pt>
                <c:pt idx="839">
                  <c:v>3.2153638972687304E-5</c:v>
                </c:pt>
                <c:pt idx="840">
                  <c:v>4.6702637430229288E-5</c:v>
                </c:pt>
                <c:pt idx="841">
                  <c:v>1.913839926004357E-5</c:v>
                </c:pt>
                <c:pt idx="842">
                  <c:v>5.1186244018452953E-5</c:v>
                </c:pt>
                <c:pt idx="843">
                  <c:v>1.0251717197817811E-4</c:v>
                </c:pt>
                <c:pt idx="844">
                  <c:v>2.4001721968147649E-5</c:v>
                </c:pt>
                <c:pt idx="845">
                  <c:v>1.2503433964283772E-4</c:v>
                </c:pt>
                <c:pt idx="846">
                  <c:v>8.0981640540045419E-5</c:v>
                </c:pt>
                <c:pt idx="847">
                  <c:v>2.4575635556800535E-5</c:v>
                </c:pt>
                <c:pt idx="848">
                  <c:v>8.6359134748192901E-5</c:v>
                </c:pt>
                <c:pt idx="849">
                  <c:v>2.8940812335065402E-5</c:v>
                </c:pt>
                <c:pt idx="850">
                  <c:v>4.4025747378384494E-5</c:v>
                </c:pt>
                <c:pt idx="851">
                  <c:v>7.4796797747467281E-5</c:v>
                </c:pt>
                <c:pt idx="852">
                  <c:v>7.6662594690191099E-5</c:v>
                </c:pt>
                <c:pt idx="853">
                  <c:v>8.0670172962982178E-5</c:v>
                </c:pt>
                <c:pt idx="854">
                  <c:v>1.267889116149945E-4</c:v>
                </c:pt>
                <c:pt idx="855">
                  <c:v>1.9572307156323632E-5</c:v>
                </c:pt>
                <c:pt idx="856">
                  <c:v>3.6672126224601698E-5</c:v>
                </c:pt>
                <c:pt idx="857">
                  <c:v>5.488980544399169E-5</c:v>
                </c:pt>
                <c:pt idx="858">
                  <c:v>1.9429707294094101E-4</c:v>
                </c:pt>
                <c:pt idx="859">
                  <c:v>1.0032455258723871E-4</c:v>
                </c:pt>
                <c:pt idx="860">
                  <c:v>5.26722137941249E-5</c:v>
                </c:pt>
                <c:pt idx="861">
                  <c:v>1.9512435081026069E-5</c:v>
                </c:pt>
                <c:pt idx="862">
                  <c:v>5.58730229727189E-5</c:v>
                </c:pt>
                <c:pt idx="863">
                  <c:v>4.1596414032341045E-5</c:v>
                </c:pt>
                <c:pt idx="864">
                  <c:v>1.564590478757566E-4</c:v>
                </c:pt>
                <c:pt idx="865">
                  <c:v>2.3451203915669794E-5</c:v>
                </c:pt>
                <c:pt idx="866">
                  <c:v>3.4323599233943014E-5</c:v>
                </c:pt>
                <c:pt idx="867">
                  <c:v>6.4510242435034115E-5</c:v>
                </c:pt>
                <c:pt idx="868">
                  <c:v>3.2325803918098472E-5</c:v>
                </c:pt>
                <c:pt idx="869">
                  <c:v>6.6800732181349076E-5</c:v>
                </c:pt>
                <c:pt idx="870">
                  <c:v>1.2977695017823976E-4</c:v>
                </c:pt>
                <c:pt idx="871">
                  <c:v>5.7759000082313605E-5</c:v>
                </c:pt>
                <c:pt idx="872">
                  <c:v>4.2783125728362847E-5</c:v>
                </c:pt>
                <c:pt idx="873">
                  <c:v>3.8363589787593355E-5</c:v>
                </c:pt>
                <c:pt idx="874">
                  <c:v>7.008479959580427E-5</c:v>
                </c:pt>
                <c:pt idx="875">
                  <c:v>1.4144152945405608E-4</c:v>
                </c:pt>
                <c:pt idx="876">
                  <c:v>2.7627308103461701E-5</c:v>
                </c:pt>
                <c:pt idx="877">
                  <c:v>1.2114626807857576E-4</c:v>
                </c:pt>
                <c:pt idx="878">
                  <c:v>6.3267239205799797E-5</c:v>
                </c:pt>
                <c:pt idx="879">
                  <c:v>5.2495558762188921E-5</c:v>
                </c:pt>
                <c:pt idx="880">
                  <c:v>3.5142437763369117E-5</c:v>
                </c:pt>
                <c:pt idx="881">
                  <c:v>2.6084363287992574E-5</c:v>
                </c:pt>
                <c:pt idx="882">
                  <c:v>7.883520224893914E-5</c:v>
                </c:pt>
                <c:pt idx="883">
                  <c:v>1.3369638663007777E-4</c:v>
                </c:pt>
                <c:pt idx="884">
                  <c:v>5.3909861684076077E-5</c:v>
                </c:pt>
                <c:pt idx="885">
                  <c:v>3.3180857165859834E-5</c:v>
                </c:pt>
                <c:pt idx="886">
                  <c:v>2.6122799074101977E-5</c:v>
                </c:pt>
                <c:pt idx="887">
                  <c:v>4.5834180948389758E-5</c:v>
                </c:pt>
                <c:pt idx="888">
                  <c:v>7.901812220723059E-5</c:v>
                </c:pt>
                <c:pt idx="889">
                  <c:v>1.0749727309899981E-4</c:v>
                </c:pt>
                <c:pt idx="890">
                  <c:v>5.3020576398665753E-5</c:v>
                </c:pt>
                <c:pt idx="891">
                  <c:v>6.0958097925833954E-5</c:v>
                </c:pt>
                <c:pt idx="892">
                  <c:v>9.3216419262631689E-5</c:v>
                </c:pt>
                <c:pt idx="893">
                  <c:v>7.069681959137597E-5</c:v>
                </c:pt>
                <c:pt idx="894">
                  <c:v>6.1101015639053458E-5</c:v>
                </c:pt>
                <c:pt idx="895">
                  <c:v>1.5376621967178039E-4</c:v>
                </c:pt>
                <c:pt idx="896">
                  <c:v>1.9401822974884908E-5</c:v>
                </c:pt>
                <c:pt idx="897">
                  <c:v>1.4480884824052964E-4</c:v>
                </c:pt>
                <c:pt idx="898">
                  <c:v>1.8051767871796187E-4</c:v>
                </c:pt>
                <c:pt idx="899">
                  <c:v>5.8427629085144872E-5</c:v>
                </c:pt>
                <c:pt idx="900">
                  <c:v>4.5581491637136651E-5</c:v>
                </c:pt>
                <c:pt idx="901">
                  <c:v>5.4207096152225631E-5</c:v>
                </c:pt>
                <c:pt idx="902">
                  <c:v>1.2165360636728906E-4</c:v>
                </c:pt>
                <c:pt idx="903">
                  <c:v>3.1183651159949477E-5</c:v>
                </c:pt>
                <c:pt idx="904">
                  <c:v>1.0245942539555131E-4</c:v>
                </c:pt>
                <c:pt idx="905">
                  <c:v>4.0940892240826088E-5</c:v>
                </c:pt>
                <c:pt idx="906">
                  <c:v>4.6614690898394429E-5</c:v>
                </c:pt>
                <c:pt idx="907">
                  <c:v>3.2367068676819599E-5</c:v>
                </c:pt>
                <c:pt idx="908">
                  <c:v>6.8578093056714806E-5</c:v>
                </c:pt>
                <c:pt idx="909">
                  <c:v>1.0936345962164751E-4</c:v>
                </c:pt>
                <c:pt idx="910">
                  <c:v>6.7192752069900052E-5</c:v>
                </c:pt>
                <c:pt idx="911">
                  <c:v>5.0066147657901183E-5</c:v>
                </c:pt>
                <c:pt idx="912">
                  <c:v>8.9127090500795703E-5</c:v>
                </c:pt>
                <c:pt idx="913">
                  <c:v>3.3848847593276332E-5</c:v>
                </c:pt>
                <c:pt idx="914">
                  <c:v>3.5488006538741956E-5</c:v>
                </c:pt>
                <c:pt idx="915">
                  <c:v>2.8297214054617825E-5</c:v>
                </c:pt>
                <c:pt idx="916">
                  <c:v>2.9122138087700478E-5</c:v>
                </c:pt>
                <c:pt idx="917">
                  <c:v>6.0963221240939447E-5</c:v>
                </c:pt>
                <c:pt idx="918">
                  <c:v>5.8646212117707819E-5</c:v>
                </c:pt>
                <c:pt idx="919">
                  <c:v>1.9034833695030784E-5</c:v>
                </c:pt>
                <c:pt idx="920">
                  <c:v>6.5094927137465675E-5</c:v>
                </c:pt>
                <c:pt idx="921">
                  <c:v>4.9745023197544924E-5</c:v>
                </c:pt>
                <c:pt idx="922">
                  <c:v>6.9849817233347267E-5</c:v>
                </c:pt>
                <c:pt idx="923">
                  <c:v>2.2415150501586822E-4</c:v>
                </c:pt>
                <c:pt idx="924">
                  <c:v>4.1278362772345645E-5</c:v>
                </c:pt>
                <c:pt idx="925">
                  <c:v>6.9375727843379309E-5</c:v>
                </c:pt>
                <c:pt idx="926">
                  <c:v>4.0524210646708525E-5</c:v>
                </c:pt>
                <c:pt idx="927">
                  <c:v>4.0132403292147956E-5</c:v>
                </c:pt>
                <c:pt idx="928">
                  <c:v>3.9336789566135621E-5</c:v>
                </c:pt>
                <c:pt idx="929">
                  <c:v>5.2924541986243412E-5</c:v>
                </c:pt>
                <c:pt idx="930">
                  <c:v>8.6010699710925564E-5</c:v>
                </c:pt>
                <c:pt idx="931">
                  <c:v>4.7545532002146729E-5</c:v>
                </c:pt>
                <c:pt idx="932">
                  <c:v>2.1168314166786217E-4</c:v>
                </c:pt>
                <c:pt idx="933">
                  <c:v>1.0730331633723722E-4</c:v>
                </c:pt>
                <c:pt idx="934">
                  <c:v>2.7168065368954331E-5</c:v>
                </c:pt>
                <c:pt idx="935">
                  <c:v>3.121772154557334E-5</c:v>
                </c:pt>
                <c:pt idx="936">
                  <c:v>8.737704376571287E-5</c:v>
                </c:pt>
                <c:pt idx="937">
                  <c:v>1.2906597548933973E-4</c:v>
                </c:pt>
                <c:pt idx="938">
                  <c:v>2.3459841347772681E-5</c:v>
                </c:pt>
                <c:pt idx="939">
                  <c:v>4.3399088326623314E-5</c:v>
                </c:pt>
                <c:pt idx="940">
                  <c:v>7.3272599635743063E-5</c:v>
                </c:pt>
                <c:pt idx="941">
                  <c:v>9.522827821584201E-5</c:v>
                </c:pt>
                <c:pt idx="942">
                  <c:v>4.723457291078148E-5</c:v>
                </c:pt>
                <c:pt idx="943">
                  <c:v>4.8589094291173751E-5</c:v>
                </c:pt>
                <c:pt idx="944">
                  <c:v>3.4922478896248776E-5</c:v>
                </c:pt>
                <c:pt idx="945">
                  <c:v>2.710911974546093E-5</c:v>
                </c:pt>
                <c:pt idx="946">
                  <c:v>6.6442258606969062E-5</c:v>
                </c:pt>
                <c:pt idx="947">
                  <c:v>1.0549847313967575E-4</c:v>
                </c:pt>
                <c:pt idx="948">
                  <c:v>1.4327204346287203E-4</c:v>
                </c:pt>
                <c:pt idx="949">
                  <c:v>4.4493928488265055E-5</c:v>
                </c:pt>
                <c:pt idx="950">
                  <c:v>5.6801915846449447E-5</c:v>
                </c:pt>
                <c:pt idx="951">
                  <c:v>3.3409441908105464E-5</c:v>
                </c:pt>
                <c:pt idx="952">
                  <c:v>5.1365083731269578E-5</c:v>
                </c:pt>
                <c:pt idx="953">
                  <c:v>1.4752160276643167E-4</c:v>
                </c:pt>
                <c:pt idx="954">
                  <c:v>3.8640558120306423E-5</c:v>
                </c:pt>
                <c:pt idx="955">
                  <c:v>4.1086668069567622E-5</c:v>
                </c:pt>
                <c:pt idx="956">
                  <c:v>6.0431401220029102E-5</c:v>
                </c:pt>
                <c:pt idx="957">
                  <c:v>1.4935795663717499E-4</c:v>
                </c:pt>
                <c:pt idx="958">
                  <c:v>1.1184307420109008E-4</c:v>
                </c:pt>
                <c:pt idx="959">
                  <c:v>1.2360680717549144E-4</c:v>
                </c:pt>
                <c:pt idx="960">
                  <c:v>3.9215374940226866E-5</c:v>
                </c:pt>
                <c:pt idx="961">
                  <c:v>4.1157594974805534E-5</c:v>
                </c:pt>
                <c:pt idx="962">
                  <c:v>7.9336795209883348E-5</c:v>
                </c:pt>
                <c:pt idx="963">
                  <c:v>6.3525933288843817E-5</c:v>
                </c:pt>
                <c:pt idx="964">
                  <c:v>4.9641012086709679E-5</c:v>
                </c:pt>
                <c:pt idx="965">
                  <c:v>8.9468544331339217E-5</c:v>
                </c:pt>
                <c:pt idx="966">
                  <c:v>7.864331402629432E-5</c:v>
                </c:pt>
                <c:pt idx="967">
                  <c:v>1.0145036000253072E-4</c:v>
                </c:pt>
                <c:pt idx="968">
                  <c:v>5.3774539999551507E-5</c:v>
                </c:pt>
                <c:pt idx="969">
                  <c:v>1.0109248483658462E-4</c:v>
                </c:pt>
                <c:pt idx="970">
                  <c:v>2.3829587335910674E-4</c:v>
                </c:pt>
                <c:pt idx="971">
                  <c:v>4.7719159230297237E-5</c:v>
                </c:pt>
                <c:pt idx="972">
                  <c:v>3.8829878199919676E-5</c:v>
                </c:pt>
                <c:pt idx="973">
                  <c:v>5.5940014348720979E-5</c:v>
                </c:pt>
                <c:pt idx="974">
                  <c:v>2.0985724816569018E-5</c:v>
                </c:pt>
                <c:pt idx="975">
                  <c:v>4.1843149073628183E-5</c:v>
                </c:pt>
                <c:pt idx="976">
                  <c:v>1.0209260446814028E-4</c:v>
                </c:pt>
                <c:pt idx="977">
                  <c:v>6.5126559832151543E-5</c:v>
                </c:pt>
                <c:pt idx="978">
                  <c:v>7.4466419544449991E-5</c:v>
                </c:pt>
                <c:pt idx="979">
                  <c:v>5.173395063096109E-5</c:v>
                </c:pt>
                <c:pt idx="980">
                  <c:v>4.8452778653285122E-5</c:v>
                </c:pt>
                <c:pt idx="981">
                  <c:v>7.5415514036336617E-5</c:v>
                </c:pt>
                <c:pt idx="982">
                  <c:v>5.5210567563079849E-5</c:v>
                </c:pt>
                <c:pt idx="983">
                  <c:v>1.2211538610884531E-4</c:v>
                </c:pt>
                <c:pt idx="984">
                  <c:v>2.6311800422007536E-5</c:v>
                </c:pt>
                <c:pt idx="985">
                  <c:v>2.6868960009807097E-5</c:v>
                </c:pt>
                <c:pt idx="986">
                  <c:v>3.9873291598269134E-5</c:v>
                </c:pt>
                <c:pt idx="987">
                  <c:v>6.3355120420993671E-5</c:v>
                </c:pt>
                <c:pt idx="988">
                  <c:v>7.3887982665610252E-5</c:v>
                </c:pt>
                <c:pt idx="989">
                  <c:v>7.3524840797034585E-5</c:v>
                </c:pt>
                <c:pt idx="990">
                  <c:v>5.7581750009916277E-5</c:v>
                </c:pt>
                <c:pt idx="991">
                  <c:v>7.8842053333971762E-5</c:v>
                </c:pt>
                <c:pt idx="992">
                  <c:v>3.4307372001052272E-5</c:v>
                </c:pt>
                <c:pt idx="993">
                  <c:v>4.9299255522328167E-5</c:v>
                </c:pt>
                <c:pt idx="994">
                  <c:v>7.1475622480221546E-5</c:v>
                </c:pt>
                <c:pt idx="995">
                  <c:v>3.715027117578984E-5</c:v>
                </c:pt>
                <c:pt idx="996">
                  <c:v>8.2390883790139924E-5</c:v>
                </c:pt>
                <c:pt idx="997">
                  <c:v>5.7533804351805884E-5</c:v>
                </c:pt>
                <c:pt idx="998">
                  <c:v>5.8779242444018109E-5</c:v>
                </c:pt>
                <c:pt idx="999">
                  <c:v>1.9214766016517615E-5</c:v>
                </c:pt>
              </c:numCache>
            </c:numRef>
          </c:xVal>
          <c:yVal>
            <c:numRef>
              <c:f>Process!$B$12:$B$1011</c:f>
              <c:numCache>
                <c:formatCode>General</c:formatCode>
                <c:ptCount val="1000"/>
                <c:pt idx="0">
                  <c:v>0.30777704850421</c:v>
                </c:pt>
                <c:pt idx="1">
                  <c:v>0.55447105233393079</c:v>
                </c:pt>
                <c:pt idx="2">
                  <c:v>0.3812620274153507</c:v>
                </c:pt>
                <c:pt idx="3">
                  <c:v>0.75654540534544334</c:v>
                </c:pt>
                <c:pt idx="4">
                  <c:v>0.56239970033740883</c:v>
                </c:pt>
                <c:pt idx="5">
                  <c:v>0.58671426368644986</c:v>
                </c:pt>
                <c:pt idx="6">
                  <c:v>0.67987857814432473</c:v>
                </c:pt>
                <c:pt idx="7">
                  <c:v>0.68705403635912776</c:v>
                </c:pt>
                <c:pt idx="8">
                  <c:v>0.34900585035560561</c:v>
                </c:pt>
                <c:pt idx="9">
                  <c:v>0.51805286598283296</c:v>
                </c:pt>
                <c:pt idx="10">
                  <c:v>0.38851986155885559</c:v>
                </c:pt>
                <c:pt idx="11">
                  <c:v>0.52790915683969986</c:v>
                </c:pt>
                <c:pt idx="12">
                  <c:v>0.94815968039854925</c:v>
                </c:pt>
                <c:pt idx="13">
                  <c:v>0.43284431643731652</c:v>
                </c:pt>
                <c:pt idx="14">
                  <c:v>0.35414804511941678</c:v>
                </c:pt>
                <c:pt idx="15">
                  <c:v>0.11159169613372233</c:v>
                </c:pt>
                <c:pt idx="16">
                  <c:v>0.50064836998902518</c:v>
                </c:pt>
                <c:pt idx="17">
                  <c:v>0.33623510553488839</c:v>
                </c:pt>
                <c:pt idx="18">
                  <c:v>0.38835401340720377</c:v>
                </c:pt>
                <c:pt idx="19">
                  <c:v>0.53383646033558474</c:v>
                </c:pt>
                <c:pt idx="20">
                  <c:v>0.47877290857562937</c:v>
                </c:pt>
                <c:pt idx="21">
                  <c:v>0.44312781121288691</c:v>
                </c:pt>
                <c:pt idx="22">
                  <c:v>0.45842886642395064</c:v>
                </c:pt>
                <c:pt idx="23">
                  <c:v>0.75287404330544161</c:v>
                </c:pt>
                <c:pt idx="24">
                  <c:v>0.85852321521808106</c:v>
                </c:pt>
                <c:pt idx="25">
                  <c:v>0.38879745103942737</c:v>
                </c:pt>
                <c:pt idx="26">
                  <c:v>0.51703820488653074</c:v>
                </c:pt>
                <c:pt idx="27">
                  <c:v>0.55417617844105571</c:v>
                </c:pt>
                <c:pt idx="28">
                  <c:v>0.60784884047052623</c:v>
                </c:pt>
                <c:pt idx="29">
                  <c:v>0.48269174138802518</c:v>
                </c:pt>
                <c:pt idx="30">
                  <c:v>0.40281895692252445</c:v>
                </c:pt>
                <c:pt idx="31">
                  <c:v>0.28252097640149609</c:v>
                </c:pt>
                <c:pt idx="32">
                  <c:v>0.53387717544111479</c:v>
                </c:pt>
                <c:pt idx="33">
                  <c:v>0.49581085905312344</c:v>
                </c:pt>
                <c:pt idx="34">
                  <c:v>0.35958015947196725</c:v>
                </c:pt>
                <c:pt idx="35">
                  <c:v>0.26149826693152622</c:v>
                </c:pt>
                <c:pt idx="36">
                  <c:v>0.63563241947073146</c:v>
                </c:pt>
                <c:pt idx="37">
                  <c:v>0.45897085037040153</c:v>
                </c:pt>
                <c:pt idx="38">
                  <c:v>0.43710404924316043</c:v>
                </c:pt>
                <c:pt idx="39">
                  <c:v>0.79019000285309438</c:v>
                </c:pt>
                <c:pt idx="40">
                  <c:v>0.58317936781324886</c:v>
                </c:pt>
                <c:pt idx="41">
                  <c:v>0.55109837900306347</c:v>
                </c:pt>
                <c:pt idx="42">
                  <c:v>0.40113318643145141</c:v>
                </c:pt>
                <c:pt idx="43">
                  <c:v>0.60905036689953662</c:v>
                </c:pt>
                <c:pt idx="44">
                  <c:v>0.41493127603995539</c:v>
                </c:pt>
                <c:pt idx="45">
                  <c:v>0.27299123364234668</c:v>
                </c:pt>
                <c:pt idx="46">
                  <c:v>6.2986004747965452E-2</c:v>
                </c:pt>
                <c:pt idx="47">
                  <c:v>0.8389737697095565</c:v>
                </c:pt>
                <c:pt idx="48">
                  <c:v>0.38958282302644892</c:v>
                </c:pt>
                <c:pt idx="49">
                  <c:v>0.56189809919044742</c:v>
                </c:pt>
                <c:pt idx="50">
                  <c:v>0.61365652494669798</c:v>
                </c:pt>
                <c:pt idx="51">
                  <c:v>0.4944515253828673</c:v>
                </c:pt>
                <c:pt idx="52">
                  <c:v>0.71215766715875151</c:v>
                </c:pt>
                <c:pt idx="53">
                  <c:v>0.52598287301051849</c:v>
                </c:pt>
                <c:pt idx="54">
                  <c:v>0.52055480436057611</c:v>
                </c:pt>
                <c:pt idx="55">
                  <c:v>0.41683636933757967</c:v>
                </c:pt>
                <c:pt idx="56">
                  <c:v>0.50286928713155032</c:v>
                </c:pt>
                <c:pt idx="57">
                  <c:v>0.73464307467347822</c:v>
                </c:pt>
                <c:pt idx="58">
                  <c:v>0.94509526719438353</c:v>
                </c:pt>
                <c:pt idx="59">
                  <c:v>0.31983886780938298</c:v>
                </c:pt>
                <c:pt idx="60">
                  <c:v>0.62765238064415518</c:v>
                </c:pt>
                <c:pt idx="61">
                  <c:v>0.3261942019608991</c:v>
                </c:pt>
                <c:pt idx="62">
                  <c:v>0.71560261517769208</c:v>
                </c:pt>
                <c:pt idx="63">
                  <c:v>0.23878248663072774</c:v>
                </c:pt>
                <c:pt idx="64">
                  <c:v>0.7014736604450893</c:v>
                </c:pt>
                <c:pt idx="65">
                  <c:v>0.56850472684851883</c:v>
                </c:pt>
                <c:pt idx="66">
                  <c:v>0.46286973334382142</c:v>
                </c:pt>
                <c:pt idx="67">
                  <c:v>0.43446441618004344</c:v>
                </c:pt>
                <c:pt idx="68">
                  <c:v>0.6921438030423297</c:v>
                </c:pt>
                <c:pt idx="69">
                  <c:v>0.51519441373435981</c:v>
                </c:pt>
                <c:pt idx="70">
                  <c:v>0.2793540819649068</c:v>
                </c:pt>
                <c:pt idx="71">
                  <c:v>0.51447841198214095</c:v>
                </c:pt>
                <c:pt idx="72">
                  <c:v>0.66559603657178368</c:v>
                </c:pt>
                <c:pt idx="73">
                  <c:v>0.31277228870150869</c:v>
                </c:pt>
                <c:pt idx="74">
                  <c:v>0.11439698490207878</c:v>
                </c:pt>
                <c:pt idx="75">
                  <c:v>0.35215586744026195</c:v>
                </c:pt>
                <c:pt idx="76">
                  <c:v>0.23233567461206012</c:v>
                </c:pt>
                <c:pt idx="77">
                  <c:v>0.56009666705869132</c:v>
                </c:pt>
                <c:pt idx="78">
                  <c:v>0.69439293149509895</c:v>
                </c:pt>
                <c:pt idx="79">
                  <c:v>0.15821527213134973</c:v>
                </c:pt>
                <c:pt idx="80">
                  <c:v>0.57829460906368479</c:v>
                </c:pt>
                <c:pt idx="81">
                  <c:v>0.48341897850228188</c:v>
                </c:pt>
                <c:pt idx="82">
                  <c:v>0.66222050410090227</c:v>
                </c:pt>
                <c:pt idx="83">
                  <c:v>0.32331612989277969</c:v>
                </c:pt>
                <c:pt idx="84">
                  <c:v>0.7196641585597493</c:v>
                </c:pt>
                <c:pt idx="85">
                  <c:v>0.45677370389637406</c:v>
                </c:pt>
                <c:pt idx="86">
                  <c:v>0.27120831070215068</c:v>
                </c:pt>
                <c:pt idx="87">
                  <c:v>0.67510779409068611</c:v>
                </c:pt>
                <c:pt idx="88">
                  <c:v>0.59335990155646468</c:v>
                </c:pt>
                <c:pt idx="89">
                  <c:v>0.67310445410673692</c:v>
                </c:pt>
                <c:pt idx="90">
                  <c:v>0.34638835078805918</c:v>
                </c:pt>
                <c:pt idx="91">
                  <c:v>0.48581095128354912</c:v>
                </c:pt>
                <c:pt idx="92">
                  <c:v>0.55627567393615807</c:v>
                </c:pt>
                <c:pt idx="93">
                  <c:v>0.63650427577892943</c:v>
                </c:pt>
                <c:pt idx="94">
                  <c:v>0.29918702450839374</c:v>
                </c:pt>
                <c:pt idx="95">
                  <c:v>0.228086271441655</c:v>
                </c:pt>
                <c:pt idx="96">
                  <c:v>0.9347698235883386</c:v>
                </c:pt>
                <c:pt idx="97">
                  <c:v>0.39509578100069731</c:v>
                </c:pt>
                <c:pt idx="98">
                  <c:v>0.28127984562434288</c:v>
                </c:pt>
                <c:pt idx="99">
                  <c:v>0.639324817172085</c:v>
                </c:pt>
                <c:pt idx="100">
                  <c:v>0.58574579450376363</c:v>
                </c:pt>
                <c:pt idx="101">
                  <c:v>0.50160782352171629</c:v>
                </c:pt>
                <c:pt idx="102">
                  <c:v>0.51578015091480889</c:v>
                </c:pt>
                <c:pt idx="103">
                  <c:v>0.42853063785900924</c:v>
                </c:pt>
                <c:pt idx="104">
                  <c:v>0.58438872947153309</c:v>
                </c:pt>
                <c:pt idx="105">
                  <c:v>0.42219034649194354</c:v>
                </c:pt>
                <c:pt idx="106">
                  <c:v>0.48864573045986642</c:v>
                </c:pt>
                <c:pt idx="107">
                  <c:v>0.48893386526376098</c:v>
                </c:pt>
                <c:pt idx="108">
                  <c:v>0.96492800567221348</c:v>
                </c:pt>
                <c:pt idx="109">
                  <c:v>0.49080450005663734</c:v>
                </c:pt>
                <c:pt idx="110">
                  <c:v>0.72291964249574558</c:v>
                </c:pt>
                <c:pt idx="111">
                  <c:v>0.27278602896727705</c:v>
                </c:pt>
                <c:pt idx="112">
                  <c:v>0.97540826649840384</c:v>
                </c:pt>
                <c:pt idx="113">
                  <c:v>0.3605864125929143</c:v>
                </c:pt>
                <c:pt idx="114">
                  <c:v>0.48087081435625711</c:v>
                </c:pt>
                <c:pt idx="115">
                  <c:v>0.56121728844717367</c:v>
                </c:pt>
                <c:pt idx="116">
                  <c:v>0.34206683555214257</c:v>
                </c:pt>
                <c:pt idx="117">
                  <c:v>0.67266649275252743</c:v>
                </c:pt>
                <c:pt idx="118">
                  <c:v>8.3708113006347507E-2</c:v>
                </c:pt>
                <c:pt idx="119">
                  <c:v>0.44735600611499526</c:v>
                </c:pt>
                <c:pt idx="120">
                  <c:v>0.53308634841809777</c:v>
                </c:pt>
                <c:pt idx="121">
                  <c:v>0.36322176531604883</c:v>
                </c:pt>
                <c:pt idx="122">
                  <c:v>0.58158403431985684</c:v>
                </c:pt>
                <c:pt idx="123">
                  <c:v>0.51629004528499112</c:v>
                </c:pt>
                <c:pt idx="124">
                  <c:v>0.45778112020832917</c:v>
                </c:pt>
                <c:pt idx="125">
                  <c:v>0.37431197612299438</c:v>
                </c:pt>
                <c:pt idx="126">
                  <c:v>0.56452393365021603</c:v>
                </c:pt>
                <c:pt idx="127">
                  <c:v>0.42299296087386085</c:v>
                </c:pt>
                <c:pt idx="128">
                  <c:v>0.5883238761815649</c:v>
                </c:pt>
                <c:pt idx="129">
                  <c:v>0.79321239889814299</c:v>
                </c:pt>
                <c:pt idx="130">
                  <c:v>0.39617431046721918</c:v>
                </c:pt>
                <c:pt idx="131">
                  <c:v>0.79006452662437998</c:v>
                </c:pt>
                <c:pt idx="132">
                  <c:v>0.72616436104070092</c:v>
                </c:pt>
                <c:pt idx="133">
                  <c:v>0.56166081242935662</c:v>
                </c:pt>
                <c:pt idx="134">
                  <c:v>0.51174631579005081</c:v>
                </c:pt>
                <c:pt idx="135">
                  <c:v>0.38331894099853075</c:v>
                </c:pt>
                <c:pt idx="136">
                  <c:v>0.37862057180252118</c:v>
                </c:pt>
                <c:pt idx="137">
                  <c:v>0.2945643478261139</c:v>
                </c:pt>
                <c:pt idx="138">
                  <c:v>0.40903032174984444</c:v>
                </c:pt>
                <c:pt idx="139">
                  <c:v>0.61282160767350025</c:v>
                </c:pt>
                <c:pt idx="140">
                  <c:v>0.36770051972098228</c:v>
                </c:pt>
                <c:pt idx="141">
                  <c:v>0.46783141615715285</c:v>
                </c:pt>
                <c:pt idx="142">
                  <c:v>0.35551508757590938</c:v>
                </c:pt>
                <c:pt idx="143">
                  <c:v>0.40486318535142962</c:v>
                </c:pt>
                <c:pt idx="144">
                  <c:v>0.47198352265248822</c:v>
                </c:pt>
                <c:pt idx="145">
                  <c:v>0.52913707867297</c:v>
                </c:pt>
                <c:pt idx="146">
                  <c:v>0.41004032838741356</c:v>
                </c:pt>
                <c:pt idx="147">
                  <c:v>0.51059641690758073</c:v>
                </c:pt>
                <c:pt idx="148">
                  <c:v>0.44072314626813924</c:v>
                </c:pt>
                <c:pt idx="149">
                  <c:v>0.56970150925835161</c:v>
                </c:pt>
                <c:pt idx="150">
                  <c:v>0.66294944017010249</c:v>
                </c:pt>
                <c:pt idx="151">
                  <c:v>0.22276072365089339</c:v>
                </c:pt>
                <c:pt idx="152">
                  <c:v>0.2778048547846344</c:v>
                </c:pt>
                <c:pt idx="153">
                  <c:v>0.30119909517714394</c:v>
                </c:pt>
                <c:pt idx="154">
                  <c:v>0.39986402967189572</c:v>
                </c:pt>
                <c:pt idx="155">
                  <c:v>0.16553735799502134</c:v>
                </c:pt>
                <c:pt idx="156">
                  <c:v>0.75375292567157637</c:v>
                </c:pt>
                <c:pt idx="157">
                  <c:v>0.3293933684198424</c:v>
                </c:pt>
                <c:pt idx="158">
                  <c:v>0.90558809868341894</c:v>
                </c:pt>
                <c:pt idx="159">
                  <c:v>0.33821061985774259</c:v>
                </c:pt>
                <c:pt idx="160">
                  <c:v>0.31944337158329572</c:v>
                </c:pt>
                <c:pt idx="161">
                  <c:v>0.57503719813389342</c:v>
                </c:pt>
                <c:pt idx="162">
                  <c:v>0.52858835779974267</c:v>
                </c:pt>
                <c:pt idx="163">
                  <c:v>0.81831622842425289</c:v>
                </c:pt>
                <c:pt idx="164">
                  <c:v>0.66053565218437671</c:v>
                </c:pt>
                <c:pt idx="165">
                  <c:v>0.42102934245703211</c:v>
                </c:pt>
                <c:pt idx="166">
                  <c:v>0.63734065864056244</c:v>
                </c:pt>
                <c:pt idx="167">
                  <c:v>0.74575548111884904</c:v>
                </c:pt>
                <c:pt idx="168">
                  <c:v>0.55230061124366503</c:v>
                </c:pt>
                <c:pt idx="169">
                  <c:v>0.56486455507355127</c:v>
                </c:pt>
                <c:pt idx="170">
                  <c:v>0.58012515422772271</c:v>
                </c:pt>
                <c:pt idx="171">
                  <c:v>0.61392718134055857</c:v>
                </c:pt>
                <c:pt idx="172">
                  <c:v>0.41773408922593042</c:v>
                </c:pt>
                <c:pt idx="173">
                  <c:v>0.6263052903512899</c:v>
                </c:pt>
                <c:pt idx="174">
                  <c:v>0.34512662917857817</c:v>
                </c:pt>
                <c:pt idx="175">
                  <c:v>0.85075638294211586</c:v>
                </c:pt>
                <c:pt idx="176">
                  <c:v>0.26149086463299631</c:v>
                </c:pt>
                <c:pt idx="177">
                  <c:v>0.70044020465490608</c:v>
                </c:pt>
                <c:pt idx="178">
                  <c:v>0.55425116127136231</c:v>
                </c:pt>
                <c:pt idx="179">
                  <c:v>0.6536074943204796</c:v>
                </c:pt>
                <c:pt idx="180">
                  <c:v>0.40171578193671398</c:v>
                </c:pt>
                <c:pt idx="181">
                  <c:v>0.40864407321706869</c:v>
                </c:pt>
                <c:pt idx="182">
                  <c:v>0.70022921301379415</c:v>
                </c:pt>
                <c:pt idx="183">
                  <c:v>0.47317911485474284</c:v>
                </c:pt>
                <c:pt idx="184">
                  <c:v>0.41085598866947548</c:v>
                </c:pt>
                <c:pt idx="185">
                  <c:v>0.52661258790005128</c:v>
                </c:pt>
                <c:pt idx="186">
                  <c:v>0.93837869063545531</c:v>
                </c:pt>
                <c:pt idx="187">
                  <c:v>0.33965709883865436</c:v>
                </c:pt>
                <c:pt idx="188">
                  <c:v>0.39506037003081113</c:v>
                </c:pt>
                <c:pt idx="189">
                  <c:v>0.58419976928657924</c:v>
                </c:pt>
                <c:pt idx="190">
                  <c:v>0.5310533136021971</c:v>
                </c:pt>
                <c:pt idx="191">
                  <c:v>0.48200493791321752</c:v>
                </c:pt>
                <c:pt idx="192">
                  <c:v>0.87574481286642136</c:v>
                </c:pt>
                <c:pt idx="193">
                  <c:v>0.73599991872987736</c:v>
                </c:pt>
                <c:pt idx="194">
                  <c:v>0.74223149783294928</c:v>
                </c:pt>
                <c:pt idx="195">
                  <c:v>0.48914576708091106</c:v>
                </c:pt>
                <c:pt idx="196">
                  <c:v>0.52126041301764836</c:v>
                </c:pt>
                <c:pt idx="197">
                  <c:v>0.5085473592361911</c:v>
                </c:pt>
                <c:pt idx="198">
                  <c:v>0.57861416764407425</c:v>
                </c:pt>
                <c:pt idx="199">
                  <c:v>0.63204777004806056</c:v>
                </c:pt>
                <c:pt idx="200">
                  <c:v>0.44760249902268162</c:v>
                </c:pt>
                <c:pt idx="201">
                  <c:v>0.45768360226744331</c:v>
                </c:pt>
                <c:pt idx="202">
                  <c:v>0.43673993224774516</c:v>
                </c:pt>
                <c:pt idx="203">
                  <c:v>0.95632559004294548</c:v>
                </c:pt>
                <c:pt idx="204">
                  <c:v>0.85701464497061708</c:v>
                </c:pt>
                <c:pt idx="205">
                  <c:v>0.52063020858062448</c:v>
                </c:pt>
                <c:pt idx="206">
                  <c:v>0.36470924322434417</c:v>
                </c:pt>
                <c:pt idx="207">
                  <c:v>0.52122277917504833</c:v>
                </c:pt>
                <c:pt idx="208">
                  <c:v>0.46777048989311337</c:v>
                </c:pt>
                <c:pt idx="209">
                  <c:v>0.69105558057604155</c:v>
                </c:pt>
                <c:pt idx="210">
                  <c:v>0.59489177952393879</c:v>
                </c:pt>
                <c:pt idx="211">
                  <c:v>0.3639444582027358</c:v>
                </c:pt>
                <c:pt idx="212">
                  <c:v>0.45767667752599706</c:v>
                </c:pt>
                <c:pt idx="213">
                  <c:v>0.60152214071391963</c:v>
                </c:pt>
                <c:pt idx="214">
                  <c:v>0.45331924598435053</c:v>
                </c:pt>
                <c:pt idx="215">
                  <c:v>0.52530589997483967</c:v>
                </c:pt>
                <c:pt idx="216">
                  <c:v>0.51385198886852013</c:v>
                </c:pt>
                <c:pt idx="217">
                  <c:v>0.3866674041511225</c:v>
                </c:pt>
                <c:pt idx="218">
                  <c:v>0.46057919049348917</c:v>
                </c:pt>
                <c:pt idx="219">
                  <c:v>0.94041129189584205</c:v>
                </c:pt>
                <c:pt idx="220">
                  <c:v>0.8420798335271632</c:v>
                </c:pt>
                <c:pt idx="221">
                  <c:v>0.72582588397154524</c:v>
                </c:pt>
                <c:pt idx="222">
                  <c:v>0.67647090004156407</c:v>
                </c:pt>
                <c:pt idx="223">
                  <c:v>0.45205465328743666</c:v>
                </c:pt>
                <c:pt idx="224">
                  <c:v>0.48457123690750004</c:v>
                </c:pt>
                <c:pt idx="225">
                  <c:v>0.59687271715954837</c:v>
                </c:pt>
                <c:pt idx="226">
                  <c:v>0.32225610832942203</c:v>
                </c:pt>
                <c:pt idx="227">
                  <c:v>0.50991101213692347</c:v>
                </c:pt>
                <c:pt idx="228">
                  <c:v>0.73712078939501946</c:v>
                </c:pt>
                <c:pt idx="229">
                  <c:v>0.35655913967175973</c:v>
                </c:pt>
                <c:pt idx="230">
                  <c:v>0.2947189437578539</c:v>
                </c:pt>
                <c:pt idx="231">
                  <c:v>0.46258830823126629</c:v>
                </c:pt>
                <c:pt idx="232">
                  <c:v>0.74186094839143324</c:v>
                </c:pt>
                <c:pt idx="233">
                  <c:v>0.83920354941785902</c:v>
                </c:pt>
                <c:pt idx="234">
                  <c:v>0.6522499531784528</c:v>
                </c:pt>
                <c:pt idx="235">
                  <c:v>0.68231881031579178</c:v>
                </c:pt>
                <c:pt idx="236">
                  <c:v>0.49434800747695917</c:v>
                </c:pt>
                <c:pt idx="237">
                  <c:v>0.65809737655417966</c:v>
                </c:pt>
                <c:pt idx="238">
                  <c:v>0.88620066089022898</c:v>
                </c:pt>
                <c:pt idx="239">
                  <c:v>0.40788435835001019</c:v>
                </c:pt>
                <c:pt idx="240">
                  <c:v>0.37623513178527207</c:v>
                </c:pt>
                <c:pt idx="241">
                  <c:v>0.63986812918248537</c:v>
                </c:pt>
                <c:pt idx="242">
                  <c:v>0.52035062312996361</c:v>
                </c:pt>
                <c:pt idx="243">
                  <c:v>0.45040076760446546</c:v>
                </c:pt>
                <c:pt idx="244">
                  <c:v>0.35970776757380274</c:v>
                </c:pt>
                <c:pt idx="245">
                  <c:v>0.53543970550179598</c:v>
                </c:pt>
                <c:pt idx="246">
                  <c:v>0.69451861571528251</c:v>
                </c:pt>
                <c:pt idx="247">
                  <c:v>0.87598914068962541</c:v>
                </c:pt>
                <c:pt idx="248">
                  <c:v>0.52529900616201164</c:v>
                </c:pt>
                <c:pt idx="249">
                  <c:v>0.2536724352310995</c:v>
                </c:pt>
                <c:pt idx="250">
                  <c:v>0.40837943298782875</c:v>
                </c:pt>
                <c:pt idx="251">
                  <c:v>0.39874307633717743</c:v>
                </c:pt>
                <c:pt idx="252">
                  <c:v>0.3895868141249057</c:v>
                </c:pt>
                <c:pt idx="253">
                  <c:v>0.37429265250502036</c:v>
                </c:pt>
                <c:pt idx="254">
                  <c:v>0.86389328093776263</c:v>
                </c:pt>
                <c:pt idx="255">
                  <c:v>0.11375369060171103</c:v>
                </c:pt>
                <c:pt idx="256">
                  <c:v>0.38387609717035109</c:v>
                </c:pt>
                <c:pt idx="257">
                  <c:v>0.12234263662119083</c:v>
                </c:pt>
                <c:pt idx="258">
                  <c:v>0.29976654561202731</c:v>
                </c:pt>
                <c:pt idx="259">
                  <c:v>0.5323459570990331</c:v>
                </c:pt>
                <c:pt idx="260">
                  <c:v>0.43490297808429279</c:v>
                </c:pt>
                <c:pt idx="261">
                  <c:v>0.47305554813801692</c:v>
                </c:pt>
                <c:pt idx="262">
                  <c:v>0.35784165812255875</c:v>
                </c:pt>
                <c:pt idx="263">
                  <c:v>0.50920881821598218</c:v>
                </c:pt>
                <c:pt idx="264">
                  <c:v>0.44246570029023874</c:v>
                </c:pt>
                <c:pt idx="265">
                  <c:v>0.2976585041033275</c:v>
                </c:pt>
                <c:pt idx="266">
                  <c:v>0.33746420657413717</c:v>
                </c:pt>
                <c:pt idx="267">
                  <c:v>0.44537168126893267</c:v>
                </c:pt>
                <c:pt idx="268">
                  <c:v>0.7835489891666072</c:v>
                </c:pt>
                <c:pt idx="269">
                  <c:v>0.12060975442534694</c:v>
                </c:pt>
                <c:pt idx="270">
                  <c:v>0.3534591083117079</c:v>
                </c:pt>
                <c:pt idx="271">
                  <c:v>0.38785276097549187</c:v>
                </c:pt>
                <c:pt idx="272">
                  <c:v>1.1278625893197816</c:v>
                </c:pt>
                <c:pt idx="273">
                  <c:v>0.45323379883333514</c:v>
                </c:pt>
                <c:pt idx="274">
                  <c:v>0.95700973246313525</c:v>
                </c:pt>
                <c:pt idx="275">
                  <c:v>0.52472794196164774</c:v>
                </c:pt>
                <c:pt idx="276">
                  <c:v>0.60050738027141226</c:v>
                </c:pt>
                <c:pt idx="277">
                  <c:v>0.9714933559206721</c:v>
                </c:pt>
                <c:pt idx="278">
                  <c:v>0.57097613488548138</c:v>
                </c:pt>
                <c:pt idx="279">
                  <c:v>0.37458700039710602</c:v>
                </c:pt>
                <c:pt idx="280">
                  <c:v>0.667155986285494</c:v>
                </c:pt>
                <c:pt idx="281">
                  <c:v>0.60277013710062821</c:v>
                </c:pt>
                <c:pt idx="282">
                  <c:v>0.50056406189844127</c:v>
                </c:pt>
                <c:pt idx="283">
                  <c:v>0.50124002439795723</c:v>
                </c:pt>
                <c:pt idx="284">
                  <c:v>0.42102687184022675</c:v>
                </c:pt>
                <c:pt idx="285">
                  <c:v>0.59617754489179031</c:v>
                </c:pt>
                <c:pt idx="286">
                  <c:v>0.81284483994880408</c:v>
                </c:pt>
                <c:pt idx="287">
                  <c:v>0.63824189863374359</c:v>
                </c:pt>
                <c:pt idx="288">
                  <c:v>0.39001844513037881</c:v>
                </c:pt>
                <c:pt idx="289">
                  <c:v>0.77187832166681614</c:v>
                </c:pt>
                <c:pt idx="290">
                  <c:v>0.47774078971616674</c:v>
                </c:pt>
                <c:pt idx="291">
                  <c:v>0.77927460627905987</c:v>
                </c:pt>
                <c:pt idx="292">
                  <c:v>0.29758989645493877</c:v>
                </c:pt>
                <c:pt idx="293">
                  <c:v>0.30385837571721225</c:v>
                </c:pt>
                <c:pt idx="294">
                  <c:v>0.4189119553622096</c:v>
                </c:pt>
                <c:pt idx="295">
                  <c:v>0.45975821831881197</c:v>
                </c:pt>
                <c:pt idx="296">
                  <c:v>0.54563897713584086</c:v>
                </c:pt>
                <c:pt idx="297">
                  <c:v>0.56553011642252304</c:v>
                </c:pt>
                <c:pt idx="298">
                  <c:v>0.65847051407370993</c:v>
                </c:pt>
                <c:pt idx="299">
                  <c:v>0.38695230806623193</c:v>
                </c:pt>
                <c:pt idx="300">
                  <c:v>0.29950848551973486</c:v>
                </c:pt>
                <c:pt idx="301">
                  <c:v>0.50385007463970588</c:v>
                </c:pt>
                <c:pt idx="302">
                  <c:v>0.43732531704988747</c:v>
                </c:pt>
                <c:pt idx="303">
                  <c:v>0.19562888648807658</c:v>
                </c:pt>
                <c:pt idx="304">
                  <c:v>0.48050849467359319</c:v>
                </c:pt>
                <c:pt idx="305">
                  <c:v>0.9024691629221071</c:v>
                </c:pt>
                <c:pt idx="306">
                  <c:v>0.5088454774591844</c:v>
                </c:pt>
                <c:pt idx="307">
                  <c:v>0.56321225631997573</c:v>
                </c:pt>
                <c:pt idx="308">
                  <c:v>0.29149309751269681</c:v>
                </c:pt>
                <c:pt idx="309">
                  <c:v>0.59263183492388249</c:v>
                </c:pt>
                <c:pt idx="310">
                  <c:v>0.67210044359645382</c:v>
                </c:pt>
                <c:pt idx="311">
                  <c:v>0.29950897540542598</c:v>
                </c:pt>
                <c:pt idx="312">
                  <c:v>0.40718885381641984</c:v>
                </c:pt>
                <c:pt idx="313">
                  <c:v>0.71483949479245545</c:v>
                </c:pt>
                <c:pt idx="314">
                  <c:v>0.49418312438377154</c:v>
                </c:pt>
                <c:pt idx="315">
                  <c:v>0.59167956094335317</c:v>
                </c:pt>
                <c:pt idx="316">
                  <c:v>0.6289974459249702</c:v>
                </c:pt>
                <c:pt idx="317">
                  <c:v>0.87382982915653373</c:v>
                </c:pt>
                <c:pt idx="318">
                  <c:v>0.5395959735453526</c:v>
                </c:pt>
                <c:pt idx="319">
                  <c:v>0.52295386656219778</c:v>
                </c:pt>
                <c:pt idx="320">
                  <c:v>0.37563837242264481</c:v>
                </c:pt>
                <c:pt idx="321">
                  <c:v>0.43727707910736013</c:v>
                </c:pt>
                <c:pt idx="322">
                  <c:v>0.10752162423131773</c:v>
                </c:pt>
                <c:pt idx="323">
                  <c:v>0.41168656751636068</c:v>
                </c:pt>
                <c:pt idx="324">
                  <c:v>0.33174307169500017</c:v>
                </c:pt>
                <c:pt idx="325">
                  <c:v>0.63477511525770092</c:v>
                </c:pt>
                <c:pt idx="326">
                  <c:v>0.61814356118539193</c:v>
                </c:pt>
                <c:pt idx="327">
                  <c:v>0.64825559504921881</c:v>
                </c:pt>
                <c:pt idx="328">
                  <c:v>0.53015465033407994</c:v>
                </c:pt>
                <c:pt idx="329">
                  <c:v>0.64772305336203484</c:v>
                </c:pt>
                <c:pt idx="330">
                  <c:v>0.72194171479411506</c:v>
                </c:pt>
                <c:pt idx="331">
                  <c:v>0.64979428219865953</c:v>
                </c:pt>
                <c:pt idx="332">
                  <c:v>0.93950767123837475</c:v>
                </c:pt>
                <c:pt idx="333">
                  <c:v>0.55021596016738927</c:v>
                </c:pt>
                <c:pt idx="334">
                  <c:v>0.30907167384972767</c:v>
                </c:pt>
                <c:pt idx="335">
                  <c:v>0.84740469425100595</c:v>
                </c:pt>
                <c:pt idx="336">
                  <c:v>0.36498272111050523</c:v>
                </c:pt>
                <c:pt idx="337">
                  <c:v>0.75788257823021798</c:v>
                </c:pt>
                <c:pt idx="338">
                  <c:v>0.90073607910198261</c:v>
                </c:pt>
                <c:pt idx="339">
                  <c:v>0.34802481674827074</c:v>
                </c:pt>
                <c:pt idx="340">
                  <c:v>0.57949712084766025</c:v>
                </c:pt>
                <c:pt idx="341">
                  <c:v>0.7376754317290859</c:v>
                </c:pt>
                <c:pt idx="342">
                  <c:v>0.76675324227747832</c:v>
                </c:pt>
                <c:pt idx="343">
                  <c:v>0.54259627094852669</c:v>
                </c:pt>
                <c:pt idx="344">
                  <c:v>0.68783220676043666</c:v>
                </c:pt>
                <c:pt idx="345">
                  <c:v>0.36726075281453946</c:v>
                </c:pt>
                <c:pt idx="346">
                  <c:v>0.30449926378899367</c:v>
                </c:pt>
                <c:pt idx="347">
                  <c:v>0.83961078148915891</c:v>
                </c:pt>
                <c:pt idx="348">
                  <c:v>0.49907127174564314</c:v>
                </c:pt>
                <c:pt idx="349">
                  <c:v>0.39517639261994458</c:v>
                </c:pt>
                <c:pt idx="350">
                  <c:v>0.74423305329219458</c:v>
                </c:pt>
                <c:pt idx="351">
                  <c:v>0.56407960520502876</c:v>
                </c:pt>
                <c:pt idx="352">
                  <c:v>0.57131104449945491</c:v>
                </c:pt>
                <c:pt idx="353">
                  <c:v>0.50312317123451233</c:v>
                </c:pt>
                <c:pt idx="354">
                  <c:v>0.34076119840143992</c:v>
                </c:pt>
                <c:pt idx="355">
                  <c:v>0.6311768468862281</c:v>
                </c:pt>
                <c:pt idx="356">
                  <c:v>0.39474723910614173</c:v>
                </c:pt>
                <c:pt idx="357">
                  <c:v>0.35143067121518246</c:v>
                </c:pt>
                <c:pt idx="358">
                  <c:v>0.56695476834962122</c:v>
                </c:pt>
                <c:pt idx="359">
                  <c:v>0.76605890117523345</c:v>
                </c:pt>
                <c:pt idx="360">
                  <c:v>0.55215575161249886</c:v>
                </c:pt>
                <c:pt idx="361">
                  <c:v>0.54646331893675149</c:v>
                </c:pt>
                <c:pt idx="362">
                  <c:v>0.70696766006552125</c:v>
                </c:pt>
                <c:pt idx="363">
                  <c:v>0.26452773420894116</c:v>
                </c:pt>
                <c:pt idx="364">
                  <c:v>0.25239744824709864</c:v>
                </c:pt>
                <c:pt idx="365">
                  <c:v>0.63823713905087087</c:v>
                </c:pt>
                <c:pt idx="366">
                  <c:v>0.30434953754036365</c:v>
                </c:pt>
                <c:pt idx="367">
                  <c:v>0.62350656385501624</c:v>
                </c:pt>
                <c:pt idx="368">
                  <c:v>0.33418909593936114</c:v>
                </c:pt>
                <c:pt idx="369">
                  <c:v>0.50111679579689594</c:v>
                </c:pt>
                <c:pt idx="370">
                  <c:v>0.40316009905082761</c:v>
                </c:pt>
                <c:pt idx="371">
                  <c:v>0.33194710374648889</c:v>
                </c:pt>
                <c:pt idx="372">
                  <c:v>0.49602927460105684</c:v>
                </c:pt>
                <c:pt idx="373">
                  <c:v>0.80715968213453992</c:v>
                </c:pt>
                <c:pt idx="374">
                  <c:v>0.326438506824964</c:v>
                </c:pt>
                <c:pt idx="375">
                  <c:v>0.3925603469948003</c:v>
                </c:pt>
                <c:pt idx="376">
                  <c:v>0.58337378373074555</c:v>
                </c:pt>
                <c:pt idx="377">
                  <c:v>0.46000240825455302</c:v>
                </c:pt>
                <c:pt idx="378">
                  <c:v>1.1130994885807968</c:v>
                </c:pt>
                <c:pt idx="379">
                  <c:v>0.51414405833257015</c:v>
                </c:pt>
                <c:pt idx="380">
                  <c:v>0.57345755193707881</c:v>
                </c:pt>
                <c:pt idx="381">
                  <c:v>0.42556634480077915</c:v>
                </c:pt>
                <c:pt idx="382">
                  <c:v>0.40113895900268415</c:v>
                </c:pt>
                <c:pt idx="383">
                  <c:v>0.81068532996633658</c:v>
                </c:pt>
                <c:pt idx="384">
                  <c:v>0.55901498043442244</c:v>
                </c:pt>
                <c:pt idx="385">
                  <c:v>0.53457354679463354</c:v>
                </c:pt>
                <c:pt idx="386">
                  <c:v>0.42858777199982434</c:v>
                </c:pt>
                <c:pt idx="387">
                  <c:v>0.26965402603453797</c:v>
                </c:pt>
                <c:pt idx="388">
                  <c:v>0.75080675934229046</c:v>
                </c:pt>
                <c:pt idx="389">
                  <c:v>0.13038937315897781</c:v>
                </c:pt>
                <c:pt idx="390">
                  <c:v>0.44293593400373998</c:v>
                </c:pt>
                <c:pt idx="391">
                  <c:v>0.39093779266072293</c:v>
                </c:pt>
                <c:pt idx="392">
                  <c:v>0.73834990348000618</c:v>
                </c:pt>
                <c:pt idx="393">
                  <c:v>0.68769544722554743</c:v>
                </c:pt>
                <c:pt idx="394">
                  <c:v>0.79932623285300464</c:v>
                </c:pt>
                <c:pt idx="395">
                  <c:v>0.31861254660036675</c:v>
                </c:pt>
                <c:pt idx="396">
                  <c:v>0.62631099952947389</c:v>
                </c:pt>
                <c:pt idx="397">
                  <c:v>0.64325583405171993</c:v>
                </c:pt>
                <c:pt idx="398">
                  <c:v>0.92965990741880289</c:v>
                </c:pt>
                <c:pt idx="399">
                  <c:v>0.79741439864817643</c:v>
                </c:pt>
                <c:pt idx="400">
                  <c:v>0.48095100280852077</c:v>
                </c:pt>
                <c:pt idx="401">
                  <c:v>7.5731783768165806E-2</c:v>
                </c:pt>
                <c:pt idx="402">
                  <c:v>0.46386564973879735</c:v>
                </c:pt>
                <c:pt idx="403">
                  <c:v>0.40357541039424716</c:v>
                </c:pt>
                <c:pt idx="404">
                  <c:v>0.47105803548792413</c:v>
                </c:pt>
                <c:pt idx="405">
                  <c:v>0.21362619471893965</c:v>
                </c:pt>
                <c:pt idx="406">
                  <c:v>0.56756120780381025</c:v>
                </c:pt>
                <c:pt idx="407">
                  <c:v>0.58558698346222271</c:v>
                </c:pt>
                <c:pt idx="408">
                  <c:v>0.25926880059932023</c:v>
                </c:pt>
                <c:pt idx="409">
                  <c:v>0.66878971062107839</c:v>
                </c:pt>
                <c:pt idx="410">
                  <c:v>0.82535687338278307</c:v>
                </c:pt>
                <c:pt idx="411">
                  <c:v>0.44899056430037276</c:v>
                </c:pt>
                <c:pt idx="412">
                  <c:v>0.95267602655251371</c:v>
                </c:pt>
                <c:pt idx="413">
                  <c:v>0.42900219262594197</c:v>
                </c:pt>
                <c:pt idx="414">
                  <c:v>0.78434265784494206</c:v>
                </c:pt>
                <c:pt idx="415">
                  <c:v>0.52748775390332048</c:v>
                </c:pt>
                <c:pt idx="416">
                  <c:v>0.47463597971622429</c:v>
                </c:pt>
                <c:pt idx="417">
                  <c:v>0.5760679961386761</c:v>
                </c:pt>
                <c:pt idx="418">
                  <c:v>0.81400458840344536</c:v>
                </c:pt>
                <c:pt idx="419">
                  <c:v>0.44597671127848737</c:v>
                </c:pt>
                <c:pt idx="420">
                  <c:v>0.63377256229335277</c:v>
                </c:pt>
                <c:pt idx="421">
                  <c:v>0.5657794030944141</c:v>
                </c:pt>
                <c:pt idx="422">
                  <c:v>0.47812923092772364</c:v>
                </c:pt>
                <c:pt idx="423">
                  <c:v>0.42338485321373648</c:v>
                </c:pt>
                <c:pt idx="424">
                  <c:v>0.7476192790387306</c:v>
                </c:pt>
                <c:pt idx="425">
                  <c:v>0.55964489255301131</c:v>
                </c:pt>
                <c:pt idx="426">
                  <c:v>0.27176876801443339</c:v>
                </c:pt>
                <c:pt idx="427">
                  <c:v>0.66769182169731034</c:v>
                </c:pt>
                <c:pt idx="428">
                  <c:v>0.25332541756123866</c:v>
                </c:pt>
                <c:pt idx="429">
                  <c:v>0.73583632190691795</c:v>
                </c:pt>
                <c:pt idx="430">
                  <c:v>0.4206820310639629</c:v>
                </c:pt>
                <c:pt idx="431">
                  <c:v>0.33393897763342684</c:v>
                </c:pt>
                <c:pt idx="432">
                  <c:v>0.63321022953346273</c:v>
                </c:pt>
                <c:pt idx="433">
                  <c:v>0.5903684353776657</c:v>
                </c:pt>
                <c:pt idx="434">
                  <c:v>0.24200067060484109</c:v>
                </c:pt>
                <c:pt idx="435">
                  <c:v>0.73360252461434106</c:v>
                </c:pt>
                <c:pt idx="436">
                  <c:v>0.48549673861542125</c:v>
                </c:pt>
                <c:pt idx="437">
                  <c:v>0.29545677286334432</c:v>
                </c:pt>
                <c:pt idx="438">
                  <c:v>0.19421579507377057</c:v>
                </c:pt>
                <c:pt idx="439">
                  <c:v>0.27818335501748076</c:v>
                </c:pt>
                <c:pt idx="440">
                  <c:v>0.50751341586343834</c:v>
                </c:pt>
                <c:pt idx="441">
                  <c:v>0.51190326715970447</c:v>
                </c:pt>
                <c:pt idx="442">
                  <c:v>0.34618092713969784</c:v>
                </c:pt>
                <c:pt idx="443">
                  <c:v>0.83118869168394538</c:v>
                </c:pt>
                <c:pt idx="444">
                  <c:v>0.51471414896456436</c:v>
                </c:pt>
                <c:pt idx="445">
                  <c:v>0.78024642570038139</c:v>
                </c:pt>
                <c:pt idx="446">
                  <c:v>0.23590786094416777</c:v>
                </c:pt>
                <c:pt idx="447">
                  <c:v>0.27255931828468061</c:v>
                </c:pt>
                <c:pt idx="448">
                  <c:v>0.45804337410806523</c:v>
                </c:pt>
                <c:pt idx="449">
                  <c:v>0.56485117451561606</c:v>
                </c:pt>
                <c:pt idx="450">
                  <c:v>0.41552216340247478</c:v>
                </c:pt>
                <c:pt idx="451">
                  <c:v>0.22296330457500874</c:v>
                </c:pt>
                <c:pt idx="452">
                  <c:v>0.54783767967930097</c:v>
                </c:pt>
                <c:pt idx="453">
                  <c:v>0.60002321494329269</c:v>
                </c:pt>
                <c:pt idx="454">
                  <c:v>0.60369537874530466</c:v>
                </c:pt>
                <c:pt idx="455">
                  <c:v>0.59670289380132868</c:v>
                </c:pt>
                <c:pt idx="456">
                  <c:v>0.38729775301659486</c:v>
                </c:pt>
                <c:pt idx="457">
                  <c:v>0.92896480153270511</c:v>
                </c:pt>
                <c:pt idx="458">
                  <c:v>0.50122791698681513</c:v>
                </c:pt>
                <c:pt idx="459">
                  <c:v>0.56045970950715052</c:v>
                </c:pt>
                <c:pt idx="460">
                  <c:v>0.7719491622414939</c:v>
                </c:pt>
                <c:pt idx="461">
                  <c:v>0.29268506318389353</c:v>
                </c:pt>
                <c:pt idx="462">
                  <c:v>0.39944459907239271</c:v>
                </c:pt>
                <c:pt idx="463">
                  <c:v>0.5379289649792679</c:v>
                </c:pt>
                <c:pt idx="464">
                  <c:v>0.64374671403595196</c:v>
                </c:pt>
                <c:pt idx="465">
                  <c:v>0.43949960886085754</c:v>
                </c:pt>
                <c:pt idx="466">
                  <c:v>0.51001704786895241</c:v>
                </c:pt>
                <c:pt idx="467">
                  <c:v>0.47360874226071115</c:v>
                </c:pt>
                <c:pt idx="468">
                  <c:v>0.21658236320617233</c:v>
                </c:pt>
                <c:pt idx="469">
                  <c:v>0.27752067638202271</c:v>
                </c:pt>
                <c:pt idx="470">
                  <c:v>0.69827593012931322</c:v>
                </c:pt>
                <c:pt idx="471">
                  <c:v>0.59849576290696715</c:v>
                </c:pt>
                <c:pt idx="472">
                  <c:v>0.6328013853488843</c:v>
                </c:pt>
                <c:pt idx="473">
                  <c:v>0.57881294137345263</c:v>
                </c:pt>
                <c:pt idx="474">
                  <c:v>0.49230394707413822</c:v>
                </c:pt>
                <c:pt idx="475">
                  <c:v>0.85730783848041259</c:v>
                </c:pt>
                <c:pt idx="476">
                  <c:v>0.48294208563322061</c:v>
                </c:pt>
                <c:pt idx="477">
                  <c:v>0.59939287452299761</c:v>
                </c:pt>
                <c:pt idx="478">
                  <c:v>0.72883610645837071</c:v>
                </c:pt>
                <c:pt idx="479">
                  <c:v>0.57737390552853329</c:v>
                </c:pt>
                <c:pt idx="480">
                  <c:v>0.54893218156543688</c:v>
                </c:pt>
                <c:pt idx="481">
                  <c:v>0.31540283507651962</c:v>
                </c:pt>
                <c:pt idx="482">
                  <c:v>0.50108907292406912</c:v>
                </c:pt>
                <c:pt idx="483">
                  <c:v>0.16472733520038552</c:v>
                </c:pt>
                <c:pt idx="484">
                  <c:v>0.52085452736487592</c:v>
                </c:pt>
                <c:pt idx="485">
                  <c:v>0.48151364120353712</c:v>
                </c:pt>
                <c:pt idx="486">
                  <c:v>0.3117451289237449</c:v>
                </c:pt>
                <c:pt idx="487">
                  <c:v>0.33483128102358645</c:v>
                </c:pt>
                <c:pt idx="488">
                  <c:v>0.38504950493394574</c:v>
                </c:pt>
                <c:pt idx="489">
                  <c:v>0.40419194453557872</c:v>
                </c:pt>
                <c:pt idx="490">
                  <c:v>0.48077841101944274</c:v>
                </c:pt>
                <c:pt idx="491">
                  <c:v>0.23765159943658942</c:v>
                </c:pt>
                <c:pt idx="492">
                  <c:v>0.35980893939360087</c:v>
                </c:pt>
                <c:pt idx="493">
                  <c:v>0.77198936041945931</c:v>
                </c:pt>
                <c:pt idx="494">
                  <c:v>0.88047524922450904</c:v>
                </c:pt>
                <c:pt idx="495">
                  <c:v>0.57629050813610261</c:v>
                </c:pt>
                <c:pt idx="496">
                  <c:v>0.32495134173814127</c:v>
                </c:pt>
                <c:pt idx="497">
                  <c:v>0.16111678791529416</c:v>
                </c:pt>
                <c:pt idx="498">
                  <c:v>0.58679685221105271</c:v>
                </c:pt>
                <c:pt idx="499">
                  <c:v>0.12613634374433369</c:v>
                </c:pt>
                <c:pt idx="500">
                  <c:v>0.55017587813127644</c:v>
                </c:pt>
                <c:pt idx="501">
                  <c:v>0.48812963803095838</c:v>
                </c:pt>
                <c:pt idx="502">
                  <c:v>0.32862850949133615</c:v>
                </c:pt>
                <c:pt idx="503">
                  <c:v>0.58318008745966188</c:v>
                </c:pt>
                <c:pt idx="504">
                  <c:v>0.73681175342100258</c:v>
                </c:pt>
                <c:pt idx="505">
                  <c:v>0.43344516399984123</c:v>
                </c:pt>
                <c:pt idx="506">
                  <c:v>0.52166778079262499</c:v>
                </c:pt>
                <c:pt idx="507">
                  <c:v>0.50624798278630512</c:v>
                </c:pt>
                <c:pt idx="508">
                  <c:v>0.60038130797598566</c:v>
                </c:pt>
                <c:pt idx="509">
                  <c:v>0.60840828561802573</c:v>
                </c:pt>
                <c:pt idx="510">
                  <c:v>0.51556370763479675</c:v>
                </c:pt>
                <c:pt idx="511">
                  <c:v>0.42207898766817498</c:v>
                </c:pt>
                <c:pt idx="512">
                  <c:v>0.48857440708104316</c:v>
                </c:pt>
                <c:pt idx="513">
                  <c:v>0.27284104631846517</c:v>
                </c:pt>
                <c:pt idx="514">
                  <c:v>0.46858357945297258</c:v>
                </c:pt>
                <c:pt idx="515">
                  <c:v>0.34452162687297511</c:v>
                </c:pt>
                <c:pt idx="516">
                  <c:v>0.48654977638340674</c:v>
                </c:pt>
                <c:pt idx="517">
                  <c:v>0.47884280756989167</c:v>
                </c:pt>
                <c:pt idx="518">
                  <c:v>0.7220332530368575</c:v>
                </c:pt>
                <c:pt idx="519">
                  <c:v>0.47393175683817745</c:v>
                </c:pt>
                <c:pt idx="520">
                  <c:v>0.91137879193221283</c:v>
                </c:pt>
                <c:pt idx="521">
                  <c:v>0.46922106728273094</c:v>
                </c:pt>
                <c:pt idx="522">
                  <c:v>0.26421201056954619</c:v>
                </c:pt>
                <c:pt idx="523">
                  <c:v>0.35024078142399423</c:v>
                </c:pt>
                <c:pt idx="524">
                  <c:v>0.84048810986163691</c:v>
                </c:pt>
                <c:pt idx="525">
                  <c:v>0.5690026689594484</c:v>
                </c:pt>
                <c:pt idx="526">
                  <c:v>0.44782217302602267</c:v>
                </c:pt>
                <c:pt idx="527">
                  <c:v>0.94090864671625285</c:v>
                </c:pt>
                <c:pt idx="528">
                  <c:v>0.43313263229621191</c:v>
                </c:pt>
                <c:pt idx="529">
                  <c:v>0.49078004922007046</c:v>
                </c:pt>
                <c:pt idx="530">
                  <c:v>0.56138552543597531</c:v>
                </c:pt>
                <c:pt idx="531">
                  <c:v>0.27731684683804114</c:v>
                </c:pt>
                <c:pt idx="532">
                  <c:v>0.54435043144519524</c:v>
                </c:pt>
                <c:pt idx="533">
                  <c:v>0.6382899376711566</c:v>
                </c:pt>
                <c:pt idx="534">
                  <c:v>0.5000368328290814</c:v>
                </c:pt>
                <c:pt idx="535">
                  <c:v>0.77050430996332586</c:v>
                </c:pt>
                <c:pt idx="536">
                  <c:v>0.56971873664711969</c:v>
                </c:pt>
                <c:pt idx="537">
                  <c:v>0.6223611522603657</c:v>
                </c:pt>
                <c:pt idx="538">
                  <c:v>0.83520460409108743</c:v>
                </c:pt>
                <c:pt idx="539">
                  <c:v>0.57812513499099516</c:v>
                </c:pt>
                <c:pt idx="540">
                  <c:v>0.6061842475456295</c:v>
                </c:pt>
                <c:pt idx="541">
                  <c:v>0.47502160390881143</c:v>
                </c:pt>
                <c:pt idx="542">
                  <c:v>0.31727200663084959</c:v>
                </c:pt>
                <c:pt idx="543">
                  <c:v>0.70412325399013254</c:v>
                </c:pt>
                <c:pt idx="544">
                  <c:v>0.5399916076258191</c:v>
                </c:pt>
                <c:pt idx="545">
                  <c:v>0.52119306301064006</c:v>
                </c:pt>
                <c:pt idx="546">
                  <c:v>0.49768233328367839</c:v>
                </c:pt>
                <c:pt idx="547">
                  <c:v>0.35422799498707602</c:v>
                </c:pt>
                <c:pt idx="548">
                  <c:v>0.42344531724841511</c:v>
                </c:pt>
                <c:pt idx="549">
                  <c:v>0.4239619860656359</c:v>
                </c:pt>
                <c:pt idx="550">
                  <c:v>0.58268102289206236</c:v>
                </c:pt>
                <c:pt idx="551">
                  <c:v>0.54776641513312585</c:v>
                </c:pt>
                <c:pt idx="552">
                  <c:v>0.33775989285274699</c:v>
                </c:pt>
                <c:pt idx="553">
                  <c:v>0.35077234594895851</c:v>
                </c:pt>
                <c:pt idx="554">
                  <c:v>0.45640810108199759</c:v>
                </c:pt>
                <c:pt idx="555">
                  <c:v>0.33659906915734972</c:v>
                </c:pt>
                <c:pt idx="556">
                  <c:v>0.73932372400307578</c:v>
                </c:pt>
                <c:pt idx="557">
                  <c:v>0.78991126719697369</c:v>
                </c:pt>
                <c:pt idx="558">
                  <c:v>0.40448880818047389</c:v>
                </c:pt>
                <c:pt idx="559">
                  <c:v>0.6271369077244946</c:v>
                </c:pt>
                <c:pt idx="560">
                  <c:v>0.48722855809730342</c:v>
                </c:pt>
                <c:pt idx="561">
                  <c:v>0.47754650703653678</c:v>
                </c:pt>
                <c:pt idx="562">
                  <c:v>0.81813555449330688</c:v>
                </c:pt>
                <c:pt idx="563">
                  <c:v>1.0194678665399619</c:v>
                </c:pt>
                <c:pt idx="564">
                  <c:v>0.95656524652988162</c:v>
                </c:pt>
                <c:pt idx="565">
                  <c:v>0.3281065419009877</c:v>
                </c:pt>
                <c:pt idx="566">
                  <c:v>0.786093768753656</c:v>
                </c:pt>
                <c:pt idx="567">
                  <c:v>0.69848471796241196</c:v>
                </c:pt>
                <c:pt idx="568">
                  <c:v>0.66553774840297653</c:v>
                </c:pt>
                <c:pt idx="569">
                  <c:v>0.40055673066679526</c:v>
                </c:pt>
                <c:pt idx="570">
                  <c:v>0.12452138425798265</c:v>
                </c:pt>
                <c:pt idx="571">
                  <c:v>0.72254971934781986</c:v>
                </c:pt>
                <c:pt idx="572">
                  <c:v>0.34946436598559416</c:v>
                </c:pt>
                <c:pt idx="573">
                  <c:v>0.71829521645031624</c:v>
                </c:pt>
                <c:pt idx="574">
                  <c:v>0.41803107718936156</c:v>
                </c:pt>
                <c:pt idx="575">
                  <c:v>0.58339801128517088</c:v>
                </c:pt>
                <c:pt idx="576">
                  <c:v>0.7723984635531872</c:v>
                </c:pt>
                <c:pt idx="577">
                  <c:v>0.5380644056883217</c:v>
                </c:pt>
                <c:pt idx="578">
                  <c:v>0.51179377215239108</c:v>
                </c:pt>
                <c:pt idx="579">
                  <c:v>0.46446923533560802</c:v>
                </c:pt>
                <c:pt idx="580">
                  <c:v>0.75878707978524906</c:v>
                </c:pt>
                <c:pt idx="581">
                  <c:v>0.59813123323696349</c:v>
                </c:pt>
                <c:pt idx="582">
                  <c:v>0.75810223064569682</c:v>
                </c:pt>
                <c:pt idx="583">
                  <c:v>0.50863167670150666</c:v>
                </c:pt>
                <c:pt idx="584">
                  <c:v>0.65782876323233352</c:v>
                </c:pt>
                <c:pt idx="585">
                  <c:v>0.42981201108513201</c:v>
                </c:pt>
                <c:pt idx="586">
                  <c:v>0.67609134674410809</c:v>
                </c:pt>
                <c:pt idx="587">
                  <c:v>0.38564162133843655</c:v>
                </c:pt>
                <c:pt idx="588">
                  <c:v>5.7414265580470691E-2</c:v>
                </c:pt>
                <c:pt idx="589">
                  <c:v>0.28953862870747754</c:v>
                </c:pt>
                <c:pt idx="590">
                  <c:v>0.36649149274587789</c:v>
                </c:pt>
                <c:pt idx="591">
                  <c:v>0.19586023944614517</c:v>
                </c:pt>
                <c:pt idx="592">
                  <c:v>0.41677041006176097</c:v>
                </c:pt>
                <c:pt idx="593">
                  <c:v>0.72724970917728604</c:v>
                </c:pt>
                <c:pt idx="594">
                  <c:v>0.69437119351484822</c:v>
                </c:pt>
                <c:pt idx="595">
                  <c:v>5.5275702515067304E-2</c:v>
                </c:pt>
                <c:pt idx="596">
                  <c:v>0.70576616341481591</c:v>
                </c:pt>
                <c:pt idx="597">
                  <c:v>0.43791189012207743</c:v>
                </c:pt>
                <c:pt idx="598">
                  <c:v>0.35533330663749207</c:v>
                </c:pt>
                <c:pt idx="599">
                  <c:v>0.73703015902936875</c:v>
                </c:pt>
                <c:pt idx="600">
                  <c:v>0.48072177970630531</c:v>
                </c:pt>
                <c:pt idx="601">
                  <c:v>0.68353351288972919</c:v>
                </c:pt>
                <c:pt idx="602">
                  <c:v>0.47261106504668726</c:v>
                </c:pt>
                <c:pt idx="603">
                  <c:v>0.66808613540137374</c:v>
                </c:pt>
                <c:pt idx="604">
                  <c:v>0.76816645364128278</c:v>
                </c:pt>
                <c:pt idx="605">
                  <c:v>0.77701559786000685</c:v>
                </c:pt>
                <c:pt idx="606">
                  <c:v>0.42049306166441702</c:v>
                </c:pt>
                <c:pt idx="607">
                  <c:v>0.61868240299491895</c:v>
                </c:pt>
                <c:pt idx="608">
                  <c:v>0.32761016023275397</c:v>
                </c:pt>
                <c:pt idx="609">
                  <c:v>0.61851263767947084</c:v>
                </c:pt>
                <c:pt idx="610">
                  <c:v>0.48994981521156877</c:v>
                </c:pt>
                <c:pt idx="611">
                  <c:v>0.73649892505439296</c:v>
                </c:pt>
                <c:pt idx="612">
                  <c:v>0.55982287600685066</c:v>
                </c:pt>
                <c:pt idx="613">
                  <c:v>0.2812085747981426</c:v>
                </c:pt>
                <c:pt idx="614">
                  <c:v>0.31829731475507234</c:v>
                </c:pt>
                <c:pt idx="615">
                  <c:v>0.19926098181520213</c:v>
                </c:pt>
                <c:pt idx="616">
                  <c:v>0.5457007277729724</c:v>
                </c:pt>
                <c:pt idx="617">
                  <c:v>0.50115114545377903</c:v>
                </c:pt>
                <c:pt idx="618">
                  <c:v>0.44064455100804745</c:v>
                </c:pt>
                <c:pt idx="619">
                  <c:v>0.64213197721852655</c:v>
                </c:pt>
                <c:pt idx="620">
                  <c:v>0.28014780340791778</c:v>
                </c:pt>
                <c:pt idx="621">
                  <c:v>0.34882799795112407</c:v>
                </c:pt>
                <c:pt idx="622">
                  <c:v>0.5882737037729473</c:v>
                </c:pt>
                <c:pt idx="623">
                  <c:v>0.55260531957328385</c:v>
                </c:pt>
                <c:pt idx="624">
                  <c:v>0.35896003786566755</c:v>
                </c:pt>
                <c:pt idx="625">
                  <c:v>0.65520089715679486</c:v>
                </c:pt>
                <c:pt idx="626">
                  <c:v>0.89290016800137373</c:v>
                </c:pt>
                <c:pt idx="627">
                  <c:v>0.5964181865424647</c:v>
                </c:pt>
                <c:pt idx="628">
                  <c:v>0.59278101293440888</c:v>
                </c:pt>
                <c:pt idx="629">
                  <c:v>0.71818335951131052</c:v>
                </c:pt>
                <c:pt idx="630">
                  <c:v>0.43102715038117573</c:v>
                </c:pt>
                <c:pt idx="631">
                  <c:v>0.58665786963418176</c:v>
                </c:pt>
                <c:pt idx="632">
                  <c:v>0.50901701204984706</c:v>
                </c:pt>
                <c:pt idx="633">
                  <c:v>0.63873225205205342</c:v>
                </c:pt>
                <c:pt idx="634">
                  <c:v>0.42620256185389843</c:v>
                </c:pt>
                <c:pt idx="635">
                  <c:v>0.49894474917712095</c:v>
                </c:pt>
                <c:pt idx="636">
                  <c:v>0.25803698695388499</c:v>
                </c:pt>
                <c:pt idx="637">
                  <c:v>0.66385709737852194</c:v>
                </c:pt>
                <c:pt idx="638">
                  <c:v>0.42009113045253832</c:v>
                </c:pt>
                <c:pt idx="639">
                  <c:v>0.79629205964669514</c:v>
                </c:pt>
                <c:pt idx="640">
                  <c:v>0.55090346719896022</c:v>
                </c:pt>
                <c:pt idx="641">
                  <c:v>0.52493079922538022</c:v>
                </c:pt>
                <c:pt idx="642">
                  <c:v>0.41190967181338423</c:v>
                </c:pt>
                <c:pt idx="643">
                  <c:v>0.59981971797362099</c:v>
                </c:pt>
                <c:pt idx="644">
                  <c:v>0.61704767500313007</c:v>
                </c:pt>
                <c:pt idx="645">
                  <c:v>0.27834670673212936</c:v>
                </c:pt>
                <c:pt idx="646">
                  <c:v>0.38308604595579865</c:v>
                </c:pt>
                <c:pt idx="647">
                  <c:v>0.55029662925112277</c:v>
                </c:pt>
                <c:pt idx="648">
                  <c:v>0.65762614096679495</c:v>
                </c:pt>
                <c:pt idx="649">
                  <c:v>0.31257163064654492</c:v>
                </c:pt>
                <c:pt idx="650">
                  <c:v>0.57529620456861641</c:v>
                </c:pt>
                <c:pt idx="651">
                  <c:v>0.34048954057635922</c:v>
                </c:pt>
                <c:pt idx="652">
                  <c:v>0.52362994221428982</c:v>
                </c:pt>
                <c:pt idx="653">
                  <c:v>0.26460115047399846</c:v>
                </c:pt>
                <c:pt idx="654">
                  <c:v>0.37401783674017841</c:v>
                </c:pt>
                <c:pt idx="655">
                  <c:v>0.93196068564645806</c:v>
                </c:pt>
                <c:pt idx="656">
                  <c:v>0.47989112979910831</c:v>
                </c:pt>
                <c:pt idx="657">
                  <c:v>0.34655523420266227</c:v>
                </c:pt>
                <c:pt idx="658">
                  <c:v>0.42077586225711971</c:v>
                </c:pt>
                <c:pt idx="659">
                  <c:v>0.46107299295503767</c:v>
                </c:pt>
                <c:pt idx="660">
                  <c:v>0.20255847387698001</c:v>
                </c:pt>
                <c:pt idx="661">
                  <c:v>0.59194942518207772</c:v>
                </c:pt>
                <c:pt idx="662">
                  <c:v>0.56152218370553419</c:v>
                </c:pt>
                <c:pt idx="663">
                  <c:v>0.5850894551258039</c:v>
                </c:pt>
                <c:pt idx="664">
                  <c:v>0.55434293560703807</c:v>
                </c:pt>
                <c:pt idx="665">
                  <c:v>0.58543015893709049</c:v>
                </c:pt>
                <c:pt idx="666">
                  <c:v>0.7653776115992037</c:v>
                </c:pt>
                <c:pt idx="667">
                  <c:v>0.33800791478798897</c:v>
                </c:pt>
                <c:pt idx="668">
                  <c:v>0.17259292003408244</c:v>
                </c:pt>
                <c:pt idx="669">
                  <c:v>0.66510965981264336</c:v>
                </c:pt>
                <c:pt idx="670">
                  <c:v>0.85240026947550773</c:v>
                </c:pt>
                <c:pt idx="671">
                  <c:v>0.42143018600045473</c:v>
                </c:pt>
                <c:pt idx="672">
                  <c:v>0.75042638399090889</c:v>
                </c:pt>
                <c:pt idx="673">
                  <c:v>0.59549014744621087</c:v>
                </c:pt>
                <c:pt idx="674">
                  <c:v>0.39048168853307441</c:v>
                </c:pt>
                <c:pt idx="675">
                  <c:v>0.68183380593047183</c:v>
                </c:pt>
                <c:pt idx="676">
                  <c:v>0.53988094420806754</c:v>
                </c:pt>
                <c:pt idx="677">
                  <c:v>0.37780281158343471</c:v>
                </c:pt>
                <c:pt idx="678">
                  <c:v>0.40967740810916753</c:v>
                </c:pt>
                <c:pt idx="679">
                  <c:v>0.68088675184758918</c:v>
                </c:pt>
                <c:pt idx="680">
                  <c:v>0.67091309388575104</c:v>
                </c:pt>
                <c:pt idx="681">
                  <c:v>0.25729214247233012</c:v>
                </c:pt>
                <c:pt idx="682">
                  <c:v>0.53703723082582011</c:v>
                </c:pt>
                <c:pt idx="683">
                  <c:v>0.95468229614731592</c:v>
                </c:pt>
                <c:pt idx="684">
                  <c:v>0.8138783299831075</c:v>
                </c:pt>
                <c:pt idx="685">
                  <c:v>0.39419043655979086</c:v>
                </c:pt>
                <c:pt idx="686">
                  <c:v>0.49319088160126923</c:v>
                </c:pt>
                <c:pt idx="687">
                  <c:v>0.43784743239954754</c:v>
                </c:pt>
                <c:pt idx="688">
                  <c:v>0.79602983732607802</c:v>
                </c:pt>
                <c:pt idx="689">
                  <c:v>0.67185175714844148</c:v>
                </c:pt>
                <c:pt idx="690">
                  <c:v>0.59729330224960964</c:v>
                </c:pt>
                <c:pt idx="691">
                  <c:v>0.46857983409702531</c:v>
                </c:pt>
                <c:pt idx="692">
                  <c:v>0.83498641398616791</c:v>
                </c:pt>
                <c:pt idx="693">
                  <c:v>0.46074811094825163</c:v>
                </c:pt>
                <c:pt idx="694">
                  <c:v>0.39922329030287956</c:v>
                </c:pt>
                <c:pt idx="695">
                  <c:v>0.21761959016026888</c:v>
                </c:pt>
                <c:pt idx="696">
                  <c:v>0.22914545876034365</c:v>
                </c:pt>
                <c:pt idx="697">
                  <c:v>0.52719221846380038</c:v>
                </c:pt>
                <c:pt idx="698">
                  <c:v>0.51520517085150108</c:v>
                </c:pt>
                <c:pt idx="699">
                  <c:v>0.76631458500502114</c:v>
                </c:pt>
                <c:pt idx="700">
                  <c:v>0.5256049731501834</c:v>
                </c:pt>
                <c:pt idx="701">
                  <c:v>0.47893180460962964</c:v>
                </c:pt>
                <c:pt idx="702">
                  <c:v>0.67799566891516938</c:v>
                </c:pt>
                <c:pt idx="703">
                  <c:v>0.31574755843324764</c:v>
                </c:pt>
                <c:pt idx="704">
                  <c:v>0.35031551032632258</c:v>
                </c:pt>
                <c:pt idx="705">
                  <c:v>0.5481111740060427</c:v>
                </c:pt>
                <c:pt idx="706">
                  <c:v>0.61797390609751901</c:v>
                </c:pt>
                <c:pt idx="707">
                  <c:v>0.52240017000741013</c:v>
                </c:pt>
                <c:pt idx="708">
                  <c:v>0.41718657219588806</c:v>
                </c:pt>
                <c:pt idx="709">
                  <c:v>0.64113982326156316</c:v>
                </c:pt>
                <c:pt idx="710">
                  <c:v>0.50187196275718504</c:v>
                </c:pt>
                <c:pt idx="711">
                  <c:v>0.40081509293951134</c:v>
                </c:pt>
                <c:pt idx="712">
                  <c:v>7.979327123604768E-2</c:v>
                </c:pt>
                <c:pt idx="713">
                  <c:v>7.8838922694662972E-2</c:v>
                </c:pt>
                <c:pt idx="714">
                  <c:v>0.37981447348212638</c:v>
                </c:pt>
                <c:pt idx="715">
                  <c:v>0.37170853822165945</c:v>
                </c:pt>
                <c:pt idx="716">
                  <c:v>0.44498936967049635</c:v>
                </c:pt>
                <c:pt idx="717">
                  <c:v>0.70515253057902449</c:v>
                </c:pt>
                <c:pt idx="718">
                  <c:v>0.42990694743328306</c:v>
                </c:pt>
                <c:pt idx="719">
                  <c:v>0.57020768462507909</c:v>
                </c:pt>
                <c:pt idx="720">
                  <c:v>0.85458912029406775</c:v>
                </c:pt>
                <c:pt idx="721">
                  <c:v>0.43525623815762871</c:v>
                </c:pt>
                <c:pt idx="722">
                  <c:v>0.49687520440619876</c:v>
                </c:pt>
                <c:pt idx="723">
                  <c:v>0.53372115892285954</c:v>
                </c:pt>
                <c:pt idx="724">
                  <c:v>0.4704091693957953</c:v>
                </c:pt>
                <c:pt idx="725">
                  <c:v>0.44558863415136352</c:v>
                </c:pt>
                <c:pt idx="726">
                  <c:v>0.71259130329480369</c:v>
                </c:pt>
                <c:pt idx="727">
                  <c:v>0.55058989897182042</c:v>
                </c:pt>
                <c:pt idx="728">
                  <c:v>0.48412850634021259</c:v>
                </c:pt>
                <c:pt idx="729">
                  <c:v>0.4032063632722161</c:v>
                </c:pt>
                <c:pt idx="730">
                  <c:v>0.89599210356793368</c:v>
                </c:pt>
                <c:pt idx="731">
                  <c:v>0.70012230621306804</c:v>
                </c:pt>
                <c:pt idx="732">
                  <c:v>0.65430596748499259</c:v>
                </c:pt>
                <c:pt idx="733">
                  <c:v>0.3002399652790787</c:v>
                </c:pt>
                <c:pt idx="734">
                  <c:v>0.3170823948016519</c:v>
                </c:pt>
                <c:pt idx="735">
                  <c:v>0.38087292388266358</c:v>
                </c:pt>
                <c:pt idx="736">
                  <c:v>0.31863515840654677</c:v>
                </c:pt>
                <c:pt idx="737">
                  <c:v>0.44529876276088842</c:v>
                </c:pt>
                <c:pt idx="738">
                  <c:v>0.56086192600074913</c:v>
                </c:pt>
                <c:pt idx="739">
                  <c:v>0.704972367096798</c:v>
                </c:pt>
                <c:pt idx="740">
                  <c:v>0.3330870214538999</c:v>
                </c:pt>
                <c:pt idx="741">
                  <c:v>0.52560701789317787</c:v>
                </c:pt>
                <c:pt idx="742">
                  <c:v>7.675511251433581E-2</c:v>
                </c:pt>
                <c:pt idx="743">
                  <c:v>0.61506611108396858</c:v>
                </c:pt>
                <c:pt idx="744">
                  <c:v>0.34928089551822505</c:v>
                </c:pt>
                <c:pt idx="745">
                  <c:v>0.76883123284582244</c:v>
                </c:pt>
                <c:pt idx="746">
                  <c:v>0.4175846402219201</c:v>
                </c:pt>
                <c:pt idx="747">
                  <c:v>0.38129588255307367</c:v>
                </c:pt>
                <c:pt idx="748">
                  <c:v>0.56408295515719076</c:v>
                </c:pt>
                <c:pt idx="749">
                  <c:v>0.58830103634099651</c:v>
                </c:pt>
                <c:pt idx="750">
                  <c:v>0.81043300721340628</c:v>
                </c:pt>
                <c:pt idx="751">
                  <c:v>0.62164990157270961</c:v>
                </c:pt>
                <c:pt idx="752">
                  <c:v>0.3187044330960932</c:v>
                </c:pt>
                <c:pt idx="753">
                  <c:v>0.62187740478789055</c:v>
                </c:pt>
                <c:pt idx="754">
                  <c:v>0.35969222532809675</c:v>
                </c:pt>
                <c:pt idx="755">
                  <c:v>0.35251712285987469</c:v>
                </c:pt>
                <c:pt idx="756">
                  <c:v>0.4348220589086087</c:v>
                </c:pt>
                <c:pt idx="757">
                  <c:v>0.62505360209437577</c:v>
                </c:pt>
                <c:pt idx="758">
                  <c:v>0.12615044347763305</c:v>
                </c:pt>
                <c:pt idx="759">
                  <c:v>0.44049601441123865</c:v>
                </c:pt>
                <c:pt idx="760">
                  <c:v>0.53380232829670082</c:v>
                </c:pt>
                <c:pt idx="761">
                  <c:v>0.46338226671699423</c:v>
                </c:pt>
                <c:pt idx="762">
                  <c:v>0.45644237375489949</c:v>
                </c:pt>
                <c:pt idx="763">
                  <c:v>0.53026790284274905</c:v>
                </c:pt>
                <c:pt idx="764">
                  <c:v>0.18402381007233315</c:v>
                </c:pt>
                <c:pt idx="765">
                  <c:v>1.0394063879846585</c:v>
                </c:pt>
                <c:pt idx="766">
                  <c:v>0.3953025937695992</c:v>
                </c:pt>
                <c:pt idx="767">
                  <c:v>0.29322308736537339</c:v>
                </c:pt>
                <c:pt idx="768">
                  <c:v>0.26824946799217042</c:v>
                </c:pt>
                <c:pt idx="769">
                  <c:v>0.22253835508539288</c:v>
                </c:pt>
                <c:pt idx="770">
                  <c:v>0.48047922179473646</c:v>
                </c:pt>
                <c:pt idx="771">
                  <c:v>0.82208277478070002</c:v>
                </c:pt>
                <c:pt idx="772">
                  <c:v>0.6372012991546141</c:v>
                </c:pt>
                <c:pt idx="773">
                  <c:v>0.26202361326216356</c:v>
                </c:pt>
                <c:pt idx="774">
                  <c:v>0.34726913748109678</c:v>
                </c:pt>
                <c:pt idx="775">
                  <c:v>0.36216542272692837</c:v>
                </c:pt>
                <c:pt idx="776">
                  <c:v>0.50799212304879426</c:v>
                </c:pt>
                <c:pt idx="777">
                  <c:v>0.63373860155879136</c:v>
                </c:pt>
                <c:pt idx="778">
                  <c:v>0.64419796770060611</c:v>
                </c:pt>
                <c:pt idx="779">
                  <c:v>0.25764740506236961</c:v>
                </c:pt>
                <c:pt idx="780">
                  <c:v>0.62819243100363953</c:v>
                </c:pt>
                <c:pt idx="781">
                  <c:v>0.41507180177306213</c:v>
                </c:pt>
                <c:pt idx="782">
                  <c:v>0.38845948294561861</c:v>
                </c:pt>
                <c:pt idx="783">
                  <c:v>0.36821702883485541</c:v>
                </c:pt>
                <c:pt idx="784">
                  <c:v>0.41475398895554222</c:v>
                </c:pt>
                <c:pt idx="785">
                  <c:v>0.33409267757236205</c:v>
                </c:pt>
                <c:pt idx="786">
                  <c:v>0.49984068805225135</c:v>
                </c:pt>
                <c:pt idx="787">
                  <c:v>0.5300484653527554</c:v>
                </c:pt>
                <c:pt idx="788">
                  <c:v>7.7209640087007647E-2</c:v>
                </c:pt>
                <c:pt idx="789">
                  <c:v>0.8140493140733307</c:v>
                </c:pt>
                <c:pt idx="790">
                  <c:v>0.64999812079282715</c:v>
                </c:pt>
                <c:pt idx="791">
                  <c:v>0.65407636003919523</c:v>
                </c:pt>
                <c:pt idx="792">
                  <c:v>0.22098358294642234</c:v>
                </c:pt>
                <c:pt idx="793">
                  <c:v>0.44770084362517903</c:v>
                </c:pt>
                <c:pt idx="794">
                  <c:v>0.39919021800426169</c:v>
                </c:pt>
                <c:pt idx="795">
                  <c:v>0.52657748080601474</c:v>
                </c:pt>
                <c:pt idx="796">
                  <c:v>0.36310693457949217</c:v>
                </c:pt>
                <c:pt idx="797">
                  <c:v>0.17403235588041049</c:v>
                </c:pt>
                <c:pt idx="798">
                  <c:v>0.41595776685115438</c:v>
                </c:pt>
                <c:pt idx="799">
                  <c:v>0.47332604264616118</c:v>
                </c:pt>
                <c:pt idx="800">
                  <c:v>0.6381440283888532</c:v>
                </c:pt>
                <c:pt idx="801">
                  <c:v>0.31392460070422873</c:v>
                </c:pt>
                <c:pt idx="802">
                  <c:v>0.45990125191070441</c:v>
                </c:pt>
                <c:pt idx="803">
                  <c:v>0.32314703025323843</c:v>
                </c:pt>
                <c:pt idx="804">
                  <c:v>0.36562302320489609</c:v>
                </c:pt>
                <c:pt idx="805">
                  <c:v>0.7671539295461931</c:v>
                </c:pt>
                <c:pt idx="806">
                  <c:v>0.33508307551735367</c:v>
                </c:pt>
                <c:pt idx="807">
                  <c:v>0.45542989216091517</c:v>
                </c:pt>
                <c:pt idx="808">
                  <c:v>1.0639973602756223</c:v>
                </c:pt>
                <c:pt idx="809">
                  <c:v>0.83164206474592239</c:v>
                </c:pt>
                <c:pt idx="810">
                  <c:v>0.50817413717431414</c:v>
                </c:pt>
                <c:pt idx="811">
                  <c:v>0.28222167099750139</c:v>
                </c:pt>
                <c:pt idx="812">
                  <c:v>0.20009200370398908</c:v>
                </c:pt>
                <c:pt idx="813">
                  <c:v>0.38635601860566426</c:v>
                </c:pt>
                <c:pt idx="814">
                  <c:v>0.10643288108849025</c:v>
                </c:pt>
                <c:pt idx="815">
                  <c:v>0.57715532299721306</c:v>
                </c:pt>
                <c:pt idx="816">
                  <c:v>0.66361034097843252</c:v>
                </c:pt>
                <c:pt idx="817">
                  <c:v>0.41156403749929016</c:v>
                </c:pt>
                <c:pt idx="818">
                  <c:v>0.42362150226456474</c:v>
                </c:pt>
                <c:pt idx="819">
                  <c:v>0.54164508379053222</c:v>
                </c:pt>
                <c:pt idx="820">
                  <c:v>0.51663727404987758</c:v>
                </c:pt>
                <c:pt idx="821">
                  <c:v>0.83561271727421127</c:v>
                </c:pt>
                <c:pt idx="822">
                  <c:v>0.43181408341607258</c:v>
                </c:pt>
                <c:pt idx="823">
                  <c:v>0.7261243648416803</c:v>
                </c:pt>
                <c:pt idx="824">
                  <c:v>0.48407995989453323</c:v>
                </c:pt>
                <c:pt idx="825">
                  <c:v>0.49276371725826285</c:v>
                </c:pt>
                <c:pt idx="826">
                  <c:v>0.5112607022185951</c:v>
                </c:pt>
                <c:pt idx="827">
                  <c:v>0.42229758697573239</c:v>
                </c:pt>
                <c:pt idx="828">
                  <c:v>0.51445550568749243</c:v>
                </c:pt>
                <c:pt idx="829">
                  <c:v>0.18958275242867562</c:v>
                </c:pt>
                <c:pt idx="830">
                  <c:v>0.65151851684701123</c:v>
                </c:pt>
                <c:pt idx="831">
                  <c:v>0.67477173550990444</c:v>
                </c:pt>
                <c:pt idx="832">
                  <c:v>0.37219631891397525</c:v>
                </c:pt>
                <c:pt idx="833">
                  <c:v>0.54861009733544575</c:v>
                </c:pt>
                <c:pt idx="834">
                  <c:v>0.32147076535518715</c:v>
                </c:pt>
                <c:pt idx="835">
                  <c:v>0.48430270727189917</c:v>
                </c:pt>
                <c:pt idx="836">
                  <c:v>0.77614415556683491</c:v>
                </c:pt>
                <c:pt idx="837">
                  <c:v>0.45002499325472478</c:v>
                </c:pt>
                <c:pt idx="838">
                  <c:v>0.80139220502999065</c:v>
                </c:pt>
                <c:pt idx="839">
                  <c:v>0.35404197590652259</c:v>
                </c:pt>
                <c:pt idx="840">
                  <c:v>0.40263530591073837</c:v>
                </c:pt>
                <c:pt idx="841">
                  <c:v>0.30669997913067992</c:v>
                </c:pt>
                <c:pt idx="842">
                  <c:v>0.38243848602906849</c:v>
                </c:pt>
                <c:pt idx="843">
                  <c:v>0.79338395712075982</c:v>
                </c:pt>
                <c:pt idx="844">
                  <c:v>0.60325638541979121</c:v>
                </c:pt>
                <c:pt idx="845">
                  <c:v>0.67136301635286599</c:v>
                </c:pt>
                <c:pt idx="846">
                  <c:v>0.39171671115488615</c:v>
                </c:pt>
                <c:pt idx="847">
                  <c:v>0.4350765993704736</c:v>
                </c:pt>
                <c:pt idx="848">
                  <c:v>0.91058932051588792</c:v>
                </c:pt>
                <c:pt idx="849">
                  <c:v>0.54711675268445104</c:v>
                </c:pt>
                <c:pt idx="850">
                  <c:v>0.46199850946432641</c:v>
                </c:pt>
                <c:pt idx="851">
                  <c:v>0.22096201826660028</c:v>
                </c:pt>
                <c:pt idx="852">
                  <c:v>0.73347365933474706</c:v>
                </c:pt>
                <c:pt idx="853">
                  <c:v>0.37000422084588952</c:v>
                </c:pt>
                <c:pt idx="854">
                  <c:v>1.0521972161094157</c:v>
                </c:pt>
                <c:pt idx="855">
                  <c:v>0.3845682967056977</c:v>
                </c:pt>
                <c:pt idx="856">
                  <c:v>0.74643769919469871</c:v>
                </c:pt>
                <c:pt idx="857">
                  <c:v>0.45905852627559018</c:v>
                </c:pt>
                <c:pt idx="858">
                  <c:v>0.38528851427934696</c:v>
                </c:pt>
                <c:pt idx="859">
                  <c:v>0.35815779913300838</c:v>
                </c:pt>
                <c:pt idx="860">
                  <c:v>0.30250045022795724</c:v>
                </c:pt>
                <c:pt idx="861">
                  <c:v>0.30806176240526073</c:v>
                </c:pt>
                <c:pt idx="862">
                  <c:v>0.47321439031372781</c:v>
                </c:pt>
                <c:pt idx="863">
                  <c:v>0.53978354069400458</c:v>
                </c:pt>
                <c:pt idx="864">
                  <c:v>0.74403286135406366</c:v>
                </c:pt>
                <c:pt idx="865">
                  <c:v>0.40668976518300504</c:v>
                </c:pt>
                <c:pt idx="866">
                  <c:v>0.77708000883602679</c:v>
                </c:pt>
                <c:pt idx="867">
                  <c:v>0.66921107887352904</c:v>
                </c:pt>
                <c:pt idx="868">
                  <c:v>0.64075181708802642</c:v>
                </c:pt>
                <c:pt idx="869">
                  <c:v>0.16191757292968245</c:v>
                </c:pt>
                <c:pt idx="870">
                  <c:v>0.28370238422065658</c:v>
                </c:pt>
                <c:pt idx="871">
                  <c:v>0.70343878012633554</c:v>
                </c:pt>
                <c:pt idx="872">
                  <c:v>0.37722955987589779</c:v>
                </c:pt>
                <c:pt idx="873">
                  <c:v>0.5948158929203734</c:v>
                </c:pt>
                <c:pt idx="874">
                  <c:v>0.43499101870719631</c:v>
                </c:pt>
                <c:pt idx="875">
                  <c:v>0.19514227519473049</c:v>
                </c:pt>
                <c:pt idx="876">
                  <c:v>0.57777346403685537</c:v>
                </c:pt>
                <c:pt idx="877">
                  <c:v>0.60782133430216312</c:v>
                </c:pt>
                <c:pt idx="878">
                  <c:v>0.57761766466152509</c:v>
                </c:pt>
                <c:pt idx="879">
                  <c:v>0.56571142109349903</c:v>
                </c:pt>
                <c:pt idx="880">
                  <c:v>0.42047414166699992</c:v>
                </c:pt>
                <c:pt idx="881">
                  <c:v>0.60262202069624493</c:v>
                </c:pt>
                <c:pt idx="882">
                  <c:v>0.96516560337650315</c:v>
                </c:pt>
                <c:pt idx="883">
                  <c:v>0.40834452790180964</c:v>
                </c:pt>
                <c:pt idx="884">
                  <c:v>0.57737547535410105</c:v>
                </c:pt>
                <c:pt idx="885">
                  <c:v>0.27463376818949858</c:v>
                </c:pt>
                <c:pt idx="886">
                  <c:v>0.45778266342488677</c:v>
                </c:pt>
                <c:pt idx="887">
                  <c:v>0.48640378909500764</c:v>
                </c:pt>
                <c:pt idx="888">
                  <c:v>0.36298423263925156</c:v>
                </c:pt>
                <c:pt idx="889">
                  <c:v>0.58629959224903572</c:v>
                </c:pt>
                <c:pt idx="890">
                  <c:v>0.35566903370636938</c:v>
                </c:pt>
                <c:pt idx="891">
                  <c:v>0.23982185560401248</c:v>
                </c:pt>
                <c:pt idx="892">
                  <c:v>0.65592890284538963</c:v>
                </c:pt>
                <c:pt idx="893">
                  <c:v>0.62088936471656409</c:v>
                </c:pt>
                <c:pt idx="894">
                  <c:v>0.5189180675301579</c:v>
                </c:pt>
                <c:pt idx="895">
                  <c:v>0.36000139709279955</c:v>
                </c:pt>
                <c:pt idx="896">
                  <c:v>0.54775401142947089</c:v>
                </c:pt>
                <c:pt idx="897">
                  <c:v>0.30812129484367112</c:v>
                </c:pt>
                <c:pt idx="898">
                  <c:v>0.34674708363653139</c:v>
                </c:pt>
                <c:pt idx="899">
                  <c:v>0.50813909047570682</c:v>
                </c:pt>
                <c:pt idx="900">
                  <c:v>0.48254754376651587</c:v>
                </c:pt>
                <c:pt idx="901">
                  <c:v>0.77471123890745675</c:v>
                </c:pt>
                <c:pt idx="902">
                  <c:v>0.6605993806469912</c:v>
                </c:pt>
                <c:pt idx="903">
                  <c:v>0.33502363446128763</c:v>
                </c:pt>
                <c:pt idx="904">
                  <c:v>0.64515404277781263</c:v>
                </c:pt>
                <c:pt idx="905">
                  <c:v>0.40918770029892282</c:v>
                </c:pt>
                <c:pt idx="906">
                  <c:v>0.83900022269169172</c:v>
                </c:pt>
                <c:pt idx="907">
                  <c:v>1.1210794613627826</c:v>
                </c:pt>
                <c:pt idx="908">
                  <c:v>0.73521960709566903</c:v>
                </c:pt>
                <c:pt idx="909">
                  <c:v>0.48352950555054114</c:v>
                </c:pt>
                <c:pt idx="910">
                  <c:v>0.71392905128698614</c:v>
                </c:pt>
                <c:pt idx="911">
                  <c:v>0.46060418595253944</c:v>
                </c:pt>
                <c:pt idx="912">
                  <c:v>0.15041039952111979</c:v>
                </c:pt>
                <c:pt idx="913">
                  <c:v>0.39297656065196912</c:v>
                </c:pt>
                <c:pt idx="914">
                  <c:v>0.57307751604361246</c:v>
                </c:pt>
                <c:pt idx="915">
                  <c:v>0.39757885783946062</c:v>
                </c:pt>
                <c:pt idx="916">
                  <c:v>0.63969677084322973</c:v>
                </c:pt>
                <c:pt idx="917">
                  <c:v>0.45070516181575282</c:v>
                </c:pt>
                <c:pt idx="918">
                  <c:v>0.54408274977673821</c:v>
                </c:pt>
                <c:pt idx="919">
                  <c:v>0.43685903909876261</c:v>
                </c:pt>
                <c:pt idx="920">
                  <c:v>1.0643050742687998</c:v>
                </c:pt>
                <c:pt idx="921">
                  <c:v>0.88381234508360795</c:v>
                </c:pt>
                <c:pt idx="922">
                  <c:v>0.29852171391136745</c:v>
                </c:pt>
                <c:pt idx="923">
                  <c:v>0.63500725857056795</c:v>
                </c:pt>
                <c:pt idx="924">
                  <c:v>9.3176620056494908E-2</c:v>
                </c:pt>
                <c:pt idx="925">
                  <c:v>0.7676635337242308</c:v>
                </c:pt>
                <c:pt idx="926">
                  <c:v>0.27838725284774268</c:v>
                </c:pt>
                <c:pt idx="927">
                  <c:v>0.10483266110143358</c:v>
                </c:pt>
                <c:pt idx="928">
                  <c:v>0.44295416668360654</c:v>
                </c:pt>
                <c:pt idx="929">
                  <c:v>0.46422976284888462</c:v>
                </c:pt>
                <c:pt idx="930">
                  <c:v>0.50528696034577514</c:v>
                </c:pt>
                <c:pt idx="931">
                  <c:v>0.40592353919012547</c:v>
                </c:pt>
                <c:pt idx="932">
                  <c:v>0.26732414778174929</c:v>
                </c:pt>
                <c:pt idx="933">
                  <c:v>0.32909231536224537</c:v>
                </c:pt>
                <c:pt idx="934">
                  <c:v>0.79161305001718274</c:v>
                </c:pt>
                <c:pt idx="935">
                  <c:v>0.36005979822573347</c:v>
                </c:pt>
                <c:pt idx="936">
                  <c:v>0.1260602844837122</c:v>
                </c:pt>
                <c:pt idx="937">
                  <c:v>0.47415995761348845</c:v>
                </c:pt>
                <c:pt idx="938">
                  <c:v>0.32037803548818033</c:v>
                </c:pt>
                <c:pt idx="939">
                  <c:v>0.68605874776668418</c:v>
                </c:pt>
                <c:pt idx="940">
                  <c:v>0.49287452693104389</c:v>
                </c:pt>
                <c:pt idx="941">
                  <c:v>0.34757072405756106</c:v>
                </c:pt>
                <c:pt idx="942">
                  <c:v>0.82395803300160719</c:v>
                </c:pt>
                <c:pt idx="943">
                  <c:v>0.69776043764192719</c:v>
                </c:pt>
                <c:pt idx="944">
                  <c:v>0.42096824803918514</c:v>
                </c:pt>
                <c:pt idx="945">
                  <c:v>0.70064718027024786</c:v>
                </c:pt>
                <c:pt idx="946">
                  <c:v>0.40930744907899075</c:v>
                </c:pt>
                <c:pt idx="947">
                  <c:v>0.53276921246226738</c:v>
                </c:pt>
                <c:pt idx="948">
                  <c:v>0.47440681424068293</c:v>
                </c:pt>
                <c:pt idx="949">
                  <c:v>0.76620431225916485</c:v>
                </c:pt>
                <c:pt idx="950">
                  <c:v>0.57010917828353469</c:v>
                </c:pt>
                <c:pt idx="951">
                  <c:v>0.29416715032921054</c:v>
                </c:pt>
                <c:pt idx="952">
                  <c:v>0.81491339087367498</c:v>
                </c:pt>
                <c:pt idx="953">
                  <c:v>0.58245666292087594</c:v>
                </c:pt>
                <c:pt idx="954">
                  <c:v>0.36251569853808857</c:v>
                </c:pt>
                <c:pt idx="955">
                  <c:v>0.47062142758325282</c:v>
                </c:pt>
                <c:pt idx="956">
                  <c:v>0.81327207855900063</c:v>
                </c:pt>
                <c:pt idx="957">
                  <c:v>0.32580414092704507</c:v>
                </c:pt>
                <c:pt idx="958">
                  <c:v>0.55295734815422593</c:v>
                </c:pt>
                <c:pt idx="959">
                  <c:v>0.26471653862678368</c:v>
                </c:pt>
                <c:pt idx="960">
                  <c:v>0.53640212719516367</c:v>
                </c:pt>
                <c:pt idx="961">
                  <c:v>0.60088836904456866</c:v>
                </c:pt>
                <c:pt idx="962">
                  <c:v>0.42531371659521555</c:v>
                </c:pt>
                <c:pt idx="963">
                  <c:v>0.40038386508779644</c:v>
                </c:pt>
                <c:pt idx="964">
                  <c:v>0.54154919958330139</c:v>
                </c:pt>
                <c:pt idx="965">
                  <c:v>0.52786294412697354</c:v>
                </c:pt>
                <c:pt idx="966">
                  <c:v>0.48954540387520706</c:v>
                </c:pt>
                <c:pt idx="967">
                  <c:v>0.54791732229943335</c:v>
                </c:pt>
                <c:pt idx="968">
                  <c:v>0.33129666542026848</c:v>
                </c:pt>
                <c:pt idx="969">
                  <c:v>0.44193722259651508</c:v>
                </c:pt>
                <c:pt idx="970">
                  <c:v>0.43390866251032945</c:v>
                </c:pt>
                <c:pt idx="971">
                  <c:v>0.52364049937251889</c:v>
                </c:pt>
                <c:pt idx="972">
                  <c:v>0.61569250677275822</c:v>
                </c:pt>
                <c:pt idx="973">
                  <c:v>0.65565020544819153</c:v>
                </c:pt>
                <c:pt idx="974">
                  <c:v>0.39035991150143479</c:v>
                </c:pt>
                <c:pt idx="975">
                  <c:v>0.40756278433747678</c:v>
                </c:pt>
                <c:pt idx="976">
                  <c:v>0.60735763867844283</c:v>
                </c:pt>
                <c:pt idx="977">
                  <c:v>0.84870572301117342</c:v>
                </c:pt>
                <c:pt idx="978">
                  <c:v>0.40756153209445412</c:v>
                </c:pt>
                <c:pt idx="979">
                  <c:v>0.75875106915186386</c:v>
                </c:pt>
                <c:pt idx="980">
                  <c:v>0.58999250578082985</c:v>
                </c:pt>
                <c:pt idx="981">
                  <c:v>0.62595187450672962</c:v>
                </c:pt>
                <c:pt idx="982">
                  <c:v>0.43759087577921058</c:v>
                </c:pt>
                <c:pt idx="983">
                  <c:v>0.50811982970579961</c:v>
                </c:pt>
                <c:pt idx="984">
                  <c:v>0.5991309587031618</c:v>
                </c:pt>
                <c:pt idx="985">
                  <c:v>0.52220526094404462</c:v>
                </c:pt>
                <c:pt idx="986">
                  <c:v>0.54943006434844299</c:v>
                </c:pt>
                <c:pt idx="987">
                  <c:v>0.74670254442523532</c:v>
                </c:pt>
                <c:pt idx="988">
                  <c:v>0.33249668186512937</c:v>
                </c:pt>
                <c:pt idx="989">
                  <c:v>0.75789100999646042</c:v>
                </c:pt>
                <c:pt idx="990">
                  <c:v>0.47749209653083996</c:v>
                </c:pt>
                <c:pt idx="991">
                  <c:v>0.7333786385541452</c:v>
                </c:pt>
                <c:pt idx="992">
                  <c:v>0.74359520848424365</c:v>
                </c:pt>
                <c:pt idx="993">
                  <c:v>0.36792823375786532</c:v>
                </c:pt>
                <c:pt idx="994">
                  <c:v>0.62414880785635285</c:v>
                </c:pt>
                <c:pt idx="995">
                  <c:v>0.26411672718828372</c:v>
                </c:pt>
                <c:pt idx="996">
                  <c:v>0.37902761012746422</c:v>
                </c:pt>
                <c:pt idx="997">
                  <c:v>0.29589534007990392</c:v>
                </c:pt>
                <c:pt idx="998">
                  <c:v>0.54041520344787397</c:v>
                </c:pt>
                <c:pt idx="999">
                  <c:v>0.31740390422396098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9C-4635-AD01-BCC774DB2D6C}"/>
            </c:ext>
          </c:extLst>
        </c:ser>
        <c:ser>
          <c:idx val="5"/>
          <c:order val="1"/>
          <c:tx>
            <c:strRef>
              <c:f>'Cost-effectiveness'!$B$10</c:f>
              <c:strCache>
                <c:ptCount val="1"/>
                <c:pt idx="0">
                  <c:v>Confidence ellipse 95%</c:v>
                </c:pt>
              </c:strCache>
            </c:strRef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'Cost-effectiveness'!$C$16:$C$41</c:f>
              <c:numCache>
                <c:formatCode>General</c:formatCode>
                <c:ptCount val="26"/>
                <c:pt idx="0">
                  <c:v>1.1377971616389447E-4</c:v>
                </c:pt>
                <c:pt idx="1">
                  <c:v>1.0047417988021299E-4</c:v>
                </c:pt>
                <c:pt idx="2">
                  <c:v>8.513973788146986E-5</c:v>
                </c:pt>
                <c:pt idx="3">
                  <c:v>6.8739909554578797E-5</c:v>
                </c:pt>
                <c:pt idx="4">
                  <c:v>5.230515642766794E-5</c:v>
                </c:pt>
                <c:pt idx="5">
                  <c:v>3.6868134482495019E-5</c:v>
                </c:pt>
                <c:pt idx="6">
                  <c:v>2.3398808581270613E-5</c:v>
                </c:pt>
                <c:pt idx="7">
                  <c:v>1.2743506007084164E-5</c:v>
                </c:pt>
                <c:pt idx="8">
                  <c:v>5.5717386081334676E-6</c:v>
                </c:pt>
                <c:pt idx="9">
                  <c:v>2.334134906010064E-6</c:v>
                </c:pt>
                <c:pt idx="10">
                  <c:v>3.2341254483918578E-6</c:v>
                </c:pt>
                <c:pt idx="11">
                  <c:v>8.2151605195673395E-6</c:v>
                </c:pt>
                <c:pt idx="12">
                  <c:v>1.6964263367048976E-5</c:v>
                </c:pt>
                <c:pt idx="13">
                  <c:v>2.8931695681980052E-5</c:v>
                </c:pt>
                <c:pt idx="14">
                  <c:v>4.3365499678876186E-5</c:v>
                </c:pt>
                <c:pt idx="15">
                  <c:v>5.9358746368794483E-5</c:v>
                </c:pt>
                <c:pt idx="16">
                  <c:v>7.5906521243160614E-5</c:v>
                </c:pt>
                <c:pt idx="17">
                  <c:v>9.1969066748159232E-5</c:v>
                </c:pt>
                <c:pt idx="18">
                  <c:v>1.0653711407580121E-4</c:v>
                </c:pt>
                <c:pt idx="19">
                  <c:v>1.186952992349605E-4</c:v>
                </c:pt>
                <c:pt idx="20">
                  <c:v>1.2767967873740998E-4</c:v>
                </c:pt>
                <c:pt idx="21">
                  <c:v>1.3292573097677427E-4</c:v>
                </c:pt>
                <c:pt idx="22">
                  <c:v>1.3410382719722359E-4</c:v>
                </c:pt>
                <c:pt idx="23">
                  <c:v>1.3113994328049224E-4</c:v>
                </c:pt>
                <c:pt idx="24">
                  <c:v>1.2422031095347109E-4</c:v>
                </c:pt>
                <c:pt idx="25">
                  <c:v>1.1377971616389435E-4</c:v>
                </c:pt>
              </c:numCache>
            </c:numRef>
          </c:xVal>
          <c:yVal>
            <c:numRef>
              <c:f>'Cost-effectiveness'!$E$16:$E$41</c:f>
              <c:numCache>
                <c:formatCode>General</c:formatCode>
                <c:ptCount val="26"/>
                <c:pt idx="0">
                  <c:v>0.72416450414923594</c:v>
                </c:pt>
                <c:pt idx="1">
                  <c:v>0.77201241326702252</c:v>
                </c:pt>
                <c:pt idx="2">
                  <c:v>0.80372420223927021</c:v>
                </c:pt>
                <c:pt idx="3">
                  <c:v>0.81730730273705121</c:v>
                </c:pt>
                <c:pt idx="4">
                  <c:v>0.81190823860094052</c:v>
                </c:pt>
                <c:pt idx="5">
                  <c:v>0.78786625288697909</c:v>
                </c:pt>
                <c:pt idx="6">
                  <c:v>0.74669199197781333</c:v>
                </c:pt>
                <c:pt idx="7">
                  <c:v>0.69097258611470525</c:v>
                </c:pt>
                <c:pt idx="8">
                  <c:v>0.62420909048967421</c:v>
                </c:pt>
                <c:pt idx="9">
                  <c:v>0.55059650107180202</c:v>
                </c:pt>
                <c:pt idx="10">
                  <c:v>0.47476016758237982</c:v>
                </c:pt>
                <c:pt idx="11">
                  <c:v>0.40146516576107266</c:v>
                </c:pt>
                <c:pt idx="12">
                  <c:v>0.33531689013247401</c:v>
                </c:pt>
                <c:pt idx="13">
                  <c:v>0.28047168013066892</c:v>
                </c:pt>
                <c:pt idx="14">
                  <c:v>0.24037566200664362</c:v>
                </c:pt>
                <c:pt idx="15">
                  <c:v>0.21754821604197017</c:v>
                </c:pt>
                <c:pt idx="16">
                  <c:v>0.21342367462008255</c:v>
                </c:pt>
                <c:pt idx="17">
                  <c:v>0.2282611978475203</c:v>
                </c:pt>
                <c:pt idx="18">
                  <c:v>0.26112848957131024</c:v>
                </c:pt>
                <c:pt idx="19">
                  <c:v>0.30996037697500317</c:v>
                </c:pt>
                <c:pt idx="20">
                  <c:v>0.37168857298190572</c:v>
                </c:pt>
                <c:pt idx="21">
                  <c:v>0.44243446801647973</c:v>
                </c:pt>
                <c:pt idx="22">
                  <c:v>0.51775283730850108</c:v>
                </c:pt>
                <c:pt idx="23">
                  <c:v>0.59291115071376654</c:v>
                </c:pt>
                <c:pt idx="24">
                  <c:v>0.66318693498808179</c:v>
                </c:pt>
                <c:pt idx="25">
                  <c:v>0.72416450414923639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9C-4635-AD01-BCC774DB2D6C}"/>
            </c:ext>
          </c:extLst>
        </c:ser>
        <c:ser>
          <c:idx val="2"/>
          <c:order val="3"/>
          <c:tx>
            <c:strRef>
              <c:f>Localization!$B$53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tx1"/>
              </a:solidFill>
            </c:spPr>
          </c:marker>
          <c:xVal>
            <c:numRef>
              <c:f>Process!$E$2</c:f>
              <c:numCache>
                <c:formatCode>General</c:formatCode>
                <c:ptCount val="1"/>
                <c:pt idx="0">
                  <c:v>6.8184080240197173E-5</c:v>
                </c:pt>
              </c:numCache>
            </c:numRef>
          </c:xVal>
          <c:yVal>
            <c:numRef>
              <c:f>Process!$B$2</c:f>
              <c:numCache>
                <c:formatCode>General</c:formatCode>
                <c:ptCount val="1"/>
                <c:pt idx="0">
                  <c:v>0.51520554272849406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9C-4635-AD01-BCC774DB2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2136"/>
        <c:axId val="357502920"/>
      </c:scatterChart>
      <c:valAx>
        <c:axId val="357502136"/>
        <c:scaling>
          <c:orientation val="minMax"/>
          <c:max val="6.0000000000000016E-4"/>
          <c:min val="-3.0000000000000008E-4"/>
        </c:scaling>
        <c:delete val="0"/>
        <c:axPos val="b"/>
        <c:title>
          <c:tx>
            <c:strRef>
              <c:f>Localization!$B$5</c:f>
              <c:strCache>
                <c:ptCount val="1"/>
                <c:pt idx="0">
                  <c:v>Effectiveness</c:v>
                </c:pt>
              </c:strCache>
            </c:strRef>
          </c:tx>
          <c:layout>
            <c:manualLayout>
              <c:xMode val="edge"/>
              <c:yMode val="edge"/>
              <c:x val="0.87928927774389443"/>
              <c:y val="0.4361086525275378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57502920"/>
        <c:crosses val="autoZero"/>
        <c:crossBetween val="midCat"/>
      </c:valAx>
      <c:valAx>
        <c:axId val="357502920"/>
        <c:scaling>
          <c:orientation val="minMax"/>
          <c:max val="3"/>
          <c:min val="-3"/>
        </c:scaling>
        <c:delete val="0"/>
        <c:axPos val="l"/>
        <c:majorGridlines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</c:majorGridlines>
        <c:title>
          <c:tx>
            <c:strRef>
              <c:f>Localization!$B$4</c:f>
              <c:strCache>
                <c:ptCount val="1"/>
                <c:pt idx="0">
                  <c:v>Cost</c:v>
                </c:pt>
              </c:strCache>
            </c:strRef>
          </c:tx>
          <c:layout>
            <c:manualLayout>
              <c:xMode val="edge"/>
              <c:yMode val="edge"/>
              <c:x val="0.43685751325618732"/>
              <c:y val="0.85626916584920909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/>
              </a:pPr>
              <a:endParaRPr lang="es-ES"/>
            </a:p>
          </c:txPr>
        </c:title>
        <c:numFmt formatCode="#,##0\ \€" sourceLinked="0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57502136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en-GB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44961444258608"/>
          <c:y val="3.98927527338142E-2"/>
          <c:w val="0.81864675925055908"/>
          <c:h val="0.72619058403616366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'Cost-effectiveness'!$C$3</c:f>
              <c:strCache>
                <c:ptCount val="1"/>
                <c:pt idx="0">
                  <c:v>Willingness to pay 30,000</c:v>
                </c:pt>
              </c:strCache>
            </c:strRef>
          </c:tx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'Cost-effectiveness'!$C$6:$C$7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52-4E8C-B549-704BF4EFC50C}"/>
            </c:ext>
          </c:extLst>
        </c:ser>
        <c:ser>
          <c:idx val="3"/>
          <c:order val="3"/>
          <c:tx>
            <c:strRef>
              <c:f>'Cost-effectiveness'!$D$3</c:f>
              <c:strCache>
                <c:ptCount val="1"/>
                <c:pt idx="0">
                  <c:v>Willingness to pay 20,000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'Cost-effectiveness'!$D$6:$D$7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52-4E8C-B549-704BF4EFC50C}"/>
            </c:ext>
          </c:extLst>
        </c:ser>
        <c:ser>
          <c:idx val="4"/>
          <c:order val="4"/>
          <c:tx>
            <c:strRef>
              <c:f>'Cost-effectiveness'!$E$3</c:f>
              <c:strCache>
                <c:ptCount val="1"/>
                <c:pt idx="0">
                  <c:v>Willingness to pay 10,000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'Cost-effectiveness'!$E$6:$E$7</c:f>
              <c:numCache>
                <c:formatCode>General</c:formatCode>
                <c:ptCount val="2"/>
                <c:pt idx="0">
                  <c:v>-5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52-4E8C-B549-704BF4EFC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3704"/>
        <c:axId val="357504096"/>
      </c:scatterChart>
      <c:scatterChart>
        <c:scatterStyle val="lineMarker"/>
        <c:varyColors val="0"/>
        <c:ser>
          <c:idx val="0"/>
          <c:order val="0"/>
          <c:tx>
            <c:strRef>
              <c:f>Localization!$B$72</c:f>
              <c:strCache>
                <c:ptCount val="1"/>
                <c:pt idx="0">
                  <c:v>MC simulations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Process!$E$12:$E$1011</c:f>
              <c:numCache>
                <c:formatCode>General</c:formatCode>
                <c:ptCount val="1000"/>
                <c:pt idx="0">
                  <c:v>1.0975793011880342E-4</c:v>
                </c:pt>
                <c:pt idx="1">
                  <c:v>7.5334869926280135E-5</c:v>
                </c:pt>
                <c:pt idx="2">
                  <c:v>2.0449315069726026E-5</c:v>
                </c:pt>
                <c:pt idx="3">
                  <c:v>3.3612803502336419E-5</c:v>
                </c:pt>
                <c:pt idx="4">
                  <c:v>2.3442394308403891E-5</c:v>
                </c:pt>
                <c:pt idx="5">
                  <c:v>4.1081552396349252E-5</c:v>
                </c:pt>
                <c:pt idx="6">
                  <c:v>6.0905694201807137E-5</c:v>
                </c:pt>
                <c:pt idx="7">
                  <c:v>1.5540111890288699E-4</c:v>
                </c:pt>
                <c:pt idx="8">
                  <c:v>6.1221932387667266E-5</c:v>
                </c:pt>
                <c:pt idx="9">
                  <c:v>7.6006031008546415E-5</c:v>
                </c:pt>
                <c:pt idx="10">
                  <c:v>1.162889497798858E-4</c:v>
                </c:pt>
                <c:pt idx="11">
                  <c:v>5.2242673241664761E-5</c:v>
                </c:pt>
                <c:pt idx="12">
                  <c:v>1.0264235730517157E-4</c:v>
                </c:pt>
                <c:pt idx="13">
                  <c:v>2.3232630081082561E-5</c:v>
                </c:pt>
                <c:pt idx="14">
                  <c:v>5.8044191863615424E-5</c:v>
                </c:pt>
                <c:pt idx="15">
                  <c:v>5.22966492368937E-5</c:v>
                </c:pt>
                <c:pt idx="16">
                  <c:v>3.5603198071498809E-5</c:v>
                </c:pt>
                <c:pt idx="17">
                  <c:v>4.7839131415372549E-5</c:v>
                </c:pt>
                <c:pt idx="18">
                  <c:v>8.6238237454239197E-5</c:v>
                </c:pt>
                <c:pt idx="19">
                  <c:v>7.7485046169556426E-5</c:v>
                </c:pt>
                <c:pt idx="20">
                  <c:v>3.1141353272090555E-5</c:v>
                </c:pt>
                <c:pt idx="21">
                  <c:v>3.7091715931580893E-5</c:v>
                </c:pt>
                <c:pt idx="22">
                  <c:v>2.5726354866861811E-5</c:v>
                </c:pt>
                <c:pt idx="23">
                  <c:v>5.6239524646173322E-5</c:v>
                </c:pt>
                <c:pt idx="24">
                  <c:v>5.7880760856221514E-5</c:v>
                </c:pt>
                <c:pt idx="25">
                  <c:v>7.8412174268294166E-5</c:v>
                </c:pt>
                <c:pt idx="26">
                  <c:v>2.7717193468390633E-5</c:v>
                </c:pt>
                <c:pt idx="27">
                  <c:v>6.4980194920849499E-5</c:v>
                </c:pt>
                <c:pt idx="28">
                  <c:v>2.114834376598651E-5</c:v>
                </c:pt>
                <c:pt idx="29">
                  <c:v>1.250688105791653E-4</c:v>
                </c:pt>
                <c:pt idx="30">
                  <c:v>3.5454367562692823E-5</c:v>
                </c:pt>
                <c:pt idx="31">
                  <c:v>1.5096815026538479E-5</c:v>
                </c:pt>
                <c:pt idx="32">
                  <c:v>4.0390654351796229E-5</c:v>
                </c:pt>
                <c:pt idx="33">
                  <c:v>8.849439229763334E-5</c:v>
                </c:pt>
                <c:pt idx="34">
                  <c:v>4.3327723513897354E-5</c:v>
                </c:pt>
                <c:pt idx="35">
                  <c:v>6.9217746226257759E-5</c:v>
                </c:pt>
                <c:pt idx="36">
                  <c:v>7.7635894761840518E-5</c:v>
                </c:pt>
                <c:pt idx="37">
                  <c:v>6.1525656832372988E-5</c:v>
                </c:pt>
                <c:pt idx="38">
                  <c:v>4.3401337588733213E-5</c:v>
                </c:pt>
                <c:pt idx="39">
                  <c:v>5.1230489511056021E-5</c:v>
                </c:pt>
                <c:pt idx="40">
                  <c:v>1.0932351484527203E-4</c:v>
                </c:pt>
                <c:pt idx="41">
                  <c:v>7.8925652449157724E-5</c:v>
                </c:pt>
                <c:pt idx="42">
                  <c:v>9.9270589142719246E-5</c:v>
                </c:pt>
                <c:pt idx="43">
                  <c:v>1.1074449553305499E-4</c:v>
                </c:pt>
                <c:pt idx="44">
                  <c:v>3.4570474692685593E-5</c:v>
                </c:pt>
                <c:pt idx="45">
                  <c:v>4.1005791544534986E-5</c:v>
                </c:pt>
                <c:pt idx="46">
                  <c:v>4.2212127628005192E-5</c:v>
                </c:pt>
                <c:pt idx="47">
                  <c:v>9.4501633842725141E-5</c:v>
                </c:pt>
                <c:pt idx="48">
                  <c:v>6.1965739906355566E-5</c:v>
                </c:pt>
                <c:pt idx="49">
                  <c:v>2.6511648652416397E-5</c:v>
                </c:pt>
                <c:pt idx="50">
                  <c:v>5.4913531570832674E-5</c:v>
                </c:pt>
                <c:pt idx="51">
                  <c:v>9.7058849704012573E-5</c:v>
                </c:pt>
                <c:pt idx="52">
                  <c:v>6.568307123089312E-5</c:v>
                </c:pt>
                <c:pt idx="53">
                  <c:v>3.5933154926226507E-5</c:v>
                </c:pt>
                <c:pt idx="54">
                  <c:v>8.7237171712217787E-5</c:v>
                </c:pt>
                <c:pt idx="55">
                  <c:v>2.8924867802260223E-5</c:v>
                </c:pt>
                <c:pt idx="56">
                  <c:v>5.8517339631691812E-5</c:v>
                </c:pt>
                <c:pt idx="57">
                  <c:v>3.9503702634391402E-5</c:v>
                </c:pt>
                <c:pt idx="58">
                  <c:v>8.4526061815637377E-5</c:v>
                </c:pt>
                <c:pt idx="59">
                  <c:v>2.7764802474905537E-5</c:v>
                </c:pt>
                <c:pt idx="60">
                  <c:v>6.0480593578660091E-5</c:v>
                </c:pt>
                <c:pt idx="61">
                  <c:v>8.6282081561250834E-5</c:v>
                </c:pt>
                <c:pt idx="62">
                  <c:v>4.0468062927345727E-5</c:v>
                </c:pt>
                <c:pt idx="63">
                  <c:v>1.3461157259087031E-5</c:v>
                </c:pt>
                <c:pt idx="64">
                  <c:v>3.7710198508733583E-5</c:v>
                </c:pt>
                <c:pt idx="65">
                  <c:v>3.2791702032852754E-5</c:v>
                </c:pt>
                <c:pt idx="66">
                  <c:v>6.4913860796877998E-5</c:v>
                </c:pt>
                <c:pt idx="67">
                  <c:v>1.6244927592268255E-4</c:v>
                </c:pt>
                <c:pt idx="68">
                  <c:v>4.7361264705614303E-5</c:v>
                </c:pt>
                <c:pt idx="69">
                  <c:v>3.1562807350837829E-5</c:v>
                </c:pt>
                <c:pt idx="70">
                  <c:v>1.7052174779763618E-5</c:v>
                </c:pt>
                <c:pt idx="71">
                  <c:v>3.0967621871269557E-5</c:v>
                </c:pt>
                <c:pt idx="72">
                  <c:v>7.180852564658835E-5</c:v>
                </c:pt>
                <c:pt idx="73">
                  <c:v>8.0242133876140542E-5</c:v>
                </c:pt>
                <c:pt idx="74">
                  <c:v>6.4219666665366049E-5</c:v>
                </c:pt>
                <c:pt idx="75">
                  <c:v>9.7266703175336033E-5</c:v>
                </c:pt>
                <c:pt idx="76">
                  <c:v>7.3206332768194216E-5</c:v>
                </c:pt>
                <c:pt idx="77">
                  <c:v>2.7172873835468181E-5</c:v>
                </c:pt>
                <c:pt idx="78">
                  <c:v>4.8219602621912827E-5</c:v>
                </c:pt>
                <c:pt idx="79">
                  <c:v>5.6952781974928257E-5</c:v>
                </c:pt>
                <c:pt idx="80">
                  <c:v>3.7884623239392567E-5</c:v>
                </c:pt>
                <c:pt idx="81">
                  <c:v>2.8911718366941841E-5</c:v>
                </c:pt>
                <c:pt idx="82">
                  <c:v>3.5833072409729994E-5</c:v>
                </c:pt>
                <c:pt idx="83">
                  <c:v>2.131455886456024E-5</c:v>
                </c:pt>
                <c:pt idx="84">
                  <c:v>4.6714079420695498E-5</c:v>
                </c:pt>
                <c:pt idx="85">
                  <c:v>1.6188364884683892E-4</c:v>
                </c:pt>
                <c:pt idx="86">
                  <c:v>9.8632297401479718E-5</c:v>
                </c:pt>
                <c:pt idx="87">
                  <c:v>5.284847557263106E-5</c:v>
                </c:pt>
                <c:pt idx="88">
                  <c:v>3.0529494292608206E-5</c:v>
                </c:pt>
                <c:pt idx="89">
                  <c:v>3.1188078509458705E-4</c:v>
                </c:pt>
                <c:pt idx="90">
                  <c:v>9.6352176484515439E-5</c:v>
                </c:pt>
                <c:pt idx="91">
                  <c:v>1.2143380083173838E-4</c:v>
                </c:pt>
                <c:pt idx="92">
                  <c:v>5.3299691465724663E-5</c:v>
                </c:pt>
                <c:pt idx="93">
                  <c:v>5.6593042526031923E-5</c:v>
                </c:pt>
                <c:pt idx="94">
                  <c:v>8.7824008573988976E-5</c:v>
                </c:pt>
                <c:pt idx="95">
                  <c:v>1.1035263779746174E-4</c:v>
                </c:pt>
                <c:pt idx="96">
                  <c:v>6.7579534427153476E-5</c:v>
                </c:pt>
                <c:pt idx="97">
                  <c:v>4.7946562229839174E-5</c:v>
                </c:pt>
                <c:pt idx="98">
                  <c:v>5.6203501852536419E-5</c:v>
                </c:pt>
                <c:pt idx="99">
                  <c:v>3.4443757037649902E-5</c:v>
                </c:pt>
                <c:pt idx="100">
                  <c:v>2.4186931085523611E-5</c:v>
                </c:pt>
                <c:pt idx="101">
                  <c:v>3.1651205052440901E-5</c:v>
                </c:pt>
                <c:pt idx="102">
                  <c:v>3.2004690485365472E-5</c:v>
                </c:pt>
                <c:pt idx="103">
                  <c:v>3.4441043776922697E-5</c:v>
                </c:pt>
                <c:pt idx="104">
                  <c:v>7.923155973799112E-5</c:v>
                </c:pt>
                <c:pt idx="105">
                  <c:v>4.2002472948610148E-5</c:v>
                </c:pt>
                <c:pt idx="106">
                  <c:v>1.1250824747577326E-4</c:v>
                </c:pt>
                <c:pt idx="107">
                  <c:v>2.4759541929597617E-5</c:v>
                </c:pt>
                <c:pt idx="108">
                  <c:v>5.8710467321532178E-5</c:v>
                </c:pt>
                <c:pt idx="109">
                  <c:v>3.6362880980078671E-5</c:v>
                </c:pt>
                <c:pt idx="110">
                  <c:v>5.2290485417216814E-5</c:v>
                </c:pt>
                <c:pt idx="111">
                  <c:v>4.9683115943111034E-5</c:v>
                </c:pt>
                <c:pt idx="112">
                  <c:v>5.5524702560205696E-5</c:v>
                </c:pt>
                <c:pt idx="113">
                  <c:v>1.1758717323928636E-4</c:v>
                </c:pt>
                <c:pt idx="114">
                  <c:v>4.4376759749553685E-5</c:v>
                </c:pt>
                <c:pt idx="115">
                  <c:v>6.4038426760504308E-5</c:v>
                </c:pt>
                <c:pt idx="116">
                  <c:v>1.7946099038823604E-5</c:v>
                </c:pt>
                <c:pt idx="117">
                  <c:v>4.3939574005946724E-5</c:v>
                </c:pt>
                <c:pt idx="118">
                  <c:v>5.1340933705290581E-5</c:v>
                </c:pt>
                <c:pt idx="119">
                  <c:v>2.3125365483878113E-5</c:v>
                </c:pt>
                <c:pt idx="120">
                  <c:v>6.3949663836382342E-5</c:v>
                </c:pt>
                <c:pt idx="121">
                  <c:v>2.4293633526184522E-5</c:v>
                </c:pt>
                <c:pt idx="122">
                  <c:v>2.7190345448957487E-5</c:v>
                </c:pt>
                <c:pt idx="123">
                  <c:v>5.517445092451112E-5</c:v>
                </c:pt>
                <c:pt idx="124">
                  <c:v>2.0343186136528857E-5</c:v>
                </c:pt>
                <c:pt idx="125">
                  <c:v>1.5704356727042068E-5</c:v>
                </c:pt>
                <c:pt idx="126">
                  <c:v>8.501401179472623E-5</c:v>
                </c:pt>
                <c:pt idx="127">
                  <c:v>5.4689369001437171E-5</c:v>
                </c:pt>
                <c:pt idx="128">
                  <c:v>5.4333901438496923E-5</c:v>
                </c:pt>
                <c:pt idx="129">
                  <c:v>7.4236629064472481E-5</c:v>
                </c:pt>
                <c:pt idx="130">
                  <c:v>8.4017065052677253E-5</c:v>
                </c:pt>
                <c:pt idx="131">
                  <c:v>4.1612694513304405E-5</c:v>
                </c:pt>
                <c:pt idx="132">
                  <c:v>7.6669295694387074E-5</c:v>
                </c:pt>
                <c:pt idx="133">
                  <c:v>9.9717896834050634E-5</c:v>
                </c:pt>
                <c:pt idx="134">
                  <c:v>6.6720575539136462E-5</c:v>
                </c:pt>
                <c:pt idx="135">
                  <c:v>9.6998517935986683E-5</c:v>
                </c:pt>
                <c:pt idx="136">
                  <c:v>1.2975416604632528E-4</c:v>
                </c:pt>
                <c:pt idx="137">
                  <c:v>3.8705367721547645E-5</c:v>
                </c:pt>
                <c:pt idx="138">
                  <c:v>1.0304637568836483E-4</c:v>
                </c:pt>
                <c:pt idx="139">
                  <c:v>6.9076807776013993E-5</c:v>
                </c:pt>
                <c:pt idx="140">
                  <c:v>1.0604232141275816E-5</c:v>
                </c:pt>
                <c:pt idx="141">
                  <c:v>5.2927100050226272E-5</c:v>
                </c:pt>
                <c:pt idx="142">
                  <c:v>8.872692670536253E-5</c:v>
                </c:pt>
                <c:pt idx="143">
                  <c:v>2.6935998434396424E-5</c:v>
                </c:pt>
                <c:pt idx="144">
                  <c:v>8.8726995386423368E-5</c:v>
                </c:pt>
                <c:pt idx="145">
                  <c:v>3.7678005575969564E-5</c:v>
                </c:pt>
                <c:pt idx="146">
                  <c:v>5.4178085456157987E-5</c:v>
                </c:pt>
                <c:pt idx="147">
                  <c:v>6.4688250088096311E-5</c:v>
                </c:pt>
                <c:pt idx="148">
                  <c:v>7.0442640822676594E-5</c:v>
                </c:pt>
                <c:pt idx="149">
                  <c:v>4.8145150035594497E-5</c:v>
                </c:pt>
                <c:pt idx="150">
                  <c:v>6.3404780210163381E-5</c:v>
                </c:pt>
                <c:pt idx="151">
                  <c:v>4.4165281302355197E-5</c:v>
                </c:pt>
                <c:pt idx="152">
                  <c:v>6.343224596250252E-5</c:v>
                </c:pt>
                <c:pt idx="153">
                  <c:v>5.017807635354643E-5</c:v>
                </c:pt>
                <c:pt idx="154">
                  <c:v>7.2286572965651885E-5</c:v>
                </c:pt>
                <c:pt idx="155">
                  <c:v>7.878737522304391E-5</c:v>
                </c:pt>
                <c:pt idx="156">
                  <c:v>5.9162984481275771E-5</c:v>
                </c:pt>
                <c:pt idx="157">
                  <c:v>3.4620570616539226E-5</c:v>
                </c:pt>
                <c:pt idx="158">
                  <c:v>4.1786444700875336E-5</c:v>
                </c:pt>
                <c:pt idx="159">
                  <c:v>3.8277054279944878E-5</c:v>
                </c:pt>
                <c:pt idx="160">
                  <c:v>1.5064721804947112E-4</c:v>
                </c:pt>
                <c:pt idx="161">
                  <c:v>3.3440535226247903E-5</c:v>
                </c:pt>
                <c:pt idx="162">
                  <c:v>6.1304177329191134E-5</c:v>
                </c:pt>
                <c:pt idx="163">
                  <c:v>4.9619986814519734E-5</c:v>
                </c:pt>
                <c:pt idx="164">
                  <c:v>5.9064350011794886E-5</c:v>
                </c:pt>
                <c:pt idx="165">
                  <c:v>5.0754832042088083E-5</c:v>
                </c:pt>
                <c:pt idx="166">
                  <c:v>4.3492981607329284E-5</c:v>
                </c:pt>
                <c:pt idx="167">
                  <c:v>5.1531157161832652E-5</c:v>
                </c:pt>
                <c:pt idx="168">
                  <c:v>5.440030246361971E-5</c:v>
                </c:pt>
                <c:pt idx="169">
                  <c:v>5.2156024068494844E-5</c:v>
                </c:pt>
                <c:pt idx="170">
                  <c:v>1.0851351625973393E-4</c:v>
                </c:pt>
                <c:pt idx="171">
                  <c:v>8.3147292812668638E-5</c:v>
                </c:pt>
                <c:pt idx="172">
                  <c:v>1.0506273839538949E-4</c:v>
                </c:pt>
                <c:pt idx="173">
                  <c:v>6.8505655903550178E-5</c:v>
                </c:pt>
                <c:pt idx="174">
                  <c:v>8.38420188102873E-5</c:v>
                </c:pt>
                <c:pt idx="175">
                  <c:v>8.1263009480636583E-5</c:v>
                </c:pt>
                <c:pt idx="176">
                  <c:v>1.3636753590517969E-4</c:v>
                </c:pt>
                <c:pt idx="177">
                  <c:v>4.7952994872701993E-5</c:v>
                </c:pt>
                <c:pt idx="178">
                  <c:v>1.3959394926033042E-4</c:v>
                </c:pt>
                <c:pt idx="179">
                  <c:v>3.8147689110701322E-5</c:v>
                </c:pt>
                <c:pt idx="180">
                  <c:v>9.2798234533120194E-5</c:v>
                </c:pt>
                <c:pt idx="181">
                  <c:v>1.9694451783180966E-5</c:v>
                </c:pt>
                <c:pt idx="182">
                  <c:v>2.8180592273940874E-5</c:v>
                </c:pt>
                <c:pt idx="183">
                  <c:v>3.4857868833171324E-5</c:v>
                </c:pt>
                <c:pt idx="184">
                  <c:v>4.1665290446246672E-5</c:v>
                </c:pt>
                <c:pt idx="185">
                  <c:v>6.9597941831034404E-5</c:v>
                </c:pt>
                <c:pt idx="186">
                  <c:v>2.8808447844141938E-5</c:v>
                </c:pt>
                <c:pt idx="187">
                  <c:v>2.3853499481418794E-5</c:v>
                </c:pt>
                <c:pt idx="188">
                  <c:v>5.9196542533612728E-5</c:v>
                </c:pt>
                <c:pt idx="189">
                  <c:v>3.5070679253124126E-5</c:v>
                </c:pt>
                <c:pt idx="190">
                  <c:v>5.9842601331183687E-5</c:v>
                </c:pt>
                <c:pt idx="191">
                  <c:v>4.5713095595090181E-5</c:v>
                </c:pt>
                <c:pt idx="192">
                  <c:v>1.6827002984598494E-4</c:v>
                </c:pt>
                <c:pt idx="193">
                  <c:v>4.9562401510883092E-5</c:v>
                </c:pt>
                <c:pt idx="194">
                  <c:v>3.4784538915033636E-5</c:v>
                </c:pt>
                <c:pt idx="195">
                  <c:v>8.3481027893128612E-5</c:v>
                </c:pt>
                <c:pt idx="196">
                  <c:v>4.8799162428281306E-5</c:v>
                </c:pt>
                <c:pt idx="197">
                  <c:v>2.4128378868226719E-5</c:v>
                </c:pt>
                <c:pt idx="198">
                  <c:v>5.148001966404081E-5</c:v>
                </c:pt>
                <c:pt idx="199">
                  <c:v>6.4429580877600756E-5</c:v>
                </c:pt>
                <c:pt idx="200">
                  <c:v>1.7613562899754243E-4</c:v>
                </c:pt>
                <c:pt idx="201">
                  <c:v>9.8348388824831545E-5</c:v>
                </c:pt>
                <c:pt idx="202">
                  <c:v>3.6212806190150104E-5</c:v>
                </c:pt>
                <c:pt idx="203">
                  <c:v>8.2462456333587397E-5</c:v>
                </c:pt>
                <c:pt idx="204">
                  <c:v>5.2853473860636768E-5</c:v>
                </c:pt>
                <c:pt idx="205">
                  <c:v>6.0819107300602582E-5</c:v>
                </c:pt>
                <c:pt idx="206">
                  <c:v>2.4749295100434665E-5</c:v>
                </c:pt>
                <c:pt idx="207">
                  <c:v>7.8037202644765102E-5</c:v>
                </c:pt>
                <c:pt idx="208">
                  <c:v>8.361827921277154E-5</c:v>
                </c:pt>
                <c:pt idx="209">
                  <c:v>5.9184284523894348E-5</c:v>
                </c:pt>
                <c:pt idx="210">
                  <c:v>3.0425089423857798E-5</c:v>
                </c:pt>
                <c:pt idx="211">
                  <c:v>1.0481533490391826E-4</c:v>
                </c:pt>
                <c:pt idx="212">
                  <c:v>3.6109169478493186E-5</c:v>
                </c:pt>
                <c:pt idx="213">
                  <c:v>2.930760694752621E-5</c:v>
                </c:pt>
                <c:pt idx="214">
                  <c:v>1.4065211908587116E-4</c:v>
                </c:pt>
                <c:pt idx="215">
                  <c:v>2.2974997186508972E-5</c:v>
                </c:pt>
                <c:pt idx="216">
                  <c:v>1.8377343065623108E-4</c:v>
                </c:pt>
                <c:pt idx="217">
                  <c:v>8.1365344922090799E-5</c:v>
                </c:pt>
                <c:pt idx="218">
                  <c:v>3.7284567795836665E-5</c:v>
                </c:pt>
                <c:pt idx="219">
                  <c:v>3.285016804355223E-5</c:v>
                </c:pt>
                <c:pt idx="220">
                  <c:v>6.08161942921015E-5</c:v>
                </c:pt>
                <c:pt idx="221">
                  <c:v>5.0863119117394717E-5</c:v>
                </c:pt>
                <c:pt idx="222">
                  <c:v>2.7163190775780777E-5</c:v>
                </c:pt>
                <c:pt idx="223">
                  <c:v>2.0305677331577954E-5</c:v>
                </c:pt>
                <c:pt idx="224">
                  <c:v>4.2820548063815522E-5</c:v>
                </c:pt>
                <c:pt idx="225">
                  <c:v>6.1417549051867582E-5</c:v>
                </c:pt>
                <c:pt idx="226">
                  <c:v>4.433270765602515E-5</c:v>
                </c:pt>
                <c:pt idx="227">
                  <c:v>5.4987322343436063E-5</c:v>
                </c:pt>
                <c:pt idx="228">
                  <c:v>5.9585706711828834E-5</c:v>
                </c:pt>
                <c:pt idx="229">
                  <c:v>2.7608236695897403E-5</c:v>
                </c:pt>
                <c:pt idx="230">
                  <c:v>6.4448609823131164E-5</c:v>
                </c:pt>
                <c:pt idx="231">
                  <c:v>4.1560954137764838E-5</c:v>
                </c:pt>
                <c:pt idx="232">
                  <c:v>3.879678834195488E-5</c:v>
                </c:pt>
                <c:pt idx="233">
                  <c:v>1.9249583438707418E-4</c:v>
                </c:pt>
                <c:pt idx="234">
                  <c:v>7.3109222391565254E-5</c:v>
                </c:pt>
                <c:pt idx="235">
                  <c:v>6.3070117771957257E-5</c:v>
                </c:pt>
                <c:pt idx="236">
                  <c:v>6.3367307951978091E-5</c:v>
                </c:pt>
                <c:pt idx="237">
                  <c:v>4.3490633984788474E-5</c:v>
                </c:pt>
                <c:pt idx="238">
                  <c:v>5.2801123992196608E-5</c:v>
                </c:pt>
                <c:pt idx="239">
                  <c:v>5.5845560147815831E-5</c:v>
                </c:pt>
                <c:pt idx="240">
                  <c:v>6.6070629060277497E-5</c:v>
                </c:pt>
                <c:pt idx="241">
                  <c:v>1.1173284953969187E-4</c:v>
                </c:pt>
                <c:pt idx="242">
                  <c:v>5.4187706250985457E-5</c:v>
                </c:pt>
                <c:pt idx="243">
                  <c:v>4.1363239393632512E-5</c:v>
                </c:pt>
                <c:pt idx="244">
                  <c:v>4.6824198136619088E-5</c:v>
                </c:pt>
                <c:pt idx="245">
                  <c:v>6.1379745925904672E-5</c:v>
                </c:pt>
                <c:pt idx="246">
                  <c:v>6.494770811826811E-5</c:v>
                </c:pt>
                <c:pt idx="247">
                  <c:v>7.6708909261924418E-5</c:v>
                </c:pt>
                <c:pt idx="248">
                  <c:v>2.8944293063659643E-5</c:v>
                </c:pt>
                <c:pt idx="249">
                  <c:v>4.4143583281197607E-5</c:v>
                </c:pt>
                <c:pt idx="250">
                  <c:v>6.1552758893412829E-5</c:v>
                </c:pt>
                <c:pt idx="251">
                  <c:v>4.4826347050275217E-5</c:v>
                </c:pt>
                <c:pt idx="252">
                  <c:v>1.7892192276036667E-4</c:v>
                </c:pt>
                <c:pt idx="253">
                  <c:v>7.3494924343719958E-5</c:v>
                </c:pt>
                <c:pt idx="254">
                  <c:v>8.87128801707604E-5</c:v>
                </c:pt>
                <c:pt idx="255">
                  <c:v>7.1462881276573853E-5</c:v>
                </c:pt>
                <c:pt idx="256">
                  <c:v>6.2032865361771883E-5</c:v>
                </c:pt>
                <c:pt idx="257">
                  <c:v>9.4907117873077596E-5</c:v>
                </c:pt>
                <c:pt idx="258">
                  <c:v>1.3456875841910687E-4</c:v>
                </c:pt>
                <c:pt idx="259">
                  <c:v>5.3923452597359756E-5</c:v>
                </c:pt>
                <c:pt idx="260">
                  <c:v>1.1285961491935836E-4</c:v>
                </c:pt>
                <c:pt idx="261">
                  <c:v>2.1839904963627532E-5</c:v>
                </c:pt>
                <c:pt idx="262">
                  <c:v>6.9642218807786094E-5</c:v>
                </c:pt>
                <c:pt idx="263">
                  <c:v>5.4367279748390729E-5</c:v>
                </c:pt>
                <c:pt idx="264">
                  <c:v>3.6734745950894876E-5</c:v>
                </c:pt>
                <c:pt idx="265">
                  <c:v>8.1521905844539333E-5</c:v>
                </c:pt>
                <c:pt idx="266">
                  <c:v>7.2541945499438043E-5</c:v>
                </c:pt>
                <c:pt idx="267">
                  <c:v>4.5742699498418915E-5</c:v>
                </c:pt>
                <c:pt idx="268">
                  <c:v>2.2256001206599763E-4</c:v>
                </c:pt>
                <c:pt idx="269">
                  <c:v>9.6344851129970266E-5</c:v>
                </c:pt>
                <c:pt idx="270">
                  <c:v>6.0267572408179149E-5</c:v>
                </c:pt>
                <c:pt idx="271">
                  <c:v>2.152145923162152E-5</c:v>
                </c:pt>
                <c:pt idx="272">
                  <c:v>8.2346139741673596E-5</c:v>
                </c:pt>
                <c:pt idx="273">
                  <c:v>1.9930535011880579E-4</c:v>
                </c:pt>
                <c:pt idx="274">
                  <c:v>1.0226539851743155E-4</c:v>
                </c:pt>
                <c:pt idx="275">
                  <c:v>5.2438735668403069E-5</c:v>
                </c:pt>
                <c:pt idx="276">
                  <c:v>6.8053627060749022E-5</c:v>
                </c:pt>
                <c:pt idx="277">
                  <c:v>1.0454029370521312E-4</c:v>
                </c:pt>
                <c:pt idx="278">
                  <c:v>3.5132842207019621E-5</c:v>
                </c:pt>
                <c:pt idx="279">
                  <c:v>4.6101666853815004E-5</c:v>
                </c:pt>
                <c:pt idx="280">
                  <c:v>3.674746050208455E-5</c:v>
                </c:pt>
                <c:pt idx="281">
                  <c:v>4.5632913526105767E-5</c:v>
                </c:pt>
                <c:pt idx="282">
                  <c:v>6.9208673600940074E-5</c:v>
                </c:pt>
                <c:pt idx="283">
                  <c:v>1.5090002882800491E-4</c:v>
                </c:pt>
                <c:pt idx="284">
                  <c:v>6.7024159900341829E-5</c:v>
                </c:pt>
                <c:pt idx="285">
                  <c:v>1.5872472084765832E-4</c:v>
                </c:pt>
                <c:pt idx="286">
                  <c:v>4.9910652322182614E-5</c:v>
                </c:pt>
                <c:pt idx="287">
                  <c:v>1.578005820483952E-4</c:v>
                </c:pt>
                <c:pt idx="288">
                  <c:v>2.8599758163494471E-5</c:v>
                </c:pt>
                <c:pt idx="289">
                  <c:v>8.1377493060585948E-5</c:v>
                </c:pt>
                <c:pt idx="290">
                  <c:v>6.8671255903041128E-5</c:v>
                </c:pt>
                <c:pt idx="291">
                  <c:v>8.3895889254392841E-5</c:v>
                </c:pt>
                <c:pt idx="292">
                  <c:v>1.5171887083909041E-4</c:v>
                </c:pt>
                <c:pt idx="293">
                  <c:v>1.0524652906340748E-4</c:v>
                </c:pt>
                <c:pt idx="294">
                  <c:v>2.1008831610558332E-4</c:v>
                </c:pt>
                <c:pt idx="295">
                  <c:v>3.0235483698959342E-5</c:v>
                </c:pt>
                <c:pt idx="296">
                  <c:v>9.3713440520559743E-5</c:v>
                </c:pt>
                <c:pt idx="297">
                  <c:v>5.4193622901266281E-5</c:v>
                </c:pt>
                <c:pt idx="298">
                  <c:v>3.6362728028649371E-5</c:v>
                </c:pt>
                <c:pt idx="299">
                  <c:v>5.2293192979391279E-5</c:v>
                </c:pt>
                <c:pt idx="300">
                  <c:v>1.7296985125270226E-4</c:v>
                </c:pt>
                <c:pt idx="301">
                  <c:v>7.9017199766440172E-5</c:v>
                </c:pt>
                <c:pt idx="302">
                  <c:v>9.8819283948614611E-5</c:v>
                </c:pt>
                <c:pt idx="303">
                  <c:v>1.2513688262316691E-4</c:v>
                </c:pt>
                <c:pt idx="304">
                  <c:v>8.8620397782790405E-5</c:v>
                </c:pt>
                <c:pt idx="305">
                  <c:v>6.3394272718397815E-5</c:v>
                </c:pt>
                <c:pt idx="306">
                  <c:v>3.4429864246732222E-5</c:v>
                </c:pt>
                <c:pt idx="307">
                  <c:v>2.6043342163717398E-5</c:v>
                </c:pt>
                <c:pt idx="308">
                  <c:v>8.426511945813786E-5</c:v>
                </c:pt>
                <c:pt idx="309">
                  <c:v>6.1616753605164831E-5</c:v>
                </c:pt>
                <c:pt idx="310">
                  <c:v>4.6257004797212176E-5</c:v>
                </c:pt>
                <c:pt idx="311">
                  <c:v>7.4903016408001122E-5</c:v>
                </c:pt>
                <c:pt idx="312">
                  <c:v>3.5050439535666555E-5</c:v>
                </c:pt>
                <c:pt idx="313">
                  <c:v>6.6655813203198022E-5</c:v>
                </c:pt>
                <c:pt idx="314">
                  <c:v>2.8464192133981214E-5</c:v>
                </c:pt>
                <c:pt idx="315">
                  <c:v>3.33843787529986E-5</c:v>
                </c:pt>
                <c:pt idx="316">
                  <c:v>6.1907057414600786E-5</c:v>
                </c:pt>
                <c:pt idx="317">
                  <c:v>7.2182855888058839E-5</c:v>
                </c:pt>
                <c:pt idx="318">
                  <c:v>2.7094766497981482E-5</c:v>
                </c:pt>
                <c:pt idx="319">
                  <c:v>4.9100910256782981E-5</c:v>
                </c:pt>
                <c:pt idx="320">
                  <c:v>1.1101080481523695E-4</c:v>
                </c:pt>
                <c:pt idx="321">
                  <c:v>6.8984636367730445E-5</c:v>
                </c:pt>
                <c:pt idx="322">
                  <c:v>5.2257340648509398E-5</c:v>
                </c:pt>
                <c:pt idx="323">
                  <c:v>6.4778356446026919E-5</c:v>
                </c:pt>
                <c:pt idx="324">
                  <c:v>6.5731697024062896E-5</c:v>
                </c:pt>
                <c:pt idx="325">
                  <c:v>5.6092085156222993E-5</c:v>
                </c:pt>
                <c:pt idx="326">
                  <c:v>6.2865032848691271E-5</c:v>
                </c:pt>
                <c:pt idx="327">
                  <c:v>1.2936037086319629E-4</c:v>
                </c:pt>
                <c:pt idx="328">
                  <c:v>6.465886906781293E-5</c:v>
                </c:pt>
                <c:pt idx="329">
                  <c:v>3.9437604037573237E-5</c:v>
                </c:pt>
                <c:pt idx="330">
                  <c:v>5.0566884358005382E-5</c:v>
                </c:pt>
                <c:pt idx="331">
                  <c:v>5.338165842161402E-5</c:v>
                </c:pt>
                <c:pt idx="332">
                  <c:v>6.0049764993408417E-5</c:v>
                </c:pt>
                <c:pt idx="333">
                  <c:v>1.0398027293234691E-4</c:v>
                </c:pt>
                <c:pt idx="334">
                  <c:v>2.9608290642357815E-5</c:v>
                </c:pt>
                <c:pt idx="335">
                  <c:v>5.2506756592407555E-5</c:v>
                </c:pt>
                <c:pt idx="336">
                  <c:v>4.3308009864517771E-5</c:v>
                </c:pt>
                <c:pt idx="337">
                  <c:v>3.4180036958986193E-5</c:v>
                </c:pt>
                <c:pt idx="338">
                  <c:v>3.0696377461225666E-5</c:v>
                </c:pt>
                <c:pt idx="339">
                  <c:v>8.7141778447374918E-5</c:v>
                </c:pt>
                <c:pt idx="340">
                  <c:v>1.4212879434438719E-4</c:v>
                </c:pt>
                <c:pt idx="341">
                  <c:v>3.8901225302367948E-5</c:v>
                </c:pt>
                <c:pt idx="342">
                  <c:v>7.4589404277958238E-5</c:v>
                </c:pt>
                <c:pt idx="343">
                  <c:v>6.3169794380257827E-5</c:v>
                </c:pt>
                <c:pt idx="344">
                  <c:v>3.7780850796309551E-5</c:v>
                </c:pt>
                <c:pt idx="345">
                  <c:v>1.8364956727268122E-4</c:v>
                </c:pt>
                <c:pt idx="346">
                  <c:v>2.9918091097869137E-5</c:v>
                </c:pt>
                <c:pt idx="347">
                  <c:v>6.6497517767771797E-5</c:v>
                </c:pt>
                <c:pt idx="348">
                  <c:v>6.5612893966005004E-5</c:v>
                </c:pt>
                <c:pt idx="349">
                  <c:v>1.574228424594537E-4</c:v>
                </c:pt>
                <c:pt idx="350">
                  <c:v>4.0349779503401351E-5</c:v>
                </c:pt>
                <c:pt idx="351">
                  <c:v>1.3539926493422172E-4</c:v>
                </c:pt>
                <c:pt idx="352">
                  <c:v>3.1265201251073904E-5</c:v>
                </c:pt>
                <c:pt idx="353">
                  <c:v>4.3717616666327785E-5</c:v>
                </c:pt>
                <c:pt idx="354">
                  <c:v>2.2618955831177345E-4</c:v>
                </c:pt>
                <c:pt idx="355">
                  <c:v>6.0200249688335816E-5</c:v>
                </c:pt>
                <c:pt idx="356">
                  <c:v>5.0813229009349925E-5</c:v>
                </c:pt>
                <c:pt idx="357">
                  <c:v>6.2574100763157503E-5</c:v>
                </c:pt>
                <c:pt idx="358">
                  <c:v>5.1294851449057433E-5</c:v>
                </c:pt>
                <c:pt idx="359">
                  <c:v>4.1558409559883103E-5</c:v>
                </c:pt>
                <c:pt idx="360">
                  <c:v>4.2081511114844261E-5</c:v>
                </c:pt>
                <c:pt idx="361">
                  <c:v>5.6790112605398235E-5</c:v>
                </c:pt>
                <c:pt idx="362">
                  <c:v>4.6341977348873797E-5</c:v>
                </c:pt>
                <c:pt idx="363">
                  <c:v>3.7580937917169877E-5</c:v>
                </c:pt>
                <c:pt idx="364">
                  <c:v>8.5725042993090028E-5</c:v>
                </c:pt>
                <c:pt idx="365">
                  <c:v>8.9804871215903859E-5</c:v>
                </c:pt>
                <c:pt idx="366">
                  <c:v>8.1930156337506332E-5</c:v>
                </c:pt>
                <c:pt idx="367">
                  <c:v>7.278677239952458E-5</c:v>
                </c:pt>
                <c:pt idx="368">
                  <c:v>1.1311952237491596E-4</c:v>
                </c:pt>
                <c:pt idx="369">
                  <c:v>5.9623676584408258E-5</c:v>
                </c:pt>
                <c:pt idx="370">
                  <c:v>7.2603665611126189E-5</c:v>
                </c:pt>
                <c:pt idx="371">
                  <c:v>3.466305671651071E-5</c:v>
                </c:pt>
                <c:pt idx="372">
                  <c:v>9.2661680909600364E-5</c:v>
                </c:pt>
                <c:pt idx="373">
                  <c:v>3.1064291796667476E-5</c:v>
                </c:pt>
                <c:pt idx="374">
                  <c:v>8.8296143804456051E-5</c:v>
                </c:pt>
                <c:pt idx="375">
                  <c:v>2.5905293078665181E-5</c:v>
                </c:pt>
                <c:pt idx="376">
                  <c:v>5.2190844993305063E-5</c:v>
                </c:pt>
                <c:pt idx="377">
                  <c:v>6.005840667100415E-5</c:v>
                </c:pt>
                <c:pt idx="378">
                  <c:v>5.9924515440457071E-5</c:v>
                </c:pt>
                <c:pt idx="379">
                  <c:v>4.2468294051190014E-5</c:v>
                </c:pt>
                <c:pt idx="380">
                  <c:v>4.9305629438833876E-5</c:v>
                </c:pt>
                <c:pt idx="381">
                  <c:v>7.1499694499266297E-5</c:v>
                </c:pt>
                <c:pt idx="382">
                  <c:v>6.3567710022027768E-5</c:v>
                </c:pt>
                <c:pt idx="383">
                  <c:v>1.3591373792820605E-4</c:v>
                </c:pt>
                <c:pt idx="384">
                  <c:v>2.8252365780190303E-5</c:v>
                </c:pt>
                <c:pt idx="385">
                  <c:v>7.7220981221870488E-5</c:v>
                </c:pt>
                <c:pt idx="386">
                  <c:v>1.3137667465557001E-4</c:v>
                </c:pt>
                <c:pt idx="387">
                  <c:v>3.0400386467732687E-5</c:v>
                </c:pt>
                <c:pt idx="388">
                  <c:v>7.0917614074517132E-5</c:v>
                </c:pt>
                <c:pt idx="389">
                  <c:v>9.46342204741768E-5</c:v>
                </c:pt>
                <c:pt idx="390">
                  <c:v>7.8169641405168022E-5</c:v>
                </c:pt>
                <c:pt idx="391">
                  <c:v>4.823307082446604E-5</c:v>
                </c:pt>
                <c:pt idx="392">
                  <c:v>6.1653547607676273E-5</c:v>
                </c:pt>
                <c:pt idx="393">
                  <c:v>3.9901708536405067E-5</c:v>
                </c:pt>
                <c:pt idx="394">
                  <c:v>1.9166148046068088E-4</c:v>
                </c:pt>
                <c:pt idx="395">
                  <c:v>5.7316050519062856E-5</c:v>
                </c:pt>
                <c:pt idx="396">
                  <c:v>8.2043994048319746E-5</c:v>
                </c:pt>
                <c:pt idx="397">
                  <c:v>3.9000471453221053E-5</c:v>
                </c:pt>
                <c:pt idx="398">
                  <c:v>5.6973871146226429E-5</c:v>
                </c:pt>
                <c:pt idx="399">
                  <c:v>5.2551269487111085E-5</c:v>
                </c:pt>
                <c:pt idx="400">
                  <c:v>3.1263185285013151E-5</c:v>
                </c:pt>
                <c:pt idx="401">
                  <c:v>5.4901932514894725E-5</c:v>
                </c:pt>
                <c:pt idx="402">
                  <c:v>6.8438141838100819E-5</c:v>
                </c:pt>
                <c:pt idx="403">
                  <c:v>4.1190966104664994E-5</c:v>
                </c:pt>
                <c:pt idx="404">
                  <c:v>1.3025215617545882E-4</c:v>
                </c:pt>
                <c:pt idx="405">
                  <c:v>7.1249262266093183E-5</c:v>
                </c:pt>
                <c:pt idx="406">
                  <c:v>3.4436048835573274E-5</c:v>
                </c:pt>
                <c:pt idx="407">
                  <c:v>9.3499839088906356E-5</c:v>
                </c:pt>
                <c:pt idx="408">
                  <c:v>9.8159340229386771E-5</c:v>
                </c:pt>
                <c:pt idx="409">
                  <c:v>5.4409130850530119E-5</c:v>
                </c:pt>
                <c:pt idx="410">
                  <c:v>6.7811094901060187E-5</c:v>
                </c:pt>
                <c:pt idx="411">
                  <c:v>2.6782969619887353E-5</c:v>
                </c:pt>
                <c:pt idx="412">
                  <c:v>5.330682505899631E-5</c:v>
                </c:pt>
                <c:pt idx="413">
                  <c:v>7.4775643589930496E-5</c:v>
                </c:pt>
                <c:pt idx="414">
                  <c:v>7.5070239592633925E-5</c:v>
                </c:pt>
                <c:pt idx="415">
                  <c:v>2.9609870502156355E-5</c:v>
                </c:pt>
                <c:pt idx="416">
                  <c:v>4.0690361821305032E-5</c:v>
                </c:pt>
                <c:pt idx="417">
                  <c:v>5.7590983967514831E-5</c:v>
                </c:pt>
                <c:pt idx="418">
                  <c:v>6.0362642880562589E-5</c:v>
                </c:pt>
                <c:pt idx="419">
                  <c:v>5.8248231859181487E-5</c:v>
                </c:pt>
                <c:pt idx="420">
                  <c:v>6.7069692242682777E-5</c:v>
                </c:pt>
                <c:pt idx="421">
                  <c:v>8.206275789746087E-5</c:v>
                </c:pt>
                <c:pt idx="422">
                  <c:v>4.5931523175113398E-5</c:v>
                </c:pt>
                <c:pt idx="423">
                  <c:v>6.5360963780847214E-5</c:v>
                </c:pt>
                <c:pt idx="424">
                  <c:v>5.7006020668382007E-5</c:v>
                </c:pt>
                <c:pt idx="425">
                  <c:v>6.2714004002373258E-5</c:v>
                </c:pt>
                <c:pt idx="426">
                  <c:v>1.0107820520488531E-4</c:v>
                </c:pt>
                <c:pt idx="427">
                  <c:v>6.7229331214946342E-5</c:v>
                </c:pt>
                <c:pt idx="428">
                  <c:v>1.3209545224768249E-4</c:v>
                </c:pt>
                <c:pt idx="429">
                  <c:v>1.4433714811801224E-4</c:v>
                </c:pt>
                <c:pt idx="430">
                  <c:v>8.8074970179263801E-5</c:v>
                </c:pt>
                <c:pt idx="431">
                  <c:v>1.2046569987234079E-4</c:v>
                </c:pt>
                <c:pt idx="432">
                  <c:v>5.3125793371577856E-5</c:v>
                </c:pt>
                <c:pt idx="433">
                  <c:v>7.5274418236404017E-5</c:v>
                </c:pt>
                <c:pt idx="434">
                  <c:v>1.5453944774179718E-4</c:v>
                </c:pt>
                <c:pt idx="435">
                  <c:v>7.3689909605434423E-5</c:v>
                </c:pt>
                <c:pt idx="436">
                  <c:v>1.283780311531757E-4</c:v>
                </c:pt>
                <c:pt idx="437">
                  <c:v>1.0306919451252838E-4</c:v>
                </c:pt>
                <c:pt idx="438">
                  <c:v>9.7208054505415475E-5</c:v>
                </c:pt>
                <c:pt idx="439">
                  <c:v>7.4698625287084042E-5</c:v>
                </c:pt>
                <c:pt idx="440">
                  <c:v>4.5399008694602117E-5</c:v>
                </c:pt>
                <c:pt idx="441">
                  <c:v>6.4866258977502866E-5</c:v>
                </c:pt>
                <c:pt idx="442">
                  <c:v>1.7112990624212898E-4</c:v>
                </c:pt>
                <c:pt idx="443">
                  <c:v>1.3849670757792865E-4</c:v>
                </c:pt>
                <c:pt idx="444">
                  <c:v>3.3371251610958552E-5</c:v>
                </c:pt>
                <c:pt idx="445">
                  <c:v>4.0004508964130991E-5</c:v>
                </c:pt>
                <c:pt idx="446">
                  <c:v>4.3206469293011196E-5</c:v>
                </c:pt>
                <c:pt idx="447">
                  <c:v>8.4660725981677842E-5</c:v>
                </c:pt>
                <c:pt idx="448">
                  <c:v>9.6856954627355663E-5</c:v>
                </c:pt>
                <c:pt idx="449">
                  <c:v>4.5024346281508087E-5</c:v>
                </c:pt>
                <c:pt idx="450">
                  <c:v>7.3002779522823857E-5</c:v>
                </c:pt>
                <c:pt idx="451">
                  <c:v>4.911915479155482E-5</c:v>
                </c:pt>
                <c:pt idx="452">
                  <c:v>1.1268667507025043E-4</c:v>
                </c:pt>
                <c:pt idx="453">
                  <c:v>4.188228556500917E-5</c:v>
                </c:pt>
                <c:pt idx="454">
                  <c:v>2.7020814886924427E-5</c:v>
                </c:pt>
                <c:pt idx="455">
                  <c:v>3.4129161395668461E-5</c:v>
                </c:pt>
                <c:pt idx="456">
                  <c:v>2.6702349387619506E-5</c:v>
                </c:pt>
                <c:pt idx="457">
                  <c:v>5.7875558908904168E-5</c:v>
                </c:pt>
                <c:pt idx="458">
                  <c:v>5.7171194647764878E-5</c:v>
                </c:pt>
                <c:pt idx="459">
                  <c:v>3.125315895147196E-5</c:v>
                </c:pt>
                <c:pt idx="460">
                  <c:v>5.1106921457488852E-5</c:v>
                </c:pt>
                <c:pt idx="461">
                  <c:v>1.656196057702175E-4</c:v>
                </c:pt>
                <c:pt idx="462">
                  <c:v>1.5133096820107994E-4</c:v>
                </c:pt>
                <c:pt idx="463">
                  <c:v>5.5066087313093703E-5</c:v>
                </c:pt>
                <c:pt idx="464">
                  <c:v>4.8390153921218371E-5</c:v>
                </c:pt>
                <c:pt idx="465">
                  <c:v>5.9278012109587053E-5</c:v>
                </c:pt>
                <c:pt idx="466">
                  <c:v>9.3053003624277153E-5</c:v>
                </c:pt>
                <c:pt idx="467">
                  <c:v>6.5030049398728806E-5</c:v>
                </c:pt>
                <c:pt idx="468">
                  <c:v>8.4490436094597499E-5</c:v>
                </c:pt>
                <c:pt idx="469">
                  <c:v>1.4635659953299296E-4</c:v>
                </c:pt>
                <c:pt idx="470">
                  <c:v>2.6142056672284752E-5</c:v>
                </c:pt>
                <c:pt idx="471">
                  <c:v>6.4124436516266314E-5</c:v>
                </c:pt>
                <c:pt idx="472">
                  <c:v>2.9777151169696481E-5</c:v>
                </c:pt>
                <c:pt idx="473">
                  <c:v>1.7693365322202226E-5</c:v>
                </c:pt>
                <c:pt idx="474">
                  <c:v>6.2157182728839189E-5</c:v>
                </c:pt>
                <c:pt idx="475">
                  <c:v>1.9058838968888381E-4</c:v>
                </c:pt>
                <c:pt idx="476">
                  <c:v>7.5563266779710148E-5</c:v>
                </c:pt>
                <c:pt idx="477">
                  <c:v>4.9934139635610109E-5</c:v>
                </c:pt>
                <c:pt idx="478">
                  <c:v>1.141765730494626E-4</c:v>
                </c:pt>
                <c:pt idx="479">
                  <c:v>2.8986851532408764E-5</c:v>
                </c:pt>
                <c:pt idx="480">
                  <c:v>7.6121307934329252E-5</c:v>
                </c:pt>
                <c:pt idx="481">
                  <c:v>3.5187486517429534E-5</c:v>
                </c:pt>
                <c:pt idx="482">
                  <c:v>6.4802688985565737E-5</c:v>
                </c:pt>
                <c:pt idx="483">
                  <c:v>1.0583940206387865E-4</c:v>
                </c:pt>
                <c:pt idx="484">
                  <c:v>1.4214043953941768E-4</c:v>
                </c:pt>
                <c:pt idx="485">
                  <c:v>7.8816026565675656E-5</c:v>
                </c:pt>
                <c:pt idx="486">
                  <c:v>3.9930178417080242E-5</c:v>
                </c:pt>
                <c:pt idx="487">
                  <c:v>7.5280424610468799E-5</c:v>
                </c:pt>
                <c:pt idx="488">
                  <c:v>2.0418520738019197E-4</c:v>
                </c:pt>
                <c:pt idx="489">
                  <c:v>3.795309133991509E-5</c:v>
                </c:pt>
                <c:pt idx="490">
                  <c:v>2.7640516400140314E-5</c:v>
                </c:pt>
                <c:pt idx="491">
                  <c:v>1.7313437772159546E-4</c:v>
                </c:pt>
                <c:pt idx="492">
                  <c:v>2.4318878349305351E-5</c:v>
                </c:pt>
                <c:pt idx="493">
                  <c:v>3.2106731175929326E-5</c:v>
                </c:pt>
                <c:pt idx="494">
                  <c:v>9.9779307650038618E-5</c:v>
                </c:pt>
                <c:pt idx="495">
                  <c:v>1.0973412294390528E-4</c:v>
                </c:pt>
                <c:pt idx="496">
                  <c:v>3.6635474245372279E-5</c:v>
                </c:pt>
                <c:pt idx="497">
                  <c:v>1.1263695152052833E-4</c:v>
                </c:pt>
                <c:pt idx="498">
                  <c:v>7.8256328418291332E-5</c:v>
                </c:pt>
                <c:pt idx="499">
                  <c:v>1.0155589846050361E-4</c:v>
                </c:pt>
                <c:pt idx="500">
                  <c:v>7.3518245500281409E-5</c:v>
                </c:pt>
                <c:pt idx="501">
                  <c:v>3.9899642498397725E-5</c:v>
                </c:pt>
                <c:pt idx="502">
                  <c:v>1.539349728929551E-5</c:v>
                </c:pt>
                <c:pt idx="503">
                  <c:v>4.1437914635622519E-5</c:v>
                </c:pt>
                <c:pt idx="504">
                  <c:v>5.8179143053394E-5</c:v>
                </c:pt>
                <c:pt idx="505">
                  <c:v>5.0899200619625162E-5</c:v>
                </c:pt>
                <c:pt idx="506">
                  <c:v>5.0521468097031175E-5</c:v>
                </c:pt>
                <c:pt idx="507">
                  <c:v>2.4240674463982259E-4</c:v>
                </c:pt>
                <c:pt idx="508">
                  <c:v>1.4790283828247652E-4</c:v>
                </c:pt>
                <c:pt idx="509">
                  <c:v>8.0957306948903351E-5</c:v>
                </c:pt>
                <c:pt idx="510">
                  <c:v>4.2414503543142246E-5</c:v>
                </c:pt>
                <c:pt idx="511">
                  <c:v>8.7984507914029564E-5</c:v>
                </c:pt>
                <c:pt idx="512">
                  <c:v>5.4871985362581199E-5</c:v>
                </c:pt>
                <c:pt idx="513">
                  <c:v>5.7884446697187286E-5</c:v>
                </c:pt>
                <c:pt idx="514">
                  <c:v>2.61074338823164E-5</c:v>
                </c:pt>
                <c:pt idx="515">
                  <c:v>1.8997886659377627E-5</c:v>
                </c:pt>
                <c:pt idx="516">
                  <c:v>4.9994358665372829E-5</c:v>
                </c:pt>
                <c:pt idx="517">
                  <c:v>2.5585345181156072E-5</c:v>
                </c:pt>
                <c:pt idx="518">
                  <c:v>8.6603348186997664E-5</c:v>
                </c:pt>
                <c:pt idx="519">
                  <c:v>6.3391400146883825E-5</c:v>
                </c:pt>
                <c:pt idx="520">
                  <c:v>6.9196472129107178E-5</c:v>
                </c:pt>
                <c:pt idx="521">
                  <c:v>3.9101557931076059E-5</c:v>
                </c:pt>
                <c:pt idx="522">
                  <c:v>2.9195337162946089E-5</c:v>
                </c:pt>
                <c:pt idx="523">
                  <c:v>1.3170284452712622E-4</c:v>
                </c:pt>
                <c:pt idx="524">
                  <c:v>7.0205849446836055E-5</c:v>
                </c:pt>
                <c:pt idx="525">
                  <c:v>2.165338452542187E-5</c:v>
                </c:pt>
                <c:pt idx="526">
                  <c:v>4.7357070929621159E-5</c:v>
                </c:pt>
                <c:pt idx="527">
                  <c:v>5.4385768752496233E-5</c:v>
                </c:pt>
                <c:pt idx="528">
                  <c:v>7.8858725064634427E-5</c:v>
                </c:pt>
                <c:pt idx="529">
                  <c:v>5.9146061449411036E-5</c:v>
                </c:pt>
                <c:pt idx="530">
                  <c:v>5.766215495839333E-5</c:v>
                </c:pt>
                <c:pt idx="531">
                  <c:v>6.008623009989833E-5</c:v>
                </c:pt>
                <c:pt idx="532">
                  <c:v>5.7539782726934163E-5</c:v>
                </c:pt>
                <c:pt idx="533">
                  <c:v>3.7191134371283852E-5</c:v>
                </c:pt>
                <c:pt idx="534">
                  <c:v>2.7518307891938321E-5</c:v>
                </c:pt>
                <c:pt idx="535">
                  <c:v>7.9649913978130371E-5</c:v>
                </c:pt>
                <c:pt idx="536">
                  <c:v>4.120469856161435E-5</c:v>
                </c:pt>
                <c:pt idx="537">
                  <c:v>3.8961063062004087E-5</c:v>
                </c:pt>
                <c:pt idx="538">
                  <c:v>1.0017885326973897E-4</c:v>
                </c:pt>
                <c:pt idx="539">
                  <c:v>5.6834401952698954E-5</c:v>
                </c:pt>
                <c:pt idx="540">
                  <c:v>5.4950706037004693E-5</c:v>
                </c:pt>
                <c:pt idx="541">
                  <c:v>2.188994479368489E-5</c:v>
                </c:pt>
                <c:pt idx="542">
                  <c:v>1.8011271805562501E-5</c:v>
                </c:pt>
                <c:pt idx="543">
                  <c:v>4.787363719671589E-5</c:v>
                </c:pt>
                <c:pt idx="544">
                  <c:v>4.335747682659985E-5</c:v>
                </c:pt>
                <c:pt idx="545">
                  <c:v>8.3353421072018818E-5</c:v>
                </c:pt>
                <c:pt idx="546">
                  <c:v>5.7899695899976678E-5</c:v>
                </c:pt>
                <c:pt idx="547">
                  <c:v>1.7384752065652265E-4</c:v>
                </c:pt>
                <c:pt idx="548">
                  <c:v>6.3112273053889112E-5</c:v>
                </c:pt>
                <c:pt idx="549">
                  <c:v>2.3968696954312918E-5</c:v>
                </c:pt>
                <c:pt idx="550">
                  <c:v>4.7729997561418713E-5</c:v>
                </c:pt>
                <c:pt idx="551">
                  <c:v>6.8088745670991102E-5</c:v>
                </c:pt>
                <c:pt idx="552">
                  <c:v>4.0208688147913563E-5</c:v>
                </c:pt>
                <c:pt idx="553">
                  <c:v>1.6635506582929338E-5</c:v>
                </c:pt>
                <c:pt idx="554">
                  <c:v>5.2299470553407446E-5</c:v>
                </c:pt>
                <c:pt idx="555">
                  <c:v>5.3313503478591429E-5</c:v>
                </c:pt>
                <c:pt idx="556">
                  <c:v>5.4542291547221566E-5</c:v>
                </c:pt>
                <c:pt idx="557">
                  <c:v>8.4900062912396379E-5</c:v>
                </c:pt>
                <c:pt idx="558">
                  <c:v>2.6322971457659605E-5</c:v>
                </c:pt>
                <c:pt idx="559">
                  <c:v>1.0149613184040618E-4</c:v>
                </c:pt>
                <c:pt idx="560">
                  <c:v>8.0411383610368148E-5</c:v>
                </c:pt>
                <c:pt idx="561">
                  <c:v>8.6334389273190482E-5</c:v>
                </c:pt>
                <c:pt idx="562">
                  <c:v>7.3026213698312858E-5</c:v>
                </c:pt>
                <c:pt idx="563">
                  <c:v>8.8028336840295651E-5</c:v>
                </c:pt>
                <c:pt idx="564">
                  <c:v>6.0520205977354635E-5</c:v>
                </c:pt>
                <c:pt idx="565">
                  <c:v>5.7796587320524395E-5</c:v>
                </c:pt>
                <c:pt idx="566">
                  <c:v>7.7733727049889012E-5</c:v>
                </c:pt>
                <c:pt idx="567">
                  <c:v>1.426280736076535E-4</c:v>
                </c:pt>
                <c:pt idx="568">
                  <c:v>4.3590353634215262E-5</c:v>
                </c:pt>
                <c:pt idx="569">
                  <c:v>1.8269094443468248E-4</c:v>
                </c:pt>
                <c:pt idx="570">
                  <c:v>6.3993723564692573E-5</c:v>
                </c:pt>
                <c:pt idx="571">
                  <c:v>4.4156321308719271E-5</c:v>
                </c:pt>
                <c:pt idx="572">
                  <c:v>5.3382506663979257E-5</c:v>
                </c:pt>
                <c:pt idx="573">
                  <c:v>1.5076759827437058E-4</c:v>
                </c:pt>
                <c:pt idx="574">
                  <c:v>3.2666239452083801E-5</c:v>
                </c:pt>
                <c:pt idx="575">
                  <c:v>8.1918534281300026E-5</c:v>
                </c:pt>
                <c:pt idx="576">
                  <c:v>4.6523096944639519E-5</c:v>
                </c:pt>
                <c:pt idx="577">
                  <c:v>9.7907732115487534E-5</c:v>
                </c:pt>
                <c:pt idx="578">
                  <c:v>7.5221740594599851E-5</c:v>
                </c:pt>
                <c:pt idx="579">
                  <c:v>6.0212916636714908E-5</c:v>
                </c:pt>
                <c:pt idx="580">
                  <c:v>6.9810046486651345E-5</c:v>
                </c:pt>
                <c:pt idx="581">
                  <c:v>3.5846322337107495E-5</c:v>
                </c:pt>
                <c:pt idx="582">
                  <c:v>5.629465101364417E-5</c:v>
                </c:pt>
                <c:pt idx="583">
                  <c:v>4.7484712503376159E-5</c:v>
                </c:pt>
                <c:pt idx="584">
                  <c:v>4.4314407681156354E-5</c:v>
                </c:pt>
                <c:pt idx="585">
                  <c:v>1.4242858733126695E-4</c:v>
                </c:pt>
                <c:pt idx="586">
                  <c:v>4.9490804673979483E-5</c:v>
                </c:pt>
                <c:pt idx="587">
                  <c:v>1.4296523394108362E-4</c:v>
                </c:pt>
                <c:pt idx="588">
                  <c:v>4.3150069373609767E-5</c:v>
                </c:pt>
                <c:pt idx="589">
                  <c:v>3.147341581311025E-5</c:v>
                </c:pt>
                <c:pt idx="590">
                  <c:v>1.2381932686267305E-4</c:v>
                </c:pt>
                <c:pt idx="591">
                  <c:v>8.8431627549567793E-5</c:v>
                </c:pt>
                <c:pt idx="592">
                  <c:v>4.4580764949841978E-5</c:v>
                </c:pt>
                <c:pt idx="593">
                  <c:v>1.5557224989137808E-4</c:v>
                </c:pt>
                <c:pt idx="594">
                  <c:v>8.8222177588193063E-5</c:v>
                </c:pt>
                <c:pt idx="595">
                  <c:v>4.1811738153541E-5</c:v>
                </c:pt>
                <c:pt idx="596">
                  <c:v>3.1755398964605774E-5</c:v>
                </c:pt>
                <c:pt idx="597">
                  <c:v>3.184329410643727E-5</c:v>
                </c:pt>
                <c:pt idx="598">
                  <c:v>5.4940824554705614E-5</c:v>
                </c:pt>
                <c:pt idx="599">
                  <c:v>7.489831416052084E-5</c:v>
                </c:pt>
                <c:pt idx="600">
                  <c:v>5.0373882633181211E-5</c:v>
                </c:pt>
                <c:pt idx="601">
                  <c:v>6.098900569639909E-5</c:v>
                </c:pt>
                <c:pt idx="602">
                  <c:v>9.1491899663509457E-5</c:v>
                </c:pt>
                <c:pt idx="603">
                  <c:v>3.4754747808563025E-5</c:v>
                </c:pt>
                <c:pt idx="604">
                  <c:v>1.2291752723925242E-4</c:v>
                </c:pt>
                <c:pt idx="605">
                  <c:v>7.1302340533208053E-5</c:v>
                </c:pt>
                <c:pt idx="606">
                  <c:v>6.3803837360154603E-5</c:v>
                </c:pt>
                <c:pt idx="607">
                  <c:v>4.5162472662951814E-5</c:v>
                </c:pt>
                <c:pt idx="608">
                  <c:v>3.3965669540947374E-5</c:v>
                </c:pt>
                <c:pt idx="609">
                  <c:v>7.3649585882407109E-5</c:v>
                </c:pt>
                <c:pt idx="610">
                  <c:v>3.6598718793356966E-5</c:v>
                </c:pt>
                <c:pt idx="611">
                  <c:v>3.6209358661665192E-5</c:v>
                </c:pt>
                <c:pt idx="612">
                  <c:v>7.1369543682919812E-5</c:v>
                </c:pt>
                <c:pt idx="613">
                  <c:v>1.5175033552594641E-4</c:v>
                </c:pt>
                <c:pt idx="614">
                  <c:v>2.1727490068101929E-4</c:v>
                </c:pt>
                <c:pt idx="615">
                  <c:v>3.3159481969136095E-5</c:v>
                </c:pt>
                <c:pt idx="616">
                  <c:v>6.3032547362951163E-5</c:v>
                </c:pt>
                <c:pt idx="617">
                  <c:v>9.3112248002569231E-5</c:v>
                </c:pt>
                <c:pt idx="618">
                  <c:v>2.3266084624040673E-4</c:v>
                </c:pt>
                <c:pt idx="619">
                  <c:v>6.2189114007793478E-5</c:v>
                </c:pt>
                <c:pt idx="620">
                  <c:v>1.1302730140272388E-4</c:v>
                </c:pt>
                <c:pt idx="621">
                  <c:v>3.3103945877854812E-5</c:v>
                </c:pt>
                <c:pt idx="622">
                  <c:v>5.79458304059699E-5</c:v>
                </c:pt>
                <c:pt idx="623">
                  <c:v>1.4281277297456541E-4</c:v>
                </c:pt>
                <c:pt idx="624">
                  <c:v>3.9404552847344121E-5</c:v>
                </c:pt>
                <c:pt idx="625">
                  <c:v>4.0736128333662691E-5</c:v>
                </c:pt>
                <c:pt idx="626">
                  <c:v>2.8961611473476978E-5</c:v>
                </c:pt>
                <c:pt idx="627">
                  <c:v>5.394340337261383E-5</c:v>
                </c:pt>
                <c:pt idx="628">
                  <c:v>4.4691758684933802E-5</c:v>
                </c:pt>
                <c:pt idx="629">
                  <c:v>8.012209614705057E-5</c:v>
                </c:pt>
                <c:pt idx="630">
                  <c:v>1.1431612456291873E-4</c:v>
                </c:pt>
                <c:pt idx="631">
                  <c:v>6.1397789842487782E-5</c:v>
                </c:pt>
                <c:pt idx="632">
                  <c:v>2.3335218775599742E-4</c:v>
                </c:pt>
                <c:pt idx="633">
                  <c:v>4.6924485086918821E-5</c:v>
                </c:pt>
                <c:pt idx="634">
                  <c:v>2.0997346286577567E-5</c:v>
                </c:pt>
                <c:pt idx="635">
                  <c:v>1.0792394298064778E-4</c:v>
                </c:pt>
                <c:pt idx="636">
                  <c:v>9.6388838457528436E-5</c:v>
                </c:pt>
                <c:pt idx="637">
                  <c:v>1.7155944340530027E-4</c:v>
                </c:pt>
                <c:pt idx="638">
                  <c:v>4.3136348804040381E-5</c:v>
                </c:pt>
                <c:pt idx="639">
                  <c:v>5.8932037052983333E-5</c:v>
                </c:pt>
                <c:pt idx="640">
                  <c:v>2.3551452464687372E-5</c:v>
                </c:pt>
                <c:pt idx="641">
                  <c:v>3.4141460293568571E-5</c:v>
                </c:pt>
                <c:pt idx="642">
                  <c:v>7.0258713463999811E-5</c:v>
                </c:pt>
                <c:pt idx="643">
                  <c:v>8.4579148886376743E-5</c:v>
                </c:pt>
                <c:pt idx="644">
                  <c:v>3.5683613639037048E-5</c:v>
                </c:pt>
                <c:pt idx="645">
                  <c:v>1.6737755065676652E-4</c:v>
                </c:pt>
                <c:pt idx="646">
                  <c:v>6.3630163399608364E-5</c:v>
                </c:pt>
                <c:pt idx="647">
                  <c:v>4.4956821380282008E-5</c:v>
                </c:pt>
                <c:pt idx="648">
                  <c:v>3.5204011716416517E-5</c:v>
                </c:pt>
                <c:pt idx="649">
                  <c:v>1.6999147500129652E-4</c:v>
                </c:pt>
                <c:pt idx="650">
                  <c:v>3.9452381969340422E-5</c:v>
                </c:pt>
                <c:pt idx="651">
                  <c:v>2.1669825681414068E-5</c:v>
                </c:pt>
                <c:pt idx="652">
                  <c:v>2.7275557797779015E-4</c:v>
                </c:pt>
                <c:pt idx="653">
                  <c:v>1.3994575571274481E-5</c:v>
                </c:pt>
                <c:pt idx="654">
                  <c:v>9.9227898591180974E-5</c:v>
                </c:pt>
                <c:pt idx="655">
                  <c:v>6.4021992578489062E-5</c:v>
                </c:pt>
                <c:pt idx="656">
                  <c:v>7.0407476140843528E-5</c:v>
                </c:pt>
                <c:pt idx="657">
                  <c:v>5.6745966794835567E-5</c:v>
                </c:pt>
                <c:pt idx="658">
                  <c:v>2.6754640646942107E-5</c:v>
                </c:pt>
                <c:pt idx="659">
                  <c:v>2.854329552803847E-5</c:v>
                </c:pt>
                <c:pt idx="660">
                  <c:v>6.7632777483339623E-5</c:v>
                </c:pt>
                <c:pt idx="661">
                  <c:v>5.6106961029200875E-5</c:v>
                </c:pt>
                <c:pt idx="662">
                  <c:v>2.2117028706247766E-5</c:v>
                </c:pt>
                <c:pt idx="663">
                  <c:v>5.2326762936871773E-5</c:v>
                </c:pt>
                <c:pt idx="664">
                  <c:v>4.2474661590574669E-5</c:v>
                </c:pt>
                <c:pt idx="665">
                  <c:v>6.3842454856910535E-5</c:v>
                </c:pt>
                <c:pt idx="666">
                  <c:v>5.4554409253171343E-5</c:v>
                </c:pt>
                <c:pt idx="667">
                  <c:v>1.7921452123204062E-5</c:v>
                </c:pt>
                <c:pt idx="668">
                  <c:v>8.4903937828784137E-5</c:v>
                </c:pt>
                <c:pt idx="669">
                  <c:v>9.8593427832582847E-5</c:v>
                </c:pt>
                <c:pt idx="670">
                  <c:v>5.826775714368182E-5</c:v>
                </c:pt>
                <c:pt idx="671">
                  <c:v>3.2144004165957085E-5</c:v>
                </c:pt>
                <c:pt idx="672">
                  <c:v>7.2628106689620608E-5</c:v>
                </c:pt>
                <c:pt idx="673">
                  <c:v>1.0453811750821274E-4</c:v>
                </c:pt>
                <c:pt idx="674">
                  <c:v>3.5264027740566917E-5</c:v>
                </c:pt>
                <c:pt idx="675">
                  <c:v>4.7380733651181117E-5</c:v>
                </c:pt>
                <c:pt idx="676">
                  <c:v>4.3524509834469427E-5</c:v>
                </c:pt>
                <c:pt idx="677">
                  <c:v>1.0268069380714451E-4</c:v>
                </c:pt>
                <c:pt idx="678">
                  <c:v>9.4345333344847404E-5</c:v>
                </c:pt>
                <c:pt idx="679">
                  <c:v>4.5815423888484474E-5</c:v>
                </c:pt>
                <c:pt idx="680">
                  <c:v>5.349691066669493E-5</c:v>
                </c:pt>
                <c:pt idx="681">
                  <c:v>9.3547561156981374E-5</c:v>
                </c:pt>
                <c:pt idx="682">
                  <c:v>2.2322180963385563E-4</c:v>
                </c:pt>
                <c:pt idx="683">
                  <c:v>4.0491957634003484E-5</c:v>
                </c:pt>
                <c:pt idx="684">
                  <c:v>3.4489639890722401E-5</c:v>
                </c:pt>
                <c:pt idx="685">
                  <c:v>1.2229717611944579E-4</c:v>
                </c:pt>
                <c:pt idx="686">
                  <c:v>6.9903783103342221E-5</c:v>
                </c:pt>
                <c:pt idx="687">
                  <c:v>6.7228845793465553E-5</c:v>
                </c:pt>
                <c:pt idx="688">
                  <c:v>1.1903072924113189E-4</c:v>
                </c:pt>
                <c:pt idx="689">
                  <c:v>3.8125712780612275E-5</c:v>
                </c:pt>
                <c:pt idx="690">
                  <c:v>3.7905918183867016E-5</c:v>
                </c:pt>
                <c:pt idx="691">
                  <c:v>3.0219770479789076E-5</c:v>
                </c:pt>
                <c:pt idx="692">
                  <c:v>6.4579495191452452E-5</c:v>
                </c:pt>
                <c:pt idx="693">
                  <c:v>1.6733226354759267E-4</c:v>
                </c:pt>
                <c:pt idx="694">
                  <c:v>5.0630866265777286E-5</c:v>
                </c:pt>
                <c:pt idx="695">
                  <c:v>6.7675045446691229E-5</c:v>
                </c:pt>
                <c:pt idx="696">
                  <c:v>5.0836040038859664E-5</c:v>
                </c:pt>
                <c:pt idx="697">
                  <c:v>5.4260373406833651E-5</c:v>
                </c:pt>
                <c:pt idx="698">
                  <c:v>9.0706898301817773E-5</c:v>
                </c:pt>
                <c:pt idx="699">
                  <c:v>5.9827808286172512E-5</c:v>
                </c:pt>
                <c:pt idx="700">
                  <c:v>5.7572294092977927E-5</c:v>
                </c:pt>
                <c:pt idx="701">
                  <c:v>1.8248870929937766E-5</c:v>
                </c:pt>
                <c:pt idx="702">
                  <c:v>8.289240697578748E-5</c:v>
                </c:pt>
                <c:pt idx="703">
                  <c:v>2.8433660666848937E-5</c:v>
                </c:pt>
                <c:pt idx="704">
                  <c:v>8.3043713843267142E-5</c:v>
                </c:pt>
                <c:pt idx="705">
                  <c:v>2.2683488584362976E-5</c:v>
                </c:pt>
                <c:pt idx="706">
                  <c:v>5.3676878799535643E-5</c:v>
                </c:pt>
                <c:pt idx="707">
                  <c:v>6.8606350783539938E-5</c:v>
                </c:pt>
                <c:pt idx="708">
                  <c:v>4.5860152138033072E-5</c:v>
                </c:pt>
                <c:pt idx="709">
                  <c:v>5.8492954895683624E-5</c:v>
                </c:pt>
                <c:pt idx="710">
                  <c:v>6.2939512840642919E-5</c:v>
                </c:pt>
                <c:pt idx="711">
                  <c:v>7.6775753171887118E-5</c:v>
                </c:pt>
                <c:pt idx="712">
                  <c:v>5.8939451005102228E-5</c:v>
                </c:pt>
                <c:pt idx="713">
                  <c:v>5.3874747930393596E-5</c:v>
                </c:pt>
                <c:pt idx="714">
                  <c:v>1.2952793775156124E-4</c:v>
                </c:pt>
                <c:pt idx="715">
                  <c:v>1.7185782398954075E-4</c:v>
                </c:pt>
                <c:pt idx="716">
                  <c:v>8.2768156474344323E-5</c:v>
                </c:pt>
                <c:pt idx="717">
                  <c:v>9.5597478402709157E-5</c:v>
                </c:pt>
                <c:pt idx="718">
                  <c:v>4.8398522984882675E-5</c:v>
                </c:pt>
                <c:pt idx="719">
                  <c:v>3.9075278852607198E-5</c:v>
                </c:pt>
                <c:pt idx="720">
                  <c:v>4.7439120489656261E-5</c:v>
                </c:pt>
                <c:pt idx="721">
                  <c:v>1.862836638331089E-4</c:v>
                </c:pt>
                <c:pt idx="722">
                  <c:v>4.9161276848508351E-5</c:v>
                </c:pt>
                <c:pt idx="723">
                  <c:v>1.1007654265426936E-4</c:v>
                </c:pt>
                <c:pt idx="724">
                  <c:v>3.9147714787191035E-5</c:v>
                </c:pt>
                <c:pt idx="725">
                  <c:v>3.2291688015106956E-5</c:v>
                </c:pt>
                <c:pt idx="726">
                  <c:v>6.3166325773522658E-5</c:v>
                </c:pt>
                <c:pt idx="727">
                  <c:v>4.6783677898787346E-5</c:v>
                </c:pt>
                <c:pt idx="728">
                  <c:v>6.2381857777182859E-5</c:v>
                </c:pt>
                <c:pt idx="729">
                  <c:v>1.1726180117932472E-4</c:v>
                </c:pt>
                <c:pt idx="730">
                  <c:v>5.2970941823105022E-5</c:v>
                </c:pt>
                <c:pt idx="731">
                  <c:v>3.1058698660046957E-5</c:v>
                </c:pt>
                <c:pt idx="732">
                  <c:v>1.0609176208831173E-4</c:v>
                </c:pt>
                <c:pt idx="733">
                  <c:v>2.2063730529708891E-5</c:v>
                </c:pt>
                <c:pt idx="734">
                  <c:v>1.0010469002708078E-4</c:v>
                </c:pt>
                <c:pt idx="735">
                  <c:v>4.8342087861641403E-5</c:v>
                </c:pt>
                <c:pt idx="736">
                  <c:v>2.6350552357001789E-5</c:v>
                </c:pt>
                <c:pt idx="737">
                  <c:v>2.0298475369884272E-5</c:v>
                </c:pt>
                <c:pt idx="738">
                  <c:v>8.9596012223580601E-5</c:v>
                </c:pt>
                <c:pt idx="739">
                  <c:v>7.1779519359438382E-5</c:v>
                </c:pt>
                <c:pt idx="740">
                  <c:v>6.9491896695694777E-5</c:v>
                </c:pt>
                <c:pt idx="741">
                  <c:v>5.0040102340886961E-5</c:v>
                </c:pt>
                <c:pt idx="742">
                  <c:v>3.2267675969421816E-5</c:v>
                </c:pt>
                <c:pt idx="743">
                  <c:v>3.9758318269633719E-5</c:v>
                </c:pt>
                <c:pt idx="744">
                  <c:v>4.1532303075797472E-5</c:v>
                </c:pt>
                <c:pt idx="745">
                  <c:v>8.8127269300741773E-5</c:v>
                </c:pt>
                <c:pt idx="746">
                  <c:v>1.0526563736235062E-4</c:v>
                </c:pt>
                <c:pt idx="747">
                  <c:v>1.0407316239025022E-4</c:v>
                </c:pt>
                <c:pt idx="748">
                  <c:v>3.8689721169049562E-5</c:v>
                </c:pt>
                <c:pt idx="749">
                  <c:v>4.117825151439547E-5</c:v>
                </c:pt>
                <c:pt idx="750">
                  <c:v>4.3380468298437336E-5</c:v>
                </c:pt>
                <c:pt idx="751">
                  <c:v>1.4111912927816661E-4</c:v>
                </c:pt>
                <c:pt idx="752">
                  <c:v>4.1968603248676573E-5</c:v>
                </c:pt>
                <c:pt idx="753">
                  <c:v>2.6445510563632979E-5</c:v>
                </c:pt>
                <c:pt idx="754">
                  <c:v>5.7169209373597596E-5</c:v>
                </c:pt>
                <c:pt idx="755">
                  <c:v>2.2248507725919353E-5</c:v>
                </c:pt>
                <c:pt idx="756">
                  <c:v>4.0035117489622962E-5</c:v>
                </c:pt>
                <c:pt idx="757">
                  <c:v>3.1162274634510823E-5</c:v>
                </c:pt>
                <c:pt idx="758">
                  <c:v>6.6089353868648004E-5</c:v>
                </c:pt>
                <c:pt idx="759">
                  <c:v>4.9586350304053894E-5</c:v>
                </c:pt>
                <c:pt idx="760">
                  <c:v>7.8047955405224911E-5</c:v>
                </c:pt>
                <c:pt idx="761">
                  <c:v>9.5484110818944146E-5</c:v>
                </c:pt>
                <c:pt idx="762">
                  <c:v>1.0298595649516074E-4</c:v>
                </c:pt>
                <c:pt idx="763">
                  <c:v>7.6787369572173247E-5</c:v>
                </c:pt>
                <c:pt idx="764">
                  <c:v>8.985882893242092E-5</c:v>
                </c:pt>
                <c:pt idx="765">
                  <c:v>5.3807649578629935E-5</c:v>
                </c:pt>
                <c:pt idx="766">
                  <c:v>1.2058679834581199E-4</c:v>
                </c:pt>
                <c:pt idx="767">
                  <c:v>1.5101999398225985E-4</c:v>
                </c:pt>
                <c:pt idx="768">
                  <c:v>2.0031331455783175E-4</c:v>
                </c:pt>
                <c:pt idx="769">
                  <c:v>9.2290935608474456E-5</c:v>
                </c:pt>
                <c:pt idx="770">
                  <c:v>6.7663117722105426E-5</c:v>
                </c:pt>
                <c:pt idx="771">
                  <c:v>6.7575227269855986E-5</c:v>
                </c:pt>
                <c:pt idx="772">
                  <c:v>6.7086912313385483E-5</c:v>
                </c:pt>
                <c:pt idx="773">
                  <c:v>5.817017770581856E-5</c:v>
                </c:pt>
                <c:pt idx="774">
                  <c:v>4.9491701684445388E-5</c:v>
                </c:pt>
                <c:pt idx="775">
                  <c:v>2.4663942351565993E-5</c:v>
                </c:pt>
                <c:pt idx="776">
                  <c:v>3.5677229078601158E-5</c:v>
                </c:pt>
                <c:pt idx="777">
                  <c:v>6.4471362932749798E-5</c:v>
                </c:pt>
                <c:pt idx="778">
                  <c:v>7.1473954758261016E-5</c:v>
                </c:pt>
                <c:pt idx="779">
                  <c:v>6.3209101920591593E-5</c:v>
                </c:pt>
                <c:pt idx="780">
                  <c:v>4.9026038581700959E-5</c:v>
                </c:pt>
                <c:pt idx="781">
                  <c:v>2.557300992123146E-5</c:v>
                </c:pt>
                <c:pt idx="782">
                  <c:v>1.0253980264707252E-4</c:v>
                </c:pt>
                <c:pt idx="783">
                  <c:v>3.0001724983463873E-5</c:v>
                </c:pt>
                <c:pt idx="784">
                  <c:v>6.3826412919354425E-5</c:v>
                </c:pt>
                <c:pt idx="785">
                  <c:v>8.2257268324781307E-5</c:v>
                </c:pt>
                <c:pt idx="786">
                  <c:v>7.6771201900527331E-5</c:v>
                </c:pt>
                <c:pt idx="787">
                  <c:v>5.7441988726480986E-5</c:v>
                </c:pt>
                <c:pt idx="788">
                  <c:v>5.8124803501868882E-5</c:v>
                </c:pt>
                <c:pt idx="789">
                  <c:v>1.0768324949594898E-4</c:v>
                </c:pt>
                <c:pt idx="790">
                  <c:v>1.7090317175316727E-4</c:v>
                </c:pt>
                <c:pt idx="791">
                  <c:v>3.6525186594360548E-5</c:v>
                </c:pt>
                <c:pt idx="792">
                  <c:v>2.5741628498110458E-5</c:v>
                </c:pt>
                <c:pt idx="793">
                  <c:v>4.3050303588643146E-5</c:v>
                </c:pt>
                <c:pt idx="794">
                  <c:v>5.2202412753388217E-5</c:v>
                </c:pt>
                <c:pt idx="795">
                  <c:v>6.5176108471121097E-5</c:v>
                </c:pt>
                <c:pt idx="796">
                  <c:v>3.5358838896826228E-5</c:v>
                </c:pt>
                <c:pt idx="797">
                  <c:v>8.0413523090072658E-5</c:v>
                </c:pt>
                <c:pt idx="798">
                  <c:v>8.0298828983416115E-5</c:v>
                </c:pt>
                <c:pt idx="799">
                  <c:v>3.9826689842925589E-5</c:v>
                </c:pt>
                <c:pt idx="800">
                  <c:v>6.9673749063525747E-5</c:v>
                </c:pt>
                <c:pt idx="801">
                  <c:v>7.5125566446843095E-5</c:v>
                </c:pt>
                <c:pt idx="802">
                  <c:v>1.8947068650021492E-5</c:v>
                </c:pt>
                <c:pt idx="803">
                  <c:v>7.4121311147479219E-5</c:v>
                </c:pt>
                <c:pt idx="804">
                  <c:v>5.408361439407372E-5</c:v>
                </c:pt>
                <c:pt idx="805">
                  <c:v>3.6019442138268687E-5</c:v>
                </c:pt>
                <c:pt idx="806">
                  <c:v>6.8709608466832606E-5</c:v>
                </c:pt>
                <c:pt idx="807">
                  <c:v>2.7176845517118409E-5</c:v>
                </c:pt>
                <c:pt idx="808">
                  <c:v>5.1319012936090758E-5</c:v>
                </c:pt>
                <c:pt idx="809">
                  <c:v>9.4764248107281901E-5</c:v>
                </c:pt>
                <c:pt idx="810">
                  <c:v>3.6565956264666966E-5</c:v>
                </c:pt>
                <c:pt idx="811">
                  <c:v>5.4528393437891509E-5</c:v>
                </c:pt>
                <c:pt idx="812">
                  <c:v>1.8098177356762335E-4</c:v>
                </c:pt>
                <c:pt idx="813">
                  <c:v>3.2824316509305618E-5</c:v>
                </c:pt>
                <c:pt idx="814">
                  <c:v>7.3075746339412717E-5</c:v>
                </c:pt>
                <c:pt idx="815">
                  <c:v>9.4003012119259211E-5</c:v>
                </c:pt>
                <c:pt idx="816">
                  <c:v>3.3626807756093058E-5</c:v>
                </c:pt>
                <c:pt idx="817">
                  <c:v>9.1495779471983951E-5</c:v>
                </c:pt>
                <c:pt idx="818">
                  <c:v>7.1299865254559336E-5</c:v>
                </c:pt>
                <c:pt idx="819">
                  <c:v>3.9346926950400984E-5</c:v>
                </c:pt>
                <c:pt idx="820">
                  <c:v>7.1108023590227276E-5</c:v>
                </c:pt>
                <c:pt idx="821">
                  <c:v>1.2852578233335521E-4</c:v>
                </c:pt>
                <c:pt idx="822">
                  <c:v>4.1401266891227806E-5</c:v>
                </c:pt>
                <c:pt idx="823">
                  <c:v>2.8594574274620754E-5</c:v>
                </c:pt>
                <c:pt idx="824">
                  <c:v>4.6249588152136312E-5</c:v>
                </c:pt>
                <c:pt idx="825">
                  <c:v>3.6277033991893859E-5</c:v>
                </c:pt>
                <c:pt idx="826">
                  <c:v>3.847991481364943E-5</c:v>
                </c:pt>
                <c:pt idx="827">
                  <c:v>3.5475313001853692E-5</c:v>
                </c:pt>
                <c:pt idx="828">
                  <c:v>4.9234579680756951E-5</c:v>
                </c:pt>
                <c:pt idx="829">
                  <c:v>8.2428228683539828E-5</c:v>
                </c:pt>
                <c:pt idx="830">
                  <c:v>3.9298588262681733E-5</c:v>
                </c:pt>
                <c:pt idx="831">
                  <c:v>8.4270382249229669E-5</c:v>
                </c:pt>
                <c:pt idx="832">
                  <c:v>1.1764387397050768E-4</c:v>
                </c:pt>
                <c:pt idx="833">
                  <c:v>5.8498884357049974E-5</c:v>
                </c:pt>
                <c:pt idx="834">
                  <c:v>1.0366910448666999E-4</c:v>
                </c:pt>
                <c:pt idx="835">
                  <c:v>2.8782295238727329E-5</c:v>
                </c:pt>
                <c:pt idx="836">
                  <c:v>1.1642324529503867E-4</c:v>
                </c:pt>
                <c:pt idx="837">
                  <c:v>2.9451810256375666E-5</c:v>
                </c:pt>
                <c:pt idx="838">
                  <c:v>6.9065982508220713E-5</c:v>
                </c:pt>
                <c:pt idx="839">
                  <c:v>3.2153638972687304E-5</c:v>
                </c:pt>
                <c:pt idx="840">
                  <c:v>4.6702637430229288E-5</c:v>
                </c:pt>
                <c:pt idx="841">
                  <c:v>1.913839926004357E-5</c:v>
                </c:pt>
                <c:pt idx="842">
                  <c:v>5.1186244018452953E-5</c:v>
                </c:pt>
                <c:pt idx="843">
                  <c:v>1.0251717197817811E-4</c:v>
                </c:pt>
                <c:pt idx="844">
                  <c:v>2.4001721968147649E-5</c:v>
                </c:pt>
                <c:pt idx="845">
                  <c:v>1.2503433964283772E-4</c:v>
                </c:pt>
                <c:pt idx="846">
                  <c:v>8.0981640540045419E-5</c:v>
                </c:pt>
                <c:pt idx="847">
                  <c:v>2.4575635556800535E-5</c:v>
                </c:pt>
                <c:pt idx="848">
                  <c:v>8.6359134748192901E-5</c:v>
                </c:pt>
                <c:pt idx="849">
                  <c:v>2.8940812335065402E-5</c:v>
                </c:pt>
                <c:pt idx="850">
                  <c:v>4.4025747378384494E-5</c:v>
                </c:pt>
                <c:pt idx="851">
                  <c:v>7.4796797747467281E-5</c:v>
                </c:pt>
                <c:pt idx="852">
                  <c:v>7.6662594690191099E-5</c:v>
                </c:pt>
                <c:pt idx="853">
                  <c:v>8.0670172962982178E-5</c:v>
                </c:pt>
                <c:pt idx="854">
                  <c:v>1.267889116149945E-4</c:v>
                </c:pt>
                <c:pt idx="855">
                  <c:v>1.9572307156323632E-5</c:v>
                </c:pt>
                <c:pt idx="856">
                  <c:v>3.6672126224601698E-5</c:v>
                </c:pt>
                <c:pt idx="857">
                  <c:v>5.488980544399169E-5</c:v>
                </c:pt>
                <c:pt idx="858">
                  <c:v>1.9429707294094101E-4</c:v>
                </c:pt>
                <c:pt idx="859">
                  <c:v>1.0032455258723871E-4</c:v>
                </c:pt>
                <c:pt idx="860">
                  <c:v>5.26722137941249E-5</c:v>
                </c:pt>
                <c:pt idx="861">
                  <c:v>1.9512435081026069E-5</c:v>
                </c:pt>
                <c:pt idx="862">
                  <c:v>5.58730229727189E-5</c:v>
                </c:pt>
                <c:pt idx="863">
                  <c:v>4.1596414032341045E-5</c:v>
                </c:pt>
                <c:pt idx="864">
                  <c:v>1.564590478757566E-4</c:v>
                </c:pt>
                <c:pt idx="865">
                  <c:v>2.3451203915669794E-5</c:v>
                </c:pt>
                <c:pt idx="866">
                  <c:v>3.4323599233943014E-5</c:v>
                </c:pt>
                <c:pt idx="867">
                  <c:v>6.4510242435034115E-5</c:v>
                </c:pt>
                <c:pt idx="868">
                  <c:v>3.2325803918098472E-5</c:v>
                </c:pt>
                <c:pt idx="869">
                  <c:v>6.6800732181349076E-5</c:v>
                </c:pt>
                <c:pt idx="870">
                  <c:v>1.2977695017823976E-4</c:v>
                </c:pt>
                <c:pt idx="871">
                  <c:v>5.7759000082313605E-5</c:v>
                </c:pt>
                <c:pt idx="872">
                  <c:v>4.2783125728362847E-5</c:v>
                </c:pt>
                <c:pt idx="873">
                  <c:v>3.8363589787593355E-5</c:v>
                </c:pt>
                <c:pt idx="874">
                  <c:v>7.008479959580427E-5</c:v>
                </c:pt>
                <c:pt idx="875">
                  <c:v>1.4144152945405608E-4</c:v>
                </c:pt>
                <c:pt idx="876">
                  <c:v>2.7627308103461701E-5</c:v>
                </c:pt>
                <c:pt idx="877">
                  <c:v>1.2114626807857576E-4</c:v>
                </c:pt>
                <c:pt idx="878">
                  <c:v>6.3267239205799797E-5</c:v>
                </c:pt>
                <c:pt idx="879">
                  <c:v>5.2495558762188921E-5</c:v>
                </c:pt>
                <c:pt idx="880">
                  <c:v>3.5142437763369117E-5</c:v>
                </c:pt>
                <c:pt idx="881">
                  <c:v>2.6084363287992574E-5</c:v>
                </c:pt>
                <c:pt idx="882">
                  <c:v>7.883520224893914E-5</c:v>
                </c:pt>
                <c:pt idx="883">
                  <c:v>1.3369638663007777E-4</c:v>
                </c:pt>
                <c:pt idx="884">
                  <c:v>5.3909861684076077E-5</c:v>
                </c:pt>
                <c:pt idx="885">
                  <c:v>3.3180857165859834E-5</c:v>
                </c:pt>
                <c:pt idx="886">
                  <c:v>2.6122799074101977E-5</c:v>
                </c:pt>
                <c:pt idx="887">
                  <c:v>4.5834180948389758E-5</c:v>
                </c:pt>
                <c:pt idx="888">
                  <c:v>7.901812220723059E-5</c:v>
                </c:pt>
                <c:pt idx="889">
                  <c:v>1.0749727309899981E-4</c:v>
                </c:pt>
                <c:pt idx="890">
                  <c:v>5.3020576398665753E-5</c:v>
                </c:pt>
                <c:pt idx="891">
                  <c:v>6.0958097925833954E-5</c:v>
                </c:pt>
                <c:pt idx="892">
                  <c:v>9.3216419262631689E-5</c:v>
                </c:pt>
                <c:pt idx="893">
                  <c:v>7.069681959137597E-5</c:v>
                </c:pt>
                <c:pt idx="894">
                  <c:v>6.1101015639053458E-5</c:v>
                </c:pt>
                <c:pt idx="895">
                  <c:v>1.5376621967178039E-4</c:v>
                </c:pt>
                <c:pt idx="896">
                  <c:v>1.9401822974884908E-5</c:v>
                </c:pt>
                <c:pt idx="897">
                  <c:v>1.4480884824052964E-4</c:v>
                </c:pt>
                <c:pt idx="898">
                  <c:v>1.8051767871796187E-4</c:v>
                </c:pt>
                <c:pt idx="899">
                  <c:v>5.8427629085144872E-5</c:v>
                </c:pt>
                <c:pt idx="900">
                  <c:v>4.5581491637136651E-5</c:v>
                </c:pt>
                <c:pt idx="901">
                  <c:v>5.4207096152225631E-5</c:v>
                </c:pt>
                <c:pt idx="902">
                  <c:v>1.2165360636728906E-4</c:v>
                </c:pt>
                <c:pt idx="903">
                  <c:v>3.1183651159949477E-5</c:v>
                </c:pt>
                <c:pt idx="904">
                  <c:v>1.0245942539555131E-4</c:v>
                </c:pt>
                <c:pt idx="905">
                  <c:v>4.0940892240826088E-5</c:v>
                </c:pt>
                <c:pt idx="906">
                  <c:v>4.6614690898394429E-5</c:v>
                </c:pt>
                <c:pt idx="907">
                  <c:v>3.2367068676819599E-5</c:v>
                </c:pt>
                <c:pt idx="908">
                  <c:v>6.8578093056714806E-5</c:v>
                </c:pt>
                <c:pt idx="909">
                  <c:v>1.0936345962164751E-4</c:v>
                </c:pt>
                <c:pt idx="910">
                  <c:v>6.7192752069900052E-5</c:v>
                </c:pt>
                <c:pt idx="911">
                  <c:v>5.0066147657901183E-5</c:v>
                </c:pt>
                <c:pt idx="912">
                  <c:v>8.9127090500795703E-5</c:v>
                </c:pt>
                <c:pt idx="913">
                  <c:v>3.3848847593276332E-5</c:v>
                </c:pt>
                <c:pt idx="914">
                  <c:v>3.5488006538741956E-5</c:v>
                </c:pt>
                <c:pt idx="915">
                  <c:v>2.8297214054617825E-5</c:v>
                </c:pt>
                <c:pt idx="916">
                  <c:v>2.9122138087700478E-5</c:v>
                </c:pt>
                <c:pt idx="917">
                  <c:v>6.0963221240939447E-5</c:v>
                </c:pt>
                <c:pt idx="918">
                  <c:v>5.8646212117707819E-5</c:v>
                </c:pt>
                <c:pt idx="919">
                  <c:v>1.9034833695030784E-5</c:v>
                </c:pt>
                <c:pt idx="920">
                  <c:v>6.5094927137465675E-5</c:v>
                </c:pt>
                <c:pt idx="921">
                  <c:v>4.9745023197544924E-5</c:v>
                </c:pt>
                <c:pt idx="922">
                  <c:v>6.9849817233347267E-5</c:v>
                </c:pt>
                <c:pt idx="923">
                  <c:v>2.2415150501586822E-4</c:v>
                </c:pt>
                <c:pt idx="924">
                  <c:v>4.1278362772345645E-5</c:v>
                </c:pt>
                <c:pt idx="925">
                  <c:v>6.9375727843379309E-5</c:v>
                </c:pt>
                <c:pt idx="926">
                  <c:v>4.0524210646708525E-5</c:v>
                </c:pt>
                <c:pt idx="927">
                  <c:v>4.0132403292147956E-5</c:v>
                </c:pt>
                <c:pt idx="928">
                  <c:v>3.9336789566135621E-5</c:v>
                </c:pt>
                <c:pt idx="929">
                  <c:v>5.2924541986243412E-5</c:v>
                </c:pt>
                <c:pt idx="930">
                  <c:v>8.6010699710925564E-5</c:v>
                </c:pt>
                <c:pt idx="931">
                  <c:v>4.7545532002146729E-5</c:v>
                </c:pt>
                <c:pt idx="932">
                  <c:v>2.1168314166786217E-4</c:v>
                </c:pt>
                <c:pt idx="933">
                  <c:v>1.0730331633723722E-4</c:v>
                </c:pt>
                <c:pt idx="934">
                  <c:v>2.7168065368954331E-5</c:v>
                </c:pt>
                <c:pt idx="935">
                  <c:v>3.121772154557334E-5</c:v>
                </c:pt>
                <c:pt idx="936">
                  <c:v>8.737704376571287E-5</c:v>
                </c:pt>
                <c:pt idx="937">
                  <c:v>1.2906597548933973E-4</c:v>
                </c:pt>
                <c:pt idx="938">
                  <c:v>2.3459841347772681E-5</c:v>
                </c:pt>
                <c:pt idx="939">
                  <c:v>4.3399088326623314E-5</c:v>
                </c:pt>
                <c:pt idx="940">
                  <c:v>7.3272599635743063E-5</c:v>
                </c:pt>
                <c:pt idx="941">
                  <c:v>9.522827821584201E-5</c:v>
                </c:pt>
                <c:pt idx="942">
                  <c:v>4.723457291078148E-5</c:v>
                </c:pt>
                <c:pt idx="943">
                  <c:v>4.8589094291173751E-5</c:v>
                </c:pt>
                <c:pt idx="944">
                  <c:v>3.4922478896248776E-5</c:v>
                </c:pt>
                <c:pt idx="945">
                  <c:v>2.710911974546093E-5</c:v>
                </c:pt>
                <c:pt idx="946">
                  <c:v>6.6442258606969062E-5</c:v>
                </c:pt>
                <c:pt idx="947">
                  <c:v>1.0549847313967575E-4</c:v>
                </c:pt>
                <c:pt idx="948">
                  <c:v>1.4327204346287203E-4</c:v>
                </c:pt>
                <c:pt idx="949">
                  <c:v>4.4493928488265055E-5</c:v>
                </c:pt>
                <c:pt idx="950">
                  <c:v>5.6801915846449447E-5</c:v>
                </c:pt>
                <c:pt idx="951">
                  <c:v>3.3409441908105464E-5</c:v>
                </c:pt>
                <c:pt idx="952">
                  <c:v>5.1365083731269578E-5</c:v>
                </c:pt>
                <c:pt idx="953">
                  <c:v>1.4752160276643167E-4</c:v>
                </c:pt>
                <c:pt idx="954">
                  <c:v>3.8640558120306423E-5</c:v>
                </c:pt>
                <c:pt idx="955">
                  <c:v>4.1086668069567622E-5</c:v>
                </c:pt>
                <c:pt idx="956">
                  <c:v>6.0431401220029102E-5</c:v>
                </c:pt>
                <c:pt idx="957">
                  <c:v>1.4935795663717499E-4</c:v>
                </c:pt>
                <c:pt idx="958">
                  <c:v>1.1184307420109008E-4</c:v>
                </c:pt>
                <c:pt idx="959">
                  <c:v>1.2360680717549144E-4</c:v>
                </c:pt>
                <c:pt idx="960">
                  <c:v>3.9215374940226866E-5</c:v>
                </c:pt>
                <c:pt idx="961">
                  <c:v>4.1157594974805534E-5</c:v>
                </c:pt>
                <c:pt idx="962">
                  <c:v>7.9336795209883348E-5</c:v>
                </c:pt>
                <c:pt idx="963">
                  <c:v>6.3525933288843817E-5</c:v>
                </c:pt>
                <c:pt idx="964">
                  <c:v>4.9641012086709679E-5</c:v>
                </c:pt>
                <c:pt idx="965">
                  <c:v>8.9468544331339217E-5</c:v>
                </c:pt>
                <c:pt idx="966">
                  <c:v>7.864331402629432E-5</c:v>
                </c:pt>
                <c:pt idx="967">
                  <c:v>1.0145036000253072E-4</c:v>
                </c:pt>
                <c:pt idx="968">
                  <c:v>5.3774539999551507E-5</c:v>
                </c:pt>
                <c:pt idx="969">
                  <c:v>1.0109248483658462E-4</c:v>
                </c:pt>
                <c:pt idx="970">
                  <c:v>2.3829587335910674E-4</c:v>
                </c:pt>
                <c:pt idx="971">
                  <c:v>4.7719159230297237E-5</c:v>
                </c:pt>
                <c:pt idx="972">
                  <c:v>3.8829878199919676E-5</c:v>
                </c:pt>
                <c:pt idx="973">
                  <c:v>5.5940014348720979E-5</c:v>
                </c:pt>
                <c:pt idx="974">
                  <c:v>2.0985724816569018E-5</c:v>
                </c:pt>
                <c:pt idx="975">
                  <c:v>4.1843149073628183E-5</c:v>
                </c:pt>
                <c:pt idx="976">
                  <c:v>1.0209260446814028E-4</c:v>
                </c:pt>
                <c:pt idx="977">
                  <c:v>6.5126559832151543E-5</c:v>
                </c:pt>
                <c:pt idx="978">
                  <c:v>7.4466419544449991E-5</c:v>
                </c:pt>
                <c:pt idx="979">
                  <c:v>5.173395063096109E-5</c:v>
                </c:pt>
                <c:pt idx="980">
                  <c:v>4.8452778653285122E-5</c:v>
                </c:pt>
                <c:pt idx="981">
                  <c:v>7.5415514036336617E-5</c:v>
                </c:pt>
                <c:pt idx="982">
                  <c:v>5.5210567563079849E-5</c:v>
                </c:pt>
                <c:pt idx="983">
                  <c:v>1.2211538610884531E-4</c:v>
                </c:pt>
                <c:pt idx="984">
                  <c:v>2.6311800422007536E-5</c:v>
                </c:pt>
                <c:pt idx="985">
                  <c:v>2.6868960009807097E-5</c:v>
                </c:pt>
                <c:pt idx="986">
                  <c:v>3.9873291598269134E-5</c:v>
                </c:pt>
                <c:pt idx="987">
                  <c:v>6.3355120420993671E-5</c:v>
                </c:pt>
                <c:pt idx="988">
                  <c:v>7.3887982665610252E-5</c:v>
                </c:pt>
                <c:pt idx="989">
                  <c:v>7.3524840797034585E-5</c:v>
                </c:pt>
                <c:pt idx="990">
                  <c:v>5.7581750009916277E-5</c:v>
                </c:pt>
                <c:pt idx="991">
                  <c:v>7.8842053333971762E-5</c:v>
                </c:pt>
                <c:pt idx="992">
                  <c:v>3.4307372001052272E-5</c:v>
                </c:pt>
                <c:pt idx="993">
                  <c:v>4.9299255522328167E-5</c:v>
                </c:pt>
                <c:pt idx="994">
                  <c:v>7.1475622480221546E-5</c:v>
                </c:pt>
                <c:pt idx="995">
                  <c:v>3.715027117578984E-5</c:v>
                </c:pt>
                <c:pt idx="996">
                  <c:v>8.2390883790139924E-5</c:v>
                </c:pt>
                <c:pt idx="997">
                  <c:v>5.7533804351805884E-5</c:v>
                </c:pt>
                <c:pt idx="998">
                  <c:v>5.8779242444018109E-5</c:v>
                </c:pt>
                <c:pt idx="999">
                  <c:v>1.9214766016517615E-5</c:v>
                </c:pt>
              </c:numCache>
            </c:numRef>
          </c:xVal>
          <c:yVal>
            <c:numRef>
              <c:f>Process!$B$12:$B$1011</c:f>
              <c:numCache>
                <c:formatCode>General</c:formatCode>
                <c:ptCount val="1000"/>
                <c:pt idx="0">
                  <c:v>0.30777704850421</c:v>
                </c:pt>
                <c:pt idx="1">
                  <c:v>0.55447105233393079</c:v>
                </c:pt>
                <c:pt idx="2">
                  <c:v>0.3812620274153507</c:v>
                </c:pt>
                <c:pt idx="3">
                  <c:v>0.75654540534544334</c:v>
                </c:pt>
                <c:pt idx="4">
                  <c:v>0.56239970033740883</c:v>
                </c:pt>
                <c:pt idx="5">
                  <c:v>0.58671426368644986</c:v>
                </c:pt>
                <c:pt idx="6">
                  <c:v>0.67987857814432473</c:v>
                </c:pt>
                <c:pt idx="7">
                  <c:v>0.68705403635912776</c:v>
                </c:pt>
                <c:pt idx="8">
                  <c:v>0.34900585035560561</c:v>
                </c:pt>
                <c:pt idx="9">
                  <c:v>0.51805286598283296</c:v>
                </c:pt>
                <c:pt idx="10">
                  <c:v>0.38851986155885559</c:v>
                </c:pt>
                <c:pt idx="11">
                  <c:v>0.52790915683969986</c:v>
                </c:pt>
                <c:pt idx="12">
                  <c:v>0.94815968039854925</c:v>
                </c:pt>
                <c:pt idx="13">
                  <c:v>0.43284431643731652</c:v>
                </c:pt>
                <c:pt idx="14">
                  <c:v>0.35414804511941678</c:v>
                </c:pt>
                <c:pt idx="15">
                  <c:v>0.11159169613372233</c:v>
                </c:pt>
                <c:pt idx="16">
                  <c:v>0.50064836998902518</c:v>
                </c:pt>
                <c:pt idx="17">
                  <c:v>0.33623510553488839</c:v>
                </c:pt>
                <c:pt idx="18">
                  <c:v>0.38835401340720377</c:v>
                </c:pt>
                <c:pt idx="19">
                  <c:v>0.53383646033558474</c:v>
                </c:pt>
                <c:pt idx="20">
                  <c:v>0.47877290857562937</c:v>
                </c:pt>
                <c:pt idx="21">
                  <c:v>0.44312781121288691</c:v>
                </c:pt>
                <c:pt idx="22">
                  <c:v>0.45842886642395064</c:v>
                </c:pt>
                <c:pt idx="23">
                  <c:v>0.75287404330544161</c:v>
                </c:pt>
                <c:pt idx="24">
                  <c:v>0.85852321521808106</c:v>
                </c:pt>
                <c:pt idx="25">
                  <c:v>0.38879745103942737</c:v>
                </c:pt>
                <c:pt idx="26">
                  <c:v>0.51703820488653074</c:v>
                </c:pt>
                <c:pt idx="27">
                  <c:v>0.55417617844105571</c:v>
                </c:pt>
                <c:pt idx="28">
                  <c:v>0.60784884047052623</c:v>
                </c:pt>
                <c:pt idx="29">
                  <c:v>0.48269174138802518</c:v>
                </c:pt>
                <c:pt idx="30">
                  <c:v>0.40281895692252445</c:v>
                </c:pt>
                <c:pt idx="31">
                  <c:v>0.28252097640149609</c:v>
                </c:pt>
                <c:pt idx="32">
                  <c:v>0.53387717544111479</c:v>
                </c:pt>
                <c:pt idx="33">
                  <c:v>0.49581085905312344</c:v>
                </c:pt>
                <c:pt idx="34">
                  <c:v>0.35958015947196725</c:v>
                </c:pt>
                <c:pt idx="35">
                  <c:v>0.26149826693152622</c:v>
                </c:pt>
                <c:pt idx="36">
                  <c:v>0.63563241947073146</c:v>
                </c:pt>
                <c:pt idx="37">
                  <c:v>0.45897085037040153</c:v>
                </c:pt>
                <c:pt idx="38">
                  <c:v>0.43710404924316043</c:v>
                </c:pt>
                <c:pt idx="39">
                  <c:v>0.79019000285309438</c:v>
                </c:pt>
                <c:pt idx="40">
                  <c:v>0.58317936781324886</c:v>
                </c:pt>
                <c:pt idx="41">
                  <c:v>0.55109837900306347</c:v>
                </c:pt>
                <c:pt idx="42">
                  <c:v>0.40113318643145141</c:v>
                </c:pt>
                <c:pt idx="43">
                  <c:v>0.60905036689953662</c:v>
                </c:pt>
                <c:pt idx="44">
                  <c:v>0.41493127603995539</c:v>
                </c:pt>
                <c:pt idx="45">
                  <c:v>0.27299123364234668</c:v>
                </c:pt>
                <c:pt idx="46">
                  <c:v>6.2986004747965452E-2</c:v>
                </c:pt>
                <c:pt idx="47">
                  <c:v>0.8389737697095565</c:v>
                </c:pt>
                <c:pt idx="48">
                  <c:v>0.38958282302644892</c:v>
                </c:pt>
                <c:pt idx="49">
                  <c:v>0.56189809919044742</c:v>
                </c:pt>
                <c:pt idx="50">
                  <c:v>0.61365652494669798</c:v>
                </c:pt>
                <c:pt idx="51">
                  <c:v>0.4944515253828673</c:v>
                </c:pt>
                <c:pt idx="52">
                  <c:v>0.71215766715875151</c:v>
                </c:pt>
                <c:pt idx="53">
                  <c:v>0.52598287301051849</c:v>
                </c:pt>
                <c:pt idx="54">
                  <c:v>0.52055480436057611</c:v>
                </c:pt>
                <c:pt idx="55">
                  <c:v>0.41683636933757967</c:v>
                </c:pt>
                <c:pt idx="56">
                  <c:v>0.50286928713155032</c:v>
                </c:pt>
                <c:pt idx="57">
                  <c:v>0.73464307467347822</c:v>
                </c:pt>
                <c:pt idx="58">
                  <c:v>0.94509526719438353</c:v>
                </c:pt>
                <c:pt idx="59">
                  <c:v>0.31983886780938298</c:v>
                </c:pt>
                <c:pt idx="60">
                  <c:v>0.62765238064415518</c:v>
                </c:pt>
                <c:pt idx="61">
                  <c:v>0.3261942019608991</c:v>
                </c:pt>
                <c:pt idx="62">
                  <c:v>0.71560261517769208</c:v>
                </c:pt>
                <c:pt idx="63">
                  <c:v>0.23878248663072774</c:v>
                </c:pt>
                <c:pt idx="64">
                  <c:v>0.7014736604450893</c:v>
                </c:pt>
                <c:pt idx="65">
                  <c:v>0.56850472684851883</c:v>
                </c:pt>
                <c:pt idx="66">
                  <c:v>0.46286973334382142</c:v>
                </c:pt>
                <c:pt idx="67">
                  <c:v>0.43446441618004344</c:v>
                </c:pt>
                <c:pt idx="68">
                  <c:v>0.6921438030423297</c:v>
                </c:pt>
                <c:pt idx="69">
                  <c:v>0.51519441373435981</c:v>
                </c:pt>
                <c:pt idx="70">
                  <c:v>0.2793540819649068</c:v>
                </c:pt>
                <c:pt idx="71">
                  <c:v>0.51447841198214095</c:v>
                </c:pt>
                <c:pt idx="72">
                  <c:v>0.66559603657178368</c:v>
                </c:pt>
                <c:pt idx="73">
                  <c:v>0.31277228870150869</c:v>
                </c:pt>
                <c:pt idx="74">
                  <c:v>0.11439698490207878</c:v>
                </c:pt>
                <c:pt idx="75">
                  <c:v>0.35215586744026195</c:v>
                </c:pt>
                <c:pt idx="76">
                  <c:v>0.23233567461206012</c:v>
                </c:pt>
                <c:pt idx="77">
                  <c:v>0.56009666705869132</c:v>
                </c:pt>
                <c:pt idx="78">
                  <c:v>0.69439293149509895</c:v>
                </c:pt>
                <c:pt idx="79">
                  <c:v>0.15821527213134973</c:v>
                </c:pt>
                <c:pt idx="80">
                  <c:v>0.57829460906368479</c:v>
                </c:pt>
                <c:pt idx="81">
                  <c:v>0.48341897850228188</c:v>
                </c:pt>
                <c:pt idx="82">
                  <c:v>0.66222050410090227</c:v>
                </c:pt>
                <c:pt idx="83">
                  <c:v>0.32331612989277969</c:v>
                </c:pt>
                <c:pt idx="84">
                  <c:v>0.7196641585597493</c:v>
                </c:pt>
                <c:pt idx="85">
                  <c:v>0.45677370389637406</c:v>
                </c:pt>
                <c:pt idx="86">
                  <c:v>0.27120831070215068</c:v>
                </c:pt>
                <c:pt idx="87">
                  <c:v>0.67510779409068611</c:v>
                </c:pt>
                <c:pt idx="88">
                  <c:v>0.59335990155646468</c:v>
                </c:pt>
                <c:pt idx="89">
                  <c:v>0.67310445410673692</c:v>
                </c:pt>
                <c:pt idx="90">
                  <c:v>0.34638835078805918</c:v>
                </c:pt>
                <c:pt idx="91">
                  <c:v>0.48581095128354912</c:v>
                </c:pt>
                <c:pt idx="92">
                  <c:v>0.55627567393615807</c:v>
                </c:pt>
                <c:pt idx="93">
                  <c:v>0.63650427577892943</c:v>
                </c:pt>
                <c:pt idx="94">
                  <c:v>0.29918702450839374</c:v>
                </c:pt>
                <c:pt idx="95">
                  <c:v>0.228086271441655</c:v>
                </c:pt>
                <c:pt idx="96">
                  <c:v>0.9347698235883386</c:v>
                </c:pt>
                <c:pt idx="97">
                  <c:v>0.39509578100069731</c:v>
                </c:pt>
                <c:pt idx="98">
                  <c:v>0.28127984562434288</c:v>
                </c:pt>
                <c:pt idx="99">
                  <c:v>0.639324817172085</c:v>
                </c:pt>
                <c:pt idx="100">
                  <c:v>0.58574579450376363</c:v>
                </c:pt>
                <c:pt idx="101">
                  <c:v>0.50160782352171629</c:v>
                </c:pt>
                <c:pt idx="102">
                  <c:v>0.51578015091480889</c:v>
                </c:pt>
                <c:pt idx="103">
                  <c:v>0.42853063785900924</c:v>
                </c:pt>
                <c:pt idx="104">
                  <c:v>0.58438872947153309</c:v>
                </c:pt>
                <c:pt idx="105">
                  <c:v>0.42219034649194354</c:v>
                </c:pt>
                <c:pt idx="106">
                  <c:v>0.48864573045986642</c:v>
                </c:pt>
                <c:pt idx="107">
                  <c:v>0.48893386526376098</c:v>
                </c:pt>
                <c:pt idx="108">
                  <c:v>0.96492800567221348</c:v>
                </c:pt>
                <c:pt idx="109">
                  <c:v>0.49080450005663734</c:v>
                </c:pt>
                <c:pt idx="110">
                  <c:v>0.72291964249574558</c:v>
                </c:pt>
                <c:pt idx="111">
                  <c:v>0.27278602896727705</c:v>
                </c:pt>
                <c:pt idx="112">
                  <c:v>0.97540826649840384</c:v>
                </c:pt>
                <c:pt idx="113">
                  <c:v>0.3605864125929143</c:v>
                </c:pt>
                <c:pt idx="114">
                  <c:v>0.48087081435625711</c:v>
                </c:pt>
                <c:pt idx="115">
                  <c:v>0.56121728844717367</c:v>
                </c:pt>
                <c:pt idx="116">
                  <c:v>0.34206683555214257</c:v>
                </c:pt>
                <c:pt idx="117">
                  <c:v>0.67266649275252743</c:v>
                </c:pt>
                <c:pt idx="118">
                  <c:v>8.3708113006347507E-2</c:v>
                </c:pt>
                <c:pt idx="119">
                  <c:v>0.44735600611499526</c:v>
                </c:pt>
                <c:pt idx="120">
                  <c:v>0.53308634841809777</c:v>
                </c:pt>
                <c:pt idx="121">
                  <c:v>0.36322176531604883</c:v>
                </c:pt>
                <c:pt idx="122">
                  <c:v>0.58158403431985684</c:v>
                </c:pt>
                <c:pt idx="123">
                  <c:v>0.51629004528499112</c:v>
                </c:pt>
                <c:pt idx="124">
                  <c:v>0.45778112020832917</c:v>
                </c:pt>
                <c:pt idx="125">
                  <c:v>0.37431197612299438</c:v>
                </c:pt>
                <c:pt idx="126">
                  <c:v>0.56452393365021603</c:v>
                </c:pt>
                <c:pt idx="127">
                  <c:v>0.42299296087386085</c:v>
                </c:pt>
                <c:pt idx="128">
                  <c:v>0.5883238761815649</c:v>
                </c:pt>
                <c:pt idx="129">
                  <c:v>0.79321239889814299</c:v>
                </c:pt>
                <c:pt idx="130">
                  <c:v>0.39617431046721918</c:v>
                </c:pt>
                <c:pt idx="131">
                  <c:v>0.79006452662437998</c:v>
                </c:pt>
                <c:pt idx="132">
                  <c:v>0.72616436104070092</c:v>
                </c:pt>
                <c:pt idx="133">
                  <c:v>0.56166081242935662</c:v>
                </c:pt>
                <c:pt idx="134">
                  <c:v>0.51174631579005081</c:v>
                </c:pt>
                <c:pt idx="135">
                  <c:v>0.38331894099853075</c:v>
                </c:pt>
                <c:pt idx="136">
                  <c:v>0.37862057180252118</c:v>
                </c:pt>
                <c:pt idx="137">
                  <c:v>0.2945643478261139</c:v>
                </c:pt>
                <c:pt idx="138">
                  <c:v>0.40903032174984444</c:v>
                </c:pt>
                <c:pt idx="139">
                  <c:v>0.61282160767350025</c:v>
                </c:pt>
                <c:pt idx="140">
                  <c:v>0.36770051972098228</c:v>
                </c:pt>
                <c:pt idx="141">
                  <c:v>0.46783141615715285</c:v>
                </c:pt>
                <c:pt idx="142">
                  <c:v>0.35551508757590938</c:v>
                </c:pt>
                <c:pt idx="143">
                  <c:v>0.40486318535142962</c:v>
                </c:pt>
                <c:pt idx="144">
                  <c:v>0.47198352265248822</c:v>
                </c:pt>
                <c:pt idx="145">
                  <c:v>0.52913707867297</c:v>
                </c:pt>
                <c:pt idx="146">
                  <c:v>0.41004032838741356</c:v>
                </c:pt>
                <c:pt idx="147">
                  <c:v>0.51059641690758073</c:v>
                </c:pt>
                <c:pt idx="148">
                  <c:v>0.44072314626813924</c:v>
                </c:pt>
                <c:pt idx="149">
                  <c:v>0.56970150925835161</c:v>
                </c:pt>
                <c:pt idx="150">
                  <c:v>0.66294944017010249</c:v>
                </c:pt>
                <c:pt idx="151">
                  <c:v>0.22276072365089339</c:v>
                </c:pt>
                <c:pt idx="152">
                  <c:v>0.2778048547846344</c:v>
                </c:pt>
                <c:pt idx="153">
                  <c:v>0.30119909517714394</c:v>
                </c:pt>
                <c:pt idx="154">
                  <c:v>0.39986402967189572</c:v>
                </c:pt>
                <c:pt idx="155">
                  <c:v>0.16553735799502134</c:v>
                </c:pt>
                <c:pt idx="156">
                  <c:v>0.75375292567157637</c:v>
                </c:pt>
                <c:pt idx="157">
                  <c:v>0.3293933684198424</c:v>
                </c:pt>
                <c:pt idx="158">
                  <c:v>0.90558809868341894</c:v>
                </c:pt>
                <c:pt idx="159">
                  <c:v>0.33821061985774259</c:v>
                </c:pt>
                <c:pt idx="160">
                  <c:v>0.31944337158329572</c:v>
                </c:pt>
                <c:pt idx="161">
                  <c:v>0.57503719813389342</c:v>
                </c:pt>
                <c:pt idx="162">
                  <c:v>0.52858835779974267</c:v>
                </c:pt>
                <c:pt idx="163">
                  <c:v>0.81831622842425289</c:v>
                </c:pt>
                <c:pt idx="164">
                  <c:v>0.66053565218437671</c:v>
                </c:pt>
                <c:pt idx="165">
                  <c:v>0.42102934245703211</c:v>
                </c:pt>
                <c:pt idx="166">
                  <c:v>0.63734065864056244</c:v>
                </c:pt>
                <c:pt idx="167">
                  <c:v>0.74575548111884904</c:v>
                </c:pt>
                <c:pt idx="168">
                  <c:v>0.55230061124366503</c:v>
                </c:pt>
                <c:pt idx="169">
                  <c:v>0.56486455507355127</c:v>
                </c:pt>
                <c:pt idx="170">
                  <c:v>0.58012515422772271</c:v>
                </c:pt>
                <c:pt idx="171">
                  <c:v>0.61392718134055857</c:v>
                </c:pt>
                <c:pt idx="172">
                  <c:v>0.41773408922593042</c:v>
                </c:pt>
                <c:pt idx="173">
                  <c:v>0.6263052903512899</c:v>
                </c:pt>
                <c:pt idx="174">
                  <c:v>0.34512662917857817</c:v>
                </c:pt>
                <c:pt idx="175">
                  <c:v>0.85075638294211586</c:v>
                </c:pt>
                <c:pt idx="176">
                  <c:v>0.26149086463299631</c:v>
                </c:pt>
                <c:pt idx="177">
                  <c:v>0.70044020465490608</c:v>
                </c:pt>
                <c:pt idx="178">
                  <c:v>0.55425116127136231</c:v>
                </c:pt>
                <c:pt idx="179">
                  <c:v>0.6536074943204796</c:v>
                </c:pt>
                <c:pt idx="180">
                  <c:v>0.40171578193671398</c:v>
                </c:pt>
                <c:pt idx="181">
                  <c:v>0.40864407321706869</c:v>
                </c:pt>
                <c:pt idx="182">
                  <c:v>0.70022921301379415</c:v>
                </c:pt>
                <c:pt idx="183">
                  <c:v>0.47317911485474284</c:v>
                </c:pt>
                <c:pt idx="184">
                  <c:v>0.41085598866947548</c:v>
                </c:pt>
                <c:pt idx="185">
                  <c:v>0.52661258790005128</c:v>
                </c:pt>
                <c:pt idx="186">
                  <c:v>0.93837869063545531</c:v>
                </c:pt>
                <c:pt idx="187">
                  <c:v>0.33965709883865436</c:v>
                </c:pt>
                <c:pt idx="188">
                  <c:v>0.39506037003081113</c:v>
                </c:pt>
                <c:pt idx="189">
                  <c:v>0.58419976928657924</c:v>
                </c:pt>
                <c:pt idx="190">
                  <c:v>0.5310533136021971</c:v>
                </c:pt>
                <c:pt idx="191">
                  <c:v>0.48200493791321752</c:v>
                </c:pt>
                <c:pt idx="192">
                  <c:v>0.87574481286642136</c:v>
                </c:pt>
                <c:pt idx="193">
                  <c:v>0.73599991872987736</c:v>
                </c:pt>
                <c:pt idx="194">
                  <c:v>0.74223149783294928</c:v>
                </c:pt>
                <c:pt idx="195">
                  <c:v>0.48914576708091106</c:v>
                </c:pt>
                <c:pt idx="196">
                  <c:v>0.52126041301764836</c:v>
                </c:pt>
                <c:pt idx="197">
                  <c:v>0.5085473592361911</c:v>
                </c:pt>
                <c:pt idx="198">
                  <c:v>0.57861416764407425</c:v>
                </c:pt>
                <c:pt idx="199">
                  <c:v>0.63204777004806056</c:v>
                </c:pt>
                <c:pt idx="200">
                  <c:v>0.44760249902268162</c:v>
                </c:pt>
                <c:pt idx="201">
                  <c:v>0.45768360226744331</c:v>
                </c:pt>
                <c:pt idx="202">
                  <c:v>0.43673993224774516</c:v>
                </c:pt>
                <c:pt idx="203">
                  <c:v>0.95632559004294548</c:v>
                </c:pt>
                <c:pt idx="204">
                  <c:v>0.85701464497061708</c:v>
                </c:pt>
                <c:pt idx="205">
                  <c:v>0.52063020858062448</c:v>
                </c:pt>
                <c:pt idx="206">
                  <c:v>0.36470924322434417</c:v>
                </c:pt>
                <c:pt idx="207">
                  <c:v>0.52122277917504833</c:v>
                </c:pt>
                <c:pt idx="208">
                  <c:v>0.46777048989311337</c:v>
                </c:pt>
                <c:pt idx="209">
                  <c:v>0.69105558057604155</c:v>
                </c:pt>
                <c:pt idx="210">
                  <c:v>0.59489177952393879</c:v>
                </c:pt>
                <c:pt idx="211">
                  <c:v>0.3639444582027358</c:v>
                </c:pt>
                <c:pt idx="212">
                  <c:v>0.45767667752599706</c:v>
                </c:pt>
                <c:pt idx="213">
                  <c:v>0.60152214071391963</c:v>
                </c:pt>
                <c:pt idx="214">
                  <c:v>0.45331924598435053</c:v>
                </c:pt>
                <c:pt idx="215">
                  <c:v>0.52530589997483967</c:v>
                </c:pt>
                <c:pt idx="216">
                  <c:v>0.51385198886852013</c:v>
                </c:pt>
                <c:pt idx="217">
                  <c:v>0.3866674041511225</c:v>
                </c:pt>
                <c:pt idx="218">
                  <c:v>0.46057919049348917</c:v>
                </c:pt>
                <c:pt idx="219">
                  <c:v>0.94041129189584205</c:v>
                </c:pt>
                <c:pt idx="220">
                  <c:v>0.8420798335271632</c:v>
                </c:pt>
                <c:pt idx="221">
                  <c:v>0.72582588397154524</c:v>
                </c:pt>
                <c:pt idx="222">
                  <c:v>0.67647090004156407</c:v>
                </c:pt>
                <c:pt idx="223">
                  <c:v>0.45205465328743666</c:v>
                </c:pt>
                <c:pt idx="224">
                  <c:v>0.48457123690750004</c:v>
                </c:pt>
                <c:pt idx="225">
                  <c:v>0.59687271715954837</c:v>
                </c:pt>
                <c:pt idx="226">
                  <c:v>0.32225610832942203</c:v>
                </c:pt>
                <c:pt idx="227">
                  <c:v>0.50991101213692347</c:v>
                </c:pt>
                <c:pt idx="228">
                  <c:v>0.73712078939501946</c:v>
                </c:pt>
                <c:pt idx="229">
                  <c:v>0.35655913967175973</c:v>
                </c:pt>
                <c:pt idx="230">
                  <c:v>0.2947189437578539</c:v>
                </c:pt>
                <c:pt idx="231">
                  <c:v>0.46258830823126629</c:v>
                </c:pt>
                <c:pt idx="232">
                  <c:v>0.74186094839143324</c:v>
                </c:pt>
                <c:pt idx="233">
                  <c:v>0.83920354941785902</c:v>
                </c:pt>
                <c:pt idx="234">
                  <c:v>0.6522499531784528</c:v>
                </c:pt>
                <c:pt idx="235">
                  <c:v>0.68231881031579178</c:v>
                </c:pt>
                <c:pt idx="236">
                  <c:v>0.49434800747695917</c:v>
                </c:pt>
                <c:pt idx="237">
                  <c:v>0.65809737655417966</c:v>
                </c:pt>
                <c:pt idx="238">
                  <c:v>0.88620066089022898</c:v>
                </c:pt>
                <c:pt idx="239">
                  <c:v>0.40788435835001019</c:v>
                </c:pt>
                <c:pt idx="240">
                  <c:v>0.37623513178527207</c:v>
                </c:pt>
                <c:pt idx="241">
                  <c:v>0.63986812918248537</c:v>
                </c:pt>
                <c:pt idx="242">
                  <c:v>0.52035062312996361</c:v>
                </c:pt>
                <c:pt idx="243">
                  <c:v>0.45040076760446546</c:v>
                </c:pt>
                <c:pt idx="244">
                  <c:v>0.35970776757380274</c:v>
                </c:pt>
                <c:pt idx="245">
                  <c:v>0.53543970550179598</c:v>
                </c:pt>
                <c:pt idx="246">
                  <c:v>0.69451861571528251</c:v>
                </c:pt>
                <c:pt idx="247">
                  <c:v>0.87598914068962541</c:v>
                </c:pt>
                <c:pt idx="248">
                  <c:v>0.52529900616201164</c:v>
                </c:pt>
                <c:pt idx="249">
                  <c:v>0.2536724352310995</c:v>
                </c:pt>
                <c:pt idx="250">
                  <c:v>0.40837943298782875</c:v>
                </c:pt>
                <c:pt idx="251">
                  <c:v>0.39874307633717743</c:v>
                </c:pt>
                <c:pt idx="252">
                  <c:v>0.3895868141249057</c:v>
                </c:pt>
                <c:pt idx="253">
                  <c:v>0.37429265250502036</c:v>
                </c:pt>
                <c:pt idx="254">
                  <c:v>0.86389328093776263</c:v>
                </c:pt>
                <c:pt idx="255">
                  <c:v>0.11375369060171103</c:v>
                </c:pt>
                <c:pt idx="256">
                  <c:v>0.38387609717035109</c:v>
                </c:pt>
                <c:pt idx="257">
                  <c:v>0.12234263662119083</c:v>
                </c:pt>
                <c:pt idx="258">
                  <c:v>0.29976654561202731</c:v>
                </c:pt>
                <c:pt idx="259">
                  <c:v>0.5323459570990331</c:v>
                </c:pt>
                <c:pt idx="260">
                  <c:v>0.43490297808429279</c:v>
                </c:pt>
                <c:pt idx="261">
                  <c:v>0.47305554813801692</c:v>
                </c:pt>
                <c:pt idx="262">
                  <c:v>0.35784165812255875</c:v>
                </c:pt>
                <c:pt idx="263">
                  <c:v>0.50920881821598218</c:v>
                </c:pt>
                <c:pt idx="264">
                  <c:v>0.44246570029023874</c:v>
                </c:pt>
                <c:pt idx="265">
                  <c:v>0.2976585041033275</c:v>
                </c:pt>
                <c:pt idx="266">
                  <c:v>0.33746420657413717</c:v>
                </c:pt>
                <c:pt idx="267">
                  <c:v>0.44537168126893267</c:v>
                </c:pt>
                <c:pt idx="268">
                  <c:v>0.7835489891666072</c:v>
                </c:pt>
                <c:pt idx="269">
                  <c:v>0.12060975442534694</c:v>
                </c:pt>
                <c:pt idx="270">
                  <c:v>0.3534591083117079</c:v>
                </c:pt>
                <c:pt idx="271">
                  <c:v>0.38785276097549187</c:v>
                </c:pt>
                <c:pt idx="272">
                  <c:v>1.1278625893197816</c:v>
                </c:pt>
                <c:pt idx="273">
                  <c:v>0.45323379883333514</c:v>
                </c:pt>
                <c:pt idx="274">
                  <c:v>0.95700973246313525</c:v>
                </c:pt>
                <c:pt idx="275">
                  <c:v>0.52472794196164774</c:v>
                </c:pt>
                <c:pt idx="276">
                  <c:v>0.60050738027141226</c:v>
                </c:pt>
                <c:pt idx="277">
                  <c:v>0.9714933559206721</c:v>
                </c:pt>
                <c:pt idx="278">
                  <c:v>0.57097613488548138</c:v>
                </c:pt>
                <c:pt idx="279">
                  <c:v>0.37458700039710602</c:v>
                </c:pt>
                <c:pt idx="280">
                  <c:v>0.667155986285494</c:v>
                </c:pt>
                <c:pt idx="281">
                  <c:v>0.60277013710062821</c:v>
                </c:pt>
                <c:pt idx="282">
                  <c:v>0.50056406189844127</c:v>
                </c:pt>
                <c:pt idx="283">
                  <c:v>0.50124002439795723</c:v>
                </c:pt>
                <c:pt idx="284">
                  <c:v>0.42102687184022675</c:v>
                </c:pt>
                <c:pt idx="285">
                  <c:v>0.59617754489179031</c:v>
                </c:pt>
                <c:pt idx="286">
                  <c:v>0.81284483994880408</c:v>
                </c:pt>
                <c:pt idx="287">
                  <c:v>0.63824189863374359</c:v>
                </c:pt>
                <c:pt idx="288">
                  <c:v>0.39001844513037881</c:v>
                </c:pt>
                <c:pt idx="289">
                  <c:v>0.77187832166681614</c:v>
                </c:pt>
                <c:pt idx="290">
                  <c:v>0.47774078971616674</c:v>
                </c:pt>
                <c:pt idx="291">
                  <c:v>0.77927460627905987</c:v>
                </c:pt>
                <c:pt idx="292">
                  <c:v>0.29758989645493877</c:v>
                </c:pt>
                <c:pt idx="293">
                  <c:v>0.30385837571721225</c:v>
                </c:pt>
                <c:pt idx="294">
                  <c:v>0.4189119553622096</c:v>
                </c:pt>
                <c:pt idx="295">
                  <c:v>0.45975821831881197</c:v>
                </c:pt>
                <c:pt idx="296">
                  <c:v>0.54563897713584086</c:v>
                </c:pt>
                <c:pt idx="297">
                  <c:v>0.56553011642252304</c:v>
                </c:pt>
                <c:pt idx="298">
                  <c:v>0.65847051407370993</c:v>
                </c:pt>
                <c:pt idx="299">
                  <c:v>0.38695230806623193</c:v>
                </c:pt>
                <c:pt idx="300">
                  <c:v>0.29950848551973486</c:v>
                </c:pt>
                <c:pt idx="301">
                  <c:v>0.50385007463970588</c:v>
                </c:pt>
                <c:pt idx="302">
                  <c:v>0.43732531704988747</c:v>
                </c:pt>
                <c:pt idx="303">
                  <c:v>0.19562888648807658</c:v>
                </c:pt>
                <c:pt idx="304">
                  <c:v>0.48050849467359319</c:v>
                </c:pt>
                <c:pt idx="305">
                  <c:v>0.9024691629221071</c:v>
                </c:pt>
                <c:pt idx="306">
                  <c:v>0.5088454774591844</c:v>
                </c:pt>
                <c:pt idx="307">
                  <c:v>0.56321225631997573</c:v>
                </c:pt>
                <c:pt idx="308">
                  <c:v>0.29149309751269681</c:v>
                </c:pt>
                <c:pt idx="309">
                  <c:v>0.59263183492388249</c:v>
                </c:pt>
                <c:pt idx="310">
                  <c:v>0.67210044359645382</c:v>
                </c:pt>
                <c:pt idx="311">
                  <c:v>0.29950897540542598</c:v>
                </c:pt>
                <c:pt idx="312">
                  <c:v>0.40718885381641984</c:v>
                </c:pt>
                <c:pt idx="313">
                  <c:v>0.71483949479245545</c:v>
                </c:pt>
                <c:pt idx="314">
                  <c:v>0.49418312438377154</c:v>
                </c:pt>
                <c:pt idx="315">
                  <c:v>0.59167956094335317</c:v>
                </c:pt>
                <c:pt idx="316">
                  <c:v>0.6289974459249702</c:v>
                </c:pt>
                <c:pt idx="317">
                  <c:v>0.87382982915653373</c:v>
                </c:pt>
                <c:pt idx="318">
                  <c:v>0.5395959735453526</c:v>
                </c:pt>
                <c:pt idx="319">
                  <c:v>0.52295386656219778</c:v>
                </c:pt>
                <c:pt idx="320">
                  <c:v>0.37563837242264481</c:v>
                </c:pt>
                <c:pt idx="321">
                  <c:v>0.43727707910736013</c:v>
                </c:pt>
                <c:pt idx="322">
                  <c:v>0.10752162423131773</c:v>
                </c:pt>
                <c:pt idx="323">
                  <c:v>0.41168656751636068</c:v>
                </c:pt>
                <c:pt idx="324">
                  <c:v>0.33174307169500017</c:v>
                </c:pt>
                <c:pt idx="325">
                  <c:v>0.63477511525770092</c:v>
                </c:pt>
                <c:pt idx="326">
                  <c:v>0.61814356118539193</c:v>
                </c:pt>
                <c:pt idx="327">
                  <c:v>0.64825559504921881</c:v>
                </c:pt>
                <c:pt idx="328">
                  <c:v>0.53015465033407994</c:v>
                </c:pt>
                <c:pt idx="329">
                  <c:v>0.64772305336203484</c:v>
                </c:pt>
                <c:pt idx="330">
                  <c:v>0.72194171479411506</c:v>
                </c:pt>
                <c:pt idx="331">
                  <c:v>0.64979428219865953</c:v>
                </c:pt>
                <c:pt idx="332">
                  <c:v>0.93950767123837475</c:v>
                </c:pt>
                <c:pt idx="333">
                  <c:v>0.55021596016738927</c:v>
                </c:pt>
                <c:pt idx="334">
                  <c:v>0.30907167384972767</c:v>
                </c:pt>
                <c:pt idx="335">
                  <c:v>0.84740469425100595</c:v>
                </c:pt>
                <c:pt idx="336">
                  <c:v>0.36498272111050523</c:v>
                </c:pt>
                <c:pt idx="337">
                  <c:v>0.75788257823021798</c:v>
                </c:pt>
                <c:pt idx="338">
                  <c:v>0.90073607910198261</c:v>
                </c:pt>
                <c:pt idx="339">
                  <c:v>0.34802481674827074</c:v>
                </c:pt>
                <c:pt idx="340">
                  <c:v>0.57949712084766025</c:v>
                </c:pt>
                <c:pt idx="341">
                  <c:v>0.7376754317290859</c:v>
                </c:pt>
                <c:pt idx="342">
                  <c:v>0.76675324227747832</c:v>
                </c:pt>
                <c:pt idx="343">
                  <c:v>0.54259627094852669</c:v>
                </c:pt>
                <c:pt idx="344">
                  <c:v>0.68783220676043666</c:v>
                </c:pt>
                <c:pt idx="345">
                  <c:v>0.36726075281453946</c:v>
                </c:pt>
                <c:pt idx="346">
                  <c:v>0.30449926378899367</c:v>
                </c:pt>
                <c:pt idx="347">
                  <c:v>0.83961078148915891</c:v>
                </c:pt>
                <c:pt idx="348">
                  <c:v>0.49907127174564314</c:v>
                </c:pt>
                <c:pt idx="349">
                  <c:v>0.39517639261994458</c:v>
                </c:pt>
                <c:pt idx="350">
                  <c:v>0.74423305329219458</c:v>
                </c:pt>
                <c:pt idx="351">
                  <c:v>0.56407960520502876</c:v>
                </c:pt>
                <c:pt idx="352">
                  <c:v>0.57131104449945491</c:v>
                </c:pt>
                <c:pt idx="353">
                  <c:v>0.50312317123451233</c:v>
                </c:pt>
                <c:pt idx="354">
                  <c:v>0.34076119840143992</c:v>
                </c:pt>
                <c:pt idx="355">
                  <c:v>0.6311768468862281</c:v>
                </c:pt>
                <c:pt idx="356">
                  <c:v>0.39474723910614173</c:v>
                </c:pt>
                <c:pt idx="357">
                  <c:v>0.35143067121518246</c:v>
                </c:pt>
                <c:pt idx="358">
                  <c:v>0.56695476834962122</c:v>
                </c:pt>
                <c:pt idx="359">
                  <c:v>0.76605890117523345</c:v>
                </c:pt>
                <c:pt idx="360">
                  <c:v>0.55215575161249886</c:v>
                </c:pt>
                <c:pt idx="361">
                  <c:v>0.54646331893675149</c:v>
                </c:pt>
                <c:pt idx="362">
                  <c:v>0.70696766006552125</c:v>
                </c:pt>
                <c:pt idx="363">
                  <c:v>0.26452773420894116</c:v>
                </c:pt>
                <c:pt idx="364">
                  <c:v>0.25239744824709864</c:v>
                </c:pt>
                <c:pt idx="365">
                  <c:v>0.63823713905087087</c:v>
                </c:pt>
                <c:pt idx="366">
                  <c:v>0.30434953754036365</c:v>
                </c:pt>
                <c:pt idx="367">
                  <c:v>0.62350656385501624</c:v>
                </c:pt>
                <c:pt idx="368">
                  <c:v>0.33418909593936114</c:v>
                </c:pt>
                <c:pt idx="369">
                  <c:v>0.50111679579689594</c:v>
                </c:pt>
                <c:pt idx="370">
                  <c:v>0.40316009905082761</c:v>
                </c:pt>
                <c:pt idx="371">
                  <c:v>0.33194710374648889</c:v>
                </c:pt>
                <c:pt idx="372">
                  <c:v>0.49602927460105684</c:v>
                </c:pt>
                <c:pt idx="373">
                  <c:v>0.80715968213453992</c:v>
                </c:pt>
                <c:pt idx="374">
                  <c:v>0.326438506824964</c:v>
                </c:pt>
                <c:pt idx="375">
                  <c:v>0.3925603469948003</c:v>
                </c:pt>
                <c:pt idx="376">
                  <c:v>0.58337378373074555</c:v>
                </c:pt>
                <c:pt idx="377">
                  <c:v>0.46000240825455302</c:v>
                </c:pt>
                <c:pt idx="378">
                  <c:v>1.1130994885807968</c:v>
                </c:pt>
                <c:pt idx="379">
                  <c:v>0.51414405833257015</c:v>
                </c:pt>
                <c:pt idx="380">
                  <c:v>0.57345755193707881</c:v>
                </c:pt>
                <c:pt idx="381">
                  <c:v>0.42556634480077915</c:v>
                </c:pt>
                <c:pt idx="382">
                  <c:v>0.40113895900268415</c:v>
                </c:pt>
                <c:pt idx="383">
                  <c:v>0.81068532996633658</c:v>
                </c:pt>
                <c:pt idx="384">
                  <c:v>0.55901498043442244</c:v>
                </c:pt>
                <c:pt idx="385">
                  <c:v>0.53457354679463354</c:v>
                </c:pt>
                <c:pt idx="386">
                  <c:v>0.42858777199982434</c:v>
                </c:pt>
                <c:pt idx="387">
                  <c:v>0.26965402603453797</c:v>
                </c:pt>
                <c:pt idx="388">
                  <c:v>0.75080675934229046</c:v>
                </c:pt>
                <c:pt idx="389">
                  <c:v>0.13038937315897781</c:v>
                </c:pt>
                <c:pt idx="390">
                  <c:v>0.44293593400373998</c:v>
                </c:pt>
                <c:pt idx="391">
                  <c:v>0.39093779266072293</c:v>
                </c:pt>
                <c:pt idx="392">
                  <c:v>0.73834990348000618</c:v>
                </c:pt>
                <c:pt idx="393">
                  <c:v>0.68769544722554743</c:v>
                </c:pt>
                <c:pt idx="394">
                  <c:v>0.79932623285300464</c:v>
                </c:pt>
                <c:pt idx="395">
                  <c:v>0.31861254660036675</c:v>
                </c:pt>
                <c:pt idx="396">
                  <c:v>0.62631099952947389</c:v>
                </c:pt>
                <c:pt idx="397">
                  <c:v>0.64325583405171993</c:v>
                </c:pt>
                <c:pt idx="398">
                  <c:v>0.92965990741880289</c:v>
                </c:pt>
                <c:pt idx="399">
                  <c:v>0.79741439864817643</c:v>
                </c:pt>
                <c:pt idx="400">
                  <c:v>0.48095100280852077</c:v>
                </c:pt>
                <c:pt idx="401">
                  <c:v>7.5731783768165806E-2</c:v>
                </c:pt>
                <c:pt idx="402">
                  <c:v>0.46386564973879735</c:v>
                </c:pt>
                <c:pt idx="403">
                  <c:v>0.40357541039424716</c:v>
                </c:pt>
                <c:pt idx="404">
                  <c:v>0.47105803548792413</c:v>
                </c:pt>
                <c:pt idx="405">
                  <c:v>0.21362619471893965</c:v>
                </c:pt>
                <c:pt idx="406">
                  <c:v>0.56756120780381025</c:v>
                </c:pt>
                <c:pt idx="407">
                  <c:v>0.58558698346222271</c:v>
                </c:pt>
                <c:pt idx="408">
                  <c:v>0.25926880059932023</c:v>
                </c:pt>
                <c:pt idx="409">
                  <c:v>0.66878971062107839</c:v>
                </c:pt>
                <c:pt idx="410">
                  <c:v>0.82535687338278307</c:v>
                </c:pt>
                <c:pt idx="411">
                  <c:v>0.44899056430037276</c:v>
                </c:pt>
                <c:pt idx="412">
                  <c:v>0.95267602655251371</c:v>
                </c:pt>
                <c:pt idx="413">
                  <c:v>0.42900219262594197</c:v>
                </c:pt>
                <c:pt idx="414">
                  <c:v>0.78434265784494206</c:v>
                </c:pt>
                <c:pt idx="415">
                  <c:v>0.52748775390332048</c:v>
                </c:pt>
                <c:pt idx="416">
                  <c:v>0.47463597971622429</c:v>
                </c:pt>
                <c:pt idx="417">
                  <c:v>0.5760679961386761</c:v>
                </c:pt>
                <c:pt idx="418">
                  <c:v>0.81400458840344536</c:v>
                </c:pt>
                <c:pt idx="419">
                  <c:v>0.44597671127848737</c:v>
                </c:pt>
                <c:pt idx="420">
                  <c:v>0.63377256229335277</c:v>
                </c:pt>
                <c:pt idx="421">
                  <c:v>0.5657794030944141</c:v>
                </c:pt>
                <c:pt idx="422">
                  <c:v>0.47812923092772364</c:v>
                </c:pt>
                <c:pt idx="423">
                  <c:v>0.42338485321373648</c:v>
                </c:pt>
                <c:pt idx="424">
                  <c:v>0.7476192790387306</c:v>
                </c:pt>
                <c:pt idx="425">
                  <c:v>0.55964489255301131</c:v>
                </c:pt>
                <c:pt idx="426">
                  <c:v>0.27176876801443339</c:v>
                </c:pt>
                <c:pt idx="427">
                  <c:v>0.66769182169731034</c:v>
                </c:pt>
                <c:pt idx="428">
                  <c:v>0.25332541756123866</c:v>
                </c:pt>
                <c:pt idx="429">
                  <c:v>0.73583632190691795</c:v>
                </c:pt>
                <c:pt idx="430">
                  <c:v>0.4206820310639629</c:v>
                </c:pt>
                <c:pt idx="431">
                  <c:v>0.33393897763342684</c:v>
                </c:pt>
                <c:pt idx="432">
                  <c:v>0.63321022953346273</c:v>
                </c:pt>
                <c:pt idx="433">
                  <c:v>0.5903684353776657</c:v>
                </c:pt>
                <c:pt idx="434">
                  <c:v>0.24200067060484109</c:v>
                </c:pt>
                <c:pt idx="435">
                  <c:v>0.73360252461434106</c:v>
                </c:pt>
                <c:pt idx="436">
                  <c:v>0.48549673861542125</c:v>
                </c:pt>
                <c:pt idx="437">
                  <c:v>0.29545677286334432</c:v>
                </c:pt>
                <c:pt idx="438">
                  <c:v>0.19421579507377057</c:v>
                </c:pt>
                <c:pt idx="439">
                  <c:v>0.27818335501748076</c:v>
                </c:pt>
                <c:pt idx="440">
                  <c:v>0.50751341586343834</c:v>
                </c:pt>
                <c:pt idx="441">
                  <c:v>0.51190326715970447</c:v>
                </c:pt>
                <c:pt idx="442">
                  <c:v>0.34618092713969784</c:v>
                </c:pt>
                <c:pt idx="443">
                  <c:v>0.83118869168394538</c:v>
                </c:pt>
                <c:pt idx="444">
                  <c:v>0.51471414896456436</c:v>
                </c:pt>
                <c:pt idx="445">
                  <c:v>0.78024642570038139</c:v>
                </c:pt>
                <c:pt idx="446">
                  <c:v>0.23590786094416777</c:v>
                </c:pt>
                <c:pt idx="447">
                  <c:v>0.27255931828468061</c:v>
                </c:pt>
                <c:pt idx="448">
                  <c:v>0.45804337410806523</c:v>
                </c:pt>
                <c:pt idx="449">
                  <c:v>0.56485117451561606</c:v>
                </c:pt>
                <c:pt idx="450">
                  <c:v>0.41552216340247478</c:v>
                </c:pt>
                <c:pt idx="451">
                  <c:v>0.22296330457500874</c:v>
                </c:pt>
                <c:pt idx="452">
                  <c:v>0.54783767967930097</c:v>
                </c:pt>
                <c:pt idx="453">
                  <c:v>0.60002321494329269</c:v>
                </c:pt>
                <c:pt idx="454">
                  <c:v>0.60369537874530466</c:v>
                </c:pt>
                <c:pt idx="455">
                  <c:v>0.59670289380132868</c:v>
                </c:pt>
                <c:pt idx="456">
                  <c:v>0.38729775301659486</c:v>
                </c:pt>
                <c:pt idx="457">
                  <c:v>0.92896480153270511</c:v>
                </c:pt>
                <c:pt idx="458">
                  <c:v>0.50122791698681513</c:v>
                </c:pt>
                <c:pt idx="459">
                  <c:v>0.56045970950715052</c:v>
                </c:pt>
                <c:pt idx="460">
                  <c:v>0.7719491622414939</c:v>
                </c:pt>
                <c:pt idx="461">
                  <c:v>0.29268506318389353</c:v>
                </c:pt>
                <c:pt idx="462">
                  <c:v>0.39944459907239271</c:v>
                </c:pt>
                <c:pt idx="463">
                  <c:v>0.5379289649792679</c:v>
                </c:pt>
                <c:pt idx="464">
                  <c:v>0.64374671403595196</c:v>
                </c:pt>
                <c:pt idx="465">
                  <c:v>0.43949960886085754</c:v>
                </c:pt>
                <c:pt idx="466">
                  <c:v>0.51001704786895241</c:v>
                </c:pt>
                <c:pt idx="467">
                  <c:v>0.47360874226071115</c:v>
                </c:pt>
                <c:pt idx="468">
                  <c:v>0.21658236320617233</c:v>
                </c:pt>
                <c:pt idx="469">
                  <c:v>0.27752067638202271</c:v>
                </c:pt>
                <c:pt idx="470">
                  <c:v>0.69827593012931322</c:v>
                </c:pt>
                <c:pt idx="471">
                  <c:v>0.59849576290696715</c:v>
                </c:pt>
                <c:pt idx="472">
                  <c:v>0.6328013853488843</c:v>
                </c:pt>
                <c:pt idx="473">
                  <c:v>0.57881294137345263</c:v>
                </c:pt>
                <c:pt idx="474">
                  <c:v>0.49230394707413822</c:v>
                </c:pt>
                <c:pt idx="475">
                  <c:v>0.85730783848041259</c:v>
                </c:pt>
                <c:pt idx="476">
                  <c:v>0.48294208563322061</c:v>
                </c:pt>
                <c:pt idx="477">
                  <c:v>0.59939287452299761</c:v>
                </c:pt>
                <c:pt idx="478">
                  <c:v>0.72883610645837071</c:v>
                </c:pt>
                <c:pt idx="479">
                  <c:v>0.57737390552853329</c:v>
                </c:pt>
                <c:pt idx="480">
                  <c:v>0.54893218156543688</c:v>
                </c:pt>
                <c:pt idx="481">
                  <c:v>0.31540283507651962</c:v>
                </c:pt>
                <c:pt idx="482">
                  <c:v>0.50108907292406912</c:v>
                </c:pt>
                <c:pt idx="483">
                  <c:v>0.16472733520038552</c:v>
                </c:pt>
                <c:pt idx="484">
                  <c:v>0.52085452736487592</c:v>
                </c:pt>
                <c:pt idx="485">
                  <c:v>0.48151364120353712</c:v>
                </c:pt>
                <c:pt idx="486">
                  <c:v>0.3117451289237449</c:v>
                </c:pt>
                <c:pt idx="487">
                  <c:v>0.33483128102358645</c:v>
                </c:pt>
                <c:pt idx="488">
                  <c:v>0.38504950493394574</c:v>
                </c:pt>
                <c:pt idx="489">
                  <c:v>0.40419194453557872</c:v>
                </c:pt>
                <c:pt idx="490">
                  <c:v>0.48077841101944274</c:v>
                </c:pt>
                <c:pt idx="491">
                  <c:v>0.23765159943658942</c:v>
                </c:pt>
                <c:pt idx="492">
                  <c:v>0.35980893939360087</c:v>
                </c:pt>
                <c:pt idx="493">
                  <c:v>0.77198936041945931</c:v>
                </c:pt>
                <c:pt idx="494">
                  <c:v>0.88047524922450904</c:v>
                </c:pt>
                <c:pt idx="495">
                  <c:v>0.57629050813610261</c:v>
                </c:pt>
                <c:pt idx="496">
                  <c:v>0.32495134173814127</c:v>
                </c:pt>
                <c:pt idx="497">
                  <c:v>0.16111678791529416</c:v>
                </c:pt>
                <c:pt idx="498">
                  <c:v>0.58679685221105271</c:v>
                </c:pt>
                <c:pt idx="499">
                  <c:v>0.12613634374433369</c:v>
                </c:pt>
                <c:pt idx="500">
                  <c:v>0.55017587813127644</c:v>
                </c:pt>
                <c:pt idx="501">
                  <c:v>0.48812963803095838</c:v>
                </c:pt>
                <c:pt idx="502">
                  <c:v>0.32862850949133615</c:v>
                </c:pt>
                <c:pt idx="503">
                  <c:v>0.58318008745966188</c:v>
                </c:pt>
                <c:pt idx="504">
                  <c:v>0.73681175342100258</c:v>
                </c:pt>
                <c:pt idx="505">
                  <c:v>0.43344516399984123</c:v>
                </c:pt>
                <c:pt idx="506">
                  <c:v>0.52166778079262499</c:v>
                </c:pt>
                <c:pt idx="507">
                  <c:v>0.50624798278630512</c:v>
                </c:pt>
                <c:pt idx="508">
                  <c:v>0.60038130797598566</c:v>
                </c:pt>
                <c:pt idx="509">
                  <c:v>0.60840828561802573</c:v>
                </c:pt>
                <c:pt idx="510">
                  <c:v>0.51556370763479675</c:v>
                </c:pt>
                <c:pt idx="511">
                  <c:v>0.42207898766817498</c:v>
                </c:pt>
                <c:pt idx="512">
                  <c:v>0.48857440708104316</c:v>
                </c:pt>
                <c:pt idx="513">
                  <c:v>0.27284104631846517</c:v>
                </c:pt>
                <c:pt idx="514">
                  <c:v>0.46858357945297258</c:v>
                </c:pt>
                <c:pt idx="515">
                  <c:v>0.34452162687297511</c:v>
                </c:pt>
                <c:pt idx="516">
                  <c:v>0.48654977638340674</c:v>
                </c:pt>
                <c:pt idx="517">
                  <c:v>0.47884280756989167</c:v>
                </c:pt>
                <c:pt idx="518">
                  <c:v>0.7220332530368575</c:v>
                </c:pt>
                <c:pt idx="519">
                  <c:v>0.47393175683817745</c:v>
                </c:pt>
                <c:pt idx="520">
                  <c:v>0.91137879193221283</c:v>
                </c:pt>
                <c:pt idx="521">
                  <c:v>0.46922106728273094</c:v>
                </c:pt>
                <c:pt idx="522">
                  <c:v>0.26421201056954619</c:v>
                </c:pt>
                <c:pt idx="523">
                  <c:v>0.35024078142399423</c:v>
                </c:pt>
                <c:pt idx="524">
                  <c:v>0.84048810986163691</c:v>
                </c:pt>
                <c:pt idx="525">
                  <c:v>0.5690026689594484</c:v>
                </c:pt>
                <c:pt idx="526">
                  <c:v>0.44782217302602267</c:v>
                </c:pt>
                <c:pt idx="527">
                  <c:v>0.94090864671625285</c:v>
                </c:pt>
                <c:pt idx="528">
                  <c:v>0.43313263229621191</c:v>
                </c:pt>
                <c:pt idx="529">
                  <c:v>0.49078004922007046</c:v>
                </c:pt>
                <c:pt idx="530">
                  <c:v>0.56138552543597531</c:v>
                </c:pt>
                <c:pt idx="531">
                  <c:v>0.27731684683804114</c:v>
                </c:pt>
                <c:pt idx="532">
                  <c:v>0.54435043144519524</c:v>
                </c:pt>
                <c:pt idx="533">
                  <c:v>0.6382899376711566</c:v>
                </c:pt>
                <c:pt idx="534">
                  <c:v>0.5000368328290814</c:v>
                </c:pt>
                <c:pt idx="535">
                  <c:v>0.77050430996332586</c:v>
                </c:pt>
                <c:pt idx="536">
                  <c:v>0.56971873664711969</c:v>
                </c:pt>
                <c:pt idx="537">
                  <c:v>0.6223611522603657</c:v>
                </c:pt>
                <c:pt idx="538">
                  <c:v>0.83520460409108743</c:v>
                </c:pt>
                <c:pt idx="539">
                  <c:v>0.57812513499099516</c:v>
                </c:pt>
                <c:pt idx="540">
                  <c:v>0.6061842475456295</c:v>
                </c:pt>
                <c:pt idx="541">
                  <c:v>0.47502160390881143</c:v>
                </c:pt>
                <c:pt idx="542">
                  <c:v>0.31727200663084959</c:v>
                </c:pt>
                <c:pt idx="543">
                  <c:v>0.70412325399013254</c:v>
                </c:pt>
                <c:pt idx="544">
                  <c:v>0.5399916076258191</c:v>
                </c:pt>
                <c:pt idx="545">
                  <c:v>0.52119306301064006</c:v>
                </c:pt>
                <c:pt idx="546">
                  <c:v>0.49768233328367839</c:v>
                </c:pt>
                <c:pt idx="547">
                  <c:v>0.35422799498707602</c:v>
                </c:pt>
                <c:pt idx="548">
                  <c:v>0.42344531724841511</c:v>
                </c:pt>
                <c:pt idx="549">
                  <c:v>0.4239619860656359</c:v>
                </c:pt>
                <c:pt idx="550">
                  <c:v>0.58268102289206236</c:v>
                </c:pt>
                <c:pt idx="551">
                  <c:v>0.54776641513312585</c:v>
                </c:pt>
                <c:pt idx="552">
                  <c:v>0.33775989285274699</c:v>
                </c:pt>
                <c:pt idx="553">
                  <c:v>0.35077234594895851</c:v>
                </c:pt>
                <c:pt idx="554">
                  <c:v>0.45640810108199759</c:v>
                </c:pt>
                <c:pt idx="555">
                  <c:v>0.33659906915734972</c:v>
                </c:pt>
                <c:pt idx="556">
                  <c:v>0.73932372400307578</c:v>
                </c:pt>
                <c:pt idx="557">
                  <c:v>0.78991126719697369</c:v>
                </c:pt>
                <c:pt idx="558">
                  <c:v>0.40448880818047389</c:v>
                </c:pt>
                <c:pt idx="559">
                  <c:v>0.6271369077244946</c:v>
                </c:pt>
                <c:pt idx="560">
                  <c:v>0.48722855809730342</c:v>
                </c:pt>
                <c:pt idx="561">
                  <c:v>0.47754650703653678</c:v>
                </c:pt>
                <c:pt idx="562">
                  <c:v>0.81813555449330688</c:v>
                </c:pt>
                <c:pt idx="563">
                  <c:v>1.0194678665399619</c:v>
                </c:pt>
                <c:pt idx="564">
                  <c:v>0.95656524652988162</c:v>
                </c:pt>
                <c:pt idx="565">
                  <c:v>0.3281065419009877</c:v>
                </c:pt>
                <c:pt idx="566">
                  <c:v>0.786093768753656</c:v>
                </c:pt>
                <c:pt idx="567">
                  <c:v>0.69848471796241196</c:v>
                </c:pt>
                <c:pt idx="568">
                  <c:v>0.66553774840297653</c:v>
                </c:pt>
                <c:pt idx="569">
                  <c:v>0.40055673066679526</c:v>
                </c:pt>
                <c:pt idx="570">
                  <c:v>0.12452138425798265</c:v>
                </c:pt>
                <c:pt idx="571">
                  <c:v>0.72254971934781986</c:v>
                </c:pt>
                <c:pt idx="572">
                  <c:v>0.34946436598559416</c:v>
                </c:pt>
                <c:pt idx="573">
                  <c:v>0.71829521645031624</c:v>
                </c:pt>
                <c:pt idx="574">
                  <c:v>0.41803107718936156</c:v>
                </c:pt>
                <c:pt idx="575">
                  <c:v>0.58339801128517088</c:v>
                </c:pt>
                <c:pt idx="576">
                  <c:v>0.7723984635531872</c:v>
                </c:pt>
                <c:pt idx="577">
                  <c:v>0.5380644056883217</c:v>
                </c:pt>
                <c:pt idx="578">
                  <c:v>0.51179377215239108</c:v>
                </c:pt>
                <c:pt idx="579">
                  <c:v>0.46446923533560802</c:v>
                </c:pt>
                <c:pt idx="580">
                  <c:v>0.75878707978524906</c:v>
                </c:pt>
                <c:pt idx="581">
                  <c:v>0.59813123323696349</c:v>
                </c:pt>
                <c:pt idx="582">
                  <c:v>0.75810223064569682</c:v>
                </c:pt>
                <c:pt idx="583">
                  <c:v>0.50863167670150666</c:v>
                </c:pt>
                <c:pt idx="584">
                  <c:v>0.65782876323233352</c:v>
                </c:pt>
                <c:pt idx="585">
                  <c:v>0.42981201108513201</c:v>
                </c:pt>
                <c:pt idx="586">
                  <c:v>0.67609134674410809</c:v>
                </c:pt>
                <c:pt idx="587">
                  <c:v>0.38564162133843655</c:v>
                </c:pt>
                <c:pt idx="588">
                  <c:v>5.7414265580470691E-2</c:v>
                </c:pt>
                <c:pt idx="589">
                  <c:v>0.28953862870747754</c:v>
                </c:pt>
                <c:pt idx="590">
                  <c:v>0.36649149274587789</c:v>
                </c:pt>
                <c:pt idx="591">
                  <c:v>0.19586023944614517</c:v>
                </c:pt>
                <c:pt idx="592">
                  <c:v>0.41677041006176097</c:v>
                </c:pt>
                <c:pt idx="593">
                  <c:v>0.72724970917728604</c:v>
                </c:pt>
                <c:pt idx="594">
                  <c:v>0.69437119351484822</c:v>
                </c:pt>
                <c:pt idx="595">
                  <c:v>5.5275702515067304E-2</c:v>
                </c:pt>
                <c:pt idx="596">
                  <c:v>0.70576616341481591</c:v>
                </c:pt>
                <c:pt idx="597">
                  <c:v>0.43791189012207743</c:v>
                </c:pt>
                <c:pt idx="598">
                  <c:v>0.35533330663749207</c:v>
                </c:pt>
                <c:pt idx="599">
                  <c:v>0.73703015902936875</c:v>
                </c:pt>
                <c:pt idx="600">
                  <c:v>0.48072177970630531</c:v>
                </c:pt>
                <c:pt idx="601">
                  <c:v>0.68353351288972919</c:v>
                </c:pt>
                <c:pt idx="602">
                  <c:v>0.47261106504668726</c:v>
                </c:pt>
                <c:pt idx="603">
                  <c:v>0.66808613540137374</c:v>
                </c:pt>
                <c:pt idx="604">
                  <c:v>0.76816645364128278</c:v>
                </c:pt>
                <c:pt idx="605">
                  <c:v>0.77701559786000685</c:v>
                </c:pt>
                <c:pt idx="606">
                  <c:v>0.42049306166441702</c:v>
                </c:pt>
                <c:pt idx="607">
                  <c:v>0.61868240299491895</c:v>
                </c:pt>
                <c:pt idx="608">
                  <c:v>0.32761016023275397</c:v>
                </c:pt>
                <c:pt idx="609">
                  <c:v>0.61851263767947084</c:v>
                </c:pt>
                <c:pt idx="610">
                  <c:v>0.48994981521156877</c:v>
                </c:pt>
                <c:pt idx="611">
                  <c:v>0.73649892505439296</c:v>
                </c:pt>
                <c:pt idx="612">
                  <c:v>0.55982287600685066</c:v>
                </c:pt>
                <c:pt idx="613">
                  <c:v>0.2812085747981426</c:v>
                </c:pt>
                <c:pt idx="614">
                  <c:v>0.31829731475507234</c:v>
                </c:pt>
                <c:pt idx="615">
                  <c:v>0.19926098181520213</c:v>
                </c:pt>
                <c:pt idx="616">
                  <c:v>0.5457007277729724</c:v>
                </c:pt>
                <c:pt idx="617">
                  <c:v>0.50115114545377903</c:v>
                </c:pt>
                <c:pt idx="618">
                  <c:v>0.44064455100804745</c:v>
                </c:pt>
                <c:pt idx="619">
                  <c:v>0.64213197721852655</c:v>
                </c:pt>
                <c:pt idx="620">
                  <c:v>0.28014780340791778</c:v>
                </c:pt>
                <c:pt idx="621">
                  <c:v>0.34882799795112407</c:v>
                </c:pt>
                <c:pt idx="622">
                  <c:v>0.5882737037729473</c:v>
                </c:pt>
                <c:pt idx="623">
                  <c:v>0.55260531957328385</c:v>
                </c:pt>
                <c:pt idx="624">
                  <c:v>0.35896003786566755</c:v>
                </c:pt>
                <c:pt idx="625">
                  <c:v>0.65520089715679486</c:v>
                </c:pt>
                <c:pt idx="626">
                  <c:v>0.89290016800137373</c:v>
                </c:pt>
                <c:pt idx="627">
                  <c:v>0.5964181865424647</c:v>
                </c:pt>
                <c:pt idx="628">
                  <c:v>0.59278101293440888</c:v>
                </c:pt>
                <c:pt idx="629">
                  <c:v>0.71818335951131052</c:v>
                </c:pt>
                <c:pt idx="630">
                  <c:v>0.43102715038117573</c:v>
                </c:pt>
                <c:pt idx="631">
                  <c:v>0.58665786963418176</c:v>
                </c:pt>
                <c:pt idx="632">
                  <c:v>0.50901701204984706</c:v>
                </c:pt>
                <c:pt idx="633">
                  <c:v>0.63873225205205342</c:v>
                </c:pt>
                <c:pt idx="634">
                  <c:v>0.42620256185389843</c:v>
                </c:pt>
                <c:pt idx="635">
                  <c:v>0.49894474917712095</c:v>
                </c:pt>
                <c:pt idx="636">
                  <c:v>0.25803698695388499</c:v>
                </c:pt>
                <c:pt idx="637">
                  <c:v>0.66385709737852194</c:v>
                </c:pt>
                <c:pt idx="638">
                  <c:v>0.42009113045253832</c:v>
                </c:pt>
                <c:pt idx="639">
                  <c:v>0.79629205964669514</c:v>
                </c:pt>
                <c:pt idx="640">
                  <c:v>0.55090346719896022</c:v>
                </c:pt>
                <c:pt idx="641">
                  <c:v>0.52493079922538022</c:v>
                </c:pt>
                <c:pt idx="642">
                  <c:v>0.41190967181338423</c:v>
                </c:pt>
                <c:pt idx="643">
                  <c:v>0.59981971797362099</c:v>
                </c:pt>
                <c:pt idx="644">
                  <c:v>0.61704767500313007</c:v>
                </c:pt>
                <c:pt idx="645">
                  <c:v>0.27834670673212936</c:v>
                </c:pt>
                <c:pt idx="646">
                  <c:v>0.38308604595579865</c:v>
                </c:pt>
                <c:pt idx="647">
                  <c:v>0.55029662925112277</c:v>
                </c:pt>
                <c:pt idx="648">
                  <c:v>0.65762614096679495</c:v>
                </c:pt>
                <c:pt idx="649">
                  <c:v>0.31257163064654492</c:v>
                </c:pt>
                <c:pt idx="650">
                  <c:v>0.57529620456861641</c:v>
                </c:pt>
                <c:pt idx="651">
                  <c:v>0.34048954057635922</c:v>
                </c:pt>
                <c:pt idx="652">
                  <c:v>0.52362994221428982</c:v>
                </c:pt>
                <c:pt idx="653">
                  <c:v>0.26460115047399846</c:v>
                </c:pt>
                <c:pt idx="654">
                  <c:v>0.37401783674017841</c:v>
                </c:pt>
                <c:pt idx="655">
                  <c:v>0.93196068564645806</c:v>
                </c:pt>
                <c:pt idx="656">
                  <c:v>0.47989112979910831</c:v>
                </c:pt>
                <c:pt idx="657">
                  <c:v>0.34655523420266227</c:v>
                </c:pt>
                <c:pt idx="658">
                  <c:v>0.42077586225711971</c:v>
                </c:pt>
                <c:pt idx="659">
                  <c:v>0.46107299295503767</c:v>
                </c:pt>
                <c:pt idx="660">
                  <c:v>0.20255847387698001</c:v>
                </c:pt>
                <c:pt idx="661">
                  <c:v>0.59194942518207772</c:v>
                </c:pt>
                <c:pt idx="662">
                  <c:v>0.56152218370553419</c:v>
                </c:pt>
                <c:pt idx="663">
                  <c:v>0.5850894551258039</c:v>
                </c:pt>
                <c:pt idx="664">
                  <c:v>0.55434293560703807</c:v>
                </c:pt>
                <c:pt idx="665">
                  <c:v>0.58543015893709049</c:v>
                </c:pt>
                <c:pt idx="666">
                  <c:v>0.7653776115992037</c:v>
                </c:pt>
                <c:pt idx="667">
                  <c:v>0.33800791478798897</c:v>
                </c:pt>
                <c:pt idx="668">
                  <c:v>0.17259292003408244</c:v>
                </c:pt>
                <c:pt idx="669">
                  <c:v>0.66510965981264336</c:v>
                </c:pt>
                <c:pt idx="670">
                  <c:v>0.85240026947550773</c:v>
                </c:pt>
                <c:pt idx="671">
                  <c:v>0.42143018600045473</c:v>
                </c:pt>
                <c:pt idx="672">
                  <c:v>0.75042638399090889</c:v>
                </c:pt>
                <c:pt idx="673">
                  <c:v>0.59549014744621087</c:v>
                </c:pt>
                <c:pt idx="674">
                  <c:v>0.39048168853307441</c:v>
                </c:pt>
                <c:pt idx="675">
                  <c:v>0.68183380593047183</c:v>
                </c:pt>
                <c:pt idx="676">
                  <c:v>0.53988094420806754</c:v>
                </c:pt>
                <c:pt idx="677">
                  <c:v>0.37780281158343471</c:v>
                </c:pt>
                <c:pt idx="678">
                  <c:v>0.40967740810916753</c:v>
                </c:pt>
                <c:pt idx="679">
                  <c:v>0.68088675184758918</c:v>
                </c:pt>
                <c:pt idx="680">
                  <c:v>0.67091309388575104</c:v>
                </c:pt>
                <c:pt idx="681">
                  <c:v>0.25729214247233012</c:v>
                </c:pt>
                <c:pt idx="682">
                  <c:v>0.53703723082582011</c:v>
                </c:pt>
                <c:pt idx="683">
                  <c:v>0.95468229614731592</c:v>
                </c:pt>
                <c:pt idx="684">
                  <c:v>0.8138783299831075</c:v>
                </c:pt>
                <c:pt idx="685">
                  <c:v>0.39419043655979086</c:v>
                </c:pt>
                <c:pt idx="686">
                  <c:v>0.49319088160126923</c:v>
                </c:pt>
                <c:pt idx="687">
                  <c:v>0.43784743239954754</c:v>
                </c:pt>
                <c:pt idx="688">
                  <c:v>0.79602983732607802</c:v>
                </c:pt>
                <c:pt idx="689">
                  <c:v>0.67185175714844148</c:v>
                </c:pt>
                <c:pt idx="690">
                  <c:v>0.59729330224960964</c:v>
                </c:pt>
                <c:pt idx="691">
                  <c:v>0.46857983409702531</c:v>
                </c:pt>
                <c:pt idx="692">
                  <c:v>0.83498641398616791</c:v>
                </c:pt>
                <c:pt idx="693">
                  <c:v>0.46074811094825163</c:v>
                </c:pt>
                <c:pt idx="694">
                  <c:v>0.39922329030287956</c:v>
                </c:pt>
                <c:pt idx="695">
                  <c:v>0.21761959016026888</c:v>
                </c:pt>
                <c:pt idx="696">
                  <c:v>0.22914545876034365</c:v>
                </c:pt>
                <c:pt idx="697">
                  <c:v>0.52719221846380038</c:v>
                </c:pt>
                <c:pt idx="698">
                  <c:v>0.51520517085150108</c:v>
                </c:pt>
                <c:pt idx="699">
                  <c:v>0.76631458500502114</c:v>
                </c:pt>
                <c:pt idx="700">
                  <c:v>0.5256049731501834</c:v>
                </c:pt>
                <c:pt idx="701">
                  <c:v>0.47893180460962964</c:v>
                </c:pt>
                <c:pt idx="702">
                  <c:v>0.67799566891516938</c:v>
                </c:pt>
                <c:pt idx="703">
                  <c:v>0.31574755843324764</c:v>
                </c:pt>
                <c:pt idx="704">
                  <c:v>0.35031551032632258</c:v>
                </c:pt>
                <c:pt idx="705">
                  <c:v>0.5481111740060427</c:v>
                </c:pt>
                <c:pt idx="706">
                  <c:v>0.61797390609751901</c:v>
                </c:pt>
                <c:pt idx="707">
                  <c:v>0.52240017000741013</c:v>
                </c:pt>
                <c:pt idx="708">
                  <c:v>0.41718657219588806</c:v>
                </c:pt>
                <c:pt idx="709">
                  <c:v>0.64113982326156316</c:v>
                </c:pt>
                <c:pt idx="710">
                  <c:v>0.50187196275718504</c:v>
                </c:pt>
                <c:pt idx="711">
                  <c:v>0.40081509293951134</c:v>
                </c:pt>
                <c:pt idx="712">
                  <c:v>7.979327123604768E-2</c:v>
                </c:pt>
                <c:pt idx="713">
                  <c:v>7.8838922694662972E-2</c:v>
                </c:pt>
                <c:pt idx="714">
                  <c:v>0.37981447348212638</c:v>
                </c:pt>
                <c:pt idx="715">
                  <c:v>0.37170853822165945</c:v>
                </c:pt>
                <c:pt idx="716">
                  <c:v>0.44498936967049635</c:v>
                </c:pt>
                <c:pt idx="717">
                  <c:v>0.70515253057902449</c:v>
                </c:pt>
                <c:pt idx="718">
                  <c:v>0.42990694743328306</c:v>
                </c:pt>
                <c:pt idx="719">
                  <c:v>0.57020768462507909</c:v>
                </c:pt>
                <c:pt idx="720">
                  <c:v>0.85458912029406775</c:v>
                </c:pt>
                <c:pt idx="721">
                  <c:v>0.43525623815762871</c:v>
                </c:pt>
                <c:pt idx="722">
                  <c:v>0.49687520440619876</c:v>
                </c:pt>
                <c:pt idx="723">
                  <c:v>0.53372115892285954</c:v>
                </c:pt>
                <c:pt idx="724">
                  <c:v>0.4704091693957953</c:v>
                </c:pt>
                <c:pt idx="725">
                  <c:v>0.44558863415136352</c:v>
                </c:pt>
                <c:pt idx="726">
                  <c:v>0.71259130329480369</c:v>
                </c:pt>
                <c:pt idx="727">
                  <c:v>0.55058989897182042</c:v>
                </c:pt>
                <c:pt idx="728">
                  <c:v>0.48412850634021259</c:v>
                </c:pt>
                <c:pt idx="729">
                  <c:v>0.4032063632722161</c:v>
                </c:pt>
                <c:pt idx="730">
                  <c:v>0.89599210356793368</c:v>
                </c:pt>
                <c:pt idx="731">
                  <c:v>0.70012230621306804</c:v>
                </c:pt>
                <c:pt idx="732">
                  <c:v>0.65430596748499259</c:v>
                </c:pt>
                <c:pt idx="733">
                  <c:v>0.3002399652790787</c:v>
                </c:pt>
                <c:pt idx="734">
                  <c:v>0.3170823948016519</c:v>
                </c:pt>
                <c:pt idx="735">
                  <c:v>0.38087292388266358</c:v>
                </c:pt>
                <c:pt idx="736">
                  <c:v>0.31863515840654677</c:v>
                </c:pt>
                <c:pt idx="737">
                  <c:v>0.44529876276088842</c:v>
                </c:pt>
                <c:pt idx="738">
                  <c:v>0.56086192600074913</c:v>
                </c:pt>
                <c:pt idx="739">
                  <c:v>0.704972367096798</c:v>
                </c:pt>
                <c:pt idx="740">
                  <c:v>0.3330870214538999</c:v>
                </c:pt>
                <c:pt idx="741">
                  <c:v>0.52560701789317787</c:v>
                </c:pt>
                <c:pt idx="742">
                  <c:v>7.675511251433581E-2</c:v>
                </c:pt>
                <c:pt idx="743">
                  <c:v>0.61506611108396858</c:v>
                </c:pt>
                <c:pt idx="744">
                  <c:v>0.34928089551822505</c:v>
                </c:pt>
                <c:pt idx="745">
                  <c:v>0.76883123284582244</c:v>
                </c:pt>
                <c:pt idx="746">
                  <c:v>0.4175846402219201</c:v>
                </c:pt>
                <c:pt idx="747">
                  <c:v>0.38129588255307367</c:v>
                </c:pt>
                <c:pt idx="748">
                  <c:v>0.56408295515719076</c:v>
                </c:pt>
                <c:pt idx="749">
                  <c:v>0.58830103634099651</c:v>
                </c:pt>
                <c:pt idx="750">
                  <c:v>0.81043300721340628</c:v>
                </c:pt>
                <c:pt idx="751">
                  <c:v>0.62164990157270961</c:v>
                </c:pt>
                <c:pt idx="752">
                  <c:v>0.3187044330960932</c:v>
                </c:pt>
                <c:pt idx="753">
                  <c:v>0.62187740478789055</c:v>
                </c:pt>
                <c:pt idx="754">
                  <c:v>0.35969222532809675</c:v>
                </c:pt>
                <c:pt idx="755">
                  <c:v>0.35251712285987469</c:v>
                </c:pt>
                <c:pt idx="756">
                  <c:v>0.4348220589086087</c:v>
                </c:pt>
                <c:pt idx="757">
                  <c:v>0.62505360209437577</c:v>
                </c:pt>
                <c:pt idx="758">
                  <c:v>0.12615044347763305</c:v>
                </c:pt>
                <c:pt idx="759">
                  <c:v>0.44049601441123865</c:v>
                </c:pt>
                <c:pt idx="760">
                  <c:v>0.53380232829670082</c:v>
                </c:pt>
                <c:pt idx="761">
                  <c:v>0.46338226671699423</c:v>
                </c:pt>
                <c:pt idx="762">
                  <c:v>0.45644237375489949</c:v>
                </c:pt>
                <c:pt idx="763">
                  <c:v>0.53026790284274905</c:v>
                </c:pt>
                <c:pt idx="764">
                  <c:v>0.18402381007233315</c:v>
                </c:pt>
                <c:pt idx="765">
                  <c:v>1.0394063879846585</c:v>
                </c:pt>
                <c:pt idx="766">
                  <c:v>0.3953025937695992</c:v>
                </c:pt>
                <c:pt idx="767">
                  <c:v>0.29322308736537339</c:v>
                </c:pt>
                <c:pt idx="768">
                  <c:v>0.26824946799217042</c:v>
                </c:pt>
                <c:pt idx="769">
                  <c:v>0.22253835508539288</c:v>
                </c:pt>
                <c:pt idx="770">
                  <c:v>0.48047922179473646</c:v>
                </c:pt>
                <c:pt idx="771">
                  <c:v>0.82208277478070002</c:v>
                </c:pt>
                <c:pt idx="772">
                  <c:v>0.6372012991546141</c:v>
                </c:pt>
                <c:pt idx="773">
                  <c:v>0.26202361326216356</c:v>
                </c:pt>
                <c:pt idx="774">
                  <c:v>0.34726913748109678</c:v>
                </c:pt>
                <c:pt idx="775">
                  <c:v>0.36216542272692837</c:v>
                </c:pt>
                <c:pt idx="776">
                  <c:v>0.50799212304879426</c:v>
                </c:pt>
                <c:pt idx="777">
                  <c:v>0.63373860155879136</c:v>
                </c:pt>
                <c:pt idx="778">
                  <c:v>0.64419796770060611</c:v>
                </c:pt>
                <c:pt idx="779">
                  <c:v>0.25764740506236961</c:v>
                </c:pt>
                <c:pt idx="780">
                  <c:v>0.62819243100363953</c:v>
                </c:pt>
                <c:pt idx="781">
                  <c:v>0.41507180177306213</c:v>
                </c:pt>
                <c:pt idx="782">
                  <c:v>0.38845948294561861</c:v>
                </c:pt>
                <c:pt idx="783">
                  <c:v>0.36821702883485541</c:v>
                </c:pt>
                <c:pt idx="784">
                  <c:v>0.41475398895554222</c:v>
                </c:pt>
                <c:pt idx="785">
                  <c:v>0.33409267757236205</c:v>
                </c:pt>
                <c:pt idx="786">
                  <c:v>0.49984068805225135</c:v>
                </c:pt>
                <c:pt idx="787">
                  <c:v>0.5300484653527554</c:v>
                </c:pt>
                <c:pt idx="788">
                  <c:v>7.7209640087007647E-2</c:v>
                </c:pt>
                <c:pt idx="789">
                  <c:v>0.8140493140733307</c:v>
                </c:pt>
                <c:pt idx="790">
                  <c:v>0.64999812079282715</c:v>
                </c:pt>
                <c:pt idx="791">
                  <c:v>0.65407636003919523</c:v>
                </c:pt>
                <c:pt idx="792">
                  <c:v>0.22098358294642234</c:v>
                </c:pt>
                <c:pt idx="793">
                  <c:v>0.44770084362517903</c:v>
                </c:pt>
                <c:pt idx="794">
                  <c:v>0.39919021800426169</c:v>
                </c:pt>
                <c:pt idx="795">
                  <c:v>0.52657748080601474</c:v>
                </c:pt>
                <c:pt idx="796">
                  <c:v>0.36310693457949217</c:v>
                </c:pt>
                <c:pt idx="797">
                  <c:v>0.17403235588041049</c:v>
                </c:pt>
                <c:pt idx="798">
                  <c:v>0.41595776685115438</c:v>
                </c:pt>
                <c:pt idx="799">
                  <c:v>0.47332604264616118</c:v>
                </c:pt>
                <c:pt idx="800">
                  <c:v>0.6381440283888532</c:v>
                </c:pt>
                <c:pt idx="801">
                  <c:v>0.31392460070422873</c:v>
                </c:pt>
                <c:pt idx="802">
                  <c:v>0.45990125191070441</c:v>
                </c:pt>
                <c:pt idx="803">
                  <c:v>0.32314703025323843</c:v>
                </c:pt>
                <c:pt idx="804">
                  <c:v>0.36562302320489609</c:v>
                </c:pt>
                <c:pt idx="805">
                  <c:v>0.7671539295461931</c:v>
                </c:pt>
                <c:pt idx="806">
                  <c:v>0.33508307551735367</c:v>
                </c:pt>
                <c:pt idx="807">
                  <c:v>0.45542989216091517</c:v>
                </c:pt>
                <c:pt idx="808">
                  <c:v>1.0639973602756223</c:v>
                </c:pt>
                <c:pt idx="809">
                  <c:v>0.83164206474592239</c:v>
                </c:pt>
                <c:pt idx="810">
                  <c:v>0.50817413717431414</c:v>
                </c:pt>
                <c:pt idx="811">
                  <c:v>0.28222167099750139</c:v>
                </c:pt>
                <c:pt idx="812">
                  <c:v>0.20009200370398908</c:v>
                </c:pt>
                <c:pt idx="813">
                  <c:v>0.38635601860566426</c:v>
                </c:pt>
                <c:pt idx="814">
                  <c:v>0.10643288108849025</c:v>
                </c:pt>
                <c:pt idx="815">
                  <c:v>0.57715532299721306</c:v>
                </c:pt>
                <c:pt idx="816">
                  <c:v>0.66361034097843252</c:v>
                </c:pt>
                <c:pt idx="817">
                  <c:v>0.41156403749929016</c:v>
                </c:pt>
                <c:pt idx="818">
                  <c:v>0.42362150226456474</c:v>
                </c:pt>
                <c:pt idx="819">
                  <c:v>0.54164508379053222</c:v>
                </c:pt>
                <c:pt idx="820">
                  <c:v>0.51663727404987758</c:v>
                </c:pt>
                <c:pt idx="821">
                  <c:v>0.83561271727421127</c:v>
                </c:pt>
                <c:pt idx="822">
                  <c:v>0.43181408341607258</c:v>
                </c:pt>
                <c:pt idx="823">
                  <c:v>0.7261243648416803</c:v>
                </c:pt>
                <c:pt idx="824">
                  <c:v>0.48407995989453323</c:v>
                </c:pt>
                <c:pt idx="825">
                  <c:v>0.49276371725826285</c:v>
                </c:pt>
                <c:pt idx="826">
                  <c:v>0.5112607022185951</c:v>
                </c:pt>
                <c:pt idx="827">
                  <c:v>0.42229758697573239</c:v>
                </c:pt>
                <c:pt idx="828">
                  <c:v>0.51445550568749243</c:v>
                </c:pt>
                <c:pt idx="829">
                  <c:v>0.18958275242867562</c:v>
                </c:pt>
                <c:pt idx="830">
                  <c:v>0.65151851684701123</c:v>
                </c:pt>
                <c:pt idx="831">
                  <c:v>0.67477173550990444</c:v>
                </c:pt>
                <c:pt idx="832">
                  <c:v>0.37219631891397525</c:v>
                </c:pt>
                <c:pt idx="833">
                  <c:v>0.54861009733544575</c:v>
                </c:pt>
                <c:pt idx="834">
                  <c:v>0.32147076535518715</c:v>
                </c:pt>
                <c:pt idx="835">
                  <c:v>0.48430270727189917</c:v>
                </c:pt>
                <c:pt idx="836">
                  <c:v>0.77614415556683491</c:v>
                </c:pt>
                <c:pt idx="837">
                  <c:v>0.45002499325472478</c:v>
                </c:pt>
                <c:pt idx="838">
                  <c:v>0.80139220502999065</c:v>
                </c:pt>
                <c:pt idx="839">
                  <c:v>0.35404197590652259</c:v>
                </c:pt>
                <c:pt idx="840">
                  <c:v>0.40263530591073837</c:v>
                </c:pt>
                <c:pt idx="841">
                  <c:v>0.30669997913067992</c:v>
                </c:pt>
                <c:pt idx="842">
                  <c:v>0.38243848602906849</c:v>
                </c:pt>
                <c:pt idx="843">
                  <c:v>0.79338395712075982</c:v>
                </c:pt>
                <c:pt idx="844">
                  <c:v>0.60325638541979121</c:v>
                </c:pt>
                <c:pt idx="845">
                  <c:v>0.67136301635286599</c:v>
                </c:pt>
                <c:pt idx="846">
                  <c:v>0.39171671115488615</c:v>
                </c:pt>
                <c:pt idx="847">
                  <c:v>0.4350765993704736</c:v>
                </c:pt>
                <c:pt idx="848">
                  <c:v>0.91058932051588792</c:v>
                </c:pt>
                <c:pt idx="849">
                  <c:v>0.54711675268445104</c:v>
                </c:pt>
                <c:pt idx="850">
                  <c:v>0.46199850946432641</c:v>
                </c:pt>
                <c:pt idx="851">
                  <c:v>0.22096201826660028</c:v>
                </c:pt>
                <c:pt idx="852">
                  <c:v>0.73347365933474706</c:v>
                </c:pt>
                <c:pt idx="853">
                  <c:v>0.37000422084588952</c:v>
                </c:pt>
                <c:pt idx="854">
                  <c:v>1.0521972161094157</c:v>
                </c:pt>
                <c:pt idx="855">
                  <c:v>0.3845682967056977</c:v>
                </c:pt>
                <c:pt idx="856">
                  <c:v>0.74643769919469871</c:v>
                </c:pt>
                <c:pt idx="857">
                  <c:v>0.45905852627559018</c:v>
                </c:pt>
                <c:pt idx="858">
                  <c:v>0.38528851427934696</c:v>
                </c:pt>
                <c:pt idx="859">
                  <c:v>0.35815779913300838</c:v>
                </c:pt>
                <c:pt idx="860">
                  <c:v>0.30250045022795724</c:v>
                </c:pt>
                <c:pt idx="861">
                  <c:v>0.30806176240526073</c:v>
                </c:pt>
                <c:pt idx="862">
                  <c:v>0.47321439031372781</c:v>
                </c:pt>
                <c:pt idx="863">
                  <c:v>0.53978354069400458</c:v>
                </c:pt>
                <c:pt idx="864">
                  <c:v>0.74403286135406366</c:v>
                </c:pt>
                <c:pt idx="865">
                  <c:v>0.40668976518300504</c:v>
                </c:pt>
                <c:pt idx="866">
                  <c:v>0.77708000883602679</c:v>
                </c:pt>
                <c:pt idx="867">
                  <c:v>0.66921107887352904</c:v>
                </c:pt>
                <c:pt idx="868">
                  <c:v>0.64075181708802642</c:v>
                </c:pt>
                <c:pt idx="869">
                  <c:v>0.16191757292968245</c:v>
                </c:pt>
                <c:pt idx="870">
                  <c:v>0.28370238422065658</c:v>
                </c:pt>
                <c:pt idx="871">
                  <c:v>0.70343878012633554</c:v>
                </c:pt>
                <c:pt idx="872">
                  <c:v>0.37722955987589779</c:v>
                </c:pt>
                <c:pt idx="873">
                  <c:v>0.5948158929203734</c:v>
                </c:pt>
                <c:pt idx="874">
                  <c:v>0.43499101870719631</c:v>
                </c:pt>
                <c:pt idx="875">
                  <c:v>0.19514227519473049</c:v>
                </c:pt>
                <c:pt idx="876">
                  <c:v>0.57777346403685537</c:v>
                </c:pt>
                <c:pt idx="877">
                  <c:v>0.60782133430216312</c:v>
                </c:pt>
                <c:pt idx="878">
                  <c:v>0.57761766466152509</c:v>
                </c:pt>
                <c:pt idx="879">
                  <c:v>0.56571142109349903</c:v>
                </c:pt>
                <c:pt idx="880">
                  <c:v>0.42047414166699992</c:v>
                </c:pt>
                <c:pt idx="881">
                  <c:v>0.60262202069624493</c:v>
                </c:pt>
                <c:pt idx="882">
                  <c:v>0.96516560337650315</c:v>
                </c:pt>
                <c:pt idx="883">
                  <c:v>0.40834452790180964</c:v>
                </c:pt>
                <c:pt idx="884">
                  <c:v>0.57737547535410105</c:v>
                </c:pt>
                <c:pt idx="885">
                  <c:v>0.27463376818949858</c:v>
                </c:pt>
                <c:pt idx="886">
                  <c:v>0.45778266342488677</c:v>
                </c:pt>
                <c:pt idx="887">
                  <c:v>0.48640378909500764</c:v>
                </c:pt>
                <c:pt idx="888">
                  <c:v>0.36298423263925156</c:v>
                </c:pt>
                <c:pt idx="889">
                  <c:v>0.58629959224903572</c:v>
                </c:pt>
                <c:pt idx="890">
                  <c:v>0.35566903370636938</c:v>
                </c:pt>
                <c:pt idx="891">
                  <c:v>0.23982185560401248</c:v>
                </c:pt>
                <c:pt idx="892">
                  <c:v>0.65592890284538963</c:v>
                </c:pt>
                <c:pt idx="893">
                  <c:v>0.62088936471656409</c:v>
                </c:pt>
                <c:pt idx="894">
                  <c:v>0.5189180675301579</c:v>
                </c:pt>
                <c:pt idx="895">
                  <c:v>0.36000139709279955</c:v>
                </c:pt>
                <c:pt idx="896">
                  <c:v>0.54775401142947089</c:v>
                </c:pt>
                <c:pt idx="897">
                  <c:v>0.30812129484367112</c:v>
                </c:pt>
                <c:pt idx="898">
                  <c:v>0.34674708363653139</c:v>
                </c:pt>
                <c:pt idx="899">
                  <c:v>0.50813909047570682</c:v>
                </c:pt>
                <c:pt idx="900">
                  <c:v>0.48254754376651587</c:v>
                </c:pt>
                <c:pt idx="901">
                  <c:v>0.77471123890745675</c:v>
                </c:pt>
                <c:pt idx="902">
                  <c:v>0.6605993806469912</c:v>
                </c:pt>
                <c:pt idx="903">
                  <c:v>0.33502363446128763</c:v>
                </c:pt>
                <c:pt idx="904">
                  <c:v>0.64515404277781263</c:v>
                </c:pt>
                <c:pt idx="905">
                  <c:v>0.40918770029892282</c:v>
                </c:pt>
                <c:pt idx="906">
                  <c:v>0.83900022269169172</c:v>
                </c:pt>
                <c:pt idx="907">
                  <c:v>1.1210794613627826</c:v>
                </c:pt>
                <c:pt idx="908">
                  <c:v>0.73521960709566903</c:v>
                </c:pt>
                <c:pt idx="909">
                  <c:v>0.48352950555054114</c:v>
                </c:pt>
                <c:pt idx="910">
                  <c:v>0.71392905128698614</c:v>
                </c:pt>
                <c:pt idx="911">
                  <c:v>0.46060418595253944</c:v>
                </c:pt>
                <c:pt idx="912">
                  <c:v>0.15041039952111979</c:v>
                </c:pt>
                <c:pt idx="913">
                  <c:v>0.39297656065196912</c:v>
                </c:pt>
                <c:pt idx="914">
                  <c:v>0.57307751604361246</c:v>
                </c:pt>
                <c:pt idx="915">
                  <c:v>0.39757885783946062</c:v>
                </c:pt>
                <c:pt idx="916">
                  <c:v>0.63969677084322973</c:v>
                </c:pt>
                <c:pt idx="917">
                  <c:v>0.45070516181575282</c:v>
                </c:pt>
                <c:pt idx="918">
                  <c:v>0.54408274977673821</c:v>
                </c:pt>
                <c:pt idx="919">
                  <c:v>0.43685903909876261</c:v>
                </c:pt>
                <c:pt idx="920">
                  <c:v>1.0643050742687998</c:v>
                </c:pt>
                <c:pt idx="921">
                  <c:v>0.88381234508360795</c:v>
                </c:pt>
                <c:pt idx="922">
                  <c:v>0.29852171391136745</c:v>
                </c:pt>
                <c:pt idx="923">
                  <c:v>0.63500725857056795</c:v>
                </c:pt>
                <c:pt idx="924">
                  <c:v>9.3176620056494908E-2</c:v>
                </c:pt>
                <c:pt idx="925">
                  <c:v>0.7676635337242308</c:v>
                </c:pt>
                <c:pt idx="926">
                  <c:v>0.27838725284774268</c:v>
                </c:pt>
                <c:pt idx="927">
                  <c:v>0.10483266110143358</c:v>
                </c:pt>
                <c:pt idx="928">
                  <c:v>0.44295416668360654</c:v>
                </c:pt>
                <c:pt idx="929">
                  <c:v>0.46422976284888462</c:v>
                </c:pt>
                <c:pt idx="930">
                  <c:v>0.50528696034577514</c:v>
                </c:pt>
                <c:pt idx="931">
                  <c:v>0.40592353919012547</c:v>
                </c:pt>
                <c:pt idx="932">
                  <c:v>0.26732414778174929</c:v>
                </c:pt>
                <c:pt idx="933">
                  <c:v>0.32909231536224537</c:v>
                </c:pt>
                <c:pt idx="934">
                  <c:v>0.79161305001718274</c:v>
                </c:pt>
                <c:pt idx="935">
                  <c:v>0.36005979822573347</c:v>
                </c:pt>
                <c:pt idx="936">
                  <c:v>0.1260602844837122</c:v>
                </c:pt>
                <c:pt idx="937">
                  <c:v>0.47415995761348845</c:v>
                </c:pt>
                <c:pt idx="938">
                  <c:v>0.32037803548818033</c:v>
                </c:pt>
                <c:pt idx="939">
                  <c:v>0.68605874776668418</c:v>
                </c:pt>
                <c:pt idx="940">
                  <c:v>0.49287452693104389</c:v>
                </c:pt>
                <c:pt idx="941">
                  <c:v>0.34757072405756106</c:v>
                </c:pt>
                <c:pt idx="942">
                  <c:v>0.82395803300160719</c:v>
                </c:pt>
                <c:pt idx="943">
                  <c:v>0.69776043764192719</c:v>
                </c:pt>
                <c:pt idx="944">
                  <c:v>0.42096824803918514</c:v>
                </c:pt>
                <c:pt idx="945">
                  <c:v>0.70064718027024786</c:v>
                </c:pt>
                <c:pt idx="946">
                  <c:v>0.40930744907899075</c:v>
                </c:pt>
                <c:pt idx="947">
                  <c:v>0.53276921246226738</c:v>
                </c:pt>
                <c:pt idx="948">
                  <c:v>0.47440681424068293</c:v>
                </c:pt>
                <c:pt idx="949">
                  <c:v>0.76620431225916485</c:v>
                </c:pt>
                <c:pt idx="950">
                  <c:v>0.57010917828353469</c:v>
                </c:pt>
                <c:pt idx="951">
                  <c:v>0.29416715032921054</c:v>
                </c:pt>
                <c:pt idx="952">
                  <c:v>0.81491339087367498</c:v>
                </c:pt>
                <c:pt idx="953">
                  <c:v>0.58245666292087594</c:v>
                </c:pt>
                <c:pt idx="954">
                  <c:v>0.36251569853808857</c:v>
                </c:pt>
                <c:pt idx="955">
                  <c:v>0.47062142758325282</c:v>
                </c:pt>
                <c:pt idx="956">
                  <c:v>0.81327207855900063</c:v>
                </c:pt>
                <c:pt idx="957">
                  <c:v>0.32580414092704507</c:v>
                </c:pt>
                <c:pt idx="958">
                  <c:v>0.55295734815422593</c:v>
                </c:pt>
                <c:pt idx="959">
                  <c:v>0.26471653862678368</c:v>
                </c:pt>
                <c:pt idx="960">
                  <c:v>0.53640212719516367</c:v>
                </c:pt>
                <c:pt idx="961">
                  <c:v>0.60088836904456866</c:v>
                </c:pt>
                <c:pt idx="962">
                  <c:v>0.42531371659521555</c:v>
                </c:pt>
                <c:pt idx="963">
                  <c:v>0.40038386508779644</c:v>
                </c:pt>
                <c:pt idx="964">
                  <c:v>0.54154919958330139</c:v>
                </c:pt>
                <c:pt idx="965">
                  <c:v>0.52786294412697354</c:v>
                </c:pt>
                <c:pt idx="966">
                  <c:v>0.48954540387520706</c:v>
                </c:pt>
                <c:pt idx="967">
                  <c:v>0.54791732229943335</c:v>
                </c:pt>
                <c:pt idx="968">
                  <c:v>0.33129666542026848</c:v>
                </c:pt>
                <c:pt idx="969">
                  <c:v>0.44193722259651508</c:v>
                </c:pt>
                <c:pt idx="970">
                  <c:v>0.43390866251032945</c:v>
                </c:pt>
                <c:pt idx="971">
                  <c:v>0.52364049937251889</c:v>
                </c:pt>
                <c:pt idx="972">
                  <c:v>0.61569250677275822</c:v>
                </c:pt>
                <c:pt idx="973">
                  <c:v>0.65565020544819153</c:v>
                </c:pt>
                <c:pt idx="974">
                  <c:v>0.39035991150143479</c:v>
                </c:pt>
                <c:pt idx="975">
                  <c:v>0.40756278433747678</c:v>
                </c:pt>
                <c:pt idx="976">
                  <c:v>0.60735763867844283</c:v>
                </c:pt>
                <c:pt idx="977">
                  <c:v>0.84870572301117342</c:v>
                </c:pt>
                <c:pt idx="978">
                  <c:v>0.40756153209445412</c:v>
                </c:pt>
                <c:pt idx="979">
                  <c:v>0.75875106915186386</c:v>
                </c:pt>
                <c:pt idx="980">
                  <c:v>0.58999250578082985</c:v>
                </c:pt>
                <c:pt idx="981">
                  <c:v>0.62595187450672962</c:v>
                </c:pt>
                <c:pt idx="982">
                  <c:v>0.43759087577921058</c:v>
                </c:pt>
                <c:pt idx="983">
                  <c:v>0.50811982970579961</c:v>
                </c:pt>
                <c:pt idx="984">
                  <c:v>0.5991309587031618</c:v>
                </c:pt>
                <c:pt idx="985">
                  <c:v>0.52220526094404462</c:v>
                </c:pt>
                <c:pt idx="986">
                  <c:v>0.54943006434844299</c:v>
                </c:pt>
                <c:pt idx="987">
                  <c:v>0.74670254442523532</c:v>
                </c:pt>
                <c:pt idx="988">
                  <c:v>0.33249668186512937</c:v>
                </c:pt>
                <c:pt idx="989">
                  <c:v>0.75789100999646042</c:v>
                </c:pt>
                <c:pt idx="990">
                  <c:v>0.47749209653083996</c:v>
                </c:pt>
                <c:pt idx="991">
                  <c:v>0.7333786385541452</c:v>
                </c:pt>
                <c:pt idx="992">
                  <c:v>0.74359520848424365</c:v>
                </c:pt>
                <c:pt idx="993">
                  <c:v>0.36792823375786532</c:v>
                </c:pt>
                <c:pt idx="994">
                  <c:v>0.62414880785635285</c:v>
                </c:pt>
                <c:pt idx="995">
                  <c:v>0.26411672718828372</c:v>
                </c:pt>
                <c:pt idx="996">
                  <c:v>0.37902761012746422</c:v>
                </c:pt>
                <c:pt idx="997">
                  <c:v>0.29589534007990392</c:v>
                </c:pt>
                <c:pt idx="998">
                  <c:v>0.54041520344787397</c:v>
                </c:pt>
                <c:pt idx="999">
                  <c:v>0.31740390422396098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52-4E8C-B549-704BF4EFC50C}"/>
            </c:ext>
          </c:extLst>
        </c:ser>
        <c:ser>
          <c:idx val="2"/>
          <c:order val="2"/>
          <c:tx>
            <c:strRef>
              <c:f>Localization!$B$53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tx1"/>
              </a:solidFill>
            </c:spPr>
          </c:marker>
          <c:xVal>
            <c:numRef>
              <c:f>Process!$E$2</c:f>
              <c:numCache>
                <c:formatCode>General</c:formatCode>
                <c:ptCount val="1"/>
                <c:pt idx="0">
                  <c:v>6.8184080240197173E-5</c:v>
                </c:pt>
              </c:numCache>
            </c:numRef>
          </c:xVal>
          <c:yVal>
            <c:numRef>
              <c:f>Process!$B$2</c:f>
              <c:numCache>
                <c:formatCode>General</c:formatCode>
                <c:ptCount val="1"/>
                <c:pt idx="0">
                  <c:v>0.51520554272849406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52-4E8C-B549-704BF4EFC50C}"/>
            </c:ext>
          </c:extLst>
        </c:ser>
        <c:ser>
          <c:idx val="5"/>
          <c:order val="5"/>
          <c:tx>
            <c:strRef>
              <c:f>'Cost-effectiveness'!$B$10</c:f>
              <c:strCache>
                <c:ptCount val="1"/>
                <c:pt idx="0">
                  <c:v>Confidence ellipse 95%</c:v>
                </c:pt>
              </c:strCache>
            </c:strRef>
          </c:tx>
          <c:spPr>
            <a:ln w="28575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'Cost-effectiveness'!$C$16:$C$41</c:f>
              <c:numCache>
                <c:formatCode>General</c:formatCode>
                <c:ptCount val="26"/>
                <c:pt idx="0">
                  <c:v>1.1377971616389447E-4</c:v>
                </c:pt>
                <c:pt idx="1">
                  <c:v>1.0047417988021299E-4</c:v>
                </c:pt>
                <c:pt idx="2">
                  <c:v>8.513973788146986E-5</c:v>
                </c:pt>
                <c:pt idx="3">
                  <c:v>6.8739909554578797E-5</c:v>
                </c:pt>
                <c:pt idx="4">
                  <c:v>5.230515642766794E-5</c:v>
                </c:pt>
                <c:pt idx="5">
                  <c:v>3.6868134482495019E-5</c:v>
                </c:pt>
                <c:pt idx="6">
                  <c:v>2.3398808581270613E-5</c:v>
                </c:pt>
                <c:pt idx="7">
                  <c:v>1.2743506007084164E-5</c:v>
                </c:pt>
                <c:pt idx="8">
                  <c:v>5.5717386081334676E-6</c:v>
                </c:pt>
                <c:pt idx="9">
                  <c:v>2.334134906010064E-6</c:v>
                </c:pt>
                <c:pt idx="10">
                  <c:v>3.2341254483918578E-6</c:v>
                </c:pt>
                <c:pt idx="11">
                  <c:v>8.2151605195673395E-6</c:v>
                </c:pt>
                <c:pt idx="12">
                  <c:v>1.6964263367048976E-5</c:v>
                </c:pt>
                <c:pt idx="13">
                  <c:v>2.8931695681980052E-5</c:v>
                </c:pt>
                <c:pt idx="14">
                  <c:v>4.3365499678876186E-5</c:v>
                </c:pt>
                <c:pt idx="15">
                  <c:v>5.9358746368794483E-5</c:v>
                </c:pt>
                <c:pt idx="16">
                  <c:v>7.5906521243160614E-5</c:v>
                </c:pt>
                <c:pt idx="17">
                  <c:v>9.1969066748159232E-5</c:v>
                </c:pt>
                <c:pt idx="18">
                  <c:v>1.0653711407580121E-4</c:v>
                </c:pt>
                <c:pt idx="19">
                  <c:v>1.186952992349605E-4</c:v>
                </c:pt>
                <c:pt idx="20">
                  <c:v>1.2767967873740998E-4</c:v>
                </c:pt>
                <c:pt idx="21">
                  <c:v>1.3292573097677427E-4</c:v>
                </c:pt>
                <c:pt idx="22">
                  <c:v>1.3410382719722359E-4</c:v>
                </c:pt>
                <c:pt idx="23">
                  <c:v>1.3113994328049224E-4</c:v>
                </c:pt>
                <c:pt idx="24">
                  <c:v>1.2422031095347109E-4</c:v>
                </c:pt>
                <c:pt idx="25">
                  <c:v>1.1377971616389435E-4</c:v>
                </c:pt>
              </c:numCache>
            </c:numRef>
          </c:xVal>
          <c:yVal>
            <c:numRef>
              <c:f>'Cost-effectiveness'!$E$16:$E$41</c:f>
              <c:numCache>
                <c:formatCode>General</c:formatCode>
                <c:ptCount val="26"/>
                <c:pt idx="0">
                  <c:v>0.72416450414923594</c:v>
                </c:pt>
                <c:pt idx="1">
                  <c:v>0.77201241326702252</c:v>
                </c:pt>
                <c:pt idx="2">
                  <c:v>0.80372420223927021</c:v>
                </c:pt>
                <c:pt idx="3">
                  <c:v>0.81730730273705121</c:v>
                </c:pt>
                <c:pt idx="4">
                  <c:v>0.81190823860094052</c:v>
                </c:pt>
                <c:pt idx="5">
                  <c:v>0.78786625288697909</c:v>
                </c:pt>
                <c:pt idx="6">
                  <c:v>0.74669199197781333</c:v>
                </c:pt>
                <c:pt idx="7">
                  <c:v>0.69097258611470525</c:v>
                </c:pt>
                <c:pt idx="8">
                  <c:v>0.62420909048967421</c:v>
                </c:pt>
                <c:pt idx="9">
                  <c:v>0.55059650107180202</c:v>
                </c:pt>
                <c:pt idx="10">
                  <c:v>0.47476016758237982</c:v>
                </c:pt>
                <c:pt idx="11">
                  <c:v>0.40146516576107266</c:v>
                </c:pt>
                <c:pt idx="12">
                  <c:v>0.33531689013247401</c:v>
                </c:pt>
                <c:pt idx="13">
                  <c:v>0.28047168013066892</c:v>
                </c:pt>
                <c:pt idx="14">
                  <c:v>0.24037566200664362</c:v>
                </c:pt>
                <c:pt idx="15">
                  <c:v>0.21754821604197017</c:v>
                </c:pt>
                <c:pt idx="16">
                  <c:v>0.21342367462008255</c:v>
                </c:pt>
                <c:pt idx="17">
                  <c:v>0.2282611978475203</c:v>
                </c:pt>
                <c:pt idx="18">
                  <c:v>0.26112848957131024</c:v>
                </c:pt>
                <c:pt idx="19">
                  <c:v>0.30996037697500317</c:v>
                </c:pt>
                <c:pt idx="20">
                  <c:v>0.37168857298190572</c:v>
                </c:pt>
                <c:pt idx="21">
                  <c:v>0.44243446801647973</c:v>
                </c:pt>
                <c:pt idx="22">
                  <c:v>0.51775283730850108</c:v>
                </c:pt>
                <c:pt idx="23">
                  <c:v>0.59291115071376654</c:v>
                </c:pt>
                <c:pt idx="24">
                  <c:v>0.66318693498808179</c:v>
                </c:pt>
                <c:pt idx="25">
                  <c:v>0.72416450414923639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52-4E8C-B549-704BF4EFC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3704"/>
        <c:axId val="357504096"/>
      </c:scatterChart>
      <c:valAx>
        <c:axId val="357503704"/>
        <c:scaling>
          <c:orientation val="minMax"/>
          <c:max val="3.500000000000001E-4"/>
          <c:min val="-5.0000000000000023E-5"/>
        </c:scaling>
        <c:delete val="0"/>
        <c:axPos val="b"/>
        <c:title>
          <c:tx>
            <c:strRef>
              <c:f>Localization!$B$5</c:f>
              <c:strCache>
                <c:ptCount val="1"/>
                <c:pt idx="0">
                  <c:v>Effectiveness</c:v>
                </c:pt>
              </c:strCache>
            </c:strRef>
          </c:tx>
          <c:layout>
            <c:manualLayout>
              <c:xMode val="edge"/>
              <c:yMode val="edge"/>
              <c:x val="0.47357992094663587"/>
              <c:y val="0.8295067060139034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57504096"/>
        <c:crosses val="autoZero"/>
        <c:crossBetween val="midCat"/>
      </c:valAx>
      <c:valAx>
        <c:axId val="357504096"/>
        <c:scaling>
          <c:orientation val="minMax"/>
          <c:max val="2"/>
          <c:min val="-0.5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Localization!$B$4</c:f>
              <c:strCache>
                <c:ptCount val="1"/>
                <c:pt idx="0">
                  <c:v>Cost</c:v>
                </c:pt>
              </c:strCache>
            </c:strRef>
          </c:tx>
          <c:layout>
            <c:manualLayout>
              <c:xMode val="edge"/>
              <c:yMode val="edge"/>
              <c:x val="2.1648454909686501E-2"/>
              <c:y val="0.41476068558961487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/>
              </a:pPr>
              <a:endParaRPr lang="es-ES"/>
            </a:p>
          </c:txPr>
        </c:title>
        <c:numFmt formatCode="#,##0.0\ &quot;€&quot;" sourceLinked="0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 lang="en-GB"/>
            </a:pPr>
            <a:endParaRPr lang="es-ES"/>
          </a:p>
        </c:txPr>
        <c:crossAx val="357503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5.3463752591785214E-2"/>
          <c:y val="0.88287986320363321"/>
          <c:w val="0.92887186088612428"/>
          <c:h val="0.10779177630346699"/>
        </c:manualLayout>
      </c:layout>
      <c:overlay val="0"/>
      <c:txPr>
        <a:bodyPr/>
        <a:lstStyle/>
        <a:p>
          <a:pPr>
            <a:defRPr lang="en-GB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44961444258608"/>
          <c:y val="3.98927527338142E-2"/>
          <c:w val="0.81864675925055908"/>
          <c:h val="0.72619058403616366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'Cost-effectiveness'!$C$3</c:f>
              <c:strCache>
                <c:ptCount val="1"/>
                <c:pt idx="0">
                  <c:v>Willingness to pay 30,000</c:v>
                </c:pt>
              </c:strCache>
            </c:strRef>
          </c:tx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'Cost-effectiveness'!$C$6:$C$7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00-4031-BE03-9532BFE9E61B}"/>
            </c:ext>
          </c:extLst>
        </c:ser>
        <c:ser>
          <c:idx val="3"/>
          <c:order val="3"/>
          <c:tx>
            <c:strRef>
              <c:f>'Cost-effectiveness'!$D$3</c:f>
              <c:strCache>
                <c:ptCount val="1"/>
                <c:pt idx="0">
                  <c:v>Willingness to pay 20,000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'Cost-effectiveness'!$D$6:$D$7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00-4031-BE03-9532BFE9E61B}"/>
            </c:ext>
          </c:extLst>
        </c:ser>
        <c:ser>
          <c:idx val="4"/>
          <c:order val="4"/>
          <c:tx>
            <c:strRef>
              <c:f>'Cost-effectiveness'!$E$3</c:f>
              <c:strCache>
                <c:ptCount val="1"/>
                <c:pt idx="0">
                  <c:v>Willingness to pay 10,000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'Cost-effectiveness'!$E$6:$E$7</c:f>
              <c:numCache>
                <c:formatCode>General</c:formatCode>
                <c:ptCount val="2"/>
                <c:pt idx="0">
                  <c:v>-5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00-4031-BE03-9532BFE9E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4880"/>
        <c:axId val="384447176"/>
      </c:scatterChart>
      <c:scatterChart>
        <c:scatterStyle val="lineMarker"/>
        <c:varyColors val="0"/>
        <c:ser>
          <c:idx val="0"/>
          <c:order val="0"/>
          <c:tx>
            <c:strRef>
              <c:f>Localization!$B$72</c:f>
              <c:strCache>
                <c:ptCount val="1"/>
                <c:pt idx="0">
                  <c:v>MC simulations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Process!$C$12:$C$1011</c:f>
              <c:numCache>
                <c:formatCode>General</c:formatCode>
                <c:ptCount val="1000"/>
                <c:pt idx="0">
                  <c:v>9.94383410350963E-5</c:v>
                </c:pt>
                <c:pt idx="1">
                  <c:v>4.7404845300746956E-5</c:v>
                </c:pt>
                <c:pt idx="2">
                  <c:v>1.0989490561996718E-5</c:v>
                </c:pt>
                <c:pt idx="3">
                  <c:v>9.1935887880367773E-6</c:v>
                </c:pt>
                <c:pt idx="4">
                  <c:v>5.0089708878431338E-6</c:v>
                </c:pt>
                <c:pt idx="5">
                  <c:v>1.5006695704755657E-5</c:v>
                </c:pt>
                <c:pt idx="6">
                  <c:v>2.8068164667161E-5</c:v>
                </c:pt>
                <c:pt idx="7">
                  <c:v>1.2315164018161795E-4</c:v>
                </c:pt>
                <c:pt idx="8">
                  <c:v>4.5990439559773222E-5</c:v>
                </c:pt>
                <c:pt idx="9">
                  <c:v>5.0186234677340735E-5</c:v>
                </c:pt>
                <c:pt idx="10">
                  <c:v>1.0057051471434875E-4</c:v>
                </c:pt>
                <c:pt idx="11">
                  <c:v>3.5904727575086781E-5</c:v>
                </c:pt>
                <c:pt idx="12">
                  <c:v>4.4777055482114747E-5</c:v>
                </c:pt>
                <c:pt idx="13">
                  <c:v>7.9645293098451475E-6</c:v>
                </c:pt>
                <c:pt idx="14">
                  <c:v>4.3453302200902044E-5</c:v>
                </c:pt>
                <c:pt idx="15">
                  <c:v>4.0905236335930795E-5</c:v>
                </c:pt>
                <c:pt idx="16">
                  <c:v>1.7025859744279614E-5</c:v>
                </c:pt>
                <c:pt idx="17">
                  <c:v>3.5864573021626711E-5</c:v>
                </c:pt>
                <c:pt idx="18">
                  <c:v>5.7515273105934739E-5</c:v>
                </c:pt>
                <c:pt idx="19">
                  <c:v>3.3011301670882176E-5</c:v>
                </c:pt>
                <c:pt idx="20">
                  <c:v>5.1892527146435441E-6</c:v>
                </c:pt>
                <c:pt idx="21">
                  <c:v>8.7564530453221323E-6</c:v>
                </c:pt>
                <c:pt idx="22">
                  <c:v>4.8596935400269103E-6</c:v>
                </c:pt>
                <c:pt idx="23">
                  <c:v>3.2780132208642954E-5</c:v>
                </c:pt>
                <c:pt idx="24">
                  <c:v>2.0340771747839881E-5</c:v>
                </c:pt>
                <c:pt idx="25">
                  <c:v>4.9158901369139585E-5</c:v>
                </c:pt>
                <c:pt idx="26">
                  <c:v>9.953211570490339E-6</c:v>
                </c:pt>
                <c:pt idx="27">
                  <c:v>3.2726666798765791E-5</c:v>
                </c:pt>
                <c:pt idx="28">
                  <c:v>5.1504695441906279E-6</c:v>
                </c:pt>
                <c:pt idx="29">
                  <c:v>9.181452748308061E-5</c:v>
                </c:pt>
                <c:pt idx="30">
                  <c:v>2.858553837725708E-5</c:v>
                </c:pt>
                <c:pt idx="31">
                  <c:v>3.1817814161172464E-6</c:v>
                </c:pt>
                <c:pt idx="32">
                  <c:v>1.8090862802466745E-5</c:v>
                </c:pt>
                <c:pt idx="33">
                  <c:v>5.8726191834779229E-5</c:v>
                </c:pt>
                <c:pt idx="34">
                  <c:v>1.5681217892193899E-5</c:v>
                </c:pt>
                <c:pt idx="35">
                  <c:v>5.538963375428807E-5</c:v>
                </c:pt>
                <c:pt idx="36">
                  <c:v>5.0936788444033709E-5</c:v>
                </c:pt>
                <c:pt idx="37">
                  <c:v>3.889670148637947E-5</c:v>
                </c:pt>
                <c:pt idx="38">
                  <c:v>7.0427934666383862E-6</c:v>
                </c:pt>
                <c:pt idx="39">
                  <c:v>2.6153056399635943E-5</c:v>
                </c:pt>
                <c:pt idx="40">
                  <c:v>8.2065034977318874E-5</c:v>
                </c:pt>
                <c:pt idx="41">
                  <c:v>5.7468083298317651E-5</c:v>
                </c:pt>
                <c:pt idx="42">
                  <c:v>8.7589402820498208E-5</c:v>
                </c:pt>
                <c:pt idx="43">
                  <c:v>7.4234335308176469E-5</c:v>
                </c:pt>
                <c:pt idx="44">
                  <c:v>2.1335440955283502E-5</c:v>
                </c:pt>
                <c:pt idx="45">
                  <c:v>2.5573485022079012E-5</c:v>
                </c:pt>
                <c:pt idx="46">
                  <c:v>2.726156600374452E-5</c:v>
                </c:pt>
                <c:pt idx="47">
                  <c:v>4.9949010808347793E-5</c:v>
                </c:pt>
                <c:pt idx="48">
                  <c:v>5.1270598319774763E-5</c:v>
                </c:pt>
                <c:pt idx="49">
                  <c:v>8.8253500116763917E-6</c:v>
                </c:pt>
                <c:pt idx="50">
                  <c:v>2.8545929300349826E-5</c:v>
                </c:pt>
                <c:pt idx="51">
                  <c:v>7.2927114597831633E-5</c:v>
                </c:pt>
                <c:pt idx="52">
                  <c:v>2.6574194741613155E-5</c:v>
                </c:pt>
                <c:pt idx="53">
                  <c:v>2.0052975461481992E-5</c:v>
                </c:pt>
                <c:pt idx="54">
                  <c:v>5.4464110380791908E-5</c:v>
                </c:pt>
                <c:pt idx="55">
                  <c:v>6.4031422049026787E-6</c:v>
                </c:pt>
                <c:pt idx="56">
                  <c:v>3.8605833413640767E-5</c:v>
                </c:pt>
                <c:pt idx="57">
                  <c:v>8.4920958869361129E-6</c:v>
                </c:pt>
                <c:pt idx="58">
                  <c:v>5.3179955450843863E-5</c:v>
                </c:pt>
                <c:pt idx="59">
                  <c:v>1.5767922000975432E-5</c:v>
                </c:pt>
                <c:pt idx="60">
                  <c:v>4.0951932341215525E-5</c:v>
                </c:pt>
                <c:pt idx="61">
                  <c:v>8.1242628969135922E-5</c:v>
                </c:pt>
                <c:pt idx="62">
                  <c:v>1.1520292773070651E-5</c:v>
                </c:pt>
                <c:pt idx="63">
                  <c:v>5.0046698589767402E-6</c:v>
                </c:pt>
                <c:pt idx="64">
                  <c:v>4.5693582002570565E-6</c:v>
                </c:pt>
                <c:pt idx="65">
                  <c:v>9.6416824035827631E-6</c:v>
                </c:pt>
                <c:pt idx="66">
                  <c:v>4.8419770603658208E-5</c:v>
                </c:pt>
                <c:pt idx="67">
                  <c:v>1.3920056353100563E-4</c:v>
                </c:pt>
                <c:pt idx="68">
                  <c:v>1.6183240102662921E-5</c:v>
                </c:pt>
                <c:pt idx="69">
                  <c:v>1.4506495364940974E-5</c:v>
                </c:pt>
                <c:pt idx="70">
                  <c:v>4.7804105314241951E-6</c:v>
                </c:pt>
                <c:pt idx="71">
                  <c:v>7.8609863116696488E-6</c:v>
                </c:pt>
                <c:pt idx="72">
                  <c:v>4.4825411773530277E-5</c:v>
                </c:pt>
                <c:pt idx="73">
                  <c:v>6.4508646055116969E-5</c:v>
                </c:pt>
                <c:pt idx="74">
                  <c:v>5.316661960108604E-5</c:v>
                </c:pt>
                <c:pt idx="75">
                  <c:v>6.8517313295046733E-5</c:v>
                </c:pt>
                <c:pt idx="76">
                  <c:v>5.9058988238547272E-5</c:v>
                </c:pt>
                <c:pt idx="77">
                  <c:v>4.6362047356751646E-6</c:v>
                </c:pt>
                <c:pt idx="78">
                  <c:v>2.2223768006313094E-5</c:v>
                </c:pt>
                <c:pt idx="79">
                  <c:v>4.9630566941516463E-5</c:v>
                </c:pt>
                <c:pt idx="80">
                  <c:v>2.0659195932637431E-5</c:v>
                </c:pt>
                <c:pt idx="81">
                  <c:v>1.1873676953655377E-5</c:v>
                </c:pt>
                <c:pt idx="82">
                  <c:v>1.3664648058409057E-5</c:v>
                </c:pt>
                <c:pt idx="83">
                  <c:v>7.9118486482343542E-6</c:v>
                </c:pt>
                <c:pt idx="84">
                  <c:v>1.6298614820442481E-5</c:v>
                </c:pt>
                <c:pt idx="85">
                  <c:v>1.4909343260072205E-4</c:v>
                </c:pt>
                <c:pt idx="86">
                  <c:v>9.0569689842112666E-5</c:v>
                </c:pt>
                <c:pt idx="87">
                  <c:v>1.9307257467460204E-5</c:v>
                </c:pt>
                <c:pt idx="88">
                  <c:v>3.0424426853414843E-6</c:v>
                </c:pt>
                <c:pt idx="89">
                  <c:v>3.0598650769420033E-4</c:v>
                </c:pt>
                <c:pt idx="90">
                  <c:v>7.3639686739568333E-5</c:v>
                </c:pt>
                <c:pt idx="91">
                  <c:v>9.628213496881699E-5</c:v>
                </c:pt>
                <c:pt idx="92">
                  <c:v>3.4277203045718352E-5</c:v>
                </c:pt>
                <c:pt idx="93">
                  <c:v>3.0489757516960481E-5</c:v>
                </c:pt>
                <c:pt idx="94">
                  <c:v>7.8432630807867554E-5</c:v>
                </c:pt>
                <c:pt idx="95">
                  <c:v>1.0120836446247949E-4</c:v>
                </c:pt>
                <c:pt idx="96">
                  <c:v>2.2261141946700036E-5</c:v>
                </c:pt>
                <c:pt idx="97">
                  <c:v>2.5018615378513687E-5</c:v>
                </c:pt>
                <c:pt idx="98">
                  <c:v>3.6179774884459448E-5</c:v>
                </c:pt>
                <c:pt idx="99">
                  <c:v>1.2114760828296767E-5</c:v>
                </c:pt>
                <c:pt idx="100">
                  <c:v>1.2123980468459195E-5</c:v>
                </c:pt>
                <c:pt idx="101">
                  <c:v>7.493723451545975E-6</c:v>
                </c:pt>
                <c:pt idx="102">
                  <c:v>1.2750924437199274E-5</c:v>
                </c:pt>
                <c:pt idx="103">
                  <c:v>1.6996585525674845E-5</c:v>
                </c:pt>
                <c:pt idx="104">
                  <c:v>6.5934225116137668E-5</c:v>
                </c:pt>
                <c:pt idx="105">
                  <c:v>2.124421447646796E-5</c:v>
                </c:pt>
                <c:pt idx="106">
                  <c:v>9.2826605651907812E-5</c:v>
                </c:pt>
                <c:pt idx="107">
                  <c:v>1.049182529655468E-5</c:v>
                </c:pt>
                <c:pt idx="108">
                  <c:v>3.6299180898424765E-5</c:v>
                </c:pt>
                <c:pt idx="109">
                  <c:v>1.1574275742276541E-5</c:v>
                </c:pt>
                <c:pt idx="110">
                  <c:v>2.7358080927797346E-5</c:v>
                </c:pt>
                <c:pt idx="111">
                  <c:v>2.835508650989027E-5</c:v>
                </c:pt>
                <c:pt idx="112">
                  <c:v>1.7638021585497654E-5</c:v>
                </c:pt>
                <c:pt idx="113">
                  <c:v>8.5652884493470083E-5</c:v>
                </c:pt>
                <c:pt idx="114">
                  <c:v>2.1150099708933112E-5</c:v>
                </c:pt>
                <c:pt idx="115">
                  <c:v>3.8403075887316618E-5</c:v>
                </c:pt>
                <c:pt idx="116">
                  <c:v>8.8291083528702075E-6</c:v>
                </c:pt>
                <c:pt idx="117">
                  <c:v>2.438477392630034E-5</c:v>
                </c:pt>
                <c:pt idx="118">
                  <c:v>3.3075946276994728E-5</c:v>
                </c:pt>
                <c:pt idx="119">
                  <c:v>7.9549273941381671E-6</c:v>
                </c:pt>
                <c:pt idx="120">
                  <c:v>4.9663673767241789E-5</c:v>
                </c:pt>
                <c:pt idx="121">
                  <c:v>7.476975056874835E-6</c:v>
                </c:pt>
                <c:pt idx="122">
                  <c:v>9.7796679874306847E-6</c:v>
                </c:pt>
                <c:pt idx="123">
                  <c:v>3.3684909261921803E-5</c:v>
                </c:pt>
                <c:pt idx="124">
                  <c:v>5.9423267515512634E-6</c:v>
                </c:pt>
                <c:pt idx="125">
                  <c:v>2.7674361113838586E-6</c:v>
                </c:pt>
                <c:pt idx="126">
                  <c:v>5.0659511124706569E-5</c:v>
                </c:pt>
                <c:pt idx="127">
                  <c:v>3.4211243978177208E-5</c:v>
                </c:pt>
                <c:pt idx="128">
                  <c:v>2.9161864020466055E-5</c:v>
                </c:pt>
                <c:pt idx="129">
                  <c:v>4.3772544032094629E-5</c:v>
                </c:pt>
                <c:pt idx="130">
                  <c:v>6.6438662795320624E-5</c:v>
                </c:pt>
                <c:pt idx="131">
                  <c:v>1.2622521378347074E-5</c:v>
                </c:pt>
                <c:pt idx="132">
                  <c:v>5.0308140448152017E-5</c:v>
                </c:pt>
                <c:pt idx="133">
                  <c:v>7.7394182113721399E-5</c:v>
                </c:pt>
                <c:pt idx="134">
                  <c:v>4.1227964768353331E-5</c:v>
                </c:pt>
                <c:pt idx="135">
                  <c:v>8.7137590291774814E-5</c:v>
                </c:pt>
                <c:pt idx="136">
                  <c:v>1.2129717065079149E-4</c:v>
                </c:pt>
                <c:pt idx="137">
                  <c:v>2.726275076625484E-5</c:v>
                </c:pt>
                <c:pt idx="138">
                  <c:v>8.2760072217524794E-5</c:v>
                </c:pt>
                <c:pt idx="139">
                  <c:v>4.218432328073618E-5</c:v>
                </c:pt>
                <c:pt idx="140">
                  <c:v>4.0400576004628874E-6</c:v>
                </c:pt>
                <c:pt idx="141">
                  <c:v>3.1672859755360605E-5</c:v>
                </c:pt>
                <c:pt idx="142">
                  <c:v>7.2219569972276076E-5</c:v>
                </c:pt>
                <c:pt idx="143">
                  <c:v>1.7886760620200448E-5</c:v>
                </c:pt>
                <c:pt idx="144">
                  <c:v>5.0688870196324842E-5</c:v>
                </c:pt>
                <c:pt idx="145">
                  <c:v>2.4895245829270607E-5</c:v>
                </c:pt>
                <c:pt idx="146">
                  <c:v>2.3498775185260001E-5</c:v>
                </c:pt>
                <c:pt idx="147">
                  <c:v>4.7068721983123396E-5</c:v>
                </c:pt>
                <c:pt idx="148">
                  <c:v>4.687838635319963E-5</c:v>
                </c:pt>
                <c:pt idx="149">
                  <c:v>2.5886944349906571E-5</c:v>
                </c:pt>
                <c:pt idx="150">
                  <c:v>3.2629107600712359E-5</c:v>
                </c:pt>
                <c:pt idx="151">
                  <c:v>3.0793888697644434E-5</c:v>
                </c:pt>
                <c:pt idx="152">
                  <c:v>4.7117248481498564E-5</c:v>
                </c:pt>
                <c:pt idx="153">
                  <c:v>2.9047349485722407E-5</c:v>
                </c:pt>
                <c:pt idx="154">
                  <c:v>5.9526893991801444E-5</c:v>
                </c:pt>
                <c:pt idx="155">
                  <c:v>6.7262971811032912E-5</c:v>
                </c:pt>
                <c:pt idx="156">
                  <c:v>3.0094981283923516E-5</c:v>
                </c:pt>
                <c:pt idx="157">
                  <c:v>1.6008869039296769E-5</c:v>
                </c:pt>
                <c:pt idx="158">
                  <c:v>1.7604228712997383E-5</c:v>
                </c:pt>
                <c:pt idx="159">
                  <c:v>2.0027289806989756E-5</c:v>
                </c:pt>
                <c:pt idx="160">
                  <c:v>1.3889536803901592E-4</c:v>
                </c:pt>
                <c:pt idx="161">
                  <c:v>1.5915712996417142E-5</c:v>
                </c:pt>
                <c:pt idx="162">
                  <c:v>4.1015423473567125E-5</c:v>
                </c:pt>
                <c:pt idx="163">
                  <c:v>1.2435489590956195E-5</c:v>
                </c:pt>
                <c:pt idx="164">
                  <c:v>4.1402457309658303E-5</c:v>
                </c:pt>
                <c:pt idx="165">
                  <c:v>3.8409644588455194E-5</c:v>
                </c:pt>
                <c:pt idx="166">
                  <c:v>1.5256924733364485E-5</c:v>
                </c:pt>
                <c:pt idx="167">
                  <c:v>3.0128418355701569E-5</c:v>
                </c:pt>
                <c:pt idx="168">
                  <c:v>3.7918843879936048E-5</c:v>
                </c:pt>
                <c:pt idx="169">
                  <c:v>2.7720479423010147E-5</c:v>
                </c:pt>
                <c:pt idx="170">
                  <c:v>9.3793988980905851E-5</c:v>
                </c:pt>
                <c:pt idx="171">
                  <c:v>5.0083533498224142E-5</c:v>
                </c:pt>
                <c:pt idx="172">
                  <c:v>7.5519219741693178E-5</c:v>
                </c:pt>
                <c:pt idx="173">
                  <c:v>5.0153722867207762E-5</c:v>
                </c:pt>
                <c:pt idx="174">
                  <c:v>7.1356015492796132E-5</c:v>
                </c:pt>
                <c:pt idx="175">
                  <c:v>2.9425578286890186E-5</c:v>
                </c:pt>
                <c:pt idx="176">
                  <c:v>1.1630518618233054E-4</c:v>
                </c:pt>
                <c:pt idx="177">
                  <c:v>2.7225880739223385E-5</c:v>
                </c:pt>
                <c:pt idx="178">
                  <c:v>1.1347234070768764E-4</c:v>
                </c:pt>
                <c:pt idx="179">
                  <c:v>1.6591662642895244E-5</c:v>
                </c:pt>
                <c:pt idx="180">
                  <c:v>6.6426237289363144E-5</c:v>
                </c:pt>
                <c:pt idx="181">
                  <c:v>7.7730273275733452E-6</c:v>
                </c:pt>
                <c:pt idx="182">
                  <c:v>6.0109644408612439E-6</c:v>
                </c:pt>
                <c:pt idx="183">
                  <c:v>1.9268099062941246E-5</c:v>
                </c:pt>
                <c:pt idx="184">
                  <c:v>2.9015831167100714E-5</c:v>
                </c:pt>
                <c:pt idx="185">
                  <c:v>4.2570311698852947E-5</c:v>
                </c:pt>
                <c:pt idx="186">
                  <c:v>5.5011537867244442E-6</c:v>
                </c:pt>
                <c:pt idx="187">
                  <c:v>1.5207444164389017E-5</c:v>
                </c:pt>
                <c:pt idx="188">
                  <c:v>4.5791217868185186E-5</c:v>
                </c:pt>
                <c:pt idx="189">
                  <c:v>1.3776028609413515E-5</c:v>
                </c:pt>
                <c:pt idx="190">
                  <c:v>3.257865561678841E-5</c:v>
                </c:pt>
                <c:pt idx="191">
                  <c:v>2.2726441113007922E-5</c:v>
                </c:pt>
                <c:pt idx="192">
                  <c:v>1.3538206278695952E-4</c:v>
                </c:pt>
                <c:pt idx="193">
                  <c:v>1.2531489552713992E-5</c:v>
                </c:pt>
                <c:pt idx="194">
                  <c:v>1.0770412682603592E-5</c:v>
                </c:pt>
                <c:pt idx="195">
                  <c:v>7.0427660926242197E-5</c:v>
                </c:pt>
                <c:pt idx="196">
                  <c:v>3.8172580218542862E-5</c:v>
                </c:pt>
                <c:pt idx="197">
                  <c:v>5.8665920263933913E-6</c:v>
                </c:pt>
                <c:pt idx="198">
                  <c:v>2.0992626708959961E-5</c:v>
                </c:pt>
                <c:pt idx="199">
                  <c:v>4.0978917500211764E-5</c:v>
                </c:pt>
                <c:pt idx="200">
                  <c:v>1.6437387954937321E-4</c:v>
                </c:pt>
                <c:pt idx="201">
                  <c:v>7.1287468550451649E-5</c:v>
                </c:pt>
                <c:pt idx="202">
                  <c:v>1.604150608258692E-5</c:v>
                </c:pt>
                <c:pt idx="203">
                  <c:v>3.9367221749131431E-5</c:v>
                </c:pt>
                <c:pt idx="204">
                  <c:v>1.6308750840465791E-5</c:v>
                </c:pt>
                <c:pt idx="205">
                  <c:v>3.0062335842018229E-5</c:v>
                </c:pt>
                <c:pt idx="206">
                  <c:v>1.3473233813954266E-5</c:v>
                </c:pt>
                <c:pt idx="207">
                  <c:v>5.0736199380452263E-5</c:v>
                </c:pt>
                <c:pt idx="208">
                  <c:v>7.2680824775517294E-5</c:v>
                </c:pt>
                <c:pt idx="209">
                  <c:v>2.9073116170508229E-5</c:v>
                </c:pt>
                <c:pt idx="210">
                  <c:v>1.5732255064904166E-5</c:v>
                </c:pt>
                <c:pt idx="211">
                  <c:v>9.104664943393459E-5</c:v>
                </c:pt>
                <c:pt idx="212">
                  <c:v>8.7860765987102241E-6</c:v>
                </c:pt>
                <c:pt idx="213">
                  <c:v>6.682937389257404E-6</c:v>
                </c:pt>
                <c:pt idx="214">
                  <c:v>1.2727134022583186E-4</c:v>
                </c:pt>
                <c:pt idx="215">
                  <c:v>8.5551232018588053E-6</c:v>
                </c:pt>
                <c:pt idx="216">
                  <c:v>1.6597476447088866E-4</c:v>
                </c:pt>
                <c:pt idx="217">
                  <c:v>6.295399983358152E-5</c:v>
                </c:pt>
                <c:pt idx="218">
                  <c:v>1.7887530322724388E-5</c:v>
                </c:pt>
                <c:pt idx="219">
                  <c:v>7.4224430441915956E-6</c:v>
                </c:pt>
                <c:pt idx="220">
                  <c:v>3.1901120685517981E-5</c:v>
                </c:pt>
                <c:pt idx="221">
                  <c:v>2.7025605174202383E-5</c:v>
                </c:pt>
                <c:pt idx="222">
                  <c:v>8.6727710737477537E-6</c:v>
                </c:pt>
                <c:pt idx="223">
                  <c:v>6.7908264185234657E-6</c:v>
                </c:pt>
                <c:pt idx="224">
                  <c:v>1.8090954643668056E-5</c:v>
                </c:pt>
                <c:pt idx="225">
                  <c:v>2.9036706845175786E-5</c:v>
                </c:pt>
                <c:pt idx="226">
                  <c:v>2.4608391843372601E-5</c:v>
                </c:pt>
                <c:pt idx="227">
                  <c:v>3.5192476719458909E-5</c:v>
                </c:pt>
                <c:pt idx="228">
                  <c:v>2.6037467655726232E-5</c:v>
                </c:pt>
                <c:pt idx="229">
                  <c:v>1.6502066436885343E-5</c:v>
                </c:pt>
                <c:pt idx="230">
                  <c:v>4.3215856134537489E-5</c:v>
                </c:pt>
                <c:pt idx="231">
                  <c:v>2.1045306144884535E-5</c:v>
                </c:pt>
                <c:pt idx="232">
                  <c:v>1.0335919437665098E-5</c:v>
                </c:pt>
                <c:pt idx="233">
                  <c:v>1.6051151515839024E-4</c:v>
                </c:pt>
                <c:pt idx="234">
                  <c:v>3.8873562054675403E-5</c:v>
                </c:pt>
                <c:pt idx="235">
                  <c:v>3.8594867049823733E-5</c:v>
                </c:pt>
                <c:pt idx="236">
                  <c:v>3.2804555878840347E-5</c:v>
                </c:pt>
                <c:pt idx="237">
                  <c:v>2.5517420077392217E-5</c:v>
                </c:pt>
                <c:pt idx="238">
                  <c:v>2.3696273899531661E-5</c:v>
                </c:pt>
                <c:pt idx="239">
                  <c:v>3.9231768532488331E-5</c:v>
                </c:pt>
                <c:pt idx="240">
                  <c:v>4.9673893425250526E-5</c:v>
                </c:pt>
                <c:pt idx="241">
                  <c:v>7.532174909385958E-5</c:v>
                </c:pt>
                <c:pt idx="242">
                  <c:v>3.1951479325442733E-5</c:v>
                </c:pt>
                <c:pt idx="243">
                  <c:v>1.4577519991121335E-5</c:v>
                </c:pt>
                <c:pt idx="244">
                  <c:v>2.7070881277069248E-5</c:v>
                </c:pt>
                <c:pt idx="245">
                  <c:v>5.1968722267758949E-5</c:v>
                </c:pt>
                <c:pt idx="246">
                  <c:v>3.5916208389608073E-5</c:v>
                </c:pt>
                <c:pt idx="247">
                  <c:v>2.5952462216594085E-5</c:v>
                </c:pt>
                <c:pt idx="248">
                  <c:v>1.0628784533395219E-5</c:v>
                </c:pt>
                <c:pt idx="249">
                  <c:v>3.012463379192809E-5</c:v>
                </c:pt>
                <c:pt idx="250">
                  <c:v>3.8354873069579298E-5</c:v>
                </c:pt>
                <c:pt idx="251">
                  <c:v>2.6069304063014442E-5</c:v>
                </c:pt>
                <c:pt idx="252">
                  <c:v>1.6123383339916586E-4</c:v>
                </c:pt>
                <c:pt idx="253">
                  <c:v>6.4997797750265818E-5</c:v>
                </c:pt>
                <c:pt idx="254">
                  <c:v>4.8480992429489334E-5</c:v>
                </c:pt>
                <c:pt idx="255">
                  <c:v>5.5323037749133164E-5</c:v>
                </c:pt>
                <c:pt idx="256">
                  <c:v>4.1002256885747101E-5</c:v>
                </c:pt>
                <c:pt idx="257">
                  <c:v>8.5100810725435849E-5</c:v>
                </c:pt>
                <c:pt idx="258">
                  <c:v>1.19545616620087E-4</c:v>
                </c:pt>
                <c:pt idx="259">
                  <c:v>2.9731746955974359E-5</c:v>
                </c:pt>
                <c:pt idx="260">
                  <c:v>9.6563358130907773E-5</c:v>
                </c:pt>
                <c:pt idx="261">
                  <c:v>2.5709156830089341E-6</c:v>
                </c:pt>
                <c:pt idx="262">
                  <c:v>4.334168458797194E-5</c:v>
                </c:pt>
                <c:pt idx="263">
                  <c:v>3.2877395671704335E-5</c:v>
                </c:pt>
                <c:pt idx="264">
                  <c:v>1.5759851489605126E-5</c:v>
                </c:pt>
                <c:pt idx="265">
                  <c:v>7.0397305044878067E-5</c:v>
                </c:pt>
                <c:pt idx="266">
                  <c:v>6.1250783488731031E-5</c:v>
                </c:pt>
                <c:pt idx="267">
                  <c:v>2.6819297726632385E-5</c:v>
                </c:pt>
                <c:pt idx="268">
                  <c:v>2.0592314460543548E-4</c:v>
                </c:pt>
                <c:pt idx="269">
                  <c:v>8.0174736993399165E-5</c:v>
                </c:pt>
                <c:pt idx="270">
                  <c:v>2.7618369720983083E-5</c:v>
                </c:pt>
                <c:pt idx="271">
                  <c:v>2.430583098345096E-6</c:v>
                </c:pt>
                <c:pt idx="272">
                  <c:v>3.8141749769238231E-5</c:v>
                </c:pt>
                <c:pt idx="273">
                  <c:v>1.8876391408895188E-4</c:v>
                </c:pt>
                <c:pt idx="274">
                  <c:v>6.9088962487029448E-5</c:v>
                </c:pt>
                <c:pt idx="275">
                  <c:v>3.7448678085638676E-5</c:v>
                </c:pt>
                <c:pt idx="276">
                  <c:v>1.997295318290071E-5</c:v>
                </c:pt>
                <c:pt idx="277">
                  <c:v>7.4551830344660175E-5</c:v>
                </c:pt>
                <c:pt idx="278">
                  <c:v>6.3266724374955174E-6</c:v>
                </c:pt>
                <c:pt idx="279">
                  <c:v>2.9676574811787759E-5</c:v>
                </c:pt>
                <c:pt idx="280">
                  <c:v>1.7873376656041273E-5</c:v>
                </c:pt>
                <c:pt idx="281">
                  <c:v>1.7585676225451152E-5</c:v>
                </c:pt>
                <c:pt idx="282">
                  <c:v>5.0435619328936809E-5</c:v>
                </c:pt>
                <c:pt idx="283">
                  <c:v>1.3459005777249899E-4</c:v>
                </c:pt>
                <c:pt idx="284">
                  <c:v>5.4873112610209773E-5</c:v>
                </c:pt>
                <c:pt idx="285">
                  <c:v>1.3082188820234819E-4</c:v>
                </c:pt>
                <c:pt idx="286">
                  <c:v>1.2326725972400254E-5</c:v>
                </c:pt>
                <c:pt idx="287">
                  <c:v>1.4221477933773485E-4</c:v>
                </c:pt>
                <c:pt idx="288">
                  <c:v>8.6381687864900414E-6</c:v>
                </c:pt>
                <c:pt idx="289">
                  <c:v>6.0978842089554064E-5</c:v>
                </c:pt>
                <c:pt idx="290">
                  <c:v>4.5635362738494223E-5</c:v>
                </c:pt>
                <c:pt idx="291">
                  <c:v>5.1357252878858617E-5</c:v>
                </c:pt>
                <c:pt idx="292">
                  <c:v>1.3849436766477652E-4</c:v>
                </c:pt>
                <c:pt idx="293">
                  <c:v>8.5773202805228266E-5</c:v>
                </c:pt>
                <c:pt idx="294">
                  <c:v>1.9985013506484961E-4</c:v>
                </c:pt>
                <c:pt idx="295">
                  <c:v>1.438456213520567E-5</c:v>
                </c:pt>
                <c:pt idx="296">
                  <c:v>6.1488417490096481E-5</c:v>
                </c:pt>
                <c:pt idx="297">
                  <c:v>3.4689197374149217E-5</c:v>
                </c:pt>
                <c:pt idx="298">
                  <c:v>2.1304500950947158E-5</c:v>
                </c:pt>
                <c:pt idx="299">
                  <c:v>3.4281360274945882E-5</c:v>
                </c:pt>
                <c:pt idx="300">
                  <c:v>1.4625258505773786E-4</c:v>
                </c:pt>
                <c:pt idx="301">
                  <c:v>6.2992096601988123E-5</c:v>
                </c:pt>
                <c:pt idx="302">
                  <c:v>7.6727992201597317E-5</c:v>
                </c:pt>
                <c:pt idx="303">
                  <c:v>1.1242651426712769E-4</c:v>
                </c:pt>
                <c:pt idx="304">
                  <c:v>6.8989129982099939E-5</c:v>
                </c:pt>
                <c:pt idx="305">
                  <c:v>4.2840688422529638E-5</c:v>
                </c:pt>
                <c:pt idx="306">
                  <c:v>6.6087472774256639E-6</c:v>
                </c:pt>
                <c:pt idx="307">
                  <c:v>8.7351624742382228E-6</c:v>
                </c:pt>
                <c:pt idx="308">
                  <c:v>7.1234235921480149E-5</c:v>
                </c:pt>
                <c:pt idx="309">
                  <c:v>2.1516134850685376E-5</c:v>
                </c:pt>
                <c:pt idx="310">
                  <c:v>1.5339783875134572E-5</c:v>
                </c:pt>
                <c:pt idx="311">
                  <c:v>5.7699197999028229E-5</c:v>
                </c:pt>
                <c:pt idx="312">
                  <c:v>2.1929522844743587E-5</c:v>
                </c:pt>
                <c:pt idx="313">
                  <c:v>4.3470951428759008E-5</c:v>
                </c:pt>
                <c:pt idx="314">
                  <c:v>1.4275632675975203E-5</c:v>
                </c:pt>
                <c:pt idx="315">
                  <c:v>9.9222270293353176E-6</c:v>
                </c:pt>
                <c:pt idx="316">
                  <c:v>4.3137754495603531E-5</c:v>
                </c:pt>
                <c:pt idx="317">
                  <c:v>4.3556915777287486E-5</c:v>
                </c:pt>
                <c:pt idx="318">
                  <c:v>2.6009559412898398E-6</c:v>
                </c:pt>
                <c:pt idx="319">
                  <c:v>2.5718654839579358E-5</c:v>
                </c:pt>
                <c:pt idx="320">
                  <c:v>8.4379551104518669E-5</c:v>
                </c:pt>
                <c:pt idx="321">
                  <c:v>5.4958860740583759E-5</c:v>
                </c:pt>
                <c:pt idx="322">
                  <c:v>3.3624786688335462E-5</c:v>
                </c:pt>
                <c:pt idx="323">
                  <c:v>4.5376378409400786E-5</c:v>
                </c:pt>
                <c:pt idx="324">
                  <c:v>4.0746673441560688E-5</c:v>
                </c:pt>
                <c:pt idx="325">
                  <c:v>3.6831333748210682E-5</c:v>
                </c:pt>
                <c:pt idx="326">
                  <c:v>3.4070084478088347E-5</c:v>
                </c:pt>
                <c:pt idx="327">
                  <c:v>8.9839172169092762E-5</c:v>
                </c:pt>
                <c:pt idx="328">
                  <c:v>4.2133784535991481E-5</c:v>
                </c:pt>
                <c:pt idx="329">
                  <c:v>1.3856266235734438E-5</c:v>
                </c:pt>
                <c:pt idx="330">
                  <c:v>1.9336779065071141E-5</c:v>
                </c:pt>
                <c:pt idx="331">
                  <c:v>3.0657609769946248E-5</c:v>
                </c:pt>
                <c:pt idx="332">
                  <c:v>3.4056022148121201E-5</c:v>
                </c:pt>
                <c:pt idx="333">
                  <c:v>7.9984857979553681E-5</c:v>
                </c:pt>
                <c:pt idx="334">
                  <c:v>1.5177646620401219E-5</c:v>
                </c:pt>
                <c:pt idx="335">
                  <c:v>3.3108723172858845E-5</c:v>
                </c:pt>
                <c:pt idx="336">
                  <c:v>3.734041666803023E-5</c:v>
                </c:pt>
                <c:pt idx="337">
                  <c:v>6.3918364574533371E-6</c:v>
                </c:pt>
                <c:pt idx="338">
                  <c:v>1.2635882704614687E-5</c:v>
                </c:pt>
                <c:pt idx="339">
                  <c:v>6.2823862702288125E-5</c:v>
                </c:pt>
                <c:pt idx="340">
                  <c:v>1.2392908476854814E-4</c:v>
                </c:pt>
                <c:pt idx="341">
                  <c:v>9.5470420085064234E-6</c:v>
                </c:pt>
                <c:pt idx="342">
                  <c:v>4.2016365856767379E-5</c:v>
                </c:pt>
                <c:pt idx="343">
                  <c:v>3.3868562614003395E-5</c:v>
                </c:pt>
                <c:pt idx="344">
                  <c:v>7.0183784046662367E-6</c:v>
                </c:pt>
                <c:pt idx="345">
                  <c:v>1.7430286901642944E-4</c:v>
                </c:pt>
                <c:pt idx="346">
                  <c:v>1.8229453370821602E-5</c:v>
                </c:pt>
                <c:pt idx="347">
                  <c:v>4.0760410200846309E-5</c:v>
                </c:pt>
                <c:pt idx="348">
                  <c:v>3.8756456174127152E-5</c:v>
                </c:pt>
                <c:pt idx="349">
                  <c:v>1.4065850384525902E-4</c:v>
                </c:pt>
                <c:pt idx="350">
                  <c:v>2.5916546945836672E-5</c:v>
                </c:pt>
                <c:pt idx="351">
                  <c:v>1.2098551122718959E-4</c:v>
                </c:pt>
                <c:pt idx="352">
                  <c:v>9.7938401957264887E-6</c:v>
                </c:pt>
                <c:pt idx="353">
                  <c:v>2.1881623869290934E-5</c:v>
                </c:pt>
                <c:pt idx="354">
                  <c:v>2.0600516584678985E-4</c:v>
                </c:pt>
                <c:pt idx="355">
                  <c:v>3.9906699353053909E-5</c:v>
                </c:pt>
                <c:pt idx="356">
                  <c:v>4.1454068064439298E-5</c:v>
                </c:pt>
                <c:pt idx="357">
                  <c:v>4.9469301064419824E-5</c:v>
                </c:pt>
                <c:pt idx="358">
                  <c:v>3.0243779711724983E-5</c:v>
                </c:pt>
                <c:pt idx="359">
                  <c:v>2.3617974939327269E-5</c:v>
                </c:pt>
                <c:pt idx="360">
                  <c:v>2.0475038940759305E-5</c:v>
                </c:pt>
                <c:pt idx="361">
                  <c:v>2.8249344516950714E-5</c:v>
                </c:pt>
                <c:pt idx="362">
                  <c:v>2.0385913138909473E-5</c:v>
                </c:pt>
                <c:pt idx="363">
                  <c:v>1.8194339165944484E-5</c:v>
                </c:pt>
                <c:pt idx="364">
                  <c:v>7.1029349658857655E-5</c:v>
                </c:pt>
                <c:pt idx="365">
                  <c:v>5.7794342360750761E-5</c:v>
                </c:pt>
                <c:pt idx="366">
                  <c:v>7.4441396332503018E-5</c:v>
                </c:pt>
                <c:pt idx="367">
                  <c:v>4.8844995085062237E-5</c:v>
                </c:pt>
                <c:pt idx="368">
                  <c:v>9.8746278244021823E-5</c:v>
                </c:pt>
                <c:pt idx="369">
                  <c:v>3.5316598417267642E-5</c:v>
                </c:pt>
                <c:pt idx="370">
                  <c:v>5.6133131018043514E-5</c:v>
                </c:pt>
                <c:pt idx="371">
                  <c:v>2.1262349324757679E-5</c:v>
                </c:pt>
                <c:pt idx="372">
                  <c:v>7.3651333206470326E-5</c:v>
                </c:pt>
                <c:pt idx="373">
                  <c:v>4.6669938846832792E-6</c:v>
                </c:pt>
                <c:pt idx="374">
                  <c:v>7.369967390502552E-5</c:v>
                </c:pt>
                <c:pt idx="375">
                  <c:v>8.5414676433970271E-6</c:v>
                </c:pt>
                <c:pt idx="376">
                  <c:v>1.7216222410354476E-5</c:v>
                </c:pt>
                <c:pt idx="377">
                  <c:v>3.6132547599265763E-5</c:v>
                </c:pt>
                <c:pt idx="378">
                  <c:v>1.3793750031965146E-5</c:v>
                </c:pt>
                <c:pt idx="379">
                  <c:v>8.7476659871299489E-6</c:v>
                </c:pt>
                <c:pt idx="380">
                  <c:v>1.7962975917384938E-5</c:v>
                </c:pt>
                <c:pt idx="381">
                  <c:v>4.5747440871934941E-5</c:v>
                </c:pt>
                <c:pt idx="382">
                  <c:v>4.1366790860308811E-5</c:v>
                </c:pt>
                <c:pt idx="383">
                  <c:v>1.1029283711394555E-4</c:v>
                </c:pt>
                <c:pt idx="384">
                  <c:v>7.6163709046284112E-6</c:v>
                </c:pt>
                <c:pt idx="385">
                  <c:v>5.1865427554531607E-5</c:v>
                </c:pt>
                <c:pt idx="386">
                  <c:v>1.1592431852491814E-4</c:v>
                </c:pt>
                <c:pt idx="387">
                  <c:v>1.4056891803448934E-5</c:v>
                </c:pt>
                <c:pt idx="388">
                  <c:v>4.3055817375403649E-5</c:v>
                </c:pt>
                <c:pt idx="389">
                  <c:v>7.8115170609294182E-5</c:v>
                </c:pt>
                <c:pt idx="390">
                  <c:v>5.3765315005449565E-5</c:v>
                </c:pt>
                <c:pt idx="391">
                  <c:v>3.1973237032190127E-5</c:v>
                </c:pt>
                <c:pt idx="392">
                  <c:v>2.8127569418501253E-5</c:v>
                </c:pt>
                <c:pt idx="393">
                  <c:v>2.1396084203928467E-5</c:v>
                </c:pt>
                <c:pt idx="394">
                  <c:v>1.5239305025716021E-4</c:v>
                </c:pt>
                <c:pt idx="395">
                  <c:v>4.8436374530780313E-5</c:v>
                </c:pt>
                <c:pt idx="396">
                  <c:v>3.9537799040090249E-5</c:v>
                </c:pt>
                <c:pt idx="397">
                  <c:v>1.4629096309448641E-5</c:v>
                </c:pt>
                <c:pt idx="398">
                  <c:v>3.063271768866116E-5</c:v>
                </c:pt>
                <c:pt idx="399">
                  <c:v>2.035806383560157E-5</c:v>
                </c:pt>
                <c:pt idx="400">
                  <c:v>1.5768966129314776E-5</c:v>
                </c:pt>
                <c:pt idx="401">
                  <c:v>4.1772732604528073E-5</c:v>
                </c:pt>
                <c:pt idx="402">
                  <c:v>4.9554923823080799E-5</c:v>
                </c:pt>
                <c:pt idx="403">
                  <c:v>7.6825963191140545E-6</c:v>
                </c:pt>
                <c:pt idx="404">
                  <c:v>1.0545029832442765E-4</c:v>
                </c:pt>
                <c:pt idx="405">
                  <c:v>6.1240692009079112E-5</c:v>
                </c:pt>
                <c:pt idx="406">
                  <c:v>1.1483798449063443E-5</c:v>
                </c:pt>
                <c:pt idx="407">
                  <c:v>7.6109658429857063E-5</c:v>
                </c:pt>
                <c:pt idx="408">
                  <c:v>6.8034304398167933E-5</c:v>
                </c:pt>
                <c:pt idx="409">
                  <c:v>1.2751544979039409E-5</c:v>
                </c:pt>
                <c:pt idx="410">
                  <c:v>1.92027615923962E-5</c:v>
                </c:pt>
                <c:pt idx="411">
                  <c:v>6.3751747241269641E-6</c:v>
                </c:pt>
                <c:pt idx="412">
                  <c:v>2.0186749427608675E-5</c:v>
                </c:pt>
                <c:pt idx="413">
                  <c:v>5.4169244034341091E-5</c:v>
                </c:pt>
                <c:pt idx="414">
                  <c:v>3.5633371119558888E-5</c:v>
                </c:pt>
                <c:pt idx="415">
                  <c:v>1.4112180991787682E-5</c:v>
                </c:pt>
                <c:pt idx="416">
                  <c:v>1.0142188891393289E-5</c:v>
                </c:pt>
                <c:pt idx="417">
                  <c:v>4.3852767184660024E-5</c:v>
                </c:pt>
                <c:pt idx="418">
                  <c:v>3.0302294607764679E-5</c:v>
                </c:pt>
                <c:pt idx="419">
                  <c:v>4.1655455838451871E-5</c:v>
                </c:pt>
                <c:pt idx="420">
                  <c:v>3.4268571411644189E-5</c:v>
                </c:pt>
                <c:pt idx="421">
                  <c:v>6.1517020789381149E-5</c:v>
                </c:pt>
                <c:pt idx="422">
                  <c:v>3.1396051024756844E-5</c:v>
                </c:pt>
                <c:pt idx="423">
                  <c:v>4.7039791628122885E-5</c:v>
                </c:pt>
                <c:pt idx="424">
                  <c:v>3.5105131257040512E-5</c:v>
                </c:pt>
                <c:pt idx="425">
                  <c:v>2.8842507639126325E-5</c:v>
                </c:pt>
                <c:pt idx="426">
                  <c:v>9.2396128255956E-5</c:v>
                </c:pt>
                <c:pt idx="427">
                  <c:v>4.6251011038833667E-5</c:v>
                </c:pt>
                <c:pt idx="428">
                  <c:v>1.2653869754686298E-4</c:v>
                </c:pt>
                <c:pt idx="429">
                  <c:v>1.1252946472950498E-4</c:v>
                </c:pt>
                <c:pt idx="430">
                  <c:v>7.1703734153771848E-5</c:v>
                </c:pt>
                <c:pt idx="431">
                  <c:v>1.0093413218825731E-4</c:v>
                </c:pt>
                <c:pt idx="432">
                  <c:v>2.8321598254166247E-5</c:v>
                </c:pt>
                <c:pt idx="433">
                  <c:v>5.4574066016499501E-5</c:v>
                </c:pt>
                <c:pt idx="434">
                  <c:v>1.393264864262278E-4</c:v>
                </c:pt>
                <c:pt idx="435">
                  <c:v>4.2738836690148219E-5</c:v>
                </c:pt>
                <c:pt idx="436">
                  <c:v>8.889247835952574E-5</c:v>
                </c:pt>
                <c:pt idx="437">
                  <c:v>8.4663153121056212E-5</c:v>
                </c:pt>
                <c:pt idx="438">
                  <c:v>8.4013160737583803E-5</c:v>
                </c:pt>
                <c:pt idx="439">
                  <c:v>6.7991231169628463E-5</c:v>
                </c:pt>
                <c:pt idx="440">
                  <c:v>2.8935357835990771E-5</c:v>
                </c:pt>
                <c:pt idx="441">
                  <c:v>4.3593650435269637E-5</c:v>
                </c:pt>
                <c:pt idx="442">
                  <c:v>1.61984341886523E-4</c:v>
                </c:pt>
                <c:pt idx="443">
                  <c:v>1.030897179390422E-4</c:v>
                </c:pt>
                <c:pt idx="444">
                  <c:v>1.0797865591882783E-5</c:v>
                </c:pt>
                <c:pt idx="445">
                  <c:v>1.080760345928411E-5</c:v>
                </c:pt>
                <c:pt idx="446">
                  <c:v>2.5686902056065719E-5</c:v>
                </c:pt>
                <c:pt idx="447">
                  <c:v>6.4635426699766185E-5</c:v>
                </c:pt>
                <c:pt idx="448">
                  <c:v>7.7547195154181736E-5</c:v>
                </c:pt>
                <c:pt idx="449">
                  <c:v>2.2946741605522902E-5</c:v>
                </c:pt>
                <c:pt idx="450">
                  <c:v>5.2159573616705757E-5</c:v>
                </c:pt>
                <c:pt idx="451">
                  <c:v>3.6795230034414317E-5</c:v>
                </c:pt>
                <c:pt idx="452">
                  <c:v>8.7467845698796509E-5</c:v>
                </c:pt>
                <c:pt idx="453">
                  <c:v>1.3895260750018679E-5</c:v>
                </c:pt>
                <c:pt idx="454">
                  <c:v>1.2498307963682009E-5</c:v>
                </c:pt>
                <c:pt idx="455">
                  <c:v>9.0717510516924449E-6</c:v>
                </c:pt>
                <c:pt idx="456">
                  <c:v>3.3866239874669191E-6</c:v>
                </c:pt>
                <c:pt idx="457">
                  <c:v>2.4606157278839191E-5</c:v>
                </c:pt>
                <c:pt idx="458">
                  <c:v>3.4410516139615765E-5</c:v>
                </c:pt>
                <c:pt idx="459">
                  <c:v>1.2911259528181063E-5</c:v>
                </c:pt>
                <c:pt idx="460">
                  <c:v>3.4401637414305242E-6</c:v>
                </c:pt>
                <c:pt idx="461">
                  <c:v>1.5622577284446493E-4</c:v>
                </c:pt>
                <c:pt idx="462">
                  <c:v>1.352248738299977E-4</c:v>
                </c:pt>
                <c:pt idx="463">
                  <c:v>3.1725544129557193E-5</c:v>
                </c:pt>
                <c:pt idx="464">
                  <c:v>3.1467724202371983E-5</c:v>
                </c:pt>
                <c:pt idx="465">
                  <c:v>2.6191058967839353E-5</c:v>
                </c:pt>
                <c:pt idx="466">
                  <c:v>7.2399436970016495E-5</c:v>
                </c:pt>
                <c:pt idx="467">
                  <c:v>4.3958130021337638E-5</c:v>
                </c:pt>
                <c:pt idx="468">
                  <c:v>6.9058533480159667E-5</c:v>
                </c:pt>
                <c:pt idx="469">
                  <c:v>1.392756825531194E-4</c:v>
                </c:pt>
                <c:pt idx="470">
                  <c:v>3.5841723864393771E-6</c:v>
                </c:pt>
                <c:pt idx="471">
                  <c:v>5.329169248824428E-5</c:v>
                </c:pt>
                <c:pt idx="472">
                  <c:v>1.1104582565479859E-5</c:v>
                </c:pt>
                <c:pt idx="473">
                  <c:v>1.8839874265097478E-6</c:v>
                </c:pt>
                <c:pt idx="474">
                  <c:v>3.3892509026856033E-5</c:v>
                </c:pt>
                <c:pt idx="475">
                  <c:v>1.4628469048716397E-4</c:v>
                </c:pt>
                <c:pt idx="476">
                  <c:v>5.8025193819588594E-5</c:v>
                </c:pt>
                <c:pt idx="477">
                  <c:v>2.4934414739163913E-5</c:v>
                </c:pt>
                <c:pt idx="478">
                  <c:v>6.4404254324301746E-5</c:v>
                </c:pt>
                <c:pt idx="479">
                  <c:v>5.3976721190451826E-6</c:v>
                </c:pt>
                <c:pt idx="480">
                  <c:v>4.0323924302754222E-5</c:v>
                </c:pt>
                <c:pt idx="481">
                  <c:v>2.7210981997427552E-5</c:v>
                </c:pt>
                <c:pt idx="482">
                  <c:v>4.3758620293488093E-5</c:v>
                </c:pt>
                <c:pt idx="483">
                  <c:v>8.724894507494696E-5</c:v>
                </c:pt>
                <c:pt idx="484">
                  <c:v>1.151970102277744E-4</c:v>
                </c:pt>
                <c:pt idx="485">
                  <c:v>5.3989544198884687E-5</c:v>
                </c:pt>
                <c:pt idx="486">
                  <c:v>2.1533782550875458E-5</c:v>
                </c:pt>
                <c:pt idx="487">
                  <c:v>4.0891472249171557E-5</c:v>
                </c:pt>
                <c:pt idx="488">
                  <c:v>1.9686438511357096E-4</c:v>
                </c:pt>
                <c:pt idx="489">
                  <c:v>1.2604210755995382E-5</c:v>
                </c:pt>
                <c:pt idx="490">
                  <c:v>7.2687109593516652E-6</c:v>
                </c:pt>
                <c:pt idx="491">
                  <c:v>1.6640984213012189E-4</c:v>
                </c:pt>
                <c:pt idx="492">
                  <c:v>4.7438322781090392E-6</c:v>
                </c:pt>
                <c:pt idx="493">
                  <c:v>1.4418530792426054E-5</c:v>
                </c:pt>
                <c:pt idx="494">
                  <c:v>6.3476936240647319E-5</c:v>
                </c:pt>
                <c:pt idx="495">
                  <c:v>7.8477381428854187E-5</c:v>
                </c:pt>
                <c:pt idx="496">
                  <c:v>1.627905366063942E-5</c:v>
                </c:pt>
                <c:pt idx="497">
                  <c:v>8.767117958186077E-5</c:v>
                </c:pt>
                <c:pt idx="498">
                  <c:v>4.7505532926095384E-5</c:v>
                </c:pt>
                <c:pt idx="499">
                  <c:v>7.8156060425271789E-5</c:v>
                </c:pt>
                <c:pt idx="500">
                  <c:v>4.0309794556492307E-5</c:v>
                </c:pt>
                <c:pt idx="501">
                  <c:v>2.4023608759193849E-5</c:v>
                </c:pt>
                <c:pt idx="502">
                  <c:v>7.6285808248144349E-7</c:v>
                </c:pt>
                <c:pt idx="503">
                  <c:v>1.3488396742644682E-5</c:v>
                </c:pt>
                <c:pt idx="504">
                  <c:v>2.5116938239477804E-5</c:v>
                </c:pt>
                <c:pt idx="505">
                  <c:v>1.9362857880622641E-5</c:v>
                </c:pt>
                <c:pt idx="506">
                  <c:v>2.3108735490495746E-5</c:v>
                </c:pt>
                <c:pt idx="507">
                  <c:v>2.2961590069314752E-4</c:v>
                </c:pt>
                <c:pt idx="508">
                  <c:v>1.3089731780269176E-4</c:v>
                </c:pt>
                <c:pt idx="509">
                  <c:v>6.4396883601602894E-5</c:v>
                </c:pt>
                <c:pt idx="510">
                  <c:v>2.0551883832098383E-5</c:v>
                </c:pt>
                <c:pt idx="511">
                  <c:v>6.3102600147857402E-5</c:v>
                </c:pt>
                <c:pt idx="512">
                  <c:v>3.8787796622585802E-5</c:v>
                </c:pt>
                <c:pt idx="513">
                  <c:v>4.1994557559377199E-5</c:v>
                </c:pt>
                <c:pt idx="514">
                  <c:v>1.1266131501486143E-5</c:v>
                </c:pt>
                <c:pt idx="515">
                  <c:v>1.1744514957001684E-5</c:v>
                </c:pt>
                <c:pt idx="516">
                  <c:v>2.2030993068966609E-5</c:v>
                </c:pt>
                <c:pt idx="517">
                  <c:v>3.7630711950953355E-6</c:v>
                </c:pt>
                <c:pt idx="518">
                  <c:v>6.546374410376643E-5</c:v>
                </c:pt>
                <c:pt idx="519">
                  <c:v>2.1599688803775052E-5</c:v>
                </c:pt>
                <c:pt idx="520">
                  <c:v>4.0477752527579014E-5</c:v>
                </c:pt>
                <c:pt idx="521">
                  <c:v>1.1733619153631025E-5</c:v>
                </c:pt>
                <c:pt idx="522">
                  <c:v>2.183898608265622E-5</c:v>
                </c:pt>
                <c:pt idx="523">
                  <c:v>1.1401759900309116E-4</c:v>
                </c:pt>
                <c:pt idx="524">
                  <c:v>3.7106961212174383E-5</c:v>
                </c:pt>
                <c:pt idx="525">
                  <c:v>3.9067704271644743E-6</c:v>
                </c:pt>
                <c:pt idx="526">
                  <c:v>3.637356449814888E-5</c:v>
                </c:pt>
                <c:pt idx="527">
                  <c:v>2.7544472644080997E-5</c:v>
                </c:pt>
                <c:pt idx="528">
                  <c:v>6.4565440489161574E-5</c:v>
                </c:pt>
                <c:pt idx="529">
                  <c:v>3.3877799516801588E-5</c:v>
                </c:pt>
                <c:pt idx="530">
                  <c:v>2.6289539363233416E-5</c:v>
                </c:pt>
                <c:pt idx="531">
                  <c:v>3.8514949963541767E-5</c:v>
                </c:pt>
                <c:pt idx="532">
                  <c:v>3.3946324890621327E-5</c:v>
                </c:pt>
                <c:pt idx="533">
                  <c:v>1.9885584563894554E-5</c:v>
                </c:pt>
                <c:pt idx="534">
                  <c:v>6.7996839483441818E-6</c:v>
                </c:pt>
                <c:pt idx="535">
                  <c:v>4.4518341159260899E-5</c:v>
                </c:pt>
                <c:pt idx="536">
                  <c:v>2.3112652769441411E-5</c:v>
                </c:pt>
                <c:pt idx="537">
                  <c:v>1.0802367498286003E-5</c:v>
                </c:pt>
                <c:pt idx="538">
                  <c:v>6.5649960625080439E-5</c:v>
                </c:pt>
                <c:pt idx="539">
                  <c:v>2.3392501105945485E-5</c:v>
                </c:pt>
                <c:pt idx="540">
                  <c:v>2.128161873926615E-5</c:v>
                </c:pt>
                <c:pt idx="541">
                  <c:v>1.1406845853656478E-5</c:v>
                </c:pt>
                <c:pt idx="542">
                  <c:v>7.2746532957523868E-6</c:v>
                </c:pt>
                <c:pt idx="543">
                  <c:v>2.4393176747850021E-5</c:v>
                </c:pt>
                <c:pt idx="544">
                  <c:v>1.5145650785086673E-5</c:v>
                </c:pt>
                <c:pt idx="545">
                  <c:v>5.797497827941811E-5</c:v>
                </c:pt>
                <c:pt idx="546">
                  <c:v>3.2933743632668211E-5</c:v>
                </c:pt>
                <c:pt idx="547">
                  <c:v>1.4840383315828376E-4</c:v>
                </c:pt>
                <c:pt idx="548">
                  <c:v>2.2803304045027062E-5</c:v>
                </c:pt>
                <c:pt idx="549">
                  <c:v>7.1159707069057276E-6</c:v>
                </c:pt>
                <c:pt idx="550">
                  <c:v>2.5750156325443641E-5</c:v>
                </c:pt>
                <c:pt idx="551">
                  <c:v>2.6540574697975217E-5</c:v>
                </c:pt>
                <c:pt idx="552">
                  <c:v>2.4282358396021664E-5</c:v>
                </c:pt>
                <c:pt idx="553">
                  <c:v>5.6188456838413003E-6</c:v>
                </c:pt>
                <c:pt idx="554">
                  <c:v>2.6763731803214341E-5</c:v>
                </c:pt>
                <c:pt idx="555">
                  <c:v>4.1806158407098337E-5</c:v>
                </c:pt>
                <c:pt idx="556">
                  <c:v>3.5085276053337111E-5</c:v>
                </c:pt>
                <c:pt idx="557">
                  <c:v>2.0897969047695142E-5</c:v>
                </c:pt>
                <c:pt idx="558">
                  <c:v>1.047060441194958E-5</c:v>
                </c:pt>
                <c:pt idx="559">
                  <c:v>7.0321529626937718E-5</c:v>
                </c:pt>
                <c:pt idx="560">
                  <c:v>5.6382762998907765E-5</c:v>
                </c:pt>
                <c:pt idx="561">
                  <c:v>6.4619136843191427E-5</c:v>
                </c:pt>
                <c:pt idx="562">
                  <c:v>4.8890711553895017E-5</c:v>
                </c:pt>
                <c:pt idx="563">
                  <c:v>3.9886253645704528E-5</c:v>
                </c:pt>
                <c:pt idx="564">
                  <c:v>2.7207549791796737E-5</c:v>
                </c:pt>
                <c:pt idx="565">
                  <c:v>4.1995877715805818E-5</c:v>
                </c:pt>
                <c:pt idx="566">
                  <c:v>4.4892035642618566E-5</c:v>
                </c:pt>
                <c:pt idx="567">
                  <c:v>1.2499867497339778E-4</c:v>
                </c:pt>
                <c:pt idx="568">
                  <c:v>1.3592666864070679E-5</c:v>
                </c:pt>
                <c:pt idx="569">
                  <c:v>1.7366525794670906E-4</c:v>
                </c:pt>
                <c:pt idx="570">
                  <c:v>5.0580175688708096E-5</c:v>
                </c:pt>
                <c:pt idx="571">
                  <c:v>1.8818823836141974E-5</c:v>
                </c:pt>
                <c:pt idx="572">
                  <c:v>3.8518512070595534E-5</c:v>
                </c:pt>
                <c:pt idx="573">
                  <c:v>1.2866635625741196E-4</c:v>
                </c:pt>
                <c:pt idx="574">
                  <c:v>1.4865918366524511E-5</c:v>
                </c:pt>
                <c:pt idx="575">
                  <c:v>5.6720690736256074E-5</c:v>
                </c:pt>
                <c:pt idx="576">
                  <c:v>2.6794231832383275E-5</c:v>
                </c:pt>
                <c:pt idx="577">
                  <c:v>7.3530565888546562E-5</c:v>
                </c:pt>
                <c:pt idx="578">
                  <c:v>5.3306740323222357E-5</c:v>
                </c:pt>
                <c:pt idx="579">
                  <c:v>4.3710078852399192E-5</c:v>
                </c:pt>
                <c:pt idx="580">
                  <c:v>2.431631873989204E-5</c:v>
                </c:pt>
                <c:pt idx="581">
                  <c:v>5.6276439117652899E-6</c:v>
                </c:pt>
                <c:pt idx="582">
                  <c:v>3.3642476154227552E-5</c:v>
                </c:pt>
                <c:pt idx="583">
                  <c:v>2.6775671297940562E-5</c:v>
                </c:pt>
                <c:pt idx="584">
                  <c:v>2.3139683566597569E-5</c:v>
                </c:pt>
                <c:pt idx="585">
                  <c:v>1.2929528381278033E-4</c:v>
                </c:pt>
                <c:pt idx="586">
                  <c:v>2.5205285716367598E-5</c:v>
                </c:pt>
                <c:pt idx="587">
                  <c:v>1.1805428725253364E-4</c:v>
                </c:pt>
                <c:pt idx="588">
                  <c:v>2.7840629041264719E-5</c:v>
                </c:pt>
                <c:pt idx="589">
                  <c:v>1.925619931242295E-5</c:v>
                </c:pt>
                <c:pt idx="590">
                  <c:v>1.1394828953470437E-4</c:v>
                </c:pt>
                <c:pt idx="591">
                  <c:v>6.968153159192525E-5</c:v>
                </c:pt>
                <c:pt idx="592">
                  <c:v>1.9677974435694523E-5</c:v>
                </c:pt>
                <c:pt idx="593">
                  <c:v>1.3690421817003084E-4</c:v>
                </c:pt>
                <c:pt idx="594">
                  <c:v>4.6187566461242113E-5</c:v>
                </c:pt>
                <c:pt idx="595">
                  <c:v>2.1862049536025552E-5</c:v>
                </c:pt>
                <c:pt idx="596">
                  <c:v>1.3791844576616086E-5</c:v>
                </c:pt>
                <c:pt idx="597">
                  <c:v>1.4510964319924824E-5</c:v>
                </c:pt>
                <c:pt idx="598">
                  <c:v>3.4047588620467195E-5</c:v>
                </c:pt>
                <c:pt idx="599">
                  <c:v>3.6905193297798178E-5</c:v>
                </c:pt>
                <c:pt idx="600">
                  <c:v>2.7998192337008732E-5</c:v>
                </c:pt>
                <c:pt idx="601">
                  <c:v>4.1833283159320445E-5</c:v>
                </c:pt>
                <c:pt idx="602">
                  <c:v>6.9173001882916196E-5</c:v>
                </c:pt>
                <c:pt idx="603">
                  <c:v>1.5305114814623266E-5</c:v>
                </c:pt>
                <c:pt idx="604">
                  <c:v>6.9314972510170492E-5</c:v>
                </c:pt>
                <c:pt idx="605">
                  <c:v>4.0392943130740377E-5</c:v>
                </c:pt>
                <c:pt idx="606">
                  <c:v>4.508193456942422E-5</c:v>
                </c:pt>
                <c:pt idx="607">
                  <c:v>2.2094378216763744E-5</c:v>
                </c:pt>
                <c:pt idx="608">
                  <c:v>1.6099931979596249E-5</c:v>
                </c:pt>
                <c:pt idx="609">
                  <c:v>3.9586406479941161E-5</c:v>
                </c:pt>
                <c:pt idx="610">
                  <c:v>1.9439268864829273E-5</c:v>
                </c:pt>
                <c:pt idx="611">
                  <c:v>1.4767223049716449E-5</c:v>
                </c:pt>
                <c:pt idx="612">
                  <c:v>4.2164868514049658E-5</c:v>
                </c:pt>
                <c:pt idx="613">
                  <c:v>1.4106180674744451E-4</c:v>
                </c:pt>
                <c:pt idx="614">
                  <c:v>2.0213574466154682E-4</c:v>
                </c:pt>
                <c:pt idx="615">
                  <c:v>1.7121427234201292E-5</c:v>
                </c:pt>
                <c:pt idx="616">
                  <c:v>3.8952866596275726E-5</c:v>
                </c:pt>
                <c:pt idx="617">
                  <c:v>8.1347081074767402E-5</c:v>
                </c:pt>
                <c:pt idx="618">
                  <c:v>2.1617825477093788E-4</c:v>
                </c:pt>
                <c:pt idx="619">
                  <c:v>3.2506322554581857E-5</c:v>
                </c:pt>
                <c:pt idx="620">
                  <c:v>9.957908221025491E-5</c:v>
                </c:pt>
                <c:pt idx="621">
                  <c:v>1.4362323582872705E-5</c:v>
                </c:pt>
                <c:pt idx="622">
                  <c:v>2.9298597855387243E-5</c:v>
                </c:pt>
                <c:pt idx="623">
                  <c:v>1.2777666381325048E-4</c:v>
                </c:pt>
                <c:pt idx="624">
                  <c:v>2.5198767723111359E-5</c:v>
                </c:pt>
                <c:pt idx="625">
                  <c:v>2.5992345250358539E-5</c:v>
                </c:pt>
                <c:pt idx="626">
                  <c:v>1.3021741576579871E-5</c:v>
                </c:pt>
                <c:pt idx="627">
                  <c:v>3.2174913819460471E-5</c:v>
                </c:pt>
                <c:pt idx="628">
                  <c:v>2.0336008606847145E-5</c:v>
                </c:pt>
                <c:pt idx="629">
                  <c:v>4.6055552033408276E-5</c:v>
                </c:pt>
                <c:pt idx="630">
                  <c:v>9.6021229079923387E-5</c:v>
                </c:pt>
                <c:pt idx="631">
                  <c:v>3.9775783278628296E-5</c:v>
                </c:pt>
                <c:pt idx="632">
                  <c:v>2.136172246665069E-4</c:v>
                </c:pt>
                <c:pt idx="633">
                  <c:v>2.6412262116082275E-5</c:v>
                </c:pt>
                <c:pt idx="634">
                  <c:v>9.6524042838552759E-6</c:v>
                </c:pt>
                <c:pt idx="635">
                  <c:v>8.3332095321964061E-5</c:v>
                </c:pt>
                <c:pt idx="636">
                  <c:v>7.5771341705888062E-5</c:v>
                </c:pt>
                <c:pt idx="637">
                  <c:v>1.5331022503062286E-4</c:v>
                </c:pt>
                <c:pt idx="638">
                  <c:v>1.8531440101554608E-5</c:v>
                </c:pt>
                <c:pt idx="639">
                  <c:v>2.314277012516186E-5</c:v>
                </c:pt>
                <c:pt idx="640">
                  <c:v>4.058511404281262E-6</c:v>
                </c:pt>
                <c:pt idx="641">
                  <c:v>1.1110570451222657E-5</c:v>
                </c:pt>
                <c:pt idx="642">
                  <c:v>6.3306310472910354E-5</c:v>
                </c:pt>
                <c:pt idx="643">
                  <c:v>5.1329444978875927E-5</c:v>
                </c:pt>
                <c:pt idx="644">
                  <c:v>1.6735008877333257E-5</c:v>
                </c:pt>
                <c:pt idx="645">
                  <c:v>1.575054346076854E-4</c:v>
                </c:pt>
                <c:pt idx="646">
                  <c:v>2.7060964512770624E-5</c:v>
                </c:pt>
                <c:pt idx="647">
                  <c:v>1.9550957421898829E-5</c:v>
                </c:pt>
                <c:pt idx="648">
                  <c:v>2.0452756491096125E-5</c:v>
                </c:pt>
                <c:pt idx="649">
                  <c:v>1.6510270274849859E-4</c:v>
                </c:pt>
                <c:pt idx="650">
                  <c:v>1.4132439350333925E-5</c:v>
                </c:pt>
                <c:pt idx="651">
                  <c:v>6.5914327080918156E-6</c:v>
                </c:pt>
                <c:pt idx="652">
                  <c:v>2.6523976857717457E-4</c:v>
                </c:pt>
                <c:pt idx="653">
                  <c:v>6.4595430195879544E-6</c:v>
                </c:pt>
                <c:pt idx="654">
                  <c:v>9.2426687480440251E-5</c:v>
                </c:pt>
                <c:pt idx="655">
                  <c:v>3.4191425157814592E-5</c:v>
                </c:pt>
                <c:pt idx="656">
                  <c:v>3.4713306192202253E-5</c:v>
                </c:pt>
                <c:pt idx="657">
                  <c:v>4.646795634144496E-5</c:v>
                </c:pt>
                <c:pt idx="658">
                  <c:v>6.1314083623642546E-6</c:v>
                </c:pt>
                <c:pt idx="659">
                  <c:v>1.2022292278146551E-5</c:v>
                </c:pt>
                <c:pt idx="660">
                  <c:v>5.9166772022223313E-5</c:v>
                </c:pt>
                <c:pt idx="661">
                  <c:v>3.4893232221833159E-5</c:v>
                </c:pt>
                <c:pt idx="662">
                  <c:v>5.2909110728194264E-6</c:v>
                </c:pt>
                <c:pt idx="663">
                  <c:v>2.0849870633554701E-5</c:v>
                </c:pt>
                <c:pt idx="664">
                  <c:v>2.1012839205525324E-5</c:v>
                </c:pt>
                <c:pt idx="665">
                  <c:v>4.6559571902804464E-5</c:v>
                </c:pt>
                <c:pt idx="666">
                  <c:v>2.1273098390395262E-5</c:v>
                </c:pt>
                <c:pt idx="667">
                  <c:v>6.1591059328236497E-6</c:v>
                </c:pt>
                <c:pt idx="668">
                  <c:v>6.1343166027683083E-5</c:v>
                </c:pt>
                <c:pt idx="669">
                  <c:v>6.5104736570731347E-5</c:v>
                </c:pt>
                <c:pt idx="670">
                  <c:v>2.9908492280128485E-5</c:v>
                </c:pt>
                <c:pt idx="671">
                  <c:v>1.9248345992650684E-5</c:v>
                </c:pt>
                <c:pt idx="672">
                  <c:v>4.9436472952635313E-5</c:v>
                </c:pt>
                <c:pt idx="673">
                  <c:v>9.0216104208451497E-5</c:v>
                </c:pt>
                <c:pt idx="674">
                  <c:v>1.3810947432801868E-5</c:v>
                </c:pt>
                <c:pt idx="675">
                  <c:v>1.850679569059821E-5</c:v>
                </c:pt>
                <c:pt idx="676">
                  <c:v>2.7056485773613304E-5</c:v>
                </c:pt>
                <c:pt idx="677">
                  <c:v>8.5377203955516734E-5</c:v>
                </c:pt>
                <c:pt idx="678">
                  <c:v>7.8357655187488717E-5</c:v>
                </c:pt>
                <c:pt idx="679">
                  <c:v>1.7482704205207256E-5</c:v>
                </c:pt>
                <c:pt idx="680">
                  <c:v>1.2588965553561593E-5</c:v>
                </c:pt>
                <c:pt idx="681">
                  <c:v>8.3007726153994099E-5</c:v>
                </c:pt>
                <c:pt idx="682">
                  <c:v>2.0702395786287298E-4</c:v>
                </c:pt>
                <c:pt idx="683">
                  <c:v>8.6972854553835077E-6</c:v>
                </c:pt>
                <c:pt idx="684">
                  <c:v>8.2612688849792448E-6</c:v>
                </c:pt>
                <c:pt idx="685">
                  <c:v>1.084041207874975E-4</c:v>
                </c:pt>
                <c:pt idx="686">
                  <c:v>5.1149316814047552E-5</c:v>
                </c:pt>
                <c:pt idx="687">
                  <c:v>4.7964126277832975E-5</c:v>
                </c:pt>
                <c:pt idx="688">
                  <c:v>8.6573119386201824E-5</c:v>
                </c:pt>
                <c:pt idx="689">
                  <c:v>2.208811202208949E-5</c:v>
                </c:pt>
                <c:pt idx="690">
                  <c:v>1.5758484757100177E-5</c:v>
                </c:pt>
                <c:pt idx="691">
                  <c:v>7.8670293142124592E-6</c:v>
                </c:pt>
                <c:pt idx="692">
                  <c:v>3.0970483781089797E-5</c:v>
                </c:pt>
                <c:pt idx="693">
                  <c:v>1.4602297495258654E-4</c:v>
                </c:pt>
                <c:pt idx="694">
                  <c:v>3.5330243196796118E-5</c:v>
                </c:pt>
                <c:pt idx="695">
                  <c:v>4.7396276269040527E-5</c:v>
                </c:pt>
                <c:pt idx="696">
                  <c:v>4.4070900724335615E-5</c:v>
                </c:pt>
                <c:pt idx="697">
                  <c:v>3.6787502576629549E-5</c:v>
                </c:pt>
                <c:pt idx="698">
                  <c:v>6.516306336834532E-5</c:v>
                </c:pt>
                <c:pt idx="699">
                  <c:v>3.6029083151589703E-5</c:v>
                </c:pt>
                <c:pt idx="700">
                  <c:v>2.3520581613922786E-5</c:v>
                </c:pt>
                <c:pt idx="701">
                  <c:v>6.7979440210308439E-6</c:v>
                </c:pt>
                <c:pt idx="702">
                  <c:v>5.6853698307435252E-5</c:v>
                </c:pt>
                <c:pt idx="703">
                  <c:v>9.2290315620857655E-6</c:v>
                </c:pt>
                <c:pt idx="704">
                  <c:v>7.1531162671334414E-5</c:v>
                </c:pt>
                <c:pt idx="705">
                  <c:v>9.6867555612334399E-6</c:v>
                </c:pt>
                <c:pt idx="706">
                  <c:v>3.4675444222642682E-5</c:v>
                </c:pt>
                <c:pt idx="707">
                  <c:v>3.7718964044586301E-5</c:v>
                </c:pt>
                <c:pt idx="708">
                  <c:v>1.7967699260879044E-5</c:v>
                </c:pt>
                <c:pt idx="709">
                  <c:v>3.9497377301245251E-5</c:v>
                </c:pt>
                <c:pt idx="710">
                  <c:v>4.0475633600323135E-5</c:v>
                </c:pt>
                <c:pt idx="711">
                  <c:v>5.755083163450081E-5</c:v>
                </c:pt>
                <c:pt idx="712">
                  <c:v>4.3225974650340504E-5</c:v>
                </c:pt>
                <c:pt idx="713">
                  <c:v>4.6664000400653549E-5</c:v>
                </c:pt>
                <c:pt idx="714">
                  <c:v>1.202113473439681E-4</c:v>
                </c:pt>
                <c:pt idx="715">
                  <c:v>1.6237403518459814E-4</c:v>
                </c:pt>
                <c:pt idx="716">
                  <c:v>6.1978959106312459E-5</c:v>
                </c:pt>
                <c:pt idx="717">
                  <c:v>7.833220384512174E-5</c:v>
                </c:pt>
                <c:pt idx="718">
                  <c:v>2.9003563394525145E-5</c:v>
                </c:pt>
                <c:pt idx="719">
                  <c:v>1.096561287994291E-5</c:v>
                </c:pt>
                <c:pt idx="720">
                  <c:v>7.414627809509966E-6</c:v>
                </c:pt>
                <c:pt idx="721">
                  <c:v>1.6415233394795337E-4</c:v>
                </c:pt>
                <c:pt idx="722">
                  <c:v>2.0697339440545193E-5</c:v>
                </c:pt>
                <c:pt idx="723">
                  <c:v>8.4301892886884389E-5</c:v>
                </c:pt>
                <c:pt idx="724">
                  <c:v>1.7522942755476834E-5</c:v>
                </c:pt>
                <c:pt idx="725">
                  <c:v>1.799369425725672E-5</c:v>
                </c:pt>
                <c:pt idx="726">
                  <c:v>4.1409492656185876E-5</c:v>
                </c:pt>
                <c:pt idx="727">
                  <c:v>2.6585317897342975E-5</c:v>
                </c:pt>
                <c:pt idx="728">
                  <c:v>4.3161945480818531E-5</c:v>
                </c:pt>
                <c:pt idx="729">
                  <c:v>1.0064445855562099E-4</c:v>
                </c:pt>
                <c:pt idx="730">
                  <c:v>1.7660992696733047E-5</c:v>
                </c:pt>
                <c:pt idx="731">
                  <c:v>1.8081999961339079E-5</c:v>
                </c:pt>
                <c:pt idx="732">
                  <c:v>9.0311467282333524E-5</c:v>
                </c:pt>
                <c:pt idx="733">
                  <c:v>1.170508023307093E-5</c:v>
                </c:pt>
                <c:pt idx="734">
                  <c:v>8.918064608565146E-5</c:v>
                </c:pt>
                <c:pt idx="735">
                  <c:v>3.6930801165624416E-5</c:v>
                </c:pt>
                <c:pt idx="736">
                  <c:v>1.8876863606465122E-5</c:v>
                </c:pt>
                <c:pt idx="737">
                  <c:v>3.9354946252956324E-6</c:v>
                </c:pt>
                <c:pt idx="738">
                  <c:v>6.4710819451363477E-5</c:v>
                </c:pt>
                <c:pt idx="739">
                  <c:v>4.3700945173696937E-5</c:v>
                </c:pt>
                <c:pt idx="740">
                  <c:v>4.7873251897811997E-5</c:v>
                </c:pt>
                <c:pt idx="741">
                  <c:v>2.4374933413895405E-5</c:v>
                </c:pt>
                <c:pt idx="742">
                  <c:v>1.8693039560702118E-5</c:v>
                </c:pt>
                <c:pt idx="743">
                  <c:v>1.7583695058220883E-5</c:v>
                </c:pt>
                <c:pt idx="744">
                  <c:v>2.8442955112950585E-5</c:v>
                </c:pt>
                <c:pt idx="745">
                  <c:v>6.4519747436264652E-5</c:v>
                </c:pt>
                <c:pt idx="746">
                  <c:v>8.3774838930850137E-5</c:v>
                </c:pt>
                <c:pt idx="747">
                  <c:v>8.9392435722146502E-5</c:v>
                </c:pt>
                <c:pt idx="748">
                  <c:v>1.0050354735113842E-5</c:v>
                </c:pt>
                <c:pt idx="749">
                  <c:v>1.5635387548229573E-5</c:v>
                </c:pt>
                <c:pt idx="750">
                  <c:v>2.0460186732407237E-5</c:v>
                </c:pt>
                <c:pt idx="751">
                  <c:v>1.1224060096637345E-4</c:v>
                </c:pt>
                <c:pt idx="752">
                  <c:v>2.818880078692132E-5</c:v>
                </c:pt>
                <c:pt idx="753">
                  <c:v>7.4131959770795675E-6</c:v>
                </c:pt>
                <c:pt idx="754">
                  <c:v>4.2699800751222483E-5</c:v>
                </c:pt>
                <c:pt idx="755">
                  <c:v>1.3653104549149475E-5</c:v>
                </c:pt>
                <c:pt idx="756">
                  <c:v>1.8502160397559919E-5</c:v>
                </c:pt>
                <c:pt idx="757">
                  <c:v>1.6742245971812508E-5</c:v>
                </c:pt>
                <c:pt idx="758">
                  <c:v>5.0486357267232052E-5</c:v>
                </c:pt>
                <c:pt idx="759">
                  <c:v>2.8864524416860604E-5</c:v>
                </c:pt>
                <c:pt idx="760">
                  <c:v>6.5766153088731016E-5</c:v>
                </c:pt>
                <c:pt idx="761">
                  <c:v>6.6547949924000704E-5</c:v>
                </c:pt>
                <c:pt idx="762">
                  <c:v>7.0322442077497271E-5</c:v>
                </c:pt>
                <c:pt idx="763">
                  <c:v>4.7269003044192459E-5</c:v>
                </c:pt>
                <c:pt idx="764">
                  <c:v>7.6531987957650927E-5</c:v>
                </c:pt>
                <c:pt idx="765">
                  <c:v>2.2280611730707278E-5</c:v>
                </c:pt>
                <c:pt idx="766">
                  <c:v>1.0168117370668028E-4</c:v>
                </c:pt>
                <c:pt idx="767">
                  <c:v>1.3809786403129465E-4</c:v>
                </c:pt>
                <c:pt idx="768">
                  <c:v>1.8824279020179802E-4</c:v>
                </c:pt>
                <c:pt idx="769">
                  <c:v>7.8779744686841013E-5</c:v>
                </c:pt>
                <c:pt idx="770">
                  <c:v>4.7241294964806002E-5</c:v>
                </c:pt>
                <c:pt idx="771">
                  <c:v>3.4212838713187921E-5</c:v>
                </c:pt>
                <c:pt idx="772">
                  <c:v>4.4096436727869559E-5</c:v>
                </c:pt>
                <c:pt idx="773">
                  <c:v>5.0355932792456315E-5</c:v>
                </c:pt>
                <c:pt idx="774">
                  <c:v>3.3418298045262418E-5</c:v>
                </c:pt>
                <c:pt idx="775">
                  <c:v>1.6668232397876181E-5</c:v>
                </c:pt>
                <c:pt idx="776">
                  <c:v>1.6150464471564874E-5</c:v>
                </c:pt>
                <c:pt idx="777">
                  <c:v>3.0372650190457762E-5</c:v>
                </c:pt>
                <c:pt idx="778">
                  <c:v>5.2884089690508063E-5</c:v>
                </c:pt>
                <c:pt idx="779">
                  <c:v>5.1366002221442386E-5</c:v>
                </c:pt>
                <c:pt idx="780">
                  <c:v>1.6259491136594306E-5</c:v>
                </c:pt>
                <c:pt idx="781">
                  <c:v>5.2290485008654741E-6</c:v>
                </c:pt>
                <c:pt idx="782">
                  <c:v>8.4865962211466694E-5</c:v>
                </c:pt>
                <c:pt idx="783">
                  <c:v>1.7200981559994943E-5</c:v>
                </c:pt>
                <c:pt idx="784">
                  <c:v>5.254097586515627E-5</c:v>
                </c:pt>
                <c:pt idx="785">
                  <c:v>6.2891003889120611E-5</c:v>
                </c:pt>
                <c:pt idx="786">
                  <c:v>6.657477499061315E-5</c:v>
                </c:pt>
                <c:pt idx="787">
                  <c:v>2.1543536664836438E-5</c:v>
                </c:pt>
                <c:pt idx="788">
                  <c:v>4.0826961900108927E-5</c:v>
                </c:pt>
                <c:pt idx="789">
                  <c:v>8.5483497944238707E-5</c:v>
                </c:pt>
                <c:pt idx="790">
                  <c:v>1.2358120573097153E-4</c:v>
                </c:pt>
                <c:pt idx="791">
                  <c:v>1.9942908590309116E-5</c:v>
                </c:pt>
                <c:pt idx="792">
                  <c:v>1.7343671359526525E-5</c:v>
                </c:pt>
                <c:pt idx="793">
                  <c:v>2.4087862811938976E-5</c:v>
                </c:pt>
                <c:pt idx="794">
                  <c:v>3.1808663937482606E-5</c:v>
                </c:pt>
                <c:pt idx="795">
                  <c:v>3.1281717610909254E-5</c:v>
                </c:pt>
                <c:pt idx="796">
                  <c:v>2.4626441636144136E-5</c:v>
                </c:pt>
                <c:pt idx="797">
                  <c:v>6.5103912604058678E-5</c:v>
                </c:pt>
                <c:pt idx="798">
                  <c:v>7.0742275784851927E-5</c:v>
                </c:pt>
                <c:pt idx="799">
                  <c:v>2.9456887659762288E-5</c:v>
                </c:pt>
                <c:pt idx="800">
                  <c:v>3.7022779853401744E-5</c:v>
                </c:pt>
                <c:pt idx="801">
                  <c:v>6.4441133297066244E-5</c:v>
                </c:pt>
                <c:pt idx="802">
                  <c:v>4.831736774235651E-6</c:v>
                </c:pt>
                <c:pt idx="803">
                  <c:v>4.7407713136493612E-5</c:v>
                </c:pt>
                <c:pt idx="804">
                  <c:v>3.6402883385022733E-5</c:v>
                </c:pt>
                <c:pt idx="805">
                  <c:v>5.242392646209737E-6</c:v>
                </c:pt>
                <c:pt idx="806">
                  <c:v>5.2031697105547892E-5</c:v>
                </c:pt>
                <c:pt idx="807">
                  <c:v>5.1863393188966711E-6</c:v>
                </c:pt>
                <c:pt idx="808">
                  <c:v>5.2001455372874261E-6</c:v>
                </c:pt>
                <c:pt idx="809">
                  <c:v>6.8236685734746061E-5</c:v>
                </c:pt>
                <c:pt idx="810">
                  <c:v>2.193461561361687E-5</c:v>
                </c:pt>
                <c:pt idx="811">
                  <c:v>3.9294215305574198E-5</c:v>
                </c:pt>
                <c:pt idx="812">
                  <c:v>1.7510865872694126E-4</c:v>
                </c:pt>
                <c:pt idx="813">
                  <c:v>1.710317156167207E-5</c:v>
                </c:pt>
                <c:pt idx="814">
                  <c:v>5.6074030513997286E-5</c:v>
                </c:pt>
                <c:pt idx="815">
                  <c:v>6.3792970859566367E-5</c:v>
                </c:pt>
                <c:pt idx="816">
                  <c:v>1.3107514263310804E-5</c:v>
                </c:pt>
                <c:pt idx="817">
                  <c:v>7.4912886965705638E-5</c:v>
                </c:pt>
                <c:pt idx="818">
                  <c:v>5.3035907374265889E-5</c:v>
                </c:pt>
                <c:pt idx="819">
                  <c:v>9.8462653355113616E-6</c:v>
                </c:pt>
                <c:pt idx="820">
                  <c:v>3.159284721832023E-5</c:v>
                </c:pt>
                <c:pt idx="821">
                  <c:v>1.032986547038206E-4</c:v>
                </c:pt>
                <c:pt idx="822">
                  <c:v>2.5296381572559312E-5</c:v>
                </c:pt>
                <c:pt idx="823">
                  <c:v>5.4977753300988752E-6</c:v>
                </c:pt>
                <c:pt idx="824">
                  <c:v>3.2040829530899373E-5</c:v>
                </c:pt>
                <c:pt idx="825">
                  <c:v>1.7139713701652681E-5</c:v>
                </c:pt>
                <c:pt idx="826">
                  <c:v>1.8976030524697762E-5</c:v>
                </c:pt>
                <c:pt idx="827">
                  <c:v>1.6640322581196187E-5</c:v>
                </c:pt>
                <c:pt idx="828">
                  <c:v>3.1903544790878868E-5</c:v>
                </c:pt>
                <c:pt idx="829">
                  <c:v>7.3755179503365298E-5</c:v>
                </c:pt>
                <c:pt idx="830">
                  <c:v>1.7807348744014462E-5</c:v>
                </c:pt>
                <c:pt idx="831">
                  <c:v>6.5592438712513967E-5</c:v>
                </c:pt>
                <c:pt idx="832">
                  <c:v>1.0037934337248089E-4</c:v>
                </c:pt>
                <c:pt idx="833">
                  <c:v>4.3842301717944565E-5</c:v>
                </c:pt>
                <c:pt idx="834">
                  <c:v>9.5289695515532458E-5</c:v>
                </c:pt>
                <c:pt idx="835">
                  <c:v>1.0392483719812162E-5</c:v>
                </c:pt>
                <c:pt idx="836">
                  <c:v>8.7611713038171501E-5</c:v>
                </c:pt>
                <c:pt idx="837">
                  <c:v>1.2519357955653732E-5</c:v>
                </c:pt>
                <c:pt idx="838">
                  <c:v>2.5102376486785261E-5</c:v>
                </c:pt>
                <c:pt idx="839">
                  <c:v>8.29631031962208E-6</c:v>
                </c:pt>
                <c:pt idx="840">
                  <c:v>2.7763443622319528E-5</c:v>
                </c:pt>
                <c:pt idx="841">
                  <c:v>8.0258087216122931E-6</c:v>
                </c:pt>
                <c:pt idx="842">
                  <c:v>3.8898347501259423E-5</c:v>
                </c:pt>
                <c:pt idx="843">
                  <c:v>6.7487466584026379E-5</c:v>
                </c:pt>
                <c:pt idx="844">
                  <c:v>5.5808102565890749E-6</c:v>
                </c:pt>
                <c:pt idx="845">
                  <c:v>8.9294932191563703E-5</c:v>
                </c:pt>
                <c:pt idx="846">
                  <c:v>5.5586069233726221E-5</c:v>
                </c:pt>
                <c:pt idx="847">
                  <c:v>1.2222800521044519E-5</c:v>
                </c:pt>
                <c:pt idx="848">
                  <c:v>5.9932011041041733E-5</c:v>
                </c:pt>
                <c:pt idx="849">
                  <c:v>7.8687540607802475E-6</c:v>
                </c:pt>
                <c:pt idx="850">
                  <c:v>3.1155823215556211E-5</c:v>
                </c:pt>
                <c:pt idx="851">
                  <c:v>6.0585312652960965E-5</c:v>
                </c:pt>
                <c:pt idx="852">
                  <c:v>3.312453470272203E-5</c:v>
                </c:pt>
                <c:pt idx="853">
                  <c:v>5.3377337728477414E-5</c:v>
                </c:pt>
                <c:pt idx="854">
                  <c:v>7.6530344017555763E-5</c:v>
                </c:pt>
                <c:pt idx="855">
                  <c:v>4.725563140794975E-6</c:v>
                </c:pt>
                <c:pt idx="856">
                  <c:v>1.1104042275889014E-5</c:v>
                </c:pt>
                <c:pt idx="857">
                  <c:v>2.6271070613148595E-5</c:v>
                </c:pt>
                <c:pt idx="858">
                  <c:v>1.7776427231552816E-4</c:v>
                </c:pt>
                <c:pt idx="859">
                  <c:v>8.7047141001050932E-5</c:v>
                </c:pt>
                <c:pt idx="860">
                  <c:v>3.7048748239953966E-5</c:v>
                </c:pt>
                <c:pt idx="861">
                  <c:v>7.9345985817269593E-6</c:v>
                </c:pt>
                <c:pt idx="862">
                  <c:v>3.7351950158637237E-5</c:v>
                </c:pt>
                <c:pt idx="863">
                  <c:v>1.760470911094103E-5</c:v>
                </c:pt>
                <c:pt idx="864">
                  <c:v>1.1940615896577356E-4</c:v>
                </c:pt>
                <c:pt idx="865">
                  <c:v>3.9467982624330489E-6</c:v>
                </c:pt>
                <c:pt idx="866">
                  <c:v>1.6220884965889582E-5</c:v>
                </c:pt>
                <c:pt idx="867">
                  <c:v>2.9528165718772925E-5</c:v>
                </c:pt>
                <c:pt idx="868">
                  <c:v>1.7351106926355442E-5</c:v>
                </c:pt>
                <c:pt idx="869">
                  <c:v>5.743291465165612E-5</c:v>
                </c:pt>
                <c:pt idx="870">
                  <c:v>1.2040838967308787E-4</c:v>
                </c:pt>
                <c:pt idx="871">
                  <c:v>3.0091491243666724E-5</c:v>
                </c:pt>
                <c:pt idx="872">
                  <c:v>2.6238606924522401E-5</c:v>
                </c:pt>
                <c:pt idx="873">
                  <c:v>1.3514495666555604E-5</c:v>
                </c:pt>
                <c:pt idx="874">
                  <c:v>4.9876005498106224E-5</c:v>
                </c:pt>
                <c:pt idx="875">
                  <c:v>1.2085405721506959E-4</c:v>
                </c:pt>
                <c:pt idx="876">
                  <c:v>9.5817062444325529E-6</c:v>
                </c:pt>
                <c:pt idx="877">
                  <c:v>7.6723407083534312E-5</c:v>
                </c:pt>
                <c:pt idx="878">
                  <c:v>3.939521608131713E-5</c:v>
                </c:pt>
                <c:pt idx="879">
                  <c:v>3.250555092293439E-5</c:v>
                </c:pt>
                <c:pt idx="880">
                  <c:v>8.5260935236419755E-6</c:v>
                </c:pt>
                <c:pt idx="881">
                  <c:v>1.0848648617667322E-5</c:v>
                </c:pt>
                <c:pt idx="882">
                  <c:v>4.726832631263278E-5</c:v>
                </c:pt>
                <c:pt idx="883">
                  <c:v>1.1817923481061143E-4</c:v>
                </c:pt>
                <c:pt idx="884">
                  <c:v>3.6236215642304614E-5</c:v>
                </c:pt>
                <c:pt idx="885">
                  <c:v>2.3451060407353452E-5</c:v>
                </c:pt>
                <c:pt idx="886">
                  <c:v>1.1243089947043927E-5</c:v>
                </c:pt>
                <c:pt idx="887">
                  <c:v>2.1478006516417736E-5</c:v>
                </c:pt>
                <c:pt idx="888">
                  <c:v>5.7540506595898933E-5</c:v>
                </c:pt>
                <c:pt idx="889">
                  <c:v>7.8630300208715198E-5</c:v>
                </c:pt>
                <c:pt idx="890">
                  <c:v>3.8971808724141965E-5</c:v>
                </c:pt>
                <c:pt idx="891">
                  <c:v>4.3714357087054623E-5</c:v>
                </c:pt>
                <c:pt idx="892">
                  <c:v>6.1542694247407326E-5</c:v>
                </c:pt>
                <c:pt idx="893">
                  <c:v>4.1082977197959281E-5</c:v>
                </c:pt>
                <c:pt idx="894">
                  <c:v>4.0565106857570754E-5</c:v>
                </c:pt>
                <c:pt idx="895">
                  <c:v>1.465810185372618E-4</c:v>
                </c:pt>
                <c:pt idx="896">
                  <c:v>9.0480931760339445E-6</c:v>
                </c:pt>
                <c:pt idx="897">
                  <c:v>1.2312040019679671E-4</c:v>
                </c:pt>
                <c:pt idx="898">
                  <c:v>1.6687094520762003E-4</c:v>
                </c:pt>
                <c:pt idx="899">
                  <c:v>4.1245314335469629E-5</c:v>
                </c:pt>
                <c:pt idx="900">
                  <c:v>3.0810859723118256E-5</c:v>
                </c:pt>
                <c:pt idx="901">
                  <c:v>2.0262948197569131E-5</c:v>
                </c:pt>
                <c:pt idx="902">
                  <c:v>1.0043408983406721E-4</c:v>
                </c:pt>
                <c:pt idx="903">
                  <c:v>1.2367695543247237E-5</c:v>
                </c:pt>
                <c:pt idx="904">
                  <c:v>7.7280848362448751E-5</c:v>
                </c:pt>
                <c:pt idx="905">
                  <c:v>2.0527576012341342E-5</c:v>
                </c:pt>
                <c:pt idx="906">
                  <c:v>1.8181171789422024E-5</c:v>
                </c:pt>
                <c:pt idx="907">
                  <c:v>1.5617349859553542E-5</c:v>
                </c:pt>
                <c:pt idx="908">
                  <c:v>3.4352552720662288E-5</c:v>
                </c:pt>
                <c:pt idx="909">
                  <c:v>1.0014335756380888E-4</c:v>
                </c:pt>
                <c:pt idx="910">
                  <c:v>3.0534274777949122E-5</c:v>
                </c:pt>
                <c:pt idx="911">
                  <c:v>2.4589485224879581E-5</c:v>
                </c:pt>
                <c:pt idx="912">
                  <c:v>7.2745118391281949E-5</c:v>
                </c:pt>
                <c:pt idx="913">
                  <c:v>8.0198963559041658E-6</c:v>
                </c:pt>
                <c:pt idx="914">
                  <c:v>4.7426134806016762E-6</c:v>
                </c:pt>
                <c:pt idx="915">
                  <c:v>3.8778416495688361E-6</c:v>
                </c:pt>
                <c:pt idx="916">
                  <c:v>6.9524851618041339E-6</c:v>
                </c:pt>
                <c:pt idx="917">
                  <c:v>4.0642262831624976E-5</c:v>
                </c:pt>
                <c:pt idx="918">
                  <c:v>3.4738434102621341E-5</c:v>
                </c:pt>
                <c:pt idx="919">
                  <c:v>3.6358430115512874E-6</c:v>
                </c:pt>
                <c:pt idx="920">
                  <c:v>3.90507109564453E-5</c:v>
                </c:pt>
                <c:pt idx="921">
                  <c:v>1.8901102340151965E-5</c:v>
                </c:pt>
                <c:pt idx="922">
                  <c:v>4.7893057377734749E-5</c:v>
                </c:pt>
                <c:pt idx="923">
                  <c:v>2.1254679483106997E-4</c:v>
                </c:pt>
                <c:pt idx="924">
                  <c:v>2.0791558295485402E-5</c:v>
                </c:pt>
                <c:pt idx="925">
                  <c:v>2.6024828333248706E-5</c:v>
                </c:pt>
                <c:pt idx="926">
                  <c:v>2.6840463444699481E-5</c:v>
                </c:pt>
                <c:pt idx="927">
                  <c:v>2.6430749890948846E-5</c:v>
                </c:pt>
                <c:pt idx="928">
                  <c:v>1.5708159878613515E-5</c:v>
                </c:pt>
                <c:pt idx="929">
                  <c:v>2.1445129593899992E-5</c:v>
                </c:pt>
                <c:pt idx="930">
                  <c:v>5.1799999607027303E-5</c:v>
                </c:pt>
                <c:pt idx="931">
                  <c:v>3.1672363260071279E-5</c:v>
                </c:pt>
                <c:pt idx="932">
                  <c:v>1.9102805307369408E-4</c:v>
                </c:pt>
                <c:pt idx="933">
                  <c:v>9.5668127258363711E-5</c:v>
                </c:pt>
                <c:pt idx="934">
                  <c:v>7.9445902407826452E-6</c:v>
                </c:pt>
                <c:pt idx="935">
                  <c:v>1.0284250777203852E-5</c:v>
                </c:pt>
                <c:pt idx="936">
                  <c:v>5.9010617839305723E-5</c:v>
                </c:pt>
                <c:pt idx="937">
                  <c:v>1.1409949356178117E-4</c:v>
                </c:pt>
                <c:pt idx="938">
                  <c:v>1.2532764905870408E-5</c:v>
                </c:pt>
                <c:pt idx="939">
                  <c:v>1.9615406088746568E-5</c:v>
                </c:pt>
                <c:pt idx="940">
                  <c:v>4.9850376061755242E-5</c:v>
                </c:pt>
                <c:pt idx="941">
                  <c:v>8.4218119724255303E-5</c:v>
                </c:pt>
                <c:pt idx="942">
                  <c:v>1.9380865371232403E-5</c:v>
                </c:pt>
                <c:pt idx="943">
                  <c:v>2.8839469809582852E-5</c:v>
                </c:pt>
                <c:pt idx="944">
                  <c:v>1.5320323143441783E-5</c:v>
                </c:pt>
                <c:pt idx="945">
                  <c:v>9.3307648860729842E-6</c:v>
                </c:pt>
                <c:pt idx="946">
                  <c:v>5.4811093892936924E-5</c:v>
                </c:pt>
                <c:pt idx="947">
                  <c:v>6.4332526939381296E-5</c:v>
                </c:pt>
                <c:pt idx="948">
                  <c:v>1.2605868801784936E-4</c:v>
                </c:pt>
                <c:pt idx="949">
                  <c:v>1.677518464049399E-5</c:v>
                </c:pt>
                <c:pt idx="950">
                  <c:v>3.8138542979737622E-5</c:v>
                </c:pt>
                <c:pt idx="951">
                  <c:v>1.7709436804125289E-5</c:v>
                </c:pt>
                <c:pt idx="952">
                  <c:v>2.3874779881083441E-5</c:v>
                </c:pt>
                <c:pt idx="953">
                  <c:v>1.1889459317160345E-4</c:v>
                </c:pt>
                <c:pt idx="954">
                  <c:v>3.296926848506132E-5</c:v>
                </c:pt>
                <c:pt idx="955">
                  <c:v>2.2649458983892146E-5</c:v>
                </c:pt>
                <c:pt idx="956">
                  <c:v>2.1711279437397479E-5</c:v>
                </c:pt>
                <c:pt idx="957">
                  <c:v>1.3633312161687172E-4</c:v>
                </c:pt>
                <c:pt idx="958">
                  <c:v>7.6898925151169806E-5</c:v>
                </c:pt>
                <c:pt idx="959">
                  <c:v>1.1076243330521152E-4</c:v>
                </c:pt>
                <c:pt idx="960">
                  <c:v>2.2191090810252945E-5</c:v>
                </c:pt>
                <c:pt idx="961">
                  <c:v>1.4433172140115857E-5</c:v>
                </c:pt>
                <c:pt idx="962">
                  <c:v>6.1591078711842329E-5</c:v>
                </c:pt>
                <c:pt idx="963">
                  <c:v>2.7987450909705558E-5</c:v>
                </c:pt>
                <c:pt idx="964">
                  <c:v>1.4118151518971445E-5</c:v>
                </c:pt>
                <c:pt idx="965">
                  <c:v>7.0229044787595285E-5</c:v>
                </c:pt>
                <c:pt idx="966">
                  <c:v>4.173835572629514E-5</c:v>
                </c:pt>
                <c:pt idx="967">
                  <c:v>7.860640041101874E-5</c:v>
                </c:pt>
                <c:pt idx="968">
                  <c:v>3.6766035901081295E-5</c:v>
                </c:pt>
                <c:pt idx="969">
                  <c:v>7.3561506749086902E-5</c:v>
                </c:pt>
                <c:pt idx="970">
                  <c:v>2.2307452806558103E-4</c:v>
                </c:pt>
                <c:pt idx="971">
                  <c:v>2.8949877943773572E-5</c:v>
                </c:pt>
                <c:pt idx="972">
                  <c:v>2.261361204602963E-5</c:v>
                </c:pt>
                <c:pt idx="973">
                  <c:v>2.7310263948976399E-5</c:v>
                </c:pt>
                <c:pt idx="974">
                  <c:v>7.0460894825430387E-6</c:v>
                </c:pt>
                <c:pt idx="975">
                  <c:v>2.4782954852753392E-5</c:v>
                </c:pt>
                <c:pt idx="976">
                  <c:v>6.1734911618316346E-5</c:v>
                </c:pt>
                <c:pt idx="977">
                  <c:v>2.527417544229138E-5</c:v>
                </c:pt>
                <c:pt idx="978">
                  <c:v>5.9603376790562379E-5</c:v>
                </c:pt>
                <c:pt idx="979">
                  <c:v>1.8789352516535018E-5</c:v>
                </c:pt>
                <c:pt idx="980">
                  <c:v>1.7595436784034746E-5</c:v>
                </c:pt>
                <c:pt idx="981">
                  <c:v>5.3135779104707126E-5</c:v>
                </c:pt>
                <c:pt idx="982">
                  <c:v>3.6131602776379168E-5</c:v>
                </c:pt>
                <c:pt idx="983">
                  <c:v>1.0713930958772266E-4</c:v>
                </c:pt>
                <c:pt idx="984">
                  <c:v>8.9616844931583728E-6</c:v>
                </c:pt>
                <c:pt idx="985">
                  <c:v>1.2422484115148791E-5</c:v>
                </c:pt>
                <c:pt idx="986">
                  <c:v>1.6833245158665022E-5</c:v>
                </c:pt>
                <c:pt idx="987">
                  <c:v>4.0683783783634908E-5</c:v>
                </c:pt>
                <c:pt idx="988">
                  <c:v>5.8188671346215415E-5</c:v>
                </c:pt>
                <c:pt idx="989">
                  <c:v>3.4314537945334678E-5</c:v>
                </c:pt>
                <c:pt idx="990">
                  <c:v>4.1721628356583551E-5</c:v>
                </c:pt>
                <c:pt idx="991">
                  <c:v>5.4619695223578901E-5</c:v>
                </c:pt>
                <c:pt idx="992">
                  <c:v>1.7127456672483277E-5</c:v>
                </c:pt>
                <c:pt idx="993">
                  <c:v>3.6824763846254882E-5</c:v>
                </c:pt>
                <c:pt idx="994">
                  <c:v>3.5188197845315017E-5</c:v>
                </c:pt>
                <c:pt idx="995">
                  <c:v>2.6324917673292703E-5</c:v>
                </c:pt>
                <c:pt idx="996">
                  <c:v>7.1264579830199182E-5</c:v>
                </c:pt>
                <c:pt idx="997">
                  <c:v>4.3778474708489057E-5</c:v>
                </c:pt>
                <c:pt idx="998">
                  <c:v>3.7893648645592748E-5</c:v>
                </c:pt>
                <c:pt idx="999">
                  <c:v>9.5047343933174488E-6</c:v>
                </c:pt>
              </c:numCache>
            </c:numRef>
          </c:xVal>
          <c:yVal>
            <c:numRef>
              <c:f>Process!$B$12:$B$1011</c:f>
              <c:numCache>
                <c:formatCode>General</c:formatCode>
                <c:ptCount val="1000"/>
                <c:pt idx="0">
                  <c:v>0.30777704850421</c:v>
                </c:pt>
                <c:pt idx="1">
                  <c:v>0.55447105233393079</c:v>
                </c:pt>
                <c:pt idx="2">
                  <c:v>0.3812620274153507</c:v>
                </c:pt>
                <c:pt idx="3">
                  <c:v>0.75654540534544334</c:v>
                </c:pt>
                <c:pt idx="4">
                  <c:v>0.56239970033740883</c:v>
                </c:pt>
                <c:pt idx="5">
                  <c:v>0.58671426368644986</c:v>
                </c:pt>
                <c:pt idx="6">
                  <c:v>0.67987857814432473</c:v>
                </c:pt>
                <c:pt idx="7">
                  <c:v>0.68705403635912776</c:v>
                </c:pt>
                <c:pt idx="8">
                  <c:v>0.34900585035560561</c:v>
                </c:pt>
                <c:pt idx="9">
                  <c:v>0.51805286598283296</c:v>
                </c:pt>
                <c:pt idx="10">
                  <c:v>0.38851986155885559</c:v>
                </c:pt>
                <c:pt idx="11">
                  <c:v>0.52790915683969986</c:v>
                </c:pt>
                <c:pt idx="12">
                  <c:v>0.94815968039854925</c:v>
                </c:pt>
                <c:pt idx="13">
                  <c:v>0.43284431643731652</c:v>
                </c:pt>
                <c:pt idx="14">
                  <c:v>0.35414804511941678</c:v>
                </c:pt>
                <c:pt idx="15">
                  <c:v>0.11159169613372233</c:v>
                </c:pt>
                <c:pt idx="16">
                  <c:v>0.50064836998902518</c:v>
                </c:pt>
                <c:pt idx="17">
                  <c:v>0.33623510553488839</c:v>
                </c:pt>
                <c:pt idx="18">
                  <c:v>0.38835401340720377</c:v>
                </c:pt>
                <c:pt idx="19">
                  <c:v>0.53383646033558474</c:v>
                </c:pt>
                <c:pt idx="20">
                  <c:v>0.47877290857562937</c:v>
                </c:pt>
                <c:pt idx="21">
                  <c:v>0.44312781121288691</c:v>
                </c:pt>
                <c:pt idx="22">
                  <c:v>0.45842886642395064</c:v>
                </c:pt>
                <c:pt idx="23">
                  <c:v>0.75287404330544161</c:v>
                </c:pt>
                <c:pt idx="24">
                  <c:v>0.85852321521808106</c:v>
                </c:pt>
                <c:pt idx="25">
                  <c:v>0.38879745103942737</c:v>
                </c:pt>
                <c:pt idx="26">
                  <c:v>0.51703820488653074</c:v>
                </c:pt>
                <c:pt idx="27">
                  <c:v>0.55417617844105571</c:v>
                </c:pt>
                <c:pt idx="28">
                  <c:v>0.60784884047052623</c:v>
                </c:pt>
                <c:pt idx="29">
                  <c:v>0.48269174138802518</c:v>
                </c:pt>
                <c:pt idx="30">
                  <c:v>0.40281895692252445</c:v>
                </c:pt>
                <c:pt idx="31">
                  <c:v>0.28252097640149609</c:v>
                </c:pt>
                <c:pt idx="32">
                  <c:v>0.53387717544111479</c:v>
                </c:pt>
                <c:pt idx="33">
                  <c:v>0.49581085905312344</c:v>
                </c:pt>
                <c:pt idx="34">
                  <c:v>0.35958015947196725</c:v>
                </c:pt>
                <c:pt idx="35">
                  <c:v>0.26149826693152622</c:v>
                </c:pt>
                <c:pt idx="36">
                  <c:v>0.63563241947073146</c:v>
                </c:pt>
                <c:pt idx="37">
                  <c:v>0.45897085037040153</c:v>
                </c:pt>
                <c:pt idx="38">
                  <c:v>0.43710404924316043</c:v>
                </c:pt>
                <c:pt idx="39">
                  <c:v>0.79019000285309438</c:v>
                </c:pt>
                <c:pt idx="40">
                  <c:v>0.58317936781324886</c:v>
                </c:pt>
                <c:pt idx="41">
                  <c:v>0.55109837900306347</c:v>
                </c:pt>
                <c:pt idx="42">
                  <c:v>0.40113318643145141</c:v>
                </c:pt>
                <c:pt idx="43">
                  <c:v>0.60905036689953662</c:v>
                </c:pt>
                <c:pt idx="44">
                  <c:v>0.41493127603995539</c:v>
                </c:pt>
                <c:pt idx="45">
                  <c:v>0.27299123364234668</c:v>
                </c:pt>
                <c:pt idx="46">
                  <c:v>6.2986004747965452E-2</c:v>
                </c:pt>
                <c:pt idx="47">
                  <c:v>0.8389737697095565</c:v>
                </c:pt>
                <c:pt idx="48">
                  <c:v>0.38958282302644892</c:v>
                </c:pt>
                <c:pt idx="49">
                  <c:v>0.56189809919044742</c:v>
                </c:pt>
                <c:pt idx="50">
                  <c:v>0.61365652494669798</c:v>
                </c:pt>
                <c:pt idx="51">
                  <c:v>0.4944515253828673</c:v>
                </c:pt>
                <c:pt idx="52">
                  <c:v>0.71215766715875151</c:v>
                </c:pt>
                <c:pt idx="53">
                  <c:v>0.52598287301051849</c:v>
                </c:pt>
                <c:pt idx="54">
                  <c:v>0.52055480436057611</c:v>
                </c:pt>
                <c:pt idx="55">
                  <c:v>0.41683636933757967</c:v>
                </c:pt>
                <c:pt idx="56">
                  <c:v>0.50286928713155032</c:v>
                </c:pt>
                <c:pt idx="57">
                  <c:v>0.73464307467347822</c:v>
                </c:pt>
                <c:pt idx="58">
                  <c:v>0.94509526719438353</c:v>
                </c:pt>
                <c:pt idx="59">
                  <c:v>0.31983886780938298</c:v>
                </c:pt>
                <c:pt idx="60">
                  <c:v>0.62765238064415518</c:v>
                </c:pt>
                <c:pt idx="61">
                  <c:v>0.3261942019608991</c:v>
                </c:pt>
                <c:pt idx="62">
                  <c:v>0.71560261517769208</c:v>
                </c:pt>
                <c:pt idx="63">
                  <c:v>0.23878248663072774</c:v>
                </c:pt>
                <c:pt idx="64">
                  <c:v>0.7014736604450893</c:v>
                </c:pt>
                <c:pt idx="65">
                  <c:v>0.56850472684851883</c:v>
                </c:pt>
                <c:pt idx="66">
                  <c:v>0.46286973334382142</c:v>
                </c:pt>
                <c:pt idx="67">
                  <c:v>0.43446441618004344</c:v>
                </c:pt>
                <c:pt idx="68">
                  <c:v>0.6921438030423297</c:v>
                </c:pt>
                <c:pt idx="69">
                  <c:v>0.51519441373435981</c:v>
                </c:pt>
                <c:pt idx="70">
                  <c:v>0.2793540819649068</c:v>
                </c:pt>
                <c:pt idx="71">
                  <c:v>0.51447841198214095</c:v>
                </c:pt>
                <c:pt idx="72">
                  <c:v>0.66559603657178368</c:v>
                </c:pt>
                <c:pt idx="73">
                  <c:v>0.31277228870150869</c:v>
                </c:pt>
                <c:pt idx="74">
                  <c:v>0.11439698490207878</c:v>
                </c:pt>
                <c:pt idx="75">
                  <c:v>0.35215586744026195</c:v>
                </c:pt>
                <c:pt idx="76">
                  <c:v>0.23233567461206012</c:v>
                </c:pt>
                <c:pt idx="77">
                  <c:v>0.56009666705869132</c:v>
                </c:pt>
                <c:pt idx="78">
                  <c:v>0.69439293149509895</c:v>
                </c:pt>
                <c:pt idx="79">
                  <c:v>0.15821527213134973</c:v>
                </c:pt>
                <c:pt idx="80">
                  <c:v>0.57829460906368479</c:v>
                </c:pt>
                <c:pt idx="81">
                  <c:v>0.48341897850228188</c:v>
                </c:pt>
                <c:pt idx="82">
                  <c:v>0.66222050410090227</c:v>
                </c:pt>
                <c:pt idx="83">
                  <c:v>0.32331612989277969</c:v>
                </c:pt>
                <c:pt idx="84">
                  <c:v>0.7196641585597493</c:v>
                </c:pt>
                <c:pt idx="85">
                  <c:v>0.45677370389637406</c:v>
                </c:pt>
                <c:pt idx="86">
                  <c:v>0.27120831070215068</c:v>
                </c:pt>
                <c:pt idx="87">
                  <c:v>0.67510779409068611</c:v>
                </c:pt>
                <c:pt idx="88">
                  <c:v>0.59335990155646468</c:v>
                </c:pt>
                <c:pt idx="89">
                  <c:v>0.67310445410673692</c:v>
                </c:pt>
                <c:pt idx="90">
                  <c:v>0.34638835078805918</c:v>
                </c:pt>
                <c:pt idx="91">
                  <c:v>0.48581095128354912</c:v>
                </c:pt>
                <c:pt idx="92">
                  <c:v>0.55627567393615807</c:v>
                </c:pt>
                <c:pt idx="93">
                  <c:v>0.63650427577892943</c:v>
                </c:pt>
                <c:pt idx="94">
                  <c:v>0.29918702450839374</c:v>
                </c:pt>
                <c:pt idx="95">
                  <c:v>0.228086271441655</c:v>
                </c:pt>
                <c:pt idx="96">
                  <c:v>0.9347698235883386</c:v>
                </c:pt>
                <c:pt idx="97">
                  <c:v>0.39509578100069731</c:v>
                </c:pt>
                <c:pt idx="98">
                  <c:v>0.28127984562434288</c:v>
                </c:pt>
                <c:pt idx="99">
                  <c:v>0.639324817172085</c:v>
                </c:pt>
                <c:pt idx="100">
                  <c:v>0.58574579450376363</c:v>
                </c:pt>
                <c:pt idx="101">
                  <c:v>0.50160782352171629</c:v>
                </c:pt>
                <c:pt idx="102">
                  <c:v>0.51578015091480889</c:v>
                </c:pt>
                <c:pt idx="103">
                  <c:v>0.42853063785900924</c:v>
                </c:pt>
                <c:pt idx="104">
                  <c:v>0.58438872947153309</c:v>
                </c:pt>
                <c:pt idx="105">
                  <c:v>0.42219034649194354</c:v>
                </c:pt>
                <c:pt idx="106">
                  <c:v>0.48864573045986642</c:v>
                </c:pt>
                <c:pt idx="107">
                  <c:v>0.48893386526376098</c:v>
                </c:pt>
                <c:pt idx="108">
                  <c:v>0.96492800567221348</c:v>
                </c:pt>
                <c:pt idx="109">
                  <c:v>0.49080450005663734</c:v>
                </c:pt>
                <c:pt idx="110">
                  <c:v>0.72291964249574558</c:v>
                </c:pt>
                <c:pt idx="111">
                  <c:v>0.27278602896727705</c:v>
                </c:pt>
                <c:pt idx="112">
                  <c:v>0.97540826649840384</c:v>
                </c:pt>
                <c:pt idx="113">
                  <c:v>0.3605864125929143</c:v>
                </c:pt>
                <c:pt idx="114">
                  <c:v>0.48087081435625711</c:v>
                </c:pt>
                <c:pt idx="115">
                  <c:v>0.56121728844717367</c:v>
                </c:pt>
                <c:pt idx="116">
                  <c:v>0.34206683555214257</c:v>
                </c:pt>
                <c:pt idx="117">
                  <c:v>0.67266649275252743</c:v>
                </c:pt>
                <c:pt idx="118">
                  <c:v>8.3708113006347507E-2</c:v>
                </c:pt>
                <c:pt idx="119">
                  <c:v>0.44735600611499526</c:v>
                </c:pt>
                <c:pt idx="120">
                  <c:v>0.53308634841809777</c:v>
                </c:pt>
                <c:pt idx="121">
                  <c:v>0.36322176531604883</c:v>
                </c:pt>
                <c:pt idx="122">
                  <c:v>0.58158403431985684</c:v>
                </c:pt>
                <c:pt idx="123">
                  <c:v>0.51629004528499112</c:v>
                </c:pt>
                <c:pt idx="124">
                  <c:v>0.45778112020832917</c:v>
                </c:pt>
                <c:pt idx="125">
                  <c:v>0.37431197612299438</c:v>
                </c:pt>
                <c:pt idx="126">
                  <c:v>0.56452393365021603</c:v>
                </c:pt>
                <c:pt idx="127">
                  <c:v>0.42299296087386085</c:v>
                </c:pt>
                <c:pt idx="128">
                  <c:v>0.5883238761815649</c:v>
                </c:pt>
                <c:pt idx="129">
                  <c:v>0.79321239889814299</c:v>
                </c:pt>
                <c:pt idx="130">
                  <c:v>0.39617431046721918</c:v>
                </c:pt>
                <c:pt idx="131">
                  <c:v>0.79006452662437998</c:v>
                </c:pt>
                <c:pt idx="132">
                  <c:v>0.72616436104070092</c:v>
                </c:pt>
                <c:pt idx="133">
                  <c:v>0.56166081242935662</c:v>
                </c:pt>
                <c:pt idx="134">
                  <c:v>0.51174631579005081</c:v>
                </c:pt>
                <c:pt idx="135">
                  <c:v>0.38331894099853075</c:v>
                </c:pt>
                <c:pt idx="136">
                  <c:v>0.37862057180252118</c:v>
                </c:pt>
                <c:pt idx="137">
                  <c:v>0.2945643478261139</c:v>
                </c:pt>
                <c:pt idx="138">
                  <c:v>0.40903032174984444</c:v>
                </c:pt>
                <c:pt idx="139">
                  <c:v>0.61282160767350025</c:v>
                </c:pt>
                <c:pt idx="140">
                  <c:v>0.36770051972098228</c:v>
                </c:pt>
                <c:pt idx="141">
                  <c:v>0.46783141615715285</c:v>
                </c:pt>
                <c:pt idx="142">
                  <c:v>0.35551508757590938</c:v>
                </c:pt>
                <c:pt idx="143">
                  <c:v>0.40486318535142962</c:v>
                </c:pt>
                <c:pt idx="144">
                  <c:v>0.47198352265248822</c:v>
                </c:pt>
                <c:pt idx="145">
                  <c:v>0.52913707867297</c:v>
                </c:pt>
                <c:pt idx="146">
                  <c:v>0.41004032838741356</c:v>
                </c:pt>
                <c:pt idx="147">
                  <c:v>0.51059641690758073</c:v>
                </c:pt>
                <c:pt idx="148">
                  <c:v>0.44072314626813924</c:v>
                </c:pt>
                <c:pt idx="149">
                  <c:v>0.56970150925835161</c:v>
                </c:pt>
                <c:pt idx="150">
                  <c:v>0.66294944017010249</c:v>
                </c:pt>
                <c:pt idx="151">
                  <c:v>0.22276072365089339</c:v>
                </c:pt>
                <c:pt idx="152">
                  <c:v>0.2778048547846344</c:v>
                </c:pt>
                <c:pt idx="153">
                  <c:v>0.30119909517714394</c:v>
                </c:pt>
                <c:pt idx="154">
                  <c:v>0.39986402967189572</c:v>
                </c:pt>
                <c:pt idx="155">
                  <c:v>0.16553735799502134</c:v>
                </c:pt>
                <c:pt idx="156">
                  <c:v>0.75375292567157637</c:v>
                </c:pt>
                <c:pt idx="157">
                  <c:v>0.3293933684198424</c:v>
                </c:pt>
                <c:pt idx="158">
                  <c:v>0.90558809868341894</c:v>
                </c:pt>
                <c:pt idx="159">
                  <c:v>0.33821061985774259</c:v>
                </c:pt>
                <c:pt idx="160">
                  <c:v>0.31944337158329572</c:v>
                </c:pt>
                <c:pt idx="161">
                  <c:v>0.57503719813389342</c:v>
                </c:pt>
                <c:pt idx="162">
                  <c:v>0.52858835779974267</c:v>
                </c:pt>
                <c:pt idx="163">
                  <c:v>0.81831622842425289</c:v>
                </c:pt>
                <c:pt idx="164">
                  <c:v>0.66053565218437671</c:v>
                </c:pt>
                <c:pt idx="165">
                  <c:v>0.42102934245703211</c:v>
                </c:pt>
                <c:pt idx="166">
                  <c:v>0.63734065864056244</c:v>
                </c:pt>
                <c:pt idx="167">
                  <c:v>0.74575548111884904</c:v>
                </c:pt>
                <c:pt idx="168">
                  <c:v>0.55230061124366503</c:v>
                </c:pt>
                <c:pt idx="169">
                  <c:v>0.56486455507355127</c:v>
                </c:pt>
                <c:pt idx="170">
                  <c:v>0.58012515422772271</c:v>
                </c:pt>
                <c:pt idx="171">
                  <c:v>0.61392718134055857</c:v>
                </c:pt>
                <c:pt idx="172">
                  <c:v>0.41773408922593042</c:v>
                </c:pt>
                <c:pt idx="173">
                  <c:v>0.6263052903512899</c:v>
                </c:pt>
                <c:pt idx="174">
                  <c:v>0.34512662917857817</c:v>
                </c:pt>
                <c:pt idx="175">
                  <c:v>0.85075638294211586</c:v>
                </c:pt>
                <c:pt idx="176">
                  <c:v>0.26149086463299631</c:v>
                </c:pt>
                <c:pt idx="177">
                  <c:v>0.70044020465490608</c:v>
                </c:pt>
                <c:pt idx="178">
                  <c:v>0.55425116127136231</c:v>
                </c:pt>
                <c:pt idx="179">
                  <c:v>0.6536074943204796</c:v>
                </c:pt>
                <c:pt idx="180">
                  <c:v>0.40171578193671398</c:v>
                </c:pt>
                <c:pt idx="181">
                  <c:v>0.40864407321706869</c:v>
                </c:pt>
                <c:pt idx="182">
                  <c:v>0.70022921301379415</c:v>
                </c:pt>
                <c:pt idx="183">
                  <c:v>0.47317911485474284</c:v>
                </c:pt>
                <c:pt idx="184">
                  <c:v>0.41085598866947548</c:v>
                </c:pt>
                <c:pt idx="185">
                  <c:v>0.52661258790005128</c:v>
                </c:pt>
                <c:pt idx="186">
                  <c:v>0.93837869063545531</c:v>
                </c:pt>
                <c:pt idx="187">
                  <c:v>0.33965709883865436</c:v>
                </c:pt>
                <c:pt idx="188">
                  <c:v>0.39506037003081113</c:v>
                </c:pt>
                <c:pt idx="189">
                  <c:v>0.58419976928657924</c:v>
                </c:pt>
                <c:pt idx="190">
                  <c:v>0.5310533136021971</c:v>
                </c:pt>
                <c:pt idx="191">
                  <c:v>0.48200493791321752</c:v>
                </c:pt>
                <c:pt idx="192">
                  <c:v>0.87574481286642136</c:v>
                </c:pt>
                <c:pt idx="193">
                  <c:v>0.73599991872987736</c:v>
                </c:pt>
                <c:pt idx="194">
                  <c:v>0.74223149783294928</c:v>
                </c:pt>
                <c:pt idx="195">
                  <c:v>0.48914576708091106</c:v>
                </c:pt>
                <c:pt idx="196">
                  <c:v>0.52126041301764836</c:v>
                </c:pt>
                <c:pt idx="197">
                  <c:v>0.5085473592361911</c:v>
                </c:pt>
                <c:pt idx="198">
                  <c:v>0.57861416764407425</c:v>
                </c:pt>
                <c:pt idx="199">
                  <c:v>0.63204777004806056</c:v>
                </c:pt>
                <c:pt idx="200">
                  <c:v>0.44760249902268162</c:v>
                </c:pt>
                <c:pt idx="201">
                  <c:v>0.45768360226744331</c:v>
                </c:pt>
                <c:pt idx="202">
                  <c:v>0.43673993224774516</c:v>
                </c:pt>
                <c:pt idx="203">
                  <c:v>0.95632559004294548</c:v>
                </c:pt>
                <c:pt idx="204">
                  <c:v>0.85701464497061708</c:v>
                </c:pt>
                <c:pt idx="205">
                  <c:v>0.52063020858062448</c:v>
                </c:pt>
                <c:pt idx="206">
                  <c:v>0.36470924322434417</c:v>
                </c:pt>
                <c:pt idx="207">
                  <c:v>0.52122277917504833</c:v>
                </c:pt>
                <c:pt idx="208">
                  <c:v>0.46777048989311337</c:v>
                </c:pt>
                <c:pt idx="209">
                  <c:v>0.69105558057604155</c:v>
                </c:pt>
                <c:pt idx="210">
                  <c:v>0.59489177952393879</c:v>
                </c:pt>
                <c:pt idx="211">
                  <c:v>0.3639444582027358</c:v>
                </c:pt>
                <c:pt idx="212">
                  <c:v>0.45767667752599706</c:v>
                </c:pt>
                <c:pt idx="213">
                  <c:v>0.60152214071391963</c:v>
                </c:pt>
                <c:pt idx="214">
                  <c:v>0.45331924598435053</c:v>
                </c:pt>
                <c:pt idx="215">
                  <c:v>0.52530589997483967</c:v>
                </c:pt>
                <c:pt idx="216">
                  <c:v>0.51385198886852013</c:v>
                </c:pt>
                <c:pt idx="217">
                  <c:v>0.3866674041511225</c:v>
                </c:pt>
                <c:pt idx="218">
                  <c:v>0.46057919049348917</c:v>
                </c:pt>
                <c:pt idx="219">
                  <c:v>0.94041129189584205</c:v>
                </c:pt>
                <c:pt idx="220">
                  <c:v>0.8420798335271632</c:v>
                </c:pt>
                <c:pt idx="221">
                  <c:v>0.72582588397154524</c:v>
                </c:pt>
                <c:pt idx="222">
                  <c:v>0.67647090004156407</c:v>
                </c:pt>
                <c:pt idx="223">
                  <c:v>0.45205465328743666</c:v>
                </c:pt>
                <c:pt idx="224">
                  <c:v>0.48457123690750004</c:v>
                </c:pt>
                <c:pt idx="225">
                  <c:v>0.59687271715954837</c:v>
                </c:pt>
                <c:pt idx="226">
                  <c:v>0.32225610832942203</c:v>
                </c:pt>
                <c:pt idx="227">
                  <c:v>0.50991101213692347</c:v>
                </c:pt>
                <c:pt idx="228">
                  <c:v>0.73712078939501946</c:v>
                </c:pt>
                <c:pt idx="229">
                  <c:v>0.35655913967175973</c:v>
                </c:pt>
                <c:pt idx="230">
                  <c:v>0.2947189437578539</c:v>
                </c:pt>
                <c:pt idx="231">
                  <c:v>0.46258830823126629</c:v>
                </c:pt>
                <c:pt idx="232">
                  <c:v>0.74186094839143324</c:v>
                </c:pt>
                <c:pt idx="233">
                  <c:v>0.83920354941785902</c:v>
                </c:pt>
                <c:pt idx="234">
                  <c:v>0.6522499531784528</c:v>
                </c:pt>
                <c:pt idx="235">
                  <c:v>0.68231881031579178</c:v>
                </c:pt>
                <c:pt idx="236">
                  <c:v>0.49434800747695917</c:v>
                </c:pt>
                <c:pt idx="237">
                  <c:v>0.65809737655417966</c:v>
                </c:pt>
                <c:pt idx="238">
                  <c:v>0.88620066089022898</c:v>
                </c:pt>
                <c:pt idx="239">
                  <c:v>0.40788435835001019</c:v>
                </c:pt>
                <c:pt idx="240">
                  <c:v>0.37623513178527207</c:v>
                </c:pt>
                <c:pt idx="241">
                  <c:v>0.63986812918248537</c:v>
                </c:pt>
                <c:pt idx="242">
                  <c:v>0.52035062312996361</c:v>
                </c:pt>
                <c:pt idx="243">
                  <c:v>0.45040076760446546</c:v>
                </c:pt>
                <c:pt idx="244">
                  <c:v>0.35970776757380274</c:v>
                </c:pt>
                <c:pt idx="245">
                  <c:v>0.53543970550179598</c:v>
                </c:pt>
                <c:pt idx="246">
                  <c:v>0.69451861571528251</c:v>
                </c:pt>
                <c:pt idx="247">
                  <c:v>0.87598914068962541</c:v>
                </c:pt>
                <c:pt idx="248">
                  <c:v>0.52529900616201164</c:v>
                </c:pt>
                <c:pt idx="249">
                  <c:v>0.2536724352310995</c:v>
                </c:pt>
                <c:pt idx="250">
                  <c:v>0.40837943298782875</c:v>
                </c:pt>
                <c:pt idx="251">
                  <c:v>0.39874307633717743</c:v>
                </c:pt>
                <c:pt idx="252">
                  <c:v>0.3895868141249057</c:v>
                </c:pt>
                <c:pt idx="253">
                  <c:v>0.37429265250502036</c:v>
                </c:pt>
                <c:pt idx="254">
                  <c:v>0.86389328093776263</c:v>
                </c:pt>
                <c:pt idx="255">
                  <c:v>0.11375369060171103</c:v>
                </c:pt>
                <c:pt idx="256">
                  <c:v>0.38387609717035109</c:v>
                </c:pt>
                <c:pt idx="257">
                  <c:v>0.12234263662119083</c:v>
                </c:pt>
                <c:pt idx="258">
                  <c:v>0.29976654561202731</c:v>
                </c:pt>
                <c:pt idx="259">
                  <c:v>0.5323459570990331</c:v>
                </c:pt>
                <c:pt idx="260">
                  <c:v>0.43490297808429279</c:v>
                </c:pt>
                <c:pt idx="261">
                  <c:v>0.47305554813801692</c:v>
                </c:pt>
                <c:pt idx="262">
                  <c:v>0.35784165812255875</c:v>
                </c:pt>
                <c:pt idx="263">
                  <c:v>0.50920881821598218</c:v>
                </c:pt>
                <c:pt idx="264">
                  <c:v>0.44246570029023874</c:v>
                </c:pt>
                <c:pt idx="265">
                  <c:v>0.2976585041033275</c:v>
                </c:pt>
                <c:pt idx="266">
                  <c:v>0.33746420657413717</c:v>
                </c:pt>
                <c:pt idx="267">
                  <c:v>0.44537168126893267</c:v>
                </c:pt>
                <c:pt idx="268">
                  <c:v>0.7835489891666072</c:v>
                </c:pt>
                <c:pt idx="269">
                  <c:v>0.12060975442534694</c:v>
                </c:pt>
                <c:pt idx="270">
                  <c:v>0.3534591083117079</c:v>
                </c:pt>
                <c:pt idx="271">
                  <c:v>0.38785276097549187</c:v>
                </c:pt>
                <c:pt idx="272">
                  <c:v>1.1278625893197816</c:v>
                </c:pt>
                <c:pt idx="273">
                  <c:v>0.45323379883333514</c:v>
                </c:pt>
                <c:pt idx="274">
                  <c:v>0.95700973246313525</c:v>
                </c:pt>
                <c:pt idx="275">
                  <c:v>0.52472794196164774</c:v>
                </c:pt>
                <c:pt idx="276">
                  <c:v>0.60050738027141226</c:v>
                </c:pt>
                <c:pt idx="277">
                  <c:v>0.9714933559206721</c:v>
                </c:pt>
                <c:pt idx="278">
                  <c:v>0.57097613488548138</c:v>
                </c:pt>
                <c:pt idx="279">
                  <c:v>0.37458700039710602</c:v>
                </c:pt>
                <c:pt idx="280">
                  <c:v>0.667155986285494</c:v>
                </c:pt>
                <c:pt idx="281">
                  <c:v>0.60277013710062821</c:v>
                </c:pt>
                <c:pt idx="282">
                  <c:v>0.50056406189844127</c:v>
                </c:pt>
                <c:pt idx="283">
                  <c:v>0.50124002439795723</c:v>
                </c:pt>
                <c:pt idx="284">
                  <c:v>0.42102687184022675</c:v>
                </c:pt>
                <c:pt idx="285">
                  <c:v>0.59617754489179031</c:v>
                </c:pt>
                <c:pt idx="286">
                  <c:v>0.81284483994880408</c:v>
                </c:pt>
                <c:pt idx="287">
                  <c:v>0.63824189863374359</c:v>
                </c:pt>
                <c:pt idx="288">
                  <c:v>0.39001844513037881</c:v>
                </c:pt>
                <c:pt idx="289">
                  <c:v>0.77187832166681614</c:v>
                </c:pt>
                <c:pt idx="290">
                  <c:v>0.47774078971616674</c:v>
                </c:pt>
                <c:pt idx="291">
                  <c:v>0.77927460627905987</c:v>
                </c:pt>
                <c:pt idx="292">
                  <c:v>0.29758989645493877</c:v>
                </c:pt>
                <c:pt idx="293">
                  <c:v>0.30385837571721225</c:v>
                </c:pt>
                <c:pt idx="294">
                  <c:v>0.4189119553622096</c:v>
                </c:pt>
                <c:pt idx="295">
                  <c:v>0.45975821831881197</c:v>
                </c:pt>
                <c:pt idx="296">
                  <c:v>0.54563897713584086</c:v>
                </c:pt>
                <c:pt idx="297">
                  <c:v>0.56553011642252304</c:v>
                </c:pt>
                <c:pt idx="298">
                  <c:v>0.65847051407370993</c:v>
                </c:pt>
                <c:pt idx="299">
                  <c:v>0.38695230806623193</c:v>
                </c:pt>
                <c:pt idx="300">
                  <c:v>0.29950848551973486</c:v>
                </c:pt>
                <c:pt idx="301">
                  <c:v>0.50385007463970588</c:v>
                </c:pt>
                <c:pt idx="302">
                  <c:v>0.43732531704988747</c:v>
                </c:pt>
                <c:pt idx="303">
                  <c:v>0.19562888648807658</c:v>
                </c:pt>
                <c:pt idx="304">
                  <c:v>0.48050849467359319</c:v>
                </c:pt>
                <c:pt idx="305">
                  <c:v>0.9024691629221071</c:v>
                </c:pt>
                <c:pt idx="306">
                  <c:v>0.5088454774591844</c:v>
                </c:pt>
                <c:pt idx="307">
                  <c:v>0.56321225631997573</c:v>
                </c:pt>
                <c:pt idx="308">
                  <c:v>0.29149309751269681</c:v>
                </c:pt>
                <c:pt idx="309">
                  <c:v>0.59263183492388249</c:v>
                </c:pt>
                <c:pt idx="310">
                  <c:v>0.67210044359645382</c:v>
                </c:pt>
                <c:pt idx="311">
                  <c:v>0.29950897540542598</c:v>
                </c:pt>
                <c:pt idx="312">
                  <c:v>0.40718885381641984</c:v>
                </c:pt>
                <c:pt idx="313">
                  <c:v>0.71483949479245545</c:v>
                </c:pt>
                <c:pt idx="314">
                  <c:v>0.49418312438377154</c:v>
                </c:pt>
                <c:pt idx="315">
                  <c:v>0.59167956094335317</c:v>
                </c:pt>
                <c:pt idx="316">
                  <c:v>0.6289974459249702</c:v>
                </c:pt>
                <c:pt idx="317">
                  <c:v>0.87382982915653373</c:v>
                </c:pt>
                <c:pt idx="318">
                  <c:v>0.5395959735453526</c:v>
                </c:pt>
                <c:pt idx="319">
                  <c:v>0.52295386656219778</c:v>
                </c:pt>
                <c:pt idx="320">
                  <c:v>0.37563837242264481</c:v>
                </c:pt>
                <c:pt idx="321">
                  <c:v>0.43727707910736013</c:v>
                </c:pt>
                <c:pt idx="322">
                  <c:v>0.10752162423131773</c:v>
                </c:pt>
                <c:pt idx="323">
                  <c:v>0.41168656751636068</c:v>
                </c:pt>
                <c:pt idx="324">
                  <c:v>0.33174307169500017</c:v>
                </c:pt>
                <c:pt idx="325">
                  <c:v>0.63477511525770092</c:v>
                </c:pt>
                <c:pt idx="326">
                  <c:v>0.61814356118539193</c:v>
                </c:pt>
                <c:pt idx="327">
                  <c:v>0.64825559504921881</c:v>
                </c:pt>
                <c:pt idx="328">
                  <c:v>0.53015465033407994</c:v>
                </c:pt>
                <c:pt idx="329">
                  <c:v>0.64772305336203484</c:v>
                </c:pt>
                <c:pt idx="330">
                  <c:v>0.72194171479411506</c:v>
                </c:pt>
                <c:pt idx="331">
                  <c:v>0.64979428219865953</c:v>
                </c:pt>
                <c:pt idx="332">
                  <c:v>0.93950767123837475</c:v>
                </c:pt>
                <c:pt idx="333">
                  <c:v>0.55021596016738927</c:v>
                </c:pt>
                <c:pt idx="334">
                  <c:v>0.30907167384972767</c:v>
                </c:pt>
                <c:pt idx="335">
                  <c:v>0.84740469425100595</c:v>
                </c:pt>
                <c:pt idx="336">
                  <c:v>0.36498272111050523</c:v>
                </c:pt>
                <c:pt idx="337">
                  <c:v>0.75788257823021798</c:v>
                </c:pt>
                <c:pt idx="338">
                  <c:v>0.90073607910198261</c:v>
                </c:pt>
                <c:pt idx="339">
                  <c:v>0.34802481674827074</c:v>
                </c:pt>
                <c:pt idx="340">
                  <c:v>0.57949712084766025</c:v>
                </c:pt>
                <c:pt idx="341">
                  <c:v>0.7376754317290859</c:v>
                </c:pt>
                <c:pt idx="342">
                  <c:v>0.76675324227747832</c:v>
                </c:pt>
                <c:pt idx="343">
                  <c:v>0.54259627094852669</c:v>
                </c:pt>
                <c:pt idx="344">
                  <c:v>0.68783220676043666</c:v>
                </c:pt>
                <c:pt idx="345">
                  <c:v>0.36726075281453946</c:v>
                </c:pt>
                <c:pt idx="346">
                  <c:v>0.30449926378899367</c:v>
                </c:pt>
                <c:pt idx="347">
                  <c:v>0.83961078148915891</c:v>
                </c:pt>
                <c:pt idx="348">
                  <c:v>0.49907127174564314</c:v>
                </c:pt>
                <c:pt idx="349">
                  <c:v>0.39517639261994458</c:v>
                </c:pt>
                <c:pt idx="350">
                  <c:v>0.74423305329219458</c:v>
                </c:pt>
                <c:pt idx="351">
                  <c:v>0.56407960520502876</c:v>
                </c:pt>
                <c:pt idx="352">
                  <c:v>0.57131104449945491</c:v>
                </c:pt>
                <c:pt idx="353">
                  <c:v>0.50312317123451233</c:v>
                </c:pt>
                <c:pt idx="354">
                  <c:v>0.34076119840143992</c:v>
                </c:pt>
                <c:pt idx="355">
                  <c:v>0.6311768468862281</c:v>
                </c:pt>
                <c:pt idx="356">
                  <c:v>0.39474723910614173</c:v>
                </c:pt>
                <c:pt idx="357">
                  <c:v>0.35143067121518246</c:v>
                </c:pt>
                <c:pt idx="358">
                  <c:v>0.56695476834962122</c:v>
                </c:pt>
                <c:pt idx="359">
                  <c:v>0.76605890117523345</c:v>
                </c:pt>
                <c:pt idx="360">
                  <c:v>0.55215575161249886</c:v>
                </c:pt>
                <c:pt idx="361">
                  <c:v>0.54646331893675149</c:v>
                </c:pt>
                <c:pt idx="362">
                  <c:v>0.70696766006552125</c:v>
                </c:pt>
                <c:pt idx="363">
                  <c:v>0.26452773420894116</c:v>
                </c:pt>
                <c:pt idx="364">
                  <c:v>0.25239744824709864</c:v>
                </c:pt>
                <c:pt idx="365">
                  <c:v>0.63823713905087087</c:v>
                </c:pt>
                <c:pt idx="366">
                  <c:v>0.30434953754036365</c:v>
                </c:pt>
                <c:pt idx="367">
                  <c:v>0.62350656385501624</c:v>
                </c:pt>
                <c:pt idx="368">
                  <c:v>0.33418909593936114</c:v>
                </c:pt>
                <c:pt idx="369">
                  <c:v>0.50111679579689594</c:v>
                </c:pt>
                <c:pt idx="370">
                  <c:v>0.40316009905082761</c:v>
                </c:pt>
                <c:pt idx="371">
                  <c:v>0.33194710374648889</c:v>
                </c:pt>
                <c:pt idx="372">
                  <c:v>0.49602927460105684</c:v>
                </c:pt>
                <c:pt idx="373">
                  <c:v>0.80715968213453992</c:v>
                </c:pt>
                <c:pt idx="374">
                  <c:v>0.326438506824964</c:v>
                </c:pt>
                <c:pt idx="375">
                  <c:v>0.3925603469948003</c:v>
                </c:pt>
                <c:pt idx="376">
                  <c:v>0.58337378373074555</c:v>
                </c:pt>
                <c:pt idx="377">
                  <c:v>0.46000240825455302</c:v>
                </c:pt>
                <c:pt idx="378">
                  <c:v>1.1130994885807968</c:v>
                </c:pt>
                <c:pt idx="379">
                  <c:v>0.51414405833257015</c:v>
                </c:pt>
                <c:pt idx="380">
                  <c:v>0.57345755193707881</c:v>
                </c:pt>
                <c:pt idx="381">
                  <c:v>0.42556634480077915</c:v>
                </c:pt>
                <c:pt idx="382">
                  <c:v>0.40113895900268415</c:v>
                </c:pt>
                <c:pt idx="383">
                  <c:v>0.81068532996633658</c:v>
                </c:pt>
                <c:pt idx="384">
                  <c:v>0.55901498043442244</c:v>
                </c:pt>
                <c:pt idx="385">
                  <c:v>0.53457354679463354</c:v>
                </c:pt>
                <c:pt idx="386">
                  <c:v>0.42858777199982434</c:v>
                </c:pt>
                <c:pt idx="387">
                  <c:v>0.26965402603453797</c:v>
                </c:pt>
                <c:pt idx="388">
                  <c:v>0.75080675934229046</c:v>
                </c:pt>
                <c:pt idx="389">
                  <c:v>0.13038937315897781</c:v>
                </c:pt>
                <c:pt idx="390">
                  <c:v>0.44293593400373998</c:v>
                </c:pt>
                <c:pt idx="391">
                  <c:v>0.39093779266072293</c:v>
                </c:pt>
                <c:pt idx="392">
                  <c:v>0.73834990348000618</c:v>
                </c:pt>
                <c:pt idx="393">
                  <c:v>0.68769544722554743</c:v>
                </c:pt>
                <c:pt idx="394">
                  <c:v>0.79932623285300464</c:v>
                </c:pt>
                <c:pt idx="395">
                  <c:v>0.31861254660036675</c:v>
                </c:pt>
                <c:pt idx="396">
                  <c:v>0.62631099952947389</c:v>
                </c:pt>
                <c:pt idx="397">
                  <c:v>0.64325583405171993</c:v>
                </c:pt>
                <c:pt idx="398">
                  <c:v>0.92965990741880289</c:v>
                </c:pt>
                <c:pt idx="399">
                  <c:v>0.79741439864817643</c:v>
                </c:pt>
                <c:pt idx="400">
                  <c:v>0.48095100280852077</c:v>
                </c:pt>
                <c:pt idx="401">
                  <c:v>7.5731783768165806E-2</c:v>
                </c:pt>
                <c:pt idx="402">
                  <c:v>0.46386564973879735</c:v>
                </c:pt>
                <c:pt idx="403">
                  <c:v>0.40357541039424716</c:v>
                </c:pt>
                <c:pt idx="404">
                  <c:v>0.47105803548792413</c:v>
                </c:pt>
                <c:pt idx="405">
                  <c:v>0.21362619471893965</c:v>
                </c:pt>
                <c:pt idx="406">
                  <c:v>0.56756120780381025</c:v>
                </c:pt>
                <c:pt idx="407">
                  <c:v>0.58558698346222271</c:v>
                </c:pt>
                <c:pt idx="408">
                  <c:v>0.25926880059932023</c:v>
                </c:pt>
                <c:pt idx="409">
                  <c:v>0.66878971062107839</c:v>
                </c:pt>
                <c:pt idx="410">
                  <c:v>0.82535687338278307</c:v>
                </c:pt>
                <c:pt idx="411">
                  <c:v>0.44899056430037276</c:v>
                </c:pt>
                <c:pt idx="412">
                  <c:v>0.95267602655251371</c:v>
                </c:pt>
                <c:pt idx="413">
                  <c:v>0.42900219262594197</c:v>
                </c:pt>
                <c:pt idx="414">
                  <c:v>0.78434265784494206</c:v>
                </c:pt>
                <c:pt idx="415">
                  <c:v>0.52748775390332048</c:v>
                </c:pt>
                <c:pt idx="416">
                  <c:v>0.47463597971622429</c:v>
                </c:pt>
                <c:pt idx="417">
                  <c:v>0.5760679961386761</c:v>
                </c:pt>
                <c:pt idx="418">
                  <c:v>0.81400458840344536</c:v>
                </c:pt>
                <c:pt idx="419">
                  <c:v>0.44597671127848737</c:v>
                </c:pt>
                <c:pt idx="420">
                  <c:v>0.63377256229335277</c:v>
                </c:pt>
                <c:pt idx="421">
                  <c:v>0.5657794030944141</c:v>
                </c:pt>
                <c:pt idx="422">
                  <c:v>0.47812923092772364</c:v>
                </c:pt>
                <c:pt idx="423">
                  <c:v>0.42338485321373648</c:v>
                </c:pt>
                <c:pt idx="424">
                  <c:v>0.7476192790387306</c:v>
                </c:pt>
                <c:pt idx="425">
                  <c:v>0.55964489255301131</c:v>
                </c:pt>
                <c:pt idx="426">
                  <c:v>0.27176876801443339</c:v>
                </c:pt>
                <c:pt idx="427">
                  <c:v>0.66769182169731034</c:v>
                </c:pt>
                <c:pt idx="428">
                  <c:v>0.25332541756123866</c:v>
                </c:pt>
                <c:pt idx="429">
                  <c:v>0.73583632190691795</c:v>
                </c:pt>
                <c:pt idx="430">
                  <c:v>0.4206820310639629</c:v>
                </c:pt>
                <c:pt idx="431">
                  <c:v>0.33393897763342684</c:v>
                </c:pt>
                <c:pt idx="432">
                  <c:v>0.63321022953346273</c:v>
                </c:pt>
                <c:pt idx="433">
                  <c:v>0.5903684353776657</c:v>
                </c:pt>
                <c:pt idx="434">
                  <c:v>0.24200067060484109</c:v>
                </c:pt>
                <c:pt idx="435">
                  <c:v>0.73360252461434106</c:v>
                </c:pt>
                <c:pt idx="436">
                  <c:v>0.48549673861542125</c:v>
                </c:pt>
                <c:pt idx="437">
                  <c:v>0.29545677286334432</c:v>
                </c:pt>
                <c:pt idx="438">
                  <c:v>0.19421579507377057</c:v>
                </c:pt>
                <c:pt idx="439">
                  <c:v>0.27818335501748076</c:v>
                </c:pt>
                <c:pt idx="440">
                  <c:v>0.50751341586343834</c:v>
                </c:pt>
                <c:pt idx="441">
                  <c:v>0.51190326715970447</c:v>
                </c:pt>
                <c:pt idx="442">
                  <c:v>0.34618092713969784</c:v>
                </c:pt>
                <c:pt idx="443">
                  <c:v>0.83118869168394538</c:v>
                </c:pt>
                <c:pt idx="444">
                  <c:v>0.51471414896456436</c:v>
                </c:pt>
                <c:pt idx="445">
                  <c:v>0.78024642570038139</c:v>
                </c:pt>
                <c:pt idx="446">
                  <c:v>0.23590786094416777</c:v>
                </c:pt>
                <c:pt idx="447">
                  <c:v>0.27255931828468061</c:v>
                </c:pt>
                <c:pt idx="448">
                  <c:v>0.45804337410806523</c:v>
                </c:pt>
                <c:pt idx="449">
                  <c:v>0.56485117451561606</c:v>
                </c:pt>
                <c:pt idx="450">
                  <c:v>0.41552216340247478</c:v>
                </c:pt>
                <c:pt idx="451">
                  <c:v>0.22296330457500874</c:v>
                </c:pt>
                <c:pt idx="452">
                  <c:v>0.54783767967930097</c:v>
                </c:pt>
                <c:pt idx="453">
                  <c:v>0.60002321494329269</c:v>
                </c:pt>
                <c:pt idx="454">
                  <c:v>0.60369537874530466</c:v>
                </c:pt>
                <c:pt idx="455">
                  <c:v>0.59670289380132868</c:v>
                </c:pt>
                <c:pt idx="456">
                  <c:v>0.38729775301659486</c:v>
                </c:pt>
                <c:pt idx="457">
                  <c:v>0.92896480153270511</c:v>
                </c:pt>
                <c:pt idx="458">
                  <c:v>0.50122791698681513</c:v>
                </c:pt>
                <c:pt idx="459">
                  <c:v>0.56045970950715052</c:v>
                </c:pt>
                <c:pt idx="460">
                  <c:v>0.7719491622414939</c:v>
                </c:pt>
                <c:pt idx="461">
                  <c:v>0.29268506318389353</c:v>
                </c:pt>
                <c:pt idx="462">
                  <c:v>0.39944459907239271</c:v>
                </c:pt>
                <c:pt idx="463">
                  <c:v>0.5379289649792679</c:v>
                </c:pt>
                <c:pt idx="464">
                  <c:v>0.64374671403595196</c:v>
                </c:pt>
                <c:pt idx="465">
                  <c:v>0.43949960886085754</c:v>
                </c:pt>
                <c:pt idx="466">
                  <c:v>0.51001704786895241</c:v>
                </c:pt>
                <c:pt idx="467">
                  <c:v>0.47360874226071115</c:v>
                </c:pt>
                <c:pt idx="468">
                  <c:v>0.21658236320617233</c:v>
                </c:pt>
                <c:pt idx="469">
                  <c:v>0.27752067638202271</c:v>
                </c:pt>
                <c:pt idx="470">
                  <c:v>0.69827593012931322</c:v>
                </c:pt>
                <c:pt idx="471">
                  <c:v>0.59849576290696715</c:v>
                </c:pt>
                <c:pt idx="472">
                  <c:v>0.6328013853488843</c:v>
                </c:pt>
                <c:pt idx="473">
                  <c:v>0.57881294137345263</c:v>
                </c:pt>
                <c:pt idx="474">
                  <c:v>0.49230394707413822</c:v>
                </c:pt>
                <c:pt idx="475">
                  <c:v>0.85730783848041259</c:v>
                </c:pt>
                <c:pt idx="476">
                  <c:v>0.48294208563322061</c:v>
                </c:pt>
                <c:pt idx="477">
                  <c:v>0.59939287452299761</c:v>
                </c:pt>
                <c:pt idx="478">
                  <c:v>0.72883610645837071</c:v>
                </c:pt>
                <c:pt idx="479">
                  <c:v>0.57737390552853329</c:v>
                </c:pt>
                <c:pt idx="480">
                  <c:v>0.54893218156543688</c:v>
                </c:pt>
                <c:pt idx="481">
                  <c:v>0.31540283507651962</c:v>
                </c:pt>
                <c:pt idx="482">
                  <c:v>0.50108907292406912</c:v>
                </c:pt>
                <c:pt idx="483">
                  <c:v>0.16472733520038552</c:v>
                </c:pt>
                <c:pt idx="484">
                  <c:v>0.52085452736487592</c:v>
                </c:pt>
                <c:pt idx="485">
                  <c:v>0.48151364120353712</c:v>
                </c:pt>
                <c:pt idx="486">
                  <c:v>0.3117451289237449</c:v>
                </c:pt>
                <c:pt idx="487">
                  <c:v>0.33483128102358645</c:v>
                </c:pt>
                <c:pt idx="488">
                  <c:v>0.38504950493394574</c:v>
                </c:pt>
                <c:pt idx="489">
                  <c:v>0.40419194453557872</c:v>
                </c:pt>
                <c:pt idx="490">
                  <c:v>0.48077841101944274</c:v>
                </c:pt>
                <c:pt idx="491">
                  <c:v>0.23765159943658942</c:v>
                </c:pt>
                <c:pt idx="492">
                  <c:v>0.35980893939360087</c:v>
                </c:pt>
                <c:pt idx="493">
                  <c:v>0.77198936041945931</c:v>
                </c:pt>
                <c:pt idx="494">
                  <c:v>0.88047524922450904</c:v>
                </c:pt>
                <c:pt idx="495">
                  <c:v>0.57629050813610261</c:v>
                </c:pt>
                <c:pt idx="496">
                  <c:v>0.32495134173814127</c:v>
                </c:pt>
                <c:pt idx="497">
                  <c:v>0.16111678791529416</c:v>
                </c:pt>
                <c:pt idx="498">
                  <c:v>0.58679685221105271</c:v>
                </c:pt>
                <c:pt idx="499">
                  <c:v>0.12613634374433369</c:v>
                </c:pt>
                <c:pt idx="500">
                  <c:v>0.55017587813127644</c:v>
                </c:pt>
                <c:pt idx="501">
                  <c:v>0.48812963803095838</c:v>
                </c:pt>
                <c:pt idx="502">
                  <c:v>0.32862850949133615</c:v>
                </c:pt>
                <c:pt idx="503">
                  <c:v>0.58318008745966188</c:v>
                </c:pt>
                <c:pt idx="504">
                  <c:v>0.73681175342100258</c:v>
                </c:pt>
                <c:pt idx="505">
                  <c:v>0.43344516399984123</c:v>
                </c:pt>
                <c:pt idx="506">
                  <c:v>0.52166778079262499</c:v>
                </c:pt>
                <c:pt idx="507">
                  <c:v>0.50624798278630512</c:v>
                </c:pt>
                <c:pt idx="508">
                  <c:v>0.60038130797598566</c:v>
                </c:pt>
                <c:pt idx="509">
                  <c:v>0.60840828561802573</c:v>
                </c:pt>
                <c:pt idx="510">
                  <c:v>0.51556370763479675</c:v>
                </c:pt>
                <c:pt idx="511">
                  <c:v>0.42207898766817498</c:v>
                </c:pt>
                <c:pt idx="512">
                  <c:v>0.48857440708104316</c:v>
                </c:pt>
                <c:pt idx="513">
                  <c:v>0.27284104631846517</c:v>
                </c:pt>
                <c:pt idx="514">
                  <c:v>0.46858357945297258</c:v>
                </c:pt>
                <c:pt idx="515">
                  <c:v>0.34452162687297511</c:v>
                </c:pt>
                <c:pt idx="516">
                  <c:v>0.48654977638340674</c:v>
                </c:pt>
                <c:pt idx="517">
                  <c:v>0.47884280756989167</c:v>
                </c:pt>
                <c:pt idx="518">
                  <c:v>0.7220332530368575</c:v>
                </c:pt>
                <c:pt idx="519">
                  <c:v>0.47393175683817745</c:v>
                </c:pt>
                <c:pt idx="520">
                  <c:v>0.91137879193221283</c:v>
                </c:pt>
                <c:pt idx="521">
                  <c:v>0.46922106728273094</c:v>
                </c:pt>
                <c:pt idx="522">
                  <c:v>0.26421201056954619</c:v>
                </c:pt>
                <c:pt idx="523">
                  <c:v>0.35024078142399423</c:v>
                </c:pt>
                <c:pt idx="524">
                  <c:v>0.84048810986163691</c:v>
                </c:pt>
                <c:pt idx="525">
                  <c:v>0.5690026689594484</c:v>
                </c:pt>
                <c:pt idx="526">
                  <c:v>0.44782217302602267</c:v>
                </c:pt>
                <c:pt idx="527">
                  <c:v>0.94090864671625285</c:v>
                </c:pt>
                <c:pt idx="528">
                  <c:v>0.43313263229621191</c:v>
                </c:pt>
                <c:pt idx="529">
                  <c:v>0.49078004922007046</c:v>
                </c:pt>
                <c:pt idx="530">
                  <c:v>0.56138552543597531</c:v>
                </c:pt>
                <c:pt idx="531">
                  <c:v>0.27731684683804114</c:v>
                </c:pt>
                <c:pt idx="532">
                  <c:v>0.54435043144519524</c:v>
                </c:pt>
                <c:pt idx="533">
                  <c:v>0.6382899376711566</c:v>
                </c:pt>
                <c:pt idx="534">
                  <c:v>0.5000368328290814</c:v>
                </c:pt>
                <c:pt idx="535">
                  <c:v>0.77050430996332586</c:v>
                </c:pt>
                <c:pt idx="536">
                  <c:v>0.56971873664711969</c:v>
                </c:pt>
                <c:pt idx="537">
                  <c:v>0.6223611522603657</c:v>
                </c:pt>
                <c:pt idx="538">
                  <c:v>0.83520460409108743</c:v>
                </c:pt>
                <c:pt idx="539">
                  <c:v>0.57812513499099516</c:v>
                </c:pt>
                <c:pt idx="540">
                  <c:v>0.6061842475456295</c:v>
                </c:pt>
                <c:pt idx="541">
                  <c:v>0.47502160390881143</c:v>
                </c:pt>
                <c:pt idx="542">
                  <c:v>0.31727200663084959</c:v>
                </c:pt>
                <c:pt idx="543">
                  <c:v>0.70412325399013254</c:v>
                </c:pt>
                <c:pt idx="544">
                  <c:v>0.5399916076258191</c:v>
                </c:pt>
                <c:pt idx="545">
                  <c:v>0.52119306301064006</c:v>
                </c:pt>
                <c:pt idx="546">
                  <c:v>0.49768233328367839</c:v>
                </c:pt>
                <c:pt idx="547">
                  <c:v>0.35422799498707602</c:v>
                </c:pt>
                <c:pt idx="548">
                  <c:v>0.42344531724841511</c:v>
                </c:pt>
                <c:pt idx="549">
                  <c:v>0.4239619860656359</c:v>
                </c:pt>
                <c:pt idx="550">
                  <c:v>0.58268102289206236</c:v>
                </c:pt>
                <c:pt idx="551">
                  <c:v>0.54776641513312585</c:v>
                </c:pt>
                <c:pt idx="552">
                  <c:v>0.33775989285274699</c:v>
                </c:pt>
                <c:pt idx="553">
                  <c:v>0.35077234594895851</c:v>
                </c:pt>
                <c:pt idx="554">
                  <c:v>0.45640810108199759</c:v>
                </c:pt>
                <c:pt idx="555">
                  <c:v>0.33659906915734972</c:v>
                </c:pt>
                <c:pt idx="556">
                  <c:v>0.73932372400307578</c:v>
                </c:pt>
                <c:pt idx="557">
                  <c:v>0.78991126719697369</c:v>
                </c:pt>
                <c:pt idx="558">
                  <c:v>0.40448880818047389</c:v>
                </c:pt>
                <c:pt idx="559">
                  <c:v>0.6271369077244946</c:v>
                </c:pt>
                <c:pt idx="560">
                  <c:v>0.48722855809730342</c:v>
                </c:pt>
                <c:pt idx="561">
                  <c:v>0.47754650703653678</c:v>
                </c:pt>
                <c:pt idx="562">
                  <c:v>0.81813555449330688</c:v>
                </c:pt>
                <c:pt idx="563">
                  <c:v>1.0194678665399619</c:v>
                </c:pt>
                <c:pt idx="564">
                  <c:v>0.95656524652988162</c:v>
                </c:pt>
                <c:pt idx="565">
                  <c:v>0.3281065419009877</c:v>
                </c:pt>
                <c:pt idx="566">
                  <c:v>0.786093768753656</c:v>
                </c:pt>
                <c:pt idx="567">
                  <c:v>0.69848471796241196</c:v>
                </c:pt>
                <c:pt idx="568">
                  <c:v>0.66553774840297653</c:v>
                </c:pt>
                <c:pt idx="569">
                  <c:v>0.40055673066679526</c:v>
                </c:pt>
                <c:pt idx="570">
                  <c:v>0.12452138425798265</c:v>
                </c:pt>
                <c:pt idx="571">
                  <c:v>0.72254971934781986</c:v>
                </c:pt>
                <c:pt idx="572">
                  <c:v>0.34946436598559416</c:v>
                </c:pt>
                <c:pt idx="573">
                  <c:v>0.71829521645031624</c:v>
                </c:pt>
                <c:pt idx="574">
                  <c:v>0.41803107718936156</c:v>
                </c:pt>
                <c:pt idx="575">
                  <c:v>0.58339801128517088</c:v>
                </c:pt>
                <c:pt idx="576">
                  <c:v>0.7723984635531872</c:v>
                </c:pt>
                <c:pt idx="577">
                  <c:v>0.5380644056883217</c:v>
                </c:pt>
                <c:pt idx="578">
                  <c:v>0.51179377215239108</c:v>
                </c:pt>
                <c:pt idx="579">
                  <c:v>0.46446923533560802</c:v>
                </c:pt>
                <c:pt idx="580">
                  <c:v>0.75878707978524906</c:v>
                </c:pt>
                <c:pt idx="581">
                  <c:v>0.59813123323696349</c:v>
                </c:pt>
                <c:pt idx="582">
                  <c:v>0.75810223064569682</c:v>
                </c:pt>
                <c:pt idx="583">
                  <c:v>0.50863167670150666</c:v>
                </c:pt>
                <c:pt idx="584">
                  <c:v>0.65782876323233352</c:v>
                </c:pt>
                <c:pt idx="585">
                  <c:v>0.42981201108513201</c:v>
                </c:pt>
                <c:pt idx="586">
                  <c:v>0.67609134674410809</c:v>
                </c:pt>
                <c:pt idx="587">
                  <c:v>0.38564162133843655</c:v>
                </c:pt>
                <c:pt idx="588">
                  <c:v>5.7414265580470691E-2</c:v>
                </c:pt>
                <c:pt idx="589">
                  <c:v>0.28953862870747754</c:v>
                </c:pt>
                <c:pt idx="590">
                  <c:v>0.36649149274587789</c:v>
                </c:pt>
                <c:pt idx="591">
                  <c:v>0.19586023944614517</c:v>
                </c:pt>
                <c:pt idx="592">
                  <c:v>0.41677041006176097</c:v>
                </c:pt>
                <c:pt idx="593">
                  <c:v>0.72724970917728604</c:v>
                </c:pt>
                <c:pt idx="594">
                  <c:v>0.69437119351484822</c:v>
                </c:pt>
                <c:pt idx="595">
                  <c:v>5.5275702515067304E-2</c:v>
                </c:pt>
                <c:pt idx="596">
                  <c:v>0.70576616341481591</c:v>
                </c:pt>
                <c:pt idx="597">
                  <c:v>0.43791189012207743</c:v>
                </c:pt>
                <c:pt idx="598">
                  <c:v>0.35533330663749207</c:v>
                </c:pt>
                <c:pt idx="599">
                  <c:v>0.73703015902936875</c:v>
                </c:pt>
                <c:pt idx="600">
                  <c:v>0.48072177970630531</c:v>
                </c:pt>
                <c:pt idx="601">
                  <c:v>0.68353351288972919</c:v>
                </c:pt>
                <c:pt idx="602">
                  <c:v>0.47261106504668726</c:v>
                </c:pt>
                <c:pt idx="603">
                  <c:v>0.66808613540137374</c:v>
                </c:pt>
                <c:pt idx="604">
                  <c:v>0.76816645364128278</c:v>
                </c:pt>
                <c:pt idx="605">
                  <c:v>0.77701559786000685</c:v>
                </c:pt>
                <c:pt idx="606">
                  <c:v>0.42049306166441702</c:v>
                </c:pt>
                <c:pt idx="607">
                  <c:v>0.61868240299491895</c:v>
                </c:pt>
                <c:pt idx="608">
                  <c:v>0.32761016023275397</c:v>
                </c:pt>
                <c:pt idx="609">
                  <c:v>0.61851263767947084</c:v>
                </c:pt>
                <c:pt idx="610">
                  <c:v>0.48994981521156877</c:v>
                </c:pt>
                <c:pt idx="611">
                  <c:v>0.73649892505439296</c:v>
                </c:pt>
                <c:pt idx="612">
                  <c:v>0.55982287600685066</c:v>
                </c:pt>
                <c:pt idx="613">
                  <c:v>0.2812085747981426</c:v>
                </c:pt>
                <c:pt idx="614">
                  <c:v>0.31829731475507234</c:v>
                </c:pt>
                <c:pt idx="615">
                  <c:v>0.19926098181520213</c:v>
                </c:pt>
                <c:pt idx="616">
                  <c:v>0.5457007277729724</c:v>
                </c:pt>
                <c:pt idx="617">
                  <c:v>0.50115114545377903</c:v>
                </c:pt>
                <c:pt idx="618">
                  <c:v>0.44064455100804745</c:v>
                </c:pt>
                <c:pt idx="619">
                  <c:v>0.64213197721852655</c:v>
                </c:pt>
                <c:pt idx="620">
                  <c:v>0.28014780340791778</c:v>
                </c:pt>
                <c:pt idx="621">
                  <c:v>0.34882799795112407</c:v>
                </c:pt>
                <c:pt idx="622">
                  <c:v>0.5882737037729473</c:v>
                </c:pt>
                <c:pt idx="623">
                  <c:v>0.55260531957328385</c:v>
                </c:pt>
                <c:pt idx="624">
                  <c:v>0.35896003786566755</c:v>
                </c:pt>
                <c:pt idx="625">
                  <c:v>0.65520089715679486</c:v>
                </c:pt>
                <c:pt idx="626">
                  <c:v>0.89290016800137373</c:v>
                </c:pt>
                <c:pt idx="627">
                  <c:v>0.5964181865424647</c:v>
                </c:pt>
                <c:pt idx="628">
                  <c:v>0.59278101293440888</c:v>
                </c:pt>
                <c:pt idx="629">
                  <c:v>0.71818335951131052</c:v>
                </c:pt>
                <c:pt idx="630">
                  <c:v>0.43102715038117573</c:v>
                </c:pt>
                <c:pt idx="631">
                  <c:v>0.58665786963418176</c:v>
                </c:pt>
                <c:pt idx="632">
                  <c:v>0.50901701204984706</c:v>
                </c:pt>
                <c:pt idx="633">
                  <c:v>0.63873225205205342</c:v>
                </c:pt>
                <c:pt idx="634">
                  <c:v>0.42620256185389843</c:v>
                </c:pt>
                <c:pt idx="635">
                  <c:v>0.49894474917712095</c:v>
                </c:pt>
                <c:pt idx="636">
                  <c:v>0.25803698695388499</c:v>
                </c:pt>
                <c:pt idx="637">
                  <c:v>0.66385709737852194</c:v>
                </c:pt>
                <c:pt idx="638">
                  <c:v>0.42009113045253832</c:v>
                </c:pt>
                <c:pt idx="639">
                  <c:v>0.79629205964669514</c:v>
                </c:pt>
                <c:pt idx="640">
                  <c:v>0.55090346719896022</c:v>
                </c:pt>
                <c:pt idx="641">
                  <c:v>0.52493079922538022</c:v>
                </c:pt>
                <c:pt idx="642">
                  <c:v>0.41190967181338423</c:v>
                </c:pt>
                <c:pt idx="643">
                  <c:v>0.59981971797362099</c:v>
                </c:pt>
                <c:pt idx="644">
                  <c:v>0.61704767500313007</c:v>
                </c:pt>
                <c:pt idx="645">
                  <c:v>0.27834670673212936</c:v>
                </c:pt>
                <c:pt idx="646">
                  <c:v>0.38308604595579865</c:v>
                </c:pt>
                <c:pt idx="647">
                  <c:v>0.55029662925112277</c:v>
                </c:pt>
                <c:pt idx="648">
                  <c:v>0.65762614096679495</c:v>
                </c:pt>
                <c:pt idx="649">
                  <c:v>0.31257163064654492</c:v>
                </c:pt>
                <c:pt idx="650">
                  <c:v>0.57529620456861641</c:v>
                </c:pt>
                <c:pt idx="651">
                  <c:v>0.34048954057635922</c:v>
                </c:pt>
                <c:pt idx="652">
                  <c:v>0.52362994221428982</c:v>
                </c:pt>
                <c:pt idx="653">
                  <c:v>0.26460115047399846</c:v>
                </c:pt>
                <c:pt idx="654">
                  <c:v>0.37401783674017841</c:v>
                </c:pt>
                <c:pt idx="655">
                  <c:v>0.93196068564645806</c:v>
                </c:pt>
                <c:pt idx="656">
                  <c:v>0.47989112979910831</c:v>
                </c:pt>
                <c:pt idx="657">
                  <c:v>0.34655523420266227</c:v>
                </c:pt>
                <c:pt idx="658">
                  <c:v>0.42077586225711971</c:v>
                </c:pt>
                <c:pt idx="659">
                  <c:v>0.46107299295503767</c:v>
                </c:pt>
                <c:pt idx="660">
                  <c:v>0.20255847387698001</c:v>
                </c:pt>
                <c:pt idx="661">
                  <c:v>0.59194942518207772</c:v>
                </c:pt>
                <c:pt idx="662">
                  <c:v>0.56152218370553419</c:v>
                </c:pt>
                <c:pt idx="663">
                  <c:v>0.5850894551258039</c:v>
                </c:pt>
                <c:pt idx="664">
                  <c:v>0.55434293560703807</c:v>
                </c:pt>
                <c:pt idx="665">
                  <c:v>0.58543015893709049</c:v>
                </c:pt>
                <c:pt idx="666">
                  <c:v>0.7653776115992037</c:v>
                </c:pt>
                <c:pt idx="667">
                  <c:v>0.33800791478798897</c:v>
                </c:pt>
                <c:pt idx="668">
                  <c:v>0.17259292003408244</c:v>
                </c:pt>
                <c:pt idx="669">
                  <c:v>0.66510965981264336</c:v>
                </c:pt>
                <c:pt idx="670">
                  <c:v>0.85240026947550773</c:v>
                </c:pt>
                <c:pt idx="671">
                  <c:v>0.42143018600045473</c:v>
                </c:pt>
                <c:pt idx="672">
                  <c:v>0.75042638399090889</c:v>
                </c:pt>
                <c:pt idx="673">
                  <c:v>0.59549014744621087</c:v>
                </c:pt>
                <c:pt idx="674">
                  <c:v>0.39048168853307441</c:v>
                </c:pt>
                <c:pt idx="675">
                  <c:v>0.68183380593047183</c:v>
                </c:pt>
                <c:pt idx="676">
                  <c:v>0.53988094420806754</c:v>
                </c:pt>
                <c:pt idx="677">
                  <c:v>0.37780281158343471</c:v>
                </c:pt>
                <c:pt idx="678">
                  <c:v>0.40967740810916753</c:v>
                </c:pt>
                <c:pt idx="679">
                  <c:v>0.68088675184758918</c:v>
                </c:pt>
                <c:pt idx="680">
                  <c:v>0.67091309388575104</c:v>
                </c:pt>
                <c:pt idx="681">
                  <c:v>0.25729214247233012</c:v>
                </c:pt>
                <c:pt idx="682">
                  <c:v>0.53703723082582011</c:v>
                </c:pt>
                <c:pt idx="683">
                  <c:v>0.95468229614731592</c:v>
                </c:pt>
                <c:pt idx="684">
                  <c:v>0.8138783299831075</c:v>
                </c:pt>
                <c:pt idx="685">
                  <c:v>0.39419043655979086</c:v>
                </c:pt>
                <c:pt idx="686">
                  <c:v>0.49319088160126923</c:v>
                </c:pt>
                <c:pt idx="687">
                  <c:v>0.43784743239954754</c:v>
                </c:pt>
                <c:pt idx="688">
                  <c:v>0.79602983732607802</c:v>
                </c:pt>
                <c:pt idx="689">
                  <c:v>0.67185175714844148</c:v>
                </c:pt>
                <c:pt idx="690">
                  <c:v>0.59729330224960964</c:v>
                </c:pt>
                <c:pt idx="691">
                  <c:v>0.46857983409702531</c:v>
                </c:pt>
                <c:pt idx="692">
                  <c:v>0.83498641398616791</c:v>
                </c:pt>
                <c:pt idx="693">
                  <c:v>0.46074811094825163</c:v>
                </c:pt>
                <c:pt idx="694">
                  <c:v>0.39922329030287956</c:v>
                </c:pt>
                <c:pt idx="695">
                  <c:v>0.21761959016026888</c:v>
                </c:pt>
                <c:pt idx="696">
                  <c:v>0.22914545876034365</c:v>
                </c:pt>
                <c:pt idx="697">
                  <c:v>0.52719221846380038</c:v>
                </c:pt>
                <c:pt idx="698">
                  <c:v>0.51520517085150108</c:v>
                </c:pt>
                <c:pt idx="699">
                  <c:v>0.76631458500502114</c:v>
                </c:pt>
                <c:pt idx="700">
                  <c:v>0.5256049731501834</c:v>
                </c:pt>
                <c:pt idx="701">
                  <c:v>0.47893180460962964</c:v>
                </c:pt>
                <c:pt idx="702">
                  <c:v>0.67799566891516938</c:v>
                </c:pt>
                <c:pt idx="703">
                  <c:v>0.31574755843324764</c:v>
                </c:pt>
                <c:pt idx="704">
                  <c:v>0.35031551032632258</c:v>
                </c:pt>
                <c:pt idx="705">
                  <c:v>0.5481111740060427</c:v>
                </c:pt>
                <c:pt idx="706">
                  <c:v>0.61797390609751901</c:v>
                </c:pt>
                <c:pt idx="707">
                  <c:v>0.52240017000741013</c:v>
                </c:pt>
                <c:pt idx="708">
                  <c:v>0.41718657219588806</c:v>
                </c:pt>
                <c:pt idx="709">
                  <c:v>0.64113982326156316</c:v>
                </c:pt>
                <c:pt idx="710">
                  <c:v>0.50187196275718504</c:v>
                </c:pt>
                <c:pt idx="711">
                  <c:v>0.40081509293951134</c:v>
                </c:pt>
                <c:pt idx="712">
                  <c:v>7.979327123604768E-2</c:v>
                </c:pt>
                <c:pt idx="713">
                  <c:v>7.8838922694662972E-2</c:v>
                </c:pt>
                <c:pt idx="714">
                  <c:v>0.37981447348212638</c:v>
                </c:pt>
                <c:pt idx="715">
                  <c:v>0.37170853822165945</c:v>
                </c:pt>
                <c:pt idx="716">
                  <c:v>0.44498936967049635</c:v>
                </c:pt>
                <c:pt idx="717">
                  <c:v>0.70515253057902449</c:v>
                </c:pt>
                <c:pt idx="718">
                  <c:v>0.42990694743328306</c:v>
                </c:pt>
                <c:pt idx="719">
                  <c:v>0.57020768462507909</c:v>
                </c:pt>
                <c:pt idx="720">
                  <c:v>0.85458912029406775</c:v>
                </c:pt>
                <c:pt idx="721">
                  <c:v>0.43525623815762871</c:v>
                </c:pt>
                <c:pt idx="722">
                  <c:v>0.49687520440619876</c:v>
                </c:pt>
                <c:pt idx="723">
                  <c:v>0.53372115892285954</c:v>
                </c:pt>
                <c:pt idx="724">
                  <c:v>0.4704091693957953</c:v>
                </c:pt>
                <c:pt idx="725">
                  <c:v>0.44558863415136352</c:v>
                </c:pt>
                <c:pt idx="726">
                  <c:v>0.71259130329480369</c:v>
                </c:pt>
                <c:pt idx="727">
                  <c:v>0.55058989897182042</c:v>
                </c:pt>
                <c:pt idx="728">
                  <c:v>0.48412850634021259</c:v>
                </c:pt>
                <c:pt idx="729">
                  <c:v>0.4032063632722161</c:v>
                </c:pt>
                <c:pt idx="730">
                  <c:v>0.89599210356793368</c:v>
                </c:pt>
                <c:pt idx="731">
                  <c:v>0.70012230621306804</c:v>
                </c:pt>
                <c:pt idx="732">
                  <c:v>0.65430596748499259</c:v>
                </c:pt>
                <c:pt idx="733">
                  <c:v>0.3002399652790787</c:v>
                </c:pt>
                <c:pt idx="734">
                  <c:v>0.3170823948016519</c:v>
                </c:pt>
                <c:pt idx="735">
                  <c:v>0.38087292388266358</c:v>
                </c:pt>
                <c:pt idx="736">
                  <c:v>0.31863515840654677</c:v>
                </c:pt>
                <c:pt idx="737">
                  <c:v>0.44529876276088842</c:v>
                </c:pt>
                <c:pt idx="738">
                  <c:v>0.56086192600074913</c:v>
                </c:pt>
                <c:pt idx="739">
                  <c:v>0.704972367096798</c:v>
                </c:pt>
                <c:pt idx="740">
                  <c:v>0.3330870214538999</c:v>
                </c:pt>
                <c:pt idx="741">
                  <c:v>0.52560701789317787</c:v>
                </c:pt>
                <c:pt idx="742">
                  <c:v>7.675511251433581E-2</c:v>
                </c:pt>
                <c:pt idx="743">
                  <c:v>0.61506611108396858</c:v>
                </c:pt>
                <c:pt idx="744">
                  <c:v>0.34928089551822505</c:v>
                </c:pt>
                <c:pt idx="745">
                  <c:v>0.76883123284582244</c:v>
                </c:pt>
                <c:pt idx="746">
                  <c:v>0.4175846402219201</c:v>
                </c:pt>
                <c:pt idx="747">
                  <c:v>0.38129588255307367</c:v>
                </c:pt>
                <c:pt idx="748">
                  <c:v>0.56408295515719076</c:v>
                </c:pt>
                <c:pt idx="749">
                  <c:v>0.58830103634099651</c:v>
                </c:pt>
                <c:pt idx="750">
                  <c:v>0.81043300721340628</c:v>
                </c:pt>
                <c:pt idx="751">
                  <c:v>0.62164990157270961</c:v>
                </c:pt>
                <c:pt idx="752">
                  <c:v>0.3187044330960932</c:v>
                </c:pt>
                <c:pt idx="753">
                  <c:v>0.62187740478789055</c:v>
                </c:pt>
                <c:pt idx="754">
                  <c:v>0.35969222532809675</c:v>
                </c:pt>
                <c:pt idx="755">
                  <c:v>0.35251712285987469</c:v>
                </c:pt>
                <c:pt idx="756">
                  <c:v>0.4348220589086087</c:v>
                </c:pt>
                <c:pt idx="757">
                  <c:v>0.62505360209437577</c:v>
                </c:pt>
                <c:pt idx="758">
                  <c:v>0.12615044347763305</c:v>
                </c:pt>
                <c:pt idx="759">
                  <c:v>0.44049601441123865</c:v>
                </c:pt>
                <c:pt idx="760">
                  <c:v>0.53380232829670082</c:v>
                </c:pt>
                <c:pt idx="761">
                  <c:v>0.46338226671699423</c:v>
                </c:pt>
                <c:pt idx="762">
                  <c:v>0.45644237375489949</c:v>
                </c:pt>
                <c:pt idx="763">
                  <c:v>0.53026790284274905</c:v>
                </c:pt>
                <c:pt idx="764">
                  <c:v>0.18402381007233315</c:v>
                </c:pt>
                <c:pt idx="765">
                  <c:v>1.0394063879846585</c:v>
                </c:pt>
                <c:pt idx="766">
                  <c:v>0.3953025937695992</c:v>
                </c:pt>
                <c:pt idx="767">
                  <c:v>0.29322308736537339</c:v>
                </c:pt>
                <c:pt idx="768">
                  <c:v>0.26824946799217042</c:v>
                </c:pt>
                <c:pt idx="769">
                  <c:v>0.22253835508539288</c:v>
                </c:pt>
                <c:pt idx="770">
                  <c:v>0.48047922179473646</c:v>
                </c:pt>
                <c:pt idx="771">
                  <c:v>0.82208277478070002</c:v>
                </c:pt>
                <c:pt idx="772">
                  <c:v>0.6372012991546141</c:v>
                </c:pt>
                <c:pt idx="773">
                  <c:v>0.26202361326216356</c:v>
                </c:pt>
                <c:pt idx="774">
                  <c:v>0.34726913748109678</c:v>
                </c:pt>
                <c:pt idx="775">
                  <c:v>0.36216542272692837</c:v>
                </c:pt>
                <c:pt idx="776">
                  <c:v>0.50799212304879426</c:v>
                </c:pt>
                <c:pt idx="777">
                  <c:v>0.63373860155879136</c:v>
                </c:pt>
                <c:pt idx="778">
                  <c:v>0.64419796770060611</c:v>
                </c:pt>
                <c:pt idx="779">
                  <c:v>0.25764740506236961</c:v>
                </c:pt>
                <c:pt idx="780">
                  <c:v>0.62819243100363953</c:v>
                </c:pt>
                <c:pt idx="781">
                  <c:v>0.41507180177306213</c:v>
                </c:pt>
                <c:pt idx="782">
                  <c:v>0.38845948294561861</c:v>
                </c:pt>
                <c:pt idx="783">
                  <c:v>0.36821702883485541</c:v>
                </c:pt>
                <c:pt idx="784">
                  <c:v>0.41475398895554222</c:v>
                </c:pt>
                <c:pt idx="785">
                  <c:v>0.33409267757236205</c:v>
                </c:pt>
                <c:pt idx="786">
                  <c:v>0.49984068805225135</c:v>
                </c:pt>
                <c:pt idx="787">
                  <c:v>0.5300484653527554</c:v>
                </c:pt>
                <c:pt idx="788">
                  <c:v>7.7209640087007647E-2</c:v>
                </c:pt>
                <c:pt idx="789">
                  <c:v>0.8140493140733307</c:v>
                </c:pt>
                <c:pt idx="790">
                  <c:v>0.64999812079282715</c:v>
                </c:pt>
                <c:pt idx="791">
                  <c:v>0.65407636003919523</c:v>
                </c:pt>
                <c:pt idx="792">
                  <c:v>0.22098358294642234</c:v>
                </c:pt>
                <c:pt idx="793">
                  <c:v>0.44770084362517903</c:v>
                </c:pt>
                <c:pt idx="794">
                  <c:v>0.39919021800426169</c:v>
                </c:pt>
                <c:pt idx="795">
                  <c:v>0.52657748080601474</c:v>
                </c:pt>
                <c:pt idx="796">
                  <c:v>0.36310693457949217</c:v>
                </c:pt>
                <c:pt idx="797">
                  <c:v>0.17403235588041049</c:v>
                </c:pt>
                <c:pt idx="798">
                  <c:v>0.41595776685115438</c:v>
                </c:pt>
                <c:pt idx="799">
                  <c:v>0.47332604264616118</c:v>
                </c:pt>
                <c:pt idx="800">
                  <c:v>0.6381440283888532</c:v>
                </c:pt>
                <c:pt idx="801">
                  <c:v>0.31392460070422873</c:v>
                </c:pt>
                <c:pt idx="802">
                  <c:v>0.45990125191070441</c:v>
                </c:pt>
                <c:pt idx="803">
                  <c:v>0.32314703025323843</c:v>
                </c:pt>
                <c:pt idx="804">
                  <c:v>0.36562302320489609</c:v>
                </c:pt>
                <c:pt idx="805">
                  <c:v>0.7671539295461931</c:v>
                </c:pt>
                <c:pt idx="806">
                  <c:v>0.33508307551735367</c:v>
                </c:pt>
                <c:pt idx="807">
                  <c:v>0.45542989216091517</c:v>
                </c:pt>
                <c:pt idx="808">
                  <c:v>1.0639973602756223</c:v>
                </c:pt>
                <c:pt idx="809">
                  <c:v>0.83164206474592239</c:v>
                </c:pt>
                <c:pt idx="810">
                  <c:v>0.50817413717431414</c:v>
                </c:pt>
                <c:pt idx="811">
                  <c:v>0.28222167099750139</c:v>
                </c:pt>
                <c:pt idx="812">
                  <c:v>0.20009200370398908</c:v>
                </c:pt>
                <c:pt idx="813">
                  <c:v>0.38635601860566426</c:v>
                </c:pt>
                <c:pt idx="814">
                  <c:v>0.10643288108849025</c:v>
                </c:pt>
                <c:pt idx="815">
                  <c:v>0.57715532299721306</c:v>
                </c:pt>
                <c:pt idx="816">
                  <c:v>0.66361034097843252</c:v>
                </c:pt>
                <c:pt idx="817">
                  <c:v>0.41156403749929016</c:v>
                </c:pt>
                <c:pt idx="818">
                  <c:v>0.42362150226456474</c:v>
                </c:pt>
                <c:pt idx="819">
                  <c:v>0.54164508379053222</c:v>
                </c:pt>
                <c:pt idx="820">
                  <c:v>0.51663727404987758</c:v>
                </c:pt>
                <c:pt idx="821">
                  <c:v>0.83561271727421127</c:v>
                </c:pt>
                <c:pt idx="822">
                  <c:v>0.43181408341607258</c:v>
                </c:pt>
                <c:pt idx="823">
                  <c:v>0.7261243648416803</c:v>
                </c:pt>
                <c:pt idx="824">
                  <c:v>0.48407995989453323</c:v>
                </c:pt>
                <c:pt idx="825">
                  <c:v>0.49276371725826285</c:v>
                </c:pt>
                <c:pt idx="826">
                  <c:v>0.5112607022185951</c:v>
                </c:pt>
                <c:pt idx="827">
                  <c:v>0.42229758697573239</c:v>
                </c:pt>
                <c:pt idx="828">
                  <c:v>0.51445550568749243</c:v>
                </c:pt>
                <c:pt idx="829">
                  <c:v>0.18958275242867562</c:v>
                </c:pt>
                <c:pt idx="830">
                  <c:v>0.65151851684701123</c:v>
                </c:pt>
                <c:pt idx="831">
                  <c:v>0.67477173550990444</c:v>
                </c:pt>
                <c:pt idx="832">
                  <c:v>0.37219631891397525</c:v>
                </c:pt>
                <c:pt idx="833">
                  <c:v>0.54861009733544575</c:v>
                </c:pt>
                <c:pt idx="834">
                  <c:v>0.32147076535518715</c:v>
                </c:pt>
                <c:pt idx="835">
                  <c:v>0.48430270727189917</c:v>
                </c:pt>
                <c:pt idx="836">
                  <c:v>0.77614415556683491</c:v>
                </c:pt>
                <c:pt idx="837">
                  <c:v>0.45002499325472478</c:v>
                </c:pt>
                <c:pt idx="838">
                  <c:v>0.80139220502999065</c:v>
                </c:pt>
                <c:pt idx="839">
                  <c:v>0.35404197590652259</c:v>
                </c:pt>
                <c:pt idx="840">
                  <c:v>0.40263530591073837</c:v>
                </c:pt>
                <c:pt idx="841">
                  <c:v>0.30669997913067992</c:v>
                </c:pt>
                <c:pt idx="842">
                  <c:v>0.38243848602906849</c:v>
                </c:pt>
                <c:pt idx="843">
                  <c:v>0.79338395712075982</c:v>
                </c:pt>
                <c:pt idx="844">
                  <c:v>0.60325638541979121</c:v>
                </c:pt>
                <c:pt idx="845">
                  <c:v>0.67136301635286599</c:v>
                </c:pt>
                <c:pt idx="846">
                  <c:v>0.39171671115488615</c:v>
                </c:pt>
                <c:pt idx="847">
                  <c:v>0.4350765993704736</c:v>
                </c:pt>
                <c:pt idx="848">
                  <c:v>0.91058932051588792</c:v>
                </c:pt>
                <c:pt idx="849">
                  <c:v>0.54711675268445104</c:v>
                </c:pt>
                <c:pt idx="850">
                  <c:v>0.46199850946432641</c:v>
                </c:pt>
                <c:pt idx="851">
                  <c:v>0.22096201826660028</c:v>
                </c:pt>
                <c:pt idx="852">
                  <c:v>0.73347365933474706</c:v>
                </c:pt>
                <c:pt idx="853">
                  <c:v>0.37000422084588952</c:v>
                </c:pt>
                <c:pt idx="854">
                  <c:v>1.0521972161094157</c:v>
                </c:pt>
                <c:pt idx="855">
                  <c:v>0.3845682967056977</c:v>
                </c:pt>
                <c:pt idx="856">
                  <c:v>0.74643769919469871</c:v>
                </c:pt>
                <c:pt idx="857">
                  <c:v>0.45905852627559018</c:v>
                </c:pt>
                <c:pt idx="858">
                  <c:v>0.38528851427934696</c:v>
                </c:pt>
                <c:pt idx="859">
                  <c:v>0.35815779913300838</c:v>
                </c:pt>
                <c:pt idx="860">
                  <c:v>0.30250045022795724</c:v>
                </c:pt>
                <c:pt idx="861">
                  <c:v>0.30806176240526073</c:v>
                </c:pt>
                <c:pt idx="862">
                  <c:v>0.47321439031372781</c:v>
                </c:pt>
                <c:pt idx="863">
                  <c:v>0.53978354069400458</c:v>
                </c:pt>
                <c:pt idx="864">
                  <c:v>0.74403286135406366</c:v>
                </c:pt>
                <c:pt idx="865">
                  <c:v>0.40668976518300504</c:v>
                </c:pt>
                <c:pt idx="866">
                  <c:v>0.77708000883602679</c:v>
                </c:pt>
                <c:pt idx="867">
                  <c:v>0.66921107887352904</c:v>
                </c:pt>
                <c:pt idx="868">
                  <c:v>0.64075181708802642</c:v>
                </c:pt>
                <c:pt idx="869">
                  <c:v>0.16191757292968245</c:v>
                </c:pt>
                <c:pt idx="870">
                  <c:v>0.28370238422065658</c:v>
                </c:pt>
                <c:pt idx="871">
                  <c:v>0.70343878012633554</c:v>
                </c:pt>
                <c:pt idx="872">
                  <c:v>0.37722955987589779</c:v>
                </c:pt>
                <c:pt idx="873">
                  <c:v>0.5948158929203734</c:v>
                </c:pt>
                <c:pt idx="874">
                  <c:v>0.43499101870719631</c:v>
                </c:pt>
                <c:pt idx="875">
                  <c:v>0.19514227519473049</c:v>
                </c:pt>
                <c:pt idx="876">
                  <c:v>0.57777346403685537</c:v>
                </c:pt>
                <c:pt idx="877">
                  <c:v>0.60782133430216312</c:v>
                </c:pt>
                <c:pt idx="878">
                  <c:v>0.57761766466152509</c:v>
                </c:pt>
                <c:pt idx="879">
                  <c:v>0.56571142109349903</c:v>
                </c:pt>
                <c:pt idx="880">
                  <c:v>0.42047414166699992</c:v>
                </c:pt>
                <c:pt idx="881">
                  <c:v>0.60262202069624493</c:v>
                </c:pt>
                <c:pt idx="882">
                  <c:v>0.96516560337650315</c:v>
                </c:pt>
                <c:pt idx="883">
                  <c:v>0.40834452790180964</c:v>
                </c:pt>
                <c:pt idx="884">
                  <c:v>0.57737547535410105</c:v>
                </c:pt>
                <c:pt idx="885">
                  <c:v>0.27463376818949858</c:v>
                </c:pt>
                <c:pt idx="886">
                  <c:v>0.45778266342488677</c:v>
                </c:pt>
                <c:pt idx="887">
                  <c:v>0.48640378909500764</c:v>
                </c:pt>
                <c:pt idx="888">
                  <c:v>0.36298423263925156</c:v>
                </c:pt>
                <c:pt idx="889">
                  <c:v>0.58629959224903572</c:v>
                </c:pt>
                <c:pt idx="890">
                  <c:v>0.35566903370636938</c:v>
                </c:pt>
                <c:pt idx="891">
                  <c:v>0.23982185560401248</c:v>
                </c:pt>
                <c:pt idx="892">
                  <c:v>0.65592890284538963</c:v>
                </c:pt>
                <c:pt idx="893">
                  <c:v>0.62088936471656409</c:v>
                </c:pt>
                <c:pt idx="894">
                  <c:v>0.5189180675301579</c:v>
                </c:pt>
                <c:pt idx="895">
                  <c:v>0.36000139709279955</c:v>
                </c:pt>
                <c:pt idx="896">
                  <c:v>0.54775401142947089</c:v>
                </c:pt>
                <c:pt idx="897">
                  <c:v>0.30812129484367112</c:v>
                </c:pt>
                <c:pt idx="898">
                  <c:v>0.34674708363653139</c:v>
                </c:pt>
                <c:pt idx="899">
                  <c:v>0.50813909047570682</c:v>
                </c:pt>
                <c:pt idx="900">
                  <c:v>0.48254754376651587</c:v>
                </c:pt>
                <c:pt idx="901">
                  <c:v>0.77471123890745675</c:v>
                </c:pt>
                <c:pt idx="902">
                  <c:v>0.6605993806469912</c:v>
                </c:pt>
                <c:pt idx="903">
                  <c:v>0.33502363446128763</c:v>
                </c:pt>
                <c:pt idx="904">
                  <c:v>0.64515404277781263</c:v>
                </c:pt>
                <c:pt idx="905">
                  <c:v>0.40918770029892282</c:v>
                </c:pt>
                <c:pt idx="906">
                  <c:v>0.83900022269169172</c:v>
                </c:pt>
                <c:pt idx="907">
                  <c:v>1.1210794613627826</c:v>
                </c:pt>
                <c:pt idx="908">
                  <c:v>0.73521960709566903</c:v>
                </c:pt>
                <c:pt idx="909">
                  <c:v>0.48352950555054114</c:v>
                </c:pt>
                <c:pt idx="910">
                  <c:v>0.71392905128698614</c:v>
                </c:pt>
                <c:pt idx="911">
                  <c:v>0.46060418595253944</c:v>
                </c:pt>
                <c:pt idx="912">
                  <c:v>0.15041039952111979</c:v>
                </c:pt>
                <c:pt idx="913">
                  <c:v>0.39297656065196912</c:v>
                </c:pt>
                <c:pt idx="914">
                  <c:v>0.57307751604361246</c:v>
                </c:pt>
                <c:pt idx="915">
                  <c:v>0.39757885783946062</c:v>
                </c:pt>
                <c:pt idx="916">
                  <c:v>0.63969677084322973</c:v>
                </c:pt>
                <c:pt idx="917">
                  <c:v>0.45070516181575282</c:v>
                </c:pt>
                <c:pt idx="918">
                  <c:v>0.54408274977673821</c:v>
                </c:pt>
                <c:pt idx="919">
                  <c:v>0.43685903909876261</c:v>
                </c:pt>
                <c:pt idx="920">
                  <c:v>1.0643050742687998</c:v>
                </c:pt>
                <c:pt idx="921">
                  <c:v>0.88381234508360795</c:v>
                </c:pt>
                <c:pt idx="922">
                  <c:v>0.29852171391136745</c:v>
                </c:pt>
                <c:pt idx="923">
                  <c:v>0.63500725857056795</c:v>
                </c:pt>
                <c:pt idx="924">
                  <c:v>9.3176620056494908E-2</c:v>
                </c:pt>
                <c:pt idx="925">
                  <c:v>0.7676635337242308</c:v>
                </c:pt>
                <c:pt idx="926">
                  <c:v>0.27838725284774268</c:v>
                </c:pt>
                <c:pt idx="927">
                  <c:v>0.10483266110143358</c:v>
                </c:pt>
                <c:pt idx="928">
                  <c:v>0.44295416668360654</c:v>
                </c:pt>
                <c:pt idx="929">
                  <c:v>0.46422976284888462</c:v>
                </c:pt>
                <c:pt idx="930">
                  <c:v>0.50528696034577514</c:v>
                </c:pt>
                <c:pt idx="931">
                  <c:v>0.40592353919012547</c:v>
                </c:pt>
                <c:pt idx="932">
                  <c:v>0.26732414778174929</c:v>
                </c:pt>
                <c:pt idx="933">
                  <c:v>0.32909231536224537</c:v>
                </c:pt>
                <c:pt idx="934">
                  <c:v>0.79161305001718274</c:v>
                </c:pt>
                <c:pt idx="935">
                  <c:v>0.36005979822573347</c:v>
                </c:pt>
                <c:pt idx="936">
                  <c:v>0.1260602844837122</c:v>
                </c:pt>
                <c:pt idx="937">
                  <c:v>0.47415995761348845</c:v>
                </c:pt>
                <c:pt idx="938">
                  <c:v>0.32037803548818033</c:v>
                </c:pt>
                <c:pt idx="939">
                  <c:v>0.68605874776668418</c:v>
                </c:pt>
                <c:pt idx="940">
                  <c:v>0.49287452693104389</c:v>
                </c:pt>
                <c:pt idx="941">
                  <c:v>0.34757072405756106</c:v>
                </c:pt>
                <c:pt idx="942">
                  <c:v>0.82395803300160719</c:v>
                </c:pt>
                <c:pt idx="943">
                  <c:v>0.69776043764192719</c:v>
                </c:pt>
                <c:pt idx="944">
                  <c:v>0.42096824803918514</c:v>
                </c:pt>
                <c:pt idx="945">
                  <c:v>0.70064718027024786</c:v>
                </c:pt>
                <c:pt idx="946">
                  <c:v>0.40930744907899075</c:v>
                </c:pt>
                <c:pt idx="947">
                  <c:v>0.53276921246226738</c:v>
                </c:pt>
                <c:pt idx="948">
                  <c:v>0.47440681424068293</c:v>
                </c:pt>
                <c:pt idx="949">
                  <c:v>0.76620431225916485</c:v>
                </c:pt>
                <c:pt idx="950">
                  <c:v>0.57010917828353469</c:v>
                </c:pt>
                <c:pt idx="951">
                  <c:v>0.29416715032921054</c:v>
                </c:pt>
                <c:pt idx="952">
                  <c:v>0.81491339087367498</c:v>
                </c:pt>
                <c:pt idx="953">
                  <c:v>0.58245666292087594</c:v>
                </c:pt>
                <c:pt idx="954">
                  <c:v>0.36251569853808857</c:v>
                </c:pt>
                <c:pt idx="955">
                  <c:v>0.47062142758325282</c:v>
                </c:pt>
                <c:pt idx="956">
                  <c:v>0.81327207855900063</c:v>
                </c:pt>
                <c:pt idx="957">
                  <c:v>0.32580414092704507</c:v>
                </c:pt>
                <c:pt idx="958">
                  <c:v>0.55295734815422593</c:v>
                </c:pt>
                <c:pt idx="959">
                  <c:v>0.26471653862678368</c:v>
                </c:pt>
                <c:pt idx="960">
                  <c:v>0.53640212719516367</c:v>
                </c:pt>
                <c:pt idx="961">
                  <c:v>0.60088836904456866</c:v>
                </c:pt>
                <c:pt idx="962">
                  <c:v>0.42531371659521555</c:v>
                </c:pt>
                <c:pt idx="963">
                  <c:v>0.40038386508779644</c:v>
                </c:pt>
                <c:pt idx="964">
                  <c:v>0.54154919958330139</c:v>
                </c:pt>
                <c:pt idx="965">
                  <c:v>0.52786294412697354</c:v>
                </c:pt>
                <c:pt idx="966">
                  <c:v>0.48954540387520706</c:v>
                </c:pt>
                <c:pt idx="967">
                  <c:v>0.54791732229943335</c:v>
                </c:pt>
                <c:pt idx="968">
                  <c:v>0.33129666542026848</c:v>
                </c:pt>
                <c:pt idx="969">
                  <c:v>0.44193722259651508</c:v>
                </c:pt>
                <c:pt idx="970">
                  <c:v>0.43390866251032945</c:v>
                </c:pt>
                <c:pt idx="971">
                  <c:v>0.52364049937251889</c:v>
                </c:pt>
                <c:pt idx="972">
                  <c:v>0.61569250677275822</c:v>
                </c:pt>
                <c:pt idx="973">
                  <c:v>0.65565020544819153</c:v>
                </c:pt>
                <c:pt idx="974">
                  <c:v>0.39035991150143479</c:v>
                </c:pt>
                <c:pt idx="975">
                  <c:v>0.40756278433747678</c:v>
                </c:pt>
                <c:pt idx="976">
                  <c:v>0.60735763867844283</c:v>
                </c:pt>
                <c:pt idx="977">
                  <c:v>0.84870572301117342</c:v>
                </c:pt>
                <c:pt idx="978">
                  <c:v>0.40756153209445412</c:v>
                </c:pt>
                <c:pt idx="979">
                  <c:v>0.75875106915186386</c:v>
                </c:pt>
                <c:pt idx="980">
                  <c:v>0.58999250578082985</c:v>
                </c:pt>
                <c:pt idx="981">
                  <c:v>0.62595187450672962</c:v>
                </c:pt>
                <c:pt idx="982">
                  <c:v>0.43759087577921058</c:v>
                </c:pt>
                <c:pt idx="983">
                  <c:v>0.50811982970579961</c:v>
                </c:pt>
                <c:pt idx="984">
                  <c:v>0.5991309587031618</c:v>
                </c:pt>
                <c:pt idx="985">
                  <c:v>0.52220526094404462</c:v>
                </c:pt>
                <c:pt idx="986">
                  <c:v>0.54943006434844299</c:v>
                </c:pt>
                <c:pt idx="987">
                  <c:v>0.74670254442523532</c:v>
                </c:pt>
                <c:pt idx="988">
                  <c:v>0.33249668186512937</c:v>
                </c:pt>
                <c:pt idx="989">
                  <c:v>0.75789100999646042</c:v>
                </c:pt>
                <c:pt idx="990">
                  <c:v>0.47749209653083996</c:v>
                </c:pt>
                <c:pt idx="991">
                  <c:v>0.7333786385541452</c:v>
                </c:pt>
                <c:pt idx="992">
                  <c:v>0.74359520848424365</c:v>
                </c:pt>
                <c:pt idx="993">
                  <c:v>0.36792823375786532</c:v>
                </c:pt>
                <c:pt idx="994">
                  <c:v>0.62414880785635285</c:v>
                </c:pt>
                <c:pt idx="995">
                  <c:v>0.26411672718828372</c:v>
                </c:pt>
                <c:pt idx="996">
                  <c:v>0.37902761012746422</c:v>
                </c:pt>
                <c:pt idx="997">
                  <c:v>0.29589534007990392</c:v>
                </c:pt>
                <c:pt idx="998">
                  <c:v>0.54041520344787397</c:v>
                </c:pt>
                <c:pt idx="999">
                  <c:v>0.31740390422396098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00-4031-BE03-9532BFE9E61B}"/>
            </c:ext>
          </c:extLst>
        </c:ser>
        <c:ser>
          <c:idx val="2"/>
          <c:order val="2"/>
          <c:tx>
            <c:strRef>
              <c:f>Localization!$B$53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tx1"/>
              </a:solidFill>
            </c:spPr>
          </c:marker>
          <c:xVal>
            <c:numRef>
              <c:f>Process!$C$2</c:f>
              <c:numCache>
                <c:formatCode>General</c:formatCode>
                <c:ptCount val="1"/>
                <c:pt idx="0">
                  <c:v>4.6400552324080023E-5</c:v>
                </c:pt>
              </c:numCache>
            </c:numRef>
          </c:xVal>
          <c:yVal>
            <c:numRef>
              <c:f>Process!$B$2</c:f>
              <c:numCache>
                <c:formatCode>General</c:formatCode>
                <c:ptCount val="1"/>
                <c:pt idx="0">
                  <c:v>0.51520554272849406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00-4031-BE03-9532BFE9E61B}"/>
            </c:ext>
          </c:extLst>
        </c:ser>
        <c:ser>
          <c:idx val="5"/>
          <c:order val="5"/>
          <c:tx>
            <c:strRef>
              <c:f>'Cost-effectiveness'!$B$10</c:f>
              <c:strCache>
                <c:ptCount val="1"/>
                <c:pt idx="0">
                  <c:v>Confidence ellipse 95%</c:v>
                </c:pt>
              </c:strCache>
            </c:strRef>
          </c:tx>
          <c:spPr>
            <a:ln w="28575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'Cost-effectiveness'!$C$16:$C$41</c:f>
              <c:numCache>
                <c:formatCode>General</c:formatCode>
                <c:ptCount val="26"/>
                <c:pt idx="0">
                  <c:v>1.1377971616389447E-4</c:v>
                </c:pt>
                <c:pt idx="1">
                  <c:v>1.0047417988021299E-4</c:v>
                </c:pt>
                <c:pt idx="2">
                  <c:v>8.513973788146986E-5</c:v>
                </c:pt>
                <c:pt idx="3">
                  <c:v>6.8739909554578797E-5</c:v>
                </c:pt>
                <c:pt idx="4">
                  <c:v>5.230515642766794E-5</c:v>
                </c:pt>
                <c:pt idx="5">
                  <c:v>3.6868134482495019E-5</c:v>
                </c:pt>
                <c:pt idx="6">
                  <c:v>2.3398808581270613E-5</c:v>
                </c:pt>
                <c:pt idx="7">
                  <c:v>1.2743506007084164E-5</c:v>
                </c:pt>
                <c:pt idx="8">
                  <c:v>5.5717386081334676E-6</c:v>
                </c:pt>
                <c:pt idx="9">
                  <c:v>2.334134906010064E-6</c:v>
                </c:pt>
                <c:pt idx="10">
                  <c:v>3.2341254483918578E-6</c:v>
                </c:pt>
                <c:pt idx="11">
                  <c:v>8.2151605195673395E-6</c:v>
                </c:pt>
                <c:pt idx="12">
                  <c:v>1.6964263367048976E-5</c:v>
                </c:pt>
                <c:pt idx="13">
                  <c:v>2.8931695681980052E-5</c:v>
                </c:pt>
                <c:pt idx="14">
                  <c:v>4.3365499678876186E-5</c:v>
                </c:pt>
                <c:pt idx="15">
                  <c:v>5.9358746368794483E-5</c:v>
                </c:pt>
                <c:pt idx="16">
                  <c:v>7.5906521243160614E-5</c:v>
                </c:pt>
                <c:pt idx="17">
                  <c:v>9.1969066748159232E-5</c:v>
                </c:pt>
                <c:pt idx="18">
                  <c:v>1.0653711407580121E-4</c:v>
                </c:pt>
                <c:pt idx="19">
                  <c:v>1.186952992349605E-4</c:v>
                </c:pt>
                <c:pt idx="20">
                  <c:v>1.2767967873740998E-4</c:v>
                </c:pt>
                <c:pt idx="21">
                  <c:v>1.3292573097677427E-4</c:v>
                </c:pt>
                <c:pt idx="22">
                  <c:v>1.3410382719722359E-4</c:v>
                </c:pt>
                <c:pt idx="23">
                  <c:v>1.3113994328049224E-4</c:v>
                </c:pt>
                <c:pt idx="24">
                  <c:v>1.2422031095347109E-4</c:v>
                </c:pt>
                <c:pt idx="25">
                  <c:v>1.1377971616389435E-4</c:v>
                </c:pt>
              </c:numCache>
            </c:numRef>
          </c:xVal>
          <c:yVal>
            <c:numRef>
              <c:f>'Cost-effectiveness'!$E$16:$E$41</c:f>
              <c:numCache>
                <c:formatCode>General</c:formatCode>
                <c:ptCount val="26"/>
                <c:pt idx="0">
                  <c:v>0.72416450414923594</c:v>
                </c:pt>
                <c:pt idx="1">
                  <c:v>0.77201241326702252</c:v>
                </c:pt>
                <c:pt idx="2">
                  <c:v>0.80372420223927021</c:v>
                </c:pt>
                <c:pt idx="3">
                  <c:v>0.81730730273705121</c:v>
                </c:pt>
                <c:pt idx="4">
                  <c:v>0.81190823860094052</c:v>
                </c:pt>
                <c:pt idx="5">
                  <c:v>0.78786625288697909</c:v>
                </c:pt>
                <c:pt idx="6">
                  <c:v>0.74669199197781333</c:v>
                </c:pt>
                <c:pt idx="7">
                  <c:v>0.69097258611470525</c:v>
                </c:pt>
                <c:pt idx="8">
                  <c:v>0.62420909048967421</c:v>
                </c:pt>
                <c:pt idx="9">
                  <c:v>0.55059650107180202</c:v>
                </c:pt>
                <c:pt idx="10">
                  <c:v>0.47476016758237982</c:v>
                </c:pt>
                <c:pt idx="11">
                  <c:v>0.40146516576107266</c:v>
                </c:pt>
                <c:pt idx="12">
                  <c:v>0.33531689013247401</c:v>
                </c:pt>
                <c:pt idx="13">
                  <c:v>0.28047168013066892</c:v>
                </c:pt>
                <c:pt idx="14">
                  <c:v>0.24037566200664362</c:v>
                </c:pt>
                <c:pt idx="15">
                  <c:v>0.21754821604197017</c:v>
                </c:pt>
                <c:pt idx="16">
                  <c:v>0.21342367462008255</c:v>
                </c:pt>
                <c:pt idx="17">
                  <c:v>0.2282611978475203</c:v>
                </c:pt>
                <c:pt idx="18">
                  <c:v>0.26112848957131024</c:v>
                </c:pt>
                <c:pt idx="19">
                  <c:v>0.30996037697500317</c:v>
                </c:pt>
                <c:pt idx="20">
                  <c:v>0.37168857298190572</c:v>
                </c:pt>
                <c:pt idx="21">
                  <c:v>0.44243446801647973</c:v>
                </c:pt>
                <c:pt idx="22">
                  <c:v>0.51775283730850108</c:v>
                </c:pt>
                <c:pt idx="23">
                  <c:v>0.59291115071376654</c:v>
                </c:pt>
                <c:pt idx="24">
                  <c:v>0.66318693498808179</c:v>
                </c:pt>
                <c:pt idx="25">
                  <c:v>0.72416450414923639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00-4031-BE03-9532BFE9E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4880"/>
        <c:axId val="384447176"/>
      </c:scatterChart>
      <c:valAx>
        <c:axId val="357504880"/>
        <c:scaling>
          <c:orientation val="minMax"/>
          <c:max val="3.500000000000001E-4"/>
          <c:min val="-5.0000000000000023E-5"/>
        </c:scaling>
        <c:delete val="0"/>
        <c:axPos val="b"/>
        <c:title>
          <c:tx>
            <c:strRef>
              <c:f>Localization!$B$5</c:f>
              <c:strCache>
                <c:ptCount val="1"/>
                <c:pt idx="0">
                  <c:v>Effectiveness</c:v>
                </c:pt>
              </c:strCache>
            </c:strRef>
          </c:tx>
          <c:layout>
            <c:manualLayout>
              <c:xMode val="edge"/>
              <c:yMode val="edge"/>
              <c:x val="0.47357992094663587"/>
              <c:y val="0.8295067060139034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4447176"/>
        <c:crosses val="autoZero"/>
        <c:crossBetween val="midCat"/>
      </c:valAx>
      <c:valAx>
        <c:axId val="384447176"/>
        <c:scaling>
          <c:orientation val="minMax"/>
          <c:max val="2"/>
          <c:min val="-0.5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Localization!$B$4</c:f>
              <c:strCache>
                <c:ptCount val="1"/>
                <c:pt idx="0">
                  <c:v>Cost</c:v>
                </c:pt>
              </c:strCache>
            </c:strRef>
          </c:tx>
          <c:layout>
            <c:manualLayout>
              <c:xMode val="edge"/>
              <c:yMode val="edge"/>
              <c:x val="2.1648454909686501E-2"/>
              <c:y val="0.41476068558961487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/>
              </a:pPr>
              <a:endParaRPr lang="es-ES"/>
            </a:p>
          </c:txPr>
        </c:title>
        <c:numFmt formatCode="#,##0.0\ &quot;€&quot;" sourceLinked="0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 lang="en-GB"/>
            </a:pPr>
            <a:endParaRPr lang="es-ES"/>
          </a:p>
        </c:txPr>
        <c:crossAx val="35750488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5.3463752591785214E-2"/>
          <c:y val="0.88287986320363321"/>
          <c:w val="0.92887186088612428"/>
          <c:h val="0.10779177630346699"/>
        </c:manualLayout>
      </c:layout>
      <c:overlay val="0"/>
      <c:txPr>
        <a:bodyPr/>
        <a:lstStyle/>
        <a:p>
          <a:pPr>
            <a:defRPr lang="en-GB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016135430953392E-2"/>
          <c:y val="3.98927527338142E-2"/>
          <c:w val="0.80760823112724278"/>
          <c:h val="0.79202844553003593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'Cost-effectiveness'!$C$3</c:f>
              <c:strCache>
                <c:ptCount val="1"/>
                <c:pt idx="0">
                  <c:v>Willingness to pay 30,000</c:v>
                </c:pt>
              </c:strCache>
            </c:strRef>
          </c:tx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'Cost-effectiveness'!$C$6:$C$7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23-4846-B3FA-3D1D2CAE916A}"/>
            </c:ext>
          </c:extLst>
        </c:ser>
        <c:ser>
          <c:idx val="3"/>
          <c:order val="4"/>
          <c:tx>
            <c:strRef>
              <c:f>'Cost-effectiveness'!$D$3</c:f>
              <c:strCache>
                <c:ptCount val="1"/>
                <c:pt idx="0">
                  <c:v>Willingness to pay 20,000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'Cost-effectiveness'!$D$6:$D$7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23-4846-B3FA-3D1D2CAE916A}"/>
            </c:ext>
          </c:extLst>
        </c:ser>
        <c:ser>
          <c:idx val="4"/>
          <c:order val="5"/>
          <c:tx>
            <c:strRef>
              <c:f>'Cost-effectiveness'!$E$3</c:f>
              <c:strCache>
                <c:ptCount val="1"/>
                <c:pt idx="0">
                  <c:v>Willingness to pay 10,000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'Cost-effectiveness'!$E$6:$E$7</c:f>
              <c:numCache>
                <c:formatCode>General</c:formatCode>
                <c:ptCount val="2"/>
                <c:pt idx="0">
                  <c:v>-5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23-4846-B3FA-3D1D2CAE9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447960"/>
        <c:axId val="384448352"/>
      </c:scatterChart>
      <c:scatterChart>
        <c:scatterStyle val="lineMarker"/>
        <c:varyColors val="0"/>
        <c:ser>
          <c:idx val="0"/>
          <c:order val="0"/>
          <c:tx>
            <c:strRef>
              <c:f>Localization!$B$72</c:f>
              <c:strCache>
                <c:ptCount val="1"/>
                <c:pt idx="0">
                  <c:v>MC simulations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chemeClr val="tx2"/>
              </a:solidFill>
              <a:ln>
                <a:noFill/>
                <a:prstDash val="solid"/>
              </a:ln>
            </c:spPr>
          </c:marker>
          <c:xVal>
            <c:numRef>
              <c:f>Process!$C$12:$C$1011</c:f>
              <c:numCache>
                <c:formatCode>General</c:formatCode>
                <c:ptCount val="1000"/>
                <c:pt idx="0">
                  <c:v>9.94383410350963E-5</c:v>
                </c:pt>
                <c:pt idx="1">
                  <c:v>4.7404845300746956E-5</c:v>
                </c:pt>
                <c:pt idx="2">
                  <c:v>1.0989490561996718E-5</c:v>
                </c:pt>
                <c:pt idx="3">
                  <c:v>9.1935887880367773E-6</c:v>
                </c:pt>
                <c:pt idx="4">
                  <c:v>5.0089708878431338E-6</c:v>
                </c:pt>
                <c:pt idx="5">
                  <c:v>1.5006695704755657E-5</c:v>
                </c:pt>
                <c:pt idx="6">
                  <c:v>2.8068164667161E-5</c:v>
                </c:pt>
                <c:pt idx="7">
                  <c:v>1.2315164018161795E-4</c:v>
                </c:pt>
                <c:pt idx="8">
                  <c:v>4.5990439559773222E-5</c:v>
                </c:pt>
                <c:pt idx="9">
                  <c:v>5.0186234677340735E-5</c:v>
                </c:pt>
                <c:pt idx="10">
                  <c:v>1.0057051471434875E-4</c:v>
                </c:pt>
                <c:pt idx="11">
                  <c:v>3.5904727575086781E-5</c:v>
                </c:pt>
                <c:pt idx="12">
                  <c:v>4.4777055482114747E-5</c:v>
                </c:pt>
                <c:pt idx="13">
                  <c:v>7.9645293098451475E-6</c:v>
                </c:pt>
                <c:pt idx="14">
                  <c:v>4.3453302200902044E-5</c:v>
                </c:pt>
                <c:pt idx="15">
                  <c:v>4.0905236335930795E-5</c:v>
                </c:pt>
                <c:pt idx="16">
                  <c:v>1.7025859744279614E-5</c:v>
                </c:pt>
                <c:pt idx="17">
                  <c:v>3.5864573021626711E-5</c:v>
                </c:pt>
                <c:pt idx="18">
                  <c:v>5.7515273105934739E-5</c:v>
                </c:pt>
                <c:pt idx="19">
                  <c:v>3.3011301670882176E-5</c:v>
                </c:pt>
                <c:pt idx="20">
                  <c:v>5.1892527146435441E-6</c:v>
                </c:pt>
                <c:pt idx="21">
                  <c:v>8.7564530453221323E-6</c:v>
                </c:pt>
                <c:pt idx="22">
                  <c:v>4.8596935400269103E-6</c:v>
                </c:pt>
                <c:pt idx="23">
                  <c:v>3.2780132208642954E-5</c:v>
                </c:pt>
                <c:pt idx="24">
                  <c:v>2.0340771747839881E-5</c:v>
                </c:pt>
                <c:pt idx="25">
                  <c:v>4.9158901369139585E-5</c:v>
                </c:pt>
                <c:pt idx="26">
                  <c:v>9.953211570490339E-6</c:v>
                </c:pt>
                <c:pt idx="27">
                  <c:v>3.2726666798765791E-5</c:v>
                </c:pt>
                <c:pt idx="28">
                  <c:v>5.1504695441906279E-6</c:v>
                </c:pt>
                <c:pt idx="29">
                  <c:v>9.181452748308061E-5</c:v>
                </c:pt>
                <c:pt idx="30">
                  <c:v>2.858553837725708E-5</c:v>
                </c:pt>
                <c:pt idx="31">
                  <c:v>3.1817814161172464E-6</c:v>
                </c:pt>
                <c:pt idx="32">
                  <c:v>1.8090862802466745E-5</c:v>
                </c:pt>
                <c:pt idx="33">
                  <c:v>5.8726191834779229E-5</c:v>
                </c:pt>
                <c:pt idx="34">
                  <c:v>1.5681217892193899E-5</c:v>
                </c:pt>
                <c:pt idx="35">
                  <c:v>5.538963375428807E-5</c:v>
                </c:pt>
                <c:pt idx="36">
                  <c:v>5.0936788444033709E-5</c:v>
                </c:pt>
                <c:pt idx="37">
                  <c:v>3.889670148637947E-5</c:v>
                </c:pt>
                <c:pt idx="38">
                  <c:v>7.0427934666383862E-6</c:v>
                </c:pt>
                <c:pt idx="39">
                  <c:v>2.6153056399635943E-5</c:v>
                </c:pt>
                <c:pt idx="40">
                  <c:v>8.2065034977318874E-5</c:v>
                </c:pt>
                <c:pt idx="41">
                  <c:v>5.7468083298317651E-5</c:v>
                </c:pt>
                <c:pt idx="42">
                  <c:v>8.7589402820498208E-5</c:v>
                </c:pt>
                <c:pt idx="43">
                  <c:v>7.4234335308176469E-5</c:v>
                </c:pt>
                <c:pt idx="44">
                  <c:v>2.1335440955283502E-5</c:v>
                </c:pt>
                <c:pt idx="45">
                  <c:v>2.5573485022079012E-5</c:v>
                </c:pt>
                <c:pt idx="46">
                  <c:v>2.726156600374452E-5</c:v>
                </c:pt>
                <c:pt idx="47">
                  <c:v>4.9949010808347793E-5</c:v>
                </c:pt>
                <c:pt idx="48">
                  <c:v>5.1270598319774763E-5</c:v>
                </c:pt>
                <c:pt idx="49">
                  <c:v>8.8253500116763917E-6</c:v>
                </c:pt>
                <c:pt idx="50">
                  <c:v>2.8545929300349826E-5</c:v>
                </c:pt>
                <c:pt idx="51">
                  <c:v>7.2927114597831633E-5</c:v>
                </c:pt>
                <c:pt idx="52">
                  <c:v>2.6574194741613155E-5</c:v>
                </c:pt>
                <c:pt idx="53">
                  <c:v>2.0052975461481992E-5</c:v>
                </c:pt>
                <c:pt idx="54">
                  <c:v>5.4464110380791908E-5</c:v>
                </c:pt>
                <c:pt idx="55">
                  <c:v>6.4031422049026787E-6</c:v>
                </c:pt>
                <c:pt idx="56">
                  <c:v>3.8605833413640767E-5</c:v>
                </c:pt>
                <c:pt idx="57">
                  <c:v>8.4920958869361129E-6</c:v>
                </c:pt>
                <c:pt idx="58">
                  <c:v>5.3179955450843863E-5</c:v>
                </c:pt>
                <c:pt idx="59">
                  <c:v>1.5767922000975432E-5</c:v>
                </c:pt>
                <c:pt idx="60">
                  <c:v>4.0951932341215525E-5</c:v>
                </c:pt>
                <c:pt idx="61">
                  <c:v>8.1242628969135922E-5</c:v>
                </c:pt>
                <c:pt idx="62">
                  <c:v>1.1520292773070651E-5</c:v>
                </c:pt>
                <c:pt idx="63">
                  <c:v>5.0046698589767402E-6</c:v>
                </c:pt>
                <c:pt idx="64">
                  <c:v>4.5693582002570565E-6</c:v>
                </c:pt>
                <c:pt idx="65">
                  <c:v>9.6416824035827631E-6</c:v>
                </c:pt>
                <c:pt idx="66">
                  <c:v>4.8419770603658208E-5</c:v>
                </c:pt>
                <c:pt idx="67">
                  <c:v>1.3920056353100563E-4</c:v>
                </c:pt>
                <c:pt idx="68">
                  <c:v>1.6183240102662921E-5</c:v>
                </c:pt>
                <c:pt idx="69">
                  <c:v>1.4506495364940974E-5</c:v>
                </c:pt>
                <c:pt idx="70">
                  <c:v>4.7804105314241951E-6</c:v>
                </c:pt>
                <c:pt idx="71">
                  <c:v>7.8609863116696488E-6</c:v>
                </c:pt>
                <c:pt idx="72">
                  <c:v>4.4825411773530277E-5</c:v>
                </c:pt>
                <c:pt idx="73">
                  <c:v>6.4508646055116969E-5</c:v>
                </c:pt>
                <c:pt idx="74">
                  <c:v>5.316661960108604E-5</c:v>
                </c:pt>
                <c:pt idx="75">
                  <c:v>6.8517313295046733E-5</c:v>
                </c:pt>
                <c:pt idx="76">
                  <c:v>5.9058988238547272E-5</c:v>
                </c:pt>
                <c:pt idx="77">
                  <c:v>4.6362047356751646E-6</c:v>
                </c:pt>
                <c:pt idx="78">
                  <c:v>2.2223768006313094E-5</c:v>
                </c:pt>
                <c:pt idx="79">
                  <c:v>4.9630566941516463E-5</c:v>
                </c:pt>
                <c:pt idx="80">
                  <c:v>2.0659195932637431E-5</c:v>
                </c:pt>
                <c:pt idx="81">
                  <c:v>1.1873676953655377E-5</c:v>
                </c:pt>
                <c:pt idx="82">
                  <c:v>1.3664648058409057E-5</c:v>
                </c:pt>
                <c:pt idx="83">
                  <c:v>7.9118486482343542E-6</c:v>
                </c:pt>
                <c:pt idx="84">
                  <c:v>1.6298614820442481E-5</c:v>
                </c:pt>
                <c:pt idx="85">
                  <c:v>1.4909343260072205E-4</c:v>
                </c:pt>
                <c:pt idx="86">
                  <c:v>9.0569689842112666E-5</c:v>
                </c:pt>
                <c:pt idx="87">
                  <c:v>1.9307257467460204E-5</c:v>
                </c:pt>
                <c:pt idx="88">
                  <c:v>3.0424426853414843E-6</c:v>
                </c:pt>
                <c:pt idx="89">
                  <c:v>3.0598650769420033E-4</c:v>
                </c:pt>
                <c:pt idx="90">
                  <c:v>7.3639686739568333E-5</c:v>
                </c:pt>
                <c:pt idx="91">
                  <c:v>9.628213496881699E-5</c:v>
                </c:pt>
                <c:pt idx="92">
                  <c:v>3.4277203045718352E-5</c:v>
                </c:pt>
                <c:pt idx="93">
                  <c:v>3.0489757516960481E-5</c:v>
                </c:pt>
                <c:pt idx="94">
                  <c:v>7.8432630807867554E-5</c:v>
                </c:pt>
                <c:pt idx="95">
                  <c:v>1.0120836446247949E-4</c:v>
                </c:pt>
                <c:pt idx="96">
                  <c:v>2.2261141946700036E-5</c:v>
                </c:pt>
                <c:pt idx="97">
                  <c:v>2.5018615378513687E-5</c:v>
                </c:pt>
                <c:pt idx="98">
                  <c:v>3.6179774884459448E-5</c:v>
                </c:pt>
                <c:pt idx="99">
                  <c:v>1.2114760828296767E-5</c:v>
                </c:pt>
                <c:pt idx="100">
                  <c:v>1.2123980468459195E-5</c:v>
                </c:pt>
                <c:pt idx="101">
                  <c:v>7.493723451545975E-6</c:v>
                </c:pt>
                <c:pt idx="102">
                  <c:v>1.2750924437199274E-5</c:v>
                </c:pt>
                <c:pt idx="103">
                  <c:v>1.6996585525674845E-5</c:v>
                </c:pt>
                <c:pt idx="104">
                  <c:v>6.5934225116137668E-5</c:v>
                </c:pt>
                <c:pt idx="105">
                  <c:v>2.124421447646796E-5</c:v>
                </c:pt>
                <c:pt idx="106">
                  <c:v>9.2826605651907812E-5</c:v>
                </c:pt>
                <c:pt idx="107">
                  <c:v>1.049182529655468E-5</c:v>
                </c:pt>
                <c:pt idx="108">
                  <c:v>3.6299180898424765E-5</c:v>
                </c:pt>
                <c:pt idx="109">
                  <c:v>1.1574275742276541E-5</c:v>
                </c:pt>
                <c:pt idx="110">
                  <c:v>2.7358080927797346E-5</c:v>
                </c:pt>
                <c:pt idx="111">
                  <c:v>2.835508650989027E-5</c:v>
                </c:pt>
                <c:pt idx="112">
                  <c:v>1.7638021585497654E-5</c:v>
                </c:pt>
                <c:pt idx="113">
                  <c:v>8.5652884493470083E-5</c:v>
                </c:pt>
                <c:pt idx="114">
                  <c:v>2.1150099708933112E-5</c:v>
                </c:pt>
                <c:pt idx="115">
                  <c:v>3.8403075887316618E-5</c:v>
                </c:pt>
                <c:pt idx="116">
                  <c:v>8.8291083528702075E-6</c:v>
                </c:pt>
                <c:pt idx="117">
                  <c:v>2.438477392630034E-5</c:v>
                </c:pt>
                <c:pt idx="118">
                  <c:v>3.3075946276994728E-5</c:v>
                </c:pt>
                <c:pt idx="119">
                  <c:v>7.9549273941381671E-6</c:v>
                </c:pt>
                <c:pt idx="120">
                  <c:v>4.9663673767241789E-5</c:v>
                </c:pt>
                <c:pt idx="121">
                  <c:v>7.476975056874835E-6</c:v>
                </c:pt>
                <c:pt idx="122">
                  <c:v>9.7796679874306847E-6</c:v>
                </c:pt>
                <c:pt idx="123">
                  <c:v>3.3684909261921803E-5</c:v>
                </c:pt>
                <c:pt idx="124">
                  <c:v>5.9423267515512634E-6</c:v>
                </c:pt>
                <c:pt idx="125">
                  <c:v>2.7674361113838586E-6</c:v>
                </c:pt>
                <c:pt idx="126">
                  <c:v>5.0659511124706569E-5</c:v>
                </c:pt>
                <c:pt idx="127">
                  <c:v>3.4211243978177208E-5</c:v>
                </c:pt>
                <c:pt idx="128">
                  <c:v>2.9161864020466055E-5</c:v>
                </c:pt>
                <c:pt idx="129">
                  <c:v>4.3772544032094629E-5</c:v>
                </c:pt>
                <c:pt idx="130">
                  <c:v>6.6438662795320624E-5</c:v>
                </c:pt>
                <c:pt idx="131">
                  <c:v>1.2622521378347074E-5</c:v>
                </c:pt>
                <c:pt idx="132">
                  <c:v>5.0308140448152017E-5</c:v>
                </c:pt>
                <c:pt idx="133">
                  <c:v>7.7394182113721399E-5</c:v>
                </c:pt>
                <c:pt idx="134">
                  <c:v>4.1227964768353331E-5</c:v>
                </c:pt>
                <c:pt idx="135">
                  <c:v>8.7137590291774814E-5</c:v>
                </c:pt>
                <c:pt idx="136">
                  <c:v>1.2129717065079149E-4</c:v>
                </c:pt>
                <c:pt idx="137">
                  <c:v>2.726275076625484E-5</c:v>
                </c:pt>
                <c:pt idx="138">
                  <c:v>8.2760072217524794E-5</c:v>
                </c:pt>
                <c:pt idx="139">
                  <c:v>4.218432328073618E-5</c:v>
                </c:pt>
                <c:pt idx="140">
                  <c:v>4.0400576004628874E-6</c:v>
                </c:pt>
                <c:pt idx="141">
                  <c:v>3.1672859755360605E-5</c:v>
                </c:pt>
                <c:pt idx="142">
                  <c:v>7.2219569972276076E-5</c:v>
                </c:pt>
                <c:pt idx="143">
                  <c:v>1.7886760620200448E-5</c:v>
                </c:pt>
                <c:pt idx="144">
                  <c:v>5.0688870196324842E-5</c:v>
                </c:pt>
                <c:pt idx="145">
                  <c:v>2.4895245829270607E-5</c:v>
                </c:pt>
                <c:pt idx="146">
                  <c:v>2.3498775185260001E-5</c:v>
                </c:pt>
                <c:pt idx="147">
                  <c:v>4.7068721983123396E-5</c:v>
                </c:pt>
                <c:pt idx="148">
                  <c:v>4.687838635319963E-5</c:v>
                </c:pt>
                <c:pt idx="149">
                  <c:v>2.5886944349906571E-5</c:v>
                </c:pt>
                <c:pt idx="150">
                  <c:v>3.2629107600712359E-5</c:v>
                </c:pt>
                <c:pt idx="151">
                  <c:v>3.0793888697644434E-5</c:v>
                </c:pt>
                <c:pt idx="152">
                  <c:v>4.7117248481498564E-5</c:v>
                </c:pt>
                <c:pt idx="153">
                  <c:v>2.9047349485722407E-5</c:v>
                </c:pt>
                <c:pt idx="154">
                  <c:v>5.9526893991801444E-5</c:v>
                </c:pt>
                <c:pt idx="155">
                  <c:v>6.7262971811032912E-5</c:v>
                </c:pt>
                <c:pt idx="156">
                  <c:v>3.0094981283923516E-5</c:v>
                </c:pt>
                <c:pt idx="157">
                  <c:v>1.6008869039296769E-5</c:v>
                </c:pt>
                <c:pt idx="158">
                  <c:v>1.7604228712997383E-5</c:v>
                </c:pt>
                <c:pt idx="159">
                  <c:v>2.0027289806989756E-5</c:v>
                </c:pt>
                <c:pt idx="160">
                  <c:v>1.3889536803901592E-4</c:v>
                </c:pt>
                <c:pt idx="161">
                  <c:v>1.5915712996417142E-5</c:v>
                </c:pt>
                <c:pt idx="162">
                  <c:v>4.1015423473567125E-5</c:v>
                </c:pt>
                <c:pt idx="163">
                  <c:v>1.2435489590956195E-5</c:v>
                </c:pt>
                <c:pt idx="164">
                  <c:v>4.1402457309658303E-5</c:v>
                </c:pt>
                <c:pt idx="165">
                  <c:v>3.8409644588455194E-5</c:v>
                </c:pt>
                <c:pt idx="166">
                  <c:v>1.5256924733364485E-5</c:v>
                </c:pt>
                <c:pt idx="167">
                  <c:v>3.0128418355701569E-5</c:v>
                </c:pt>
                <c:pt idx="168">
                  <c:v>3.7918843879936048E-5</c:v>
                </c:pt>
                <c:pt idx="169">
                  <c:v>2.7720479423010147E-5</c:v>
                </c:pt>
                <c:pt idx="170">
                  <c:v>9.3793988980905851E-5</c:v>
                </c:pt>
                <c:pt idx="171">
                  <c:v>5.0083533498224142E-5</c:v>
                </c:pt>
                <c:pt idx="172">
                  <c:v>7.5519219741693178E-5</c:v>
                </c:pt>
                <c:pt idx="173">
                  <c:v>5.0153722867207762E-5</c:v>
                </c:pt>
                <c:pt idx="174">
                  <c:v>7.1356015492796132E-5</c:v>
                </c:pt>
                <c:pt idx="175">
                  <c:v>2.9425578286890186E-5</c:v>
                </c:pt>
                <c:pt idx="176">
                  <c:v>1.1630518618233054E-4</c:v>
                </c:pt>
                <c:pt idx="177">
                  <c:v>2.7225880739223385E-5</c:v>
                </c:pt>
                <c:pt idx="178">
                  <c:v>1.1347234070768764E-4</c:v>
                </c:pt>
                <c:pt idx="179">
                  <c:v>1.6591662642895244E-5</c:v>
                </c:pt>
                <c:pt idx="180">
                  <c:v>6.6426237289363144E-5</c:v>
                </c:pt>
                <c:pt idx="181">
                  <c:v>7.7730273275733452E-6</c:v>
                </c:pt>
                <c:pt idx="182">
                  <c:v>6.0109644408612439E-6</c:v>
                </c:pt>
                <c:pt idx="183">
                  <c:v>1.9268099062941246E-5</c:v>
                </c:pt>
                <c:pt idx="184">
                  <c:v>2.9015831167100714E-5</c:v>
                </c:pt>
                <c:pt idx="185">
                  <c:v>4.2570311698852947E-5</c:v>
                </c:pt>
                <c:pt idx="186">
                  <c:v>5.5011537867244442E-6</c:v>
                </c:pt>
                <c:pt idx="187">
                  <c:v>1.5207444164389017E-5</c:v>
                </c:pt>
                <c:pt idx="188">
                  <c:v>4.5791217868185186E-5</c:v>
                </c:pt>
                <c:pt idx="189">
                  <c:v>1.3776028609413515E-5</c:v>
                </c:pt>
                <c:pt idx="190">
                  <c:v>3.257865561678841E-5</c:v>
                </c:pt>
                <c:pt idx="191">
                  <c:v>2.2726441113007922E-5</c:v>
                </c:pt>
                <c:pt idx="192">
                  <c:v>1.3538206278695952E-4</c:v>
                </c:pt>
                <c:pt idx="193">
                  <c:v>1.2531489552713992E-5</c:v>
                </c:pt>
                <c:pt idx="194">
                  <c:v>1.0770412682603592E-5</c:v>
                </c:pt>
                <c:pt idx="195">
                  <c:v>7.0427660926242197E-5</c:v>
                </c:pt>
                <c:pt idx="196">
                  <c:v>3.8172580218542862E-5</c:v>
                </c:pt>
                <c:pt idx="197">
                  <c:v>5.8665920263933913E-6</c:v>
                </c:pt>
                <c:pt idx="198">
                  <c:v>2.0992626708959961E-5</c:v>
                </c:pt>
                <c:pt idx="199">
                  <c:v>4.0978917500211764E-5</c:v>
                </c:pt>
                <c:pt idx="200">
                  <c:v>1.6437387954937321E-4</c:v>
                </c:pt>
                <c:pt idx="201">
                  <c:v>7.1287468550451649E-5</c:v>
                </c:pt>
                <c:pt idx="202">
                  <c:v>1.604150608258692E-5</c:v>
                </c:pt>
                <c:pt idx="203">
                  <c:v>3.9367221749131431E-5</c:v>
                </c:pt>
                <c:pt idx="204">
                  <c:v>1.6308750840465791E-5</c:v>
                </c:pt>
                <c:pt idx="205">
                  <c:v>3.0062335842018229E-5</c:v>
                </c:pt>
                <c:pt idx="206">
                  <c:v>1.3473233813954266E-5</c:v>
                </c:pt>
                <c:pt idx="207">
                  <c:v>5.0736199380452263E-5</c:v>
                </c:pt>
                <c:pt idx="208">
                  <c:v>7.2680824775517294E-5</c:v>
                </c:pt>
                <c:pt idx="209">
                  <c:v>2.9073116170508229E-5</c:v>
                </c:pt>
                <c:pt idx="210">
                  <c:v>1.5732255064904166E-5</c:v>
                </c:pt>
                <c:pt idx="211">
                  <c:v>9.104664943393459E-5</c:v>
                </c:pt>
                <c:pt idx="212">
                  <c:v>8.7860765987102241E-6</c:v>
                </c:pt>
                <c:pt idx="213">
                  <c:v>6.682937389257404E-6</c:v>
                </c:pt>
                <c:pt idx="214">
                  <c:v>1.2727134022583186E-4</c:v>
                </c:pt>
                <c:pt idx="215">
                  <c:v>8.5551232018588053E-6</c:v>
                </c:pt>
                <c:pt idx="216">
                  <c:v>1.6597476447088866E-4</c:v>
                </c:pt>
                <c:pt idx="217">
                  <c:v>6.295399983358152E-5</c:v>
                </c:pt>
                <c:pt idx="218">
                  <c:v>1.7887530322724388E-5</c:v>
                </c:pt>
                <c:pt idx="219">
                  <c:v>7.4224430441915956E-6</c:v>
                </c:pt>
                <c:pt idx="220">
                  <c:v>3.1901120685517981E-5</c:v>
                </c:pt>
                <c:pt idx="221">
                  <c:v>2.7025605174202383E-5</c:v>
                </c:pt>
                <c:pt idx="222">
                  <c:v>8.6727710737477537E-6</c:v>
                </c:pt>
                <c:pt idx="223">
                  <c:v>6.7908264185234657E-6</c:v>
                </c:pt>
                <c:pt idx="224">
                  <c:v>1.8090954643668056E-5</c:v>
                </c:pt>
                <c:pt idx="225">
                  <c:v>2.9036706845175786E-5</c:v>
                </c:pt>
                <c:pt idx="226">
                  <c:v>2.4608391843372601E-5</c:v>
                </c:pt>
                <c:pt idx="227">
                  <c:v>3.5192476719458909E-5</c:v>
                </c:pt>
                <c:pt idx="228">
                  <c:v>2.6037467655726232E-5</c:v>
                </c:pt>
                <c:pt idx="229">
                  <c:v>1.6502066436885343E-5</c:v>
                </c:pt>
                <c:pt idx="230">
                  <c:v>4.3215856134537489E-5</c:v>
                </c:pt>
                <c:pt idx="231">
                  <c:v>2.1045306144884535E-5</c:v>
                </c:pt>
                <c:pt idx="232">
                  <c:v>1.0335919437665098E-5</c:v>
                </c:pt>
                <c:pt idx="233">
                  <c:v>1.6051151515839024E-4</c:v>
                </c:pt>
                <c:pt idx="234">
                  <c:v>3.8873562054675403E-5</c:v>
                </c:pt>
                <c:pt idx="235">
                  <c:v>3.8594867049823733E-5</c:v>
                </c:pt>
                <c:pt idx="236">
                  <c:v>3.2804555878840347E-5</c:v>
                </c:pt>
                <c:pt idx="237">
                  <c:v>2.5517420077392217E-5</c:v>
                </c:pt>
                <c:pt idx="238">
                  <c:v>2.3696273899531661E-5</c:v>
                </c:pt>
                <c:pt idx="239">
                  <c:v>3.9231768532488331E-5</c:v>
                </c:pt>
                <c:pt idx="240">
                  <c:v>4.9673893425250526E-5</c:v>
                </c:pt>
                <c:pt idx="241">
                  <c:v>7.532174909385958E-5</c:v>
                </c:pt>
                <c:pt idx="242">
                  <c:v>3.1951479325442733E-5</c:v>
                </c:pt>
                <c:pt idx="243">
                  <c:v>1.4577519991121335E-5</c:v>
                </c:pt>
                <c:pt idx="244">
                  <c:v>2.7070881277069248E-5</c:v>
                </c:pt>
                <c:pt idx="245">
                  <c:v>5.1968722267758949E-5</c:v>
                </c:pt>
                <c:pt idx="246">
                  <c:v>3.5916208389608073E-5</c:v>
                </c:pt>
                <c:pt idx="247">
                  <c:v>2.5952462216594085E-5</c:v>
                </c:pt>
                <c:pt idx="248">
                  <c:v>1.0628784533395219E-5</c:v>
                </c:pt>
                <c:pt idx="249">
                  <c:v>3.012463379192809E-5</c:v>
                </c:pt>
                <c:pt idx="250">
                  <c:v>3.8354873069579298E-5</c:v>
                </c:pt>
                <c:pt idx="251">
                  <c:v>2.6069304063014442E-5</c:v>
                </c:pt>
                <c:pt idx="252">
                  <c:v>1.6123383339916586E-4</c:v>
                </c:pt>
                <c:pt idx="253">
                  <c:v>6.4997797750265818E-5</c:v>
                </c:pt>
                <c:pt idx="254">
                  <c:v>4.8480992429489334E-5</c:v>
                </c:pt>
                <c:pt idx="255">
                  <c:v>5.5323037749133164E-5</c:v>
                </c:pt>
                <c:pt idx="256">
                  <c:v>4.1002256885747101E-5</c:v>
                </c:pt>
                <c:pt idx="257">
                  <c:v>8.5100810725435849E-5</c:v>
                </c:pt>
                <c:pt idx="258">
                  <c:v>1.19545616620087E-4</c:v>
                </c:pt>
                <c:pt idx="259">
                  <c:v>2.9731746955974359E-5</c:v>
                </c:pt>
                <c:pt idx="260">
                  <c:v>9.6563358130907773E-5</c:v>
                </c:pt>
                <c:pt idx="261">
                  <c:v>2.5709156830089341E-6</c:v>
                </c:pt>
                <c:pt idx="262">
                  <c:v>4.334168458797194E-5</c:v>
                </c:pt>
                <c:pt idx="263">
                  <c:v>3.2877395671704335E-5</c:v>
                </c:pt>
                <c:pt idx="264">
                  <c:v>1.5759851489605126E-5</c:v>
                </c:pt>
                <c:pt idx="265">
                  <c:v>7.0397305044878067E-5</c:v>
                </c:pt>
                <c:pt idx="266">
                  <c:v>6.1250783488731031E-5</c:v>
                </c:pt>
                <c:pt idx="267">
                  <c:v>2.6819297726632385E-5</c:v>
                </c:pt>
                <c:pt idx="268">
                  <c:v>2.0592314460543548E-4</c:v>
                </c:pt>
                <c:pt idx="269">
                  <c:v>8.0174736993399165E-5</c:v>
                </c:pt>
                <c:pt idx="270">
                  <c:v>2.7618369720983083E-5</c:v>
                </c:pt>
                <c:pt idx="271">
                  <c:v>2.430583098345096E-6</c:v>
                </c:pt>
                <c:pt idx="272">
                  <c:v>3.8141749769238231E-5</c:v>
                </c:pt>
                <c:pt idx="273">
                  <c:v>1.8876391408895188E-4</c:v>
                </c:pt>
                <c:pt idx="274">
                  <c:v>6.9088962487029448E-5</c:v>
                </c:pt>
                <c:pt idx="275">
                  <c:v>3.7448678085638676E-5</c:v>
                </c:pt>
                <c:pt idx="276">
                  <c:v>1.997295318290071E-5</c:v>
                </c:pt>
                <c:pt idx="277">
                  <c:v>7.4551830344660175E-5</c:v>
                </c:pt>
                <c:pt idx="278">
                  <c:v>6.3266724374955174E-6</c:v>
                </c:pt>
                <c:pt idx="279">
                  <c:v>2.9676574811787759E-5</c:v>
                </c:pt>
                <c:pt idx="280">
                  <c:v>1.7873376656041273E-5</c:v>
                </c:pt>
                <c:pt idx="281">
                  <c:v>1.7585676225451152E-5</c:v>
                </c:pt>
                <c:pt idx="282">
                  <c:v>5.0435619328936809E-5</c:v>
                </c:pt>
                <c:pt idx="283">
                  <c:v>1.3459005777249899E-4</c:v>
                </c:pt>
                <c:pt idx="284">
                  <c:v>5.4873112610209773E-5</c:v>
                </c:pt>
                <c:pt idx="285">
                  <c:v>1.3082188820234819E-4</c:v>
                </c:pt>
                <c:pt idx="286">
                  <c:v>1.2326725972400254E-5</c:v>
                </c:pt>
                <c:pt idx="287">
                  <c:v>1.4221477933773485E-4</c:v>
                </c:pt>
                <c:pt idx="288">
                  <c:v>8.6381687864900414E-6</c:v>
                </c:pt>
                <c:pt idx="289">
                  <c:v>6.0978842089554064E-5</c:v>
                </c:pt>
                <c:pt idx="290">
                  <c:v>4.5635362738494223E-5</c:v>
                </c:pt>
                <c:pt idx="291">
                  <c:v>5.1357252878858617E-5</c:v>
                </c:pt>
                <c:pt idx="292">
                  <c:v>1.3849436766477652E-4</c:v>
                </c:pt>
                <c:pt idx="293">
                  <c:v>8.5773202805228266E-5</c:v>
                </c:pt>
                <c:pt idx="294">
                  <c:v>1.9985013506484961E-4</c:v>
                </c:pt>
                <c:pt idx="295">
                  <c:v>1.438456213520567E-5</c:v>
                </c:pt>
                <c:pt idx="296">
                  <c:v>6.1488417490096481E-5</c:v>
                </c:pt>
                <c:pt idx="297">
                  <c:v>3.4689197374149217E-5</c:v>
                </c:pt>
                <c:pt idx="298">
                  <c:v>2.1304500950947158E-5</c:v>
                </c:pt>
                <c:pt idx="299">
                  <c:v>3.4281360274945882E-5</c:v>
                </c:pt>
                <c:pt idx="300">
                  <c:v>1.4625258505773786E-4</c:v>
                </c:pt>
                <c:pt idx="301">
                  <c:v>6.2992096601988123E-5</c:v>
                </c:pt>
                <c:pt idx="302">
                  <c:v>7.6727992201597317E-5</c:v>
                </c:pt>
                <c:pt idx="303">
                  <c:v>1.1242651426712769E-4</c:v>
                </c:pt>
                <c:pt idx="304">
                  <c:v>6.8989129982099939E-5</c:v>
                </c:pt>
                <c:pt idx="305">
                  <c:v>4.2840688422529638E-5</c:v>
                </c:pt>
                <c:pt idx="306">
                  <c:v>6.6087472774256639E-6</c:v>
                </c:pt>
                <c:pt idx="307">
                  <c:v>8.7351624742382228E-6</c:v>
                </c:pt>
                <c:pt idx="308">
                  <c:v>7.1234235921480149E-5</c:v>
                </c:pt>
                <c:pt idx="309">
                  <c:v>2.1516134850685376E-5</c:v>
                </c:pt>
                <c:pt idx="310">
                  <c:v>1.5339783875134572E-5</c:v>
                </c:pt>
                <c:pt idx="311">
                  <c:v>5.7699197999028229E-5</c:v>
                </c:pt>
                <c:pt idx="312">
                  <c:v>2.1929522844743587E-5</c:v>
                </c:pt>
                <c:pt idx="313">
                  <c:v>4.3470951428759008E-5</c:v>
                </c:pt>
                <c:pt idx="314">
                  <c:v>1.4275632675975203E-5</c:v>
                </c:pt>
                <c:pt idx="315">
                  <c:v>9.9222270293353176E-6</c:v>
                </c:pt>
                <c:pt idx="316">
                  <c:v>4.3137754495603531E-5</c:v>
                </c:pt>
                <c:pt idx="317">
                  <c:v>4.3556915777287486E-5</c:v>
                </c:pt>
                <c:pt idx="318">
                  <c:v>2.6009559412898398E-6</c:v>
                </c:pt>
                <c:pt idx="319">
                  <c:v>2.5718654839579358E-5</c:v>
                </c:pt>
                <c:pt idx="320">
                  <c:v>8.4379551104518669E-5</c:v>
                </c:pt>
                <c:pt idx="321">
                  <c:v>5.4958860740583759E-5</c:v>
                </c:pt>
                <c:pt idx="322">
                  <c:v>3.3624786688335462E-5</c:v>
                </c:pt>
                <c:pt idx="323">
                  <c:v>4.5376378409400786E-5</c:v>
                </c:pt>
                <c:pt idx="324">
                  <c:v>4.0746673441560688E-5</c:v>
                </c:pt>
                <c:pt idx="325">
                  <c:v>3.6831333748210682E-5</c:v>
                </c:pt>
                <c:pt idx="326">
                  <c:v>3.4070084478088347E-5</c:v>
                </c:pt>
                <c:pt idx="327">
                  <c:v>8.9839172169092762E-5</c:v>
                </c:pt>
                <c:pt idx="328">
                  <c:v>4.2133784535991481E-5</c:v>
                </c:pt>
                <c:pt idx="329">
                  <c:v>1.3856266235734438E-5</c:v>
                </c:pt>
                <c:pt idx="330">
                  <c:v>1.9336779065071141E-5</c:v>
                </c:pt>
                <c:pt idx="331">
                  <c:v>3.0657609769946248E-5</c:v>
                </c:pt>
                <c:pt idx="332">
                  <c:v>3.4056022148121201E-5</c:v>
                </c:pt>
                <c:pt idx="333">
                  <c:v>7.9984857979553681E-5</c:v>
                </c:pt>
                <c:pt idx="334">
                  <c:v>1.5177646620401219E-5</c:v>
                </c:pt>
                <c:pt idx="335">
                  <c:v>3.3108723172858845E-5</c:v>
                </c:pt>
                <c:pt idx="336">
                  <c:v>3.734041666803023E-5</c:v>
                </c:pt>
                <c:pt idx="337">
                  <c:v>6.3918364574533371E-6</c:v>
                </c:pt>
                <c:pt idx="338">
                  <c:v>1.2635882704614687E-5</c:v>
                </c:pt>
                <c:pt idx="339">
                  <c:v>6.2823862702288125E-5</c:v>
                </c:pt>
                <c:pt idx="340">
                  <c:v>1.2392908476854814E-4</c:v>
                </c:pt>
                <c:pt idx="341">
                  <c:v>9.5470420085064234E-6</c:v>
                </c:pt>
                <c:pt idx="342">
                  <c:v>4.2016365856767379E-5</c:v>
                </c:pt>
                <c:pt idx="343">
                  <c:v>3.3868562614003395E-5</c:v>
                </c:pt>
                <c:pt idx="344">
                  <c:v>7.0183784046662367E-6</c:v>
                </c:pt>
                <c:pt idx="345">
                  <c:v>1.7430286901642944E-4</c:v>
                </c:pt>
                <c:pt idx="346">
                  <c:v>1.8229453370821602E-5</c:v>
                </c:pt>
                <c:pt idx="347">
                  <c:v>4.0760410200846309E-5</c:v>
                </c:pt>
                <c:pt idx="348">
                  <c:v>3.8756456174127152E-5</c:v>
                </c:pt>
                <c:pt idx="349">
                  <c:v>1.4065850384525902E-4</c:v>
                </c:pt>
                <c:pt idx="350">
                  <c:v>2.5916546945836672E-5</c:v>
                </c:pt>
                <c:pt idx="351">
                  <c:v>1.2098551122718959E-4</c:v>
                </c:pt>
                <c:pt idx="352">
                  <c:v>9.7938401957264887E-6</c:v>
                </c:pt>
                <c:pt idx="353">
                  <c:v>2.1881623869290934E-5</c:v>
                </c:pt>
                <c:pt idx="354">
                  <c:v>2.0600516584678985E-4</c:v>
                </c:pt>
                <c:pt idx="355">
                  <c:v>3.9906699353053909E-5</c:v>
                </c:pt>
                <c:pt idx="356">
                  <c:v>4.1454068064439298E-5</c:v>
                </c:pt>
                <c:pt idx="357">
                  <c:v>4.9469301064419824E-5</c:v>
                </c:pt>
                <c:pt idx="358">
                  <c:v>3.0243779711724983E-5</c:v>
                </c:pt>
                <c:pt idx="359">
                  <c:v>2.3617974939327269E-5</c:v>
                </c:pt>
                <c:pt idx="360">
                  <c:v>2.0475038940759305E-5</c:v>
                </c:pt>
                <c:pt idx="361">
                  <c:v>2.8249344516950714E-5</c:v>
                </c:pt>
                <c:pt idx="362">
                  <c:v>2.0385913138909473E-5</c:v>
                </c:pt>
                <c:pt idx="363">
                  <c:v>1.8194339165944484E-5</c:v>
                </c:pt>
                <c:pt idx="364">
                  <c:v>7.1029349658857655E-5</c:v>
                </c:pt>
                <c:pt idx="365">
                  <c:v>5.7794342360750761E-5</c:v>
                </c:pt>
                <c:pt idx="366">
                  <c:v>7.4441396332503018E-5</c:v>
                </c:pt>
                <c:pt idx="367">
                  <c:v>4.8844995085062237E-5</c:v>
                </c:pt>
                <c:pt idx="368">
                  <c:v>9.8746278244021823E-5</c:v>
                </c:pt>
                <c:pt idx="369">
                  <c:v>3.5316598417267642E-5</c:v>
                </c:pt>
                <c:pt idx="370">
                  <c:v>5.6133131018043514E-5</c:v>
                </c:pt>
                <c:pt idx="371">
                  <c:v>2.1262349324757679E-5</c:v>
                </c:pt>
                <c:pt idx="372">
                  <c:v>7.3651333206470326E-5</c:v>
                </c:pt>
                <c:pt idx="373">
                  <c:v>4.6669938846832792E-6</c:v>
                </c:pt>
                <c:pt idx="374">
                  <c:v>7.369967390502552E-5</c:v>
                </c:pt>
                <c:pt idx="375">
                  <c:v>8.5414676433970271E-6</c:v>
                </c:pt>
                <c:pt idx="376">
                  <c:v>1.7216222410354476E-5</c:v>
                </c:pt>
                <c:pt idx="377">
                  <c:v>3.6132547599265763E-5</c:v>
                </c:pt>
                <c:pt idx="378">
                  <c:v>1.3793750031965146E-5</c:v>
                </c:pt>
                <c:pt idx="379">
                  <c:v>8.7476659871299489E-6</c:v>
                </c:pt>
                <c:pt idx="380">
                  <c:v>1.7962975917384938E-5</c:v>
                </c:pt>
                <c:pt idx="381">
                  <c:v>4.5747440871934941E-5</c:v>
                </c:pt>
                <c:pt idx="382">
                  <c:v>4.1366790860308811E-5</c:v>
                </c:pt>
                <c:pt idx="383">
                  <c:v>1.1029283711394555E-4</c:v>
                </c:pt>
                <c:pt idx="384">
                  <c:v>7.6163709046284112E-6</c:v>
                </c:pt>
                <c:pt idx="385">
                  <c:v>5.1865427554531607E-5</c:v>
                </c:pt>
                <c:pt idx="386">
                  <c:v>1.1592431852491814E-4</c:v>
                </c:pt>
                <c:pt idx="387">
                  <c:v>1.4056891803448934E-5</c:v>
                </c:pt>
                <c:pt idx="388">
                  <c:v>4.3055817375403649E-5</c:v>
                </c:pt>
                <c:pt idx="389">
                  <c:v>7.8115170609294182E-5</c:v>
                </c:pt>
                <c:pt idx="390">
                  <c:v>5.3765315005449565E-5</c:v>
                </c:pt>
                <c:pt idx="391">
                  <c:v>3.1973237032190127E-5</c:v>
                </c:pt>
                <c:pt idx="392">
                  <c:v>2.8127569418501253E-5</c:v>
                </c:pt>
                <c:pt idx="393">
                  <c:v>2.1396084203928467E-5</c:v>
                </c:pt>
                <c:pt idx="394">
                  <c:v>1.5239305025716021E-4</c:v>
                </c:pt>
                <c:pt idx="395">
                  <c:v>4.8436374530780313E-5</c:v>
                </c:pt>
                <c:pt idx="396">
                  <c:v>3.9537799040090249E-5</c:v>
                </c:pt>
                <c:pt idx="397">
                  <c:v>1.4629096309448641E-5</c:v>
                </c:pt>
                <c:pt idx="398">
                  <c:v>3.063271768866116E-5</c:v>
                </c:pt>
                <c:pt idx="399">
                  <c:v>2.035806383560157E-5</c:v>
                </c:pt>
                <c:pt idx="400">
                  <c:v>1.5768966129314776E-5</c:v>
                </c:pt>
                <c:pt idx="401">
                  <c:v>4.1772732604528073E-5</c:v>
                </c:pt>
                <c:pt idx="402">
                  <c:v>4.9554923823080799E-5</c:v>
                </c:pt>
                <c:pt idx="403">
                  <c:v>7.6825963191140545E-6</c:v>
                </c:pt>
                <c:pt idx="404">
                  <c:v>1.0545029832442765E-4</c:v>
                </c:pt>
                <c:pt idx="405">
                  <c:v>6.1240692009079112E-5</c:v>
                </c:pt>
                <c:pt idx="406">
                  <c:v>1.1483798449063443E-5</c:v>
                </c:pt>
                <c:pt idx="407">
                  <c:v>7.6109658429857063E-5</c:v>
                </c:pt>
                <c:pt idx="408">
                  <c:v>6.8034304398167933E-5</c:v>
                </c:pt>
                <c:pt idx="409">
                  <c:v>1.2751544979039409E-5</c:v>
                </c:pt>
                <c:pt idx="410">
                  <c:v>1.92027615923962E-5</c:v>
                </c:pt>
                <c:pt idx="411">
                  <c:v>6.3751747241269641E-6</c:v>
                </c:pt>
                <c:pt idx="412">
                  <c:v>2.0186749427608675E-5</c:v>
                </c:pt>
                <c:pt idx="413">
                  <c:v>5.4169244034341091E-5</c:v>
                </c:pt>
                <c:pt idx="414">
                  <c:v>3.5633371119558888E-5</c:v>
                </c:pt>
                <c:pt idx="415">
                  <c:v>1.4112180991787682E-5</c:v>
                </c:pt>
                <c:pt idx="416">
                  <c:v>1.0142188891393289E-5</c:v>
                </c:pt>
                <c:pt idx="417">
                  <c:v>4.3852767184660024E-5</c:v>
                </c:pt>
                <c:pt idx="418">
                  <c:v>3.0302294607764679E-5</c:v>
                </c:pt>
                <c:pt idx="419">
                  <c:v>4.1655455838451871E-5</c:v>
                </c:pt>
                <c:pt idx="420">
                  <c:v>3.4268571411644189E-5</c:v>
                </c:pt>
                <c:pt idx="421">
                  <c:v>6.1517020789381149E-5</c:v>
                </c:pt>
                <c:pt idx="422">
                  <c:v>3.1396051024756844E-5</c:v>
                </c:pt>
                <c:pt idx="423">
                  <c:v>4.7039791628122885E-5</c:v>
                </c:pt>
                <c:pt idx="424">
                  <c:v>3.5105131257040512E-5</c:v>
                </c:pt>
                <c:pt idx="425">
                  <c:v>2.8842507639126325E-5</c:v>
                </c:pt>
                <c:pt idx="426">
                  <c:v>9.2396128255956E-5</c:v>
                </c:pt>
                <c:pt idx="427">
                  <c:v>4.6251011038833667E-5</c:v>
                </c:pt>
                <c:pt idx="428">
                  <c:v>1.2653869754686298E-4</c:v>
                </c:pt>
                <c:pt idx="429">
                  <c:v>1.1252946472950498E-4</c:v>
                </c:pt>
                <c:pt idx="430">
                  <c:v>7.1703734153771848E-5</c:v>
                </c:pt>
                <c:pt idx="431">
                  <c:v>1.0093413218825731E-4</c:v>
                </c:pt>
                <c:pt idx="432">
                  <c:v>2.8321598254166247E-5</c:v>
                </c:pt>
                <c:pt idx="433">
                  <c:v>5.4574066016499501E-5</c:v>
                </c:pt>
                <c:pt idx="434">
                  <c:v>1.393264864262278E-4</c:v>
                </c:pt>
                <c:pt idx="435">
                  <c:v>4.2738836690148219E-5</c:v>
                </c:pt>
                <c:pt idx="436">
                  <c:v>8.889247835952574E-5</c:v>
                </c:pt>
                <c:pt idx="437">
                  <c:v>8.4663153121056212E-5</c:v>
                </c:pt>
                <c:pt idx="438">
                  <c:v>8.4013160737583803E-5</c:v>
                </c:pt>
                <c:pt idx="439">
                  <c:v>6.7991231169628463E-5</c:v>
                </c:pt>
                <c:pt idx="440">
                  <c:v>2.8935357835990771E-5</c:v>
                </c:pt>
                <c:pt idx="441">
                  <c:v>4.3593650435269637E-5</c:v>
                </c:pt>
                <c:pt idx="442">
                  <c:v>1.61984341886523E-4</c:v>
                </c:pt>
                <c:pt idx="443">
                  <c:v>1.030897179390422E-4</c:v>
                </c:pt>
                <c:pt idx="444">
                  <c:v>1.0797865591882783E-5</c:v>
                </c:pt>
                <c:pt idx="445">
                  <c:v>1.080760345928411E-5</c:v>
                </c:pt>
                <c:pt idx="446">
                  <c:v>2.5686902056065719E-5</c:v>
                </c:pt>
                <c:pt idx="447">
                  <c:v>6.4635426699766185E-5</c:v>
                </c:pt>
                <c:pt idx="448">
                  <c:v>7.7547195154181736E-5</c:v>
                </c:pt>
                <c:pt idx="449">
                  <c:v>2.2946741605522902E-5</c:v>
                </c:pt>
                <c:pt idx="450">
                  <c:v>5.2159573616705757E-5</c:v>
                </c:pt>
                <c:pt idx="451">
                  <c:v>3.6795230034414317E-5</c:v>
                </c:pt>
                <c:pt idx="452">
                  <c:v>8.7467845698796509E-5</c:v>
                </c:pt>
                <c:pt idx="453">
                  <c:v>1.3895260750018679E-5</c:v>
                </c:pt>
                <c:pt idx="454">
                  <c:v>1.2498307963682009E-5</c:v>
                </c:pt>
                <c:pt idx="455">
                  <c:v>9.0717510516924449E-6</c:v>
                </c:pt>
                <c:pt idx="456">
                  <c:v>3.3866239874669191E-6</c:v>
                </c:pt>
                <c:pt idx="457">
                  <c:v>2.4606157278839191E-5</c:v>
                </c:pt>
                <c:pt idx="458">
                  <c:v>3.4410516139615765E-5</c:v>
                </c:pt>
                <c:pt idx="459">
                  <c:v>1.2911259528181063E-5</c:v>
                </c:pt>
                <c:pt idx="460">
                  <c:v>3.4401637414305242E-6</c:v>
                </c:pt>
                <c:pt idx="461">
                  <c:v>1.5622577284446493E-4</c:v>
                </c:pt>
                <c:pt idx="462">
                  <c:v>1.352248738299977E-4</c:v>
                </c:pt>
                <c:pt idx="463">
                  <c:v>3.1725544129557193E-5</c:v>
                </c:pt>
                <c:pt idx="464">
                  <c:v>3.1467724202371983E-5</c:v>
                </c:pt>
                <c:pt idx="465">
                  <c:v>2.6191058967839353E-5</c:v>
                </c:pt>
                <c:pt idx="466">
                  <c:v>7.2399436970016495E-5</c:v>
                </c:pt>
                <c:pt idx="467">
                  <c:v>4.3958130021337638E-5</c:v>
                </c:pt>
                <c:pt idx="468">
                  <c:v>6.9058533480159667E-5</c:v>
                </c:pt>
                <c:pt idx="469">
                  <c:v>1.392756825531194E-4</c:v>
                </c:pt>
                <c:pt idx="470">
                  <c:v>3.5841723864393771E-6</c:v>
                </c:pt>
                <c:pt idx="471">
                  <c:v>5.329169248824428E-5</c:v>
                </c:pt>
                <c:pt idx="472">
                  <c:v>1.1104582565479859E-5</c:v>
                </c:pt>
                <c:pt idx="473">
                  <c:v>1.8839874265097478E-6</c:v>
                </c:pt>
                <c:pt idx="474">
                  <c:v>3.3892509026856033E-5</c:v>
                </c:pt>
                <c:pt idx="475">
                  <c:v>1.4628469048716397E-4</c:v>
                </c:pt>
                <c:pt idx="476">
                  <c:v>5.8025193819588594E-5</c:v>
                </c:pt>
                <c:pt idx="477">
                  <c:v>2.4934414739163913E-5</c:v>
                </c:pt>
                <c:pt idx="478">
                  <c:v>6.4404254324301746E-5</c:v>
                </c:pt>
                <c:pt idx="479">
                  <c:v>5.3976721190451826E-6</c:v>
                </c:pt>
                <c:pt idx="480">
                  <c:v>4.0323924302754222E-5</c:v>
                </c:pt>
                <c:pt idx="481">
                  <c:v>2.7210981997427552E-5</c:v>
                </c:pt>
                <c:pt idx="482">
                  <c:v>4.3758620293488093E-5</c:v>
                </c:pt>
                <c:pt idx="483">
                  <c:v>8.724894507494696E-5</c:v>
                </c:pt>
                <c:pt idx="484">
                  <c:v>1.151970102277744E-4</c:v>
                </c:pt>
                <c:pt idx="485">
                  <c:v>5.3989544198884687E-5</c:v>
                </c:pt>
                <c:pt idx="486">
                  <c:v>2.1533782550875458E-5</c:v>
                </c:pt>
                <c:pt idx="487">
                  <c:v>4.0891472249171557E-5</c:v>
                </c:pt>
                <c:pt idx="488">
                  <c:v>1.9686438511357096E-4</c:v>
                </c:pt>
                <c:pt idx="489">
                  <c:v>1.2604210755995382E-5</c:v>
                </c:pt>
                <c:pt idx="490">
                  <c:v>7.2687109593516652E-6</c:v>
                </c:pt>
                <c:pt idx="491">
                  <c:v>1.6640984213012189E-4</c:v>
                </c:pt>
                <c:pt idx="492">
                  <c:v>4.7438322781090392E-6</c:v>
                </c:pt>
                <c:pt idx="493">
                  <c:v>1.4418530792426054E-5</c:v>
                </c:pt>
                <c:pt idx="494">
                  <c:v>6.3476936240647319E-5</c:v>
                </c:pt>
                <c:pt idx="495">
                  <c:v>7.8477381428854187E-5</c:v>
                </c:pt>
                <c:pt idx="496">
                  <c:v>1.627905366063942E-5</c:v>
                </c:pt>
                <c:pt idx="497">
                  <c:v>8.767117958186077E-5</c:v>
                </c:pt>
                <c:pt idx="498">
                  <c:v>4.7505532926095384E-5</c:v>
                </c:pt>
                <c:pt idx="499">
                  <c:v>7.8156060425271789E-5</c:v>
                </c:pt>
                <c:pt idx="500">
                  <c:v>4.0309794556492307E-5</c:v>
                </c:pt>
                <c:pt idx="501">
                  <c:v>2.4023608759193849E-5</c:v>
                </c:pt>
                <c:pt idx="502">
                  <c:v>7.6285808248144349E-7</c:v>
                </c:pt>
                <c:pt idx="503">
                  <c:v>1.3488396742644682E-5</c:v>
                </c:pt>
                <c:pt idx="504">
                  <c:v>2.5116938239477804E-5</c:v>
                </c:pt>
                <c:pt idx="505">
                  <c:v>1.9362857880622641E-5</c:v>
                </c:pt>
                <c:pt idx="506">
                  <c:v>2.3108735490495746E-5</c:v>
                </c:pt>
                <c:pt idx="507">
                  <c:v>2.2961590069314752E-4</c:v>
                </c:pt>
                <c:pt idx="508">
                  <c:v>1.3089731780269176E-4</c:v>
                </c:pt>
                <c:pt idx="509">
                  <c:v>6.4396883601602894E-5</c:v>
                </c:pt>
                <c:pt idx="510">
                  <c:v>2.0551883832098383E-5</c:v>
                </c:pt>
                <c:pt idx="511">
                  <c:v>6.3102600147857402E-5</c:v>
                </c:pt>
                <c:pt idx="512">
                  <c:v>3.8787796622585802E-5</c:v>
                </c:pt>
                <c:pt idx="513">
                  <c:v>4.1994557559377199E-5</c:v>
                </c:pt>
                <c:pt idx="514">
                  <c:v>1.1266131501486143E-5</c:v>
                </c:pt>
                <c:pt idx="515">
                  <c:v>1.1744514957001684E-5</c:v>
                </c:pt>
                <c:pt idx="516">
                  <c:v>2.2030993068966609E-5</c:v>
                </c:pt>
                <c:pt idx="517">
                  <c:v>3.7630711950953355E-6</c:v>
                </c:pt>
                <c:pt idx="518">
                  <c:v>6.546374410376643E-5</c:v>
                </c:pt>
                <c:pt idx="519">
                  <c:v>2.1599688803775052E-5</c:v>
                </c:pt>
                <c:pt idx="520">
                  <c:v>4.0477752527579014E-5</c:v>
                </c:pt>
                <c:pt idx="521">
                  <c:v>1.1733619153631025E-5</c:v>
                </c:pt>
                <c:pt idx="522">
                  <c:v>2.183898608265622E-5</c:v>
                </c:pt>
                <c:pt idx="523">
                  <c:v>1.1401759900309116E-4</c:v>
                </c:pt>
                <c:pt idx="524">
                  <c:v>3.7106961212174383E-5</c:v>
                </c:pt>
                <c:pt idx="525">
                  <c:v>3.9067704271644743E-6</c:v>
                </c:pt>
                <c:pt idx="526">
                  <c:v>3.637356449814888E-5</c:v>
                </c:pt>
                <c:pt idx="527">
                  <c:v>2.7544472644080997E-5</c:v>
                </c:pt>
                <c:pt idx="528">
                  <c:v>6.4565440489161574E-5</c:v>
                </c:pt>
                <c:pt idx="529">
                  <c:v>3.3877799516801588E-5</c:v>
                </c:pt>
                <c:pt idx="530">
                  <c:v>2.6289539363233416E-5</c:v>
                </c:pt>
                <c:pt idx="531">
                  <c:v>3.8514949963541767E-5</c:v>
                </c:pt>
                <c:pt idx="532">
                  <c:v>3.3946324890621327E-5</c:v>
                </c:pt>
                <c:pt idx="533">
                  <c:v>1.9885584563894554E-5</c:v>
                </c:pt>
                <c:pt idx="534">
                  <c:v>6.7996839483441818E-6</c:v>
                </c:pt>
                <c:pt idx="535">
                  <c:v>4.4518341159260899E-5</c:v>
                </c:pt>
                <c:pt idx="536">
                  <c:v>2.3112652769441411E-5</c:v>
                </c:pt>
                <c:pt idx="537">
                  <c:v>1.0802367498286003E-5</c:v>
                </c:pt>
                <c:pt idx="538">
                  <c:v>6.5649960625080439E-5</c:v>
                </c:pt>
                <c:pt idx="539">
                  <c:v>2.3392501105945485E-5</c:v>
                </c:pt>
                <c:pt idx="540">
                  <c:v>2.128161873926615E-5</c:v>
                </c:pt>
                <c:pt idx="541">
                  <c:v>1.1406845853656478E-5</c:v>
                </c:pt>
                <c:pt idx="542">
                  <c:v>7.2746532957523868E-6</c:v>
                </c:pt>
                <c:pt idx="543">
                  <c:v>2.4393176747850021E-5</c:v>
                </c:pt>
                <c:pt idx="544">
                  <c:v>1.5145650785086673E-5</c:v>
                </c:pt>
                <c:pt idx="545">
                  <c:v>5.797497827941811E-5</c:v>
                </c:pt>
                <c:pt idx="546">
                  <c:v>3.2933743632668211E-5</c:v>
                </c:pt>
                <c:pt idx="547">
                  <c:v>1.4840383315828376E-4</c:v>
                </c:pt>
                <c:pt idx="548">
                  <c:v>2.2803304045027062E-5</c:v>
                </c:pt>
                <c:pt idx="549">
                  <c:v>7.1159707069057276E-6</c:v>
                </c:pt>
                <c:pt idx="550">
                  <c:v>2.5750156325443641E-5</c:v>
                </c:pt>
                <c:pt idx="551">
                  <c:v>2.6540574697975217E-5</c:v>
                </c:pt>
                <c:pt idx="552">
                  <c:v>2.4282358396021664E-5</c:v>
                </c:pt>
                <c:pt idx="553">
                  <c:v>5.6188456838413003E-6</c:v>
                </c:pt>
                <c:pt idx="554">
                  <c:v>2.6763731803214341E-5</c:v>
                </c:pt>
                <c:pt idx="555">
                  <c:v>4.1806158407098337E-5</c:v>
                </c:pt>
                <c:pt idx="556">
                  <c:v>3.5085276053337111E-5</c:v>
                </c:pt>
                <c:pt idx="557">
                  <c:v>2.0897969047695142E-5</c:v>
                </c:pt>
                <c:pt idx="558">
                  <c:v>1.047060441194958E-5</c:v>
                </c:pt>
                <c:pt idx="559">
                  <c:v>7.0321529626937718E-5</c:v>
                </c:pt>
                <c:pt idx="560">
                  <c:v>5.6382762998907765E-5</c:v>
                </c:pt>
                <c:pt idx="561">
                  <c:v>6.4619136843191427E-5</c:v>
                </c:pt>
                <c:pt idx="562">
                  <c:v>4.8890711553895017E-5</c:v>
                </c:pt>
                <c:pt idx="563">
                  <c:v>3.9886253645704528E-5</c:v>
                </c:pt>
                <c:pt idx="564">
                  <c:v>2.7207549791796737E-5</c:v>
                </c:pt>
                <c:pt idx="565">
                  <c:v>4.1995877715805818E-5</c:v>
                </c:pt>
                <c:pt idx="566">
                  <c:v>4.4892035642618566E-5</c:v>
                </c:pt>
                <c:pt idx="567">
                  <c:v>1.2499867497339778E-4</c:v>
                </c:pt>
                <c:pt idx="568">
                  <c:v>1.3592666864070679E-5</c:v>
                </c:pt>
                <c:pt idx="569">
                  <c:v>1.7366525794670906E-4</c:v>
                </c:pt>
                <c:pt idx="570">
                  <c:v>5.0580175688708096E-5</c:v>
                </c:pt>
                <c:pt idx="571">
                  <c:v>1.8818823836141974E-5</c:v>
                </c:pt>
                <c:pt idx="572">
                  <c:v>3.8518512070595534E-5</c:v>
                </c:pt>
                <c:pt idx="573">
                  <c:v>1.2866635625741196E-4</c:v>
                </c:pt>
                <c:pt idx="574">
                  <c:v>1.4865918366524511E-5</c:v>
                </c:pt>
                <c:pt idx="575">
                  <c:v>5.6720690736256074E-5</c:v>
                </c:pt>
                <c:pt idx="576">
                  <c:v>2.6794231832383275E-5</c:v>
                </c:pt>
                <c:pt idx="577">
                  <c:v>7.3530565888546562E-5</c:v>
                </c:pt>
                <c:pt idx="578">
                  <c:v>5.3306740323222357E-5</c:v>
                </c:pt>
                <c:pt idx="579">
                  <c:v>4.3710078852399192E-5</c:v>
                </c:pt>
                <c:pt idx="580">
                  <c:v>2.431631873989204E-5</c:v>
                </c:pt>
                <c:pt idx="581">
                  <c:v>5.6276439117652899E-6</c:v>
                </c:pt>
                <c:pt idx="582">
                  <c:v>3.3642476154227552E-5</c:v>
                </c:pt>
                <c:pt idx="583">
                  <c:v>2.6775671297940562E-5</c:v>
                </c:pt>
                <c:pt idx="584">
                  <c:v>2.3139683566597569E-5</c:v>
                </c:pt>
                <c:pt idx="585">
                  <c:v>1.2929528381278033E-4</c:v>
                </c:pt>
                <c:pt idx="586">
                  <c:v>2.5205285716367598E-5</c:v>
                </c:pt>
                <c:pt idx="587">
                  <c:v>1.1805428725253364E-4</c:v>
                </c:pt>
                <c:pt idx="588">
                  <c:v>2.7840629041264719E-5</c:v>
                </c:pt>
                <c:pt idx="589">
                  <c:v>1.925619931242295E-5</c:v>
                </c:pt>
                <c:pt idx="590">
                  <c:v>1.1394828953470437E-4</c:v>
                </c:pt>
                <c:pt idx="591">
                  <c:v>6.968153159192525E-5</c:v>
                </c:pt>
                <c:pt idx="592">
                  <c:v>1.9677974435694523E-5</c:v>
                </c:pt>
                <c:pt idx="593">
                  <c:v>1.3690421817003084E-4</c:v>
                </c:pt>
                <c:pt idx="594">
                  <c:v>4.6187566461242113E-5</c:v>
                </c:pt>
                <c:pt idx="595">
                  <c:v>2.1862049536025552E-5</c:v>
                </c:pt>
                <c:pt idx="596">
                  <c:v>1.3791844576616086E-5</c:v>
                </c:pt>
                <c:pt idx="597">
                  <c:v>1.4510964319924824E-5</c:v>
                </c:pt>
                <c:pt idx="598">
                  <c:v>3.4047588620467195E-5</c:v>
                </c:pt>
                <c:pt idx="599">
                  <c:v>3.6905193297798178E-5</c:v>
                </c:pt>
                <c:pt idx="600">
                  <c:v>2.7998192337008732E-5</c:v>
                </c:pt>
                <c:pt idx="601">
                  <c:v>4.1833283159320445E-5</c:v>
                </c:pt>
                <c:pt idx="602">
                  <c:v>6.9173001882916196E-5</c:v>
                </c:pt>
                <c:pt idx="603">
                  <c:v>1.5305114814623266E-5</c:v>
                </c:pt>
                <c:pt idx="604">
                  <c:v>6.9314972510170492E-5</c:v>
                </c:pt>
                <c:pt idx="605">
                  <c:v>4.0392943130740377E-5</c:v>
                </c:pt>
                <c:pt idx="606">
                  <c:v>4.508193456942422E-5</c:v>
                </c:pt>
                <c:pt idx="607">
                  <c:v>2.2094378216763744E-5</c:v>
                </c:pt>
                <c:pt idx="608">
                  <c:v>1.6099931979596249E-5</c:v>
                </c:pt>
                <c:pt idx="609">
                  <c:v>3.9586406479941161E-5</c:v>
                </c:pt>
                <c:pt idx="610">
                  <c:v>1.9439268864829273E-5</c:v>
                </c:pt>
                <c:pt idx="611">
                  <c:v>1.4767223049716449E-5</c:v>
                </c:pt>
                <c:pt idx="612">
                  <c:v>4.2164868514049658E-5</c:v>
                </c:pt>
                <c:pt idx="613">
                  <c:v>1.4106180674744451E-4</c:v>
                </c:pt>
                <c:pt idx="614">
                  <c:v>2.0213574466154682E-4</c:v>
                </c:pt>
                <c:pt idx="615">
                  <c:v>1.7121427234201292E-5</c:v>
                </c:pt>
                <c:pt idx="616">
                  <c:v>3.8952866596275726E-5</c:v>
                </c:pt>
                <c:pt idx="617">
                  <c:v>8.1347081074767402E-5</c:v>
                </c:pt>
                <c:pt idx="618">
                  <c:v>2.1617825477093788E-4</c:v>
                </c:pt>
                <c:pt idx="619">
                  <c:v>3.2506322554581857E-5</c:v>
                </c:pt>
                <c:pt idx="620">
                  <c:v>9.957908221025491E-5</c:v>
                </c:pt>
                <c:pt idx="621">
                  <c:v>1.4362323582872705E-5</c:v>
                </c:pt>
                <c:pt idx="622">
                  <c:v>2.9298597855387243E-5</c:v>
                </c:pt>
                <c:pt idx="623">
                  <c:v>1.2777666381325048E-4</c:v>
                </c:pt>
                <c:pt idx="624">
                  <c:v>2.5198767723111359E-5</c:v>
                </c:pt>
                <c:pt idx="625">
                  <c:v>2.5992345250358539E-5</c:v>
                </c:pt>
                <c:pt idx="626">
                  <c:v>1.3021741576579871E-5</c:v>
                </c:pt>
                <c:pt idx="627">
                  <c:v>3.2174913819460471E-5</c:v>
                </c:pt>
                <c:pt idx="628">
                  <c:v>2.0336008606847145E-5</c:v>
                </c:pt>
                <c:pt idx="629">
                  <c:v>4.6055552033408276E-5</c:v>
                </c:pt>
                <c:pt idx="630">
                  <c:v>9.6021229079923387E-5</c:v>
                </c:pt>
                <c:pt idx="631">
                  <c:v>3.9775783278628296E-5</c:v>
                </c:pt>
                <c:pt idx="632">
                  <c:v>2.136172246665069E-4</c:v>
                </c:pt>
                <c:pt idx="633">
                  <c:v>2.6412262116082275E-5</c:v>
                </c:pt>
                <c:pt idx="634">
                  <c:v>9.6524042838552759E-6</c:v>
                </c:pt>
                <c:pt idx="635">
                  <c:v>8.3332095321964061E-5</c:v>
                </c:pt>
                <c:pt idx="636">
                  <c:v>7.5771341705888062E-5</c:v>
                </c:pt>
                <c:pt idx="637">
                  <c:v>1.5331022503062286E-4</c:v>
                </c:pt>
                <c:pt idx="638">
                  <c:v>1.8531440101554608E-5</c:v>
                </c:pt>
                <c:pt idx="639">
                  <c:v>2.314277012516186E-5</c:v>
                </c:pt>
                <c:pt idx="640">
                  <c:v>4.058511404281262E-6</c:v>
                </c:pt>
                <c:pt idx="641">
                  <c:v>1.1110570451222657E-5</c:v>
                </c:pt>
                <c:pt idx="642">
                  <c:v>6.3306310472910354E-5</c:v>
                </c:pt>
                <c:pt idx="643">
                  <c:v>5.1329444978875927E-5</c:v>
                </c:pt>
                <c:pt idx="644">
                  <c:v>1.6735008877333257E-5</c:v>
                </c:pt>
                <c:pt idx="645">
                  <c:v>1.575054346076854E-4</c:v>
                </c:pt>
                <c:pt idx="646">
                  <c:v>2.7060964512770624E-5</c:v>
                </c:pt>
                <c:pt idx="647">
                  <c:v>1.9550957421898829E-5</c:v>
                </c:pt>
                <c:pt idx="648">
                  <c:v>2.0452756491096125E-5</c:v>
                </c:pt>
                <c:pt idx="649">
                  <c:v>1.6510270274849859E-4</c:v>
                </c:pt>
                <c:pt idx="650">
                  <c:v>1.4132439350333925E-5</c:v>
                </c:pt>
                <c:pt idx="651">
                  <c:v>6.5914327080918156E-6</c:v>
                </c:pt>
                <c:pt idx="652">
                  <c:v>2.6523976857717457E-4</c:v>
                </c:pt>
                <c:pt idx="653">
                  <c:v>6.4595430195879544E-6</c:v>
                </c:pt>
                <c:pt idx="654">
                  <c:v>9.2426687480440251E-5</c:v>
                </c:pt>
                <c:pt idx="655">
                  <c:v>3.4191425157814592E-5</c:v>
                </c:pt>
                <c:pt idx="656">
                  <c:v>3.4713306192202253E-5</c:v>
                </c:pt>
                <c:pt idx="657">
                  <c:v>4.646795634144496E-5</c:v>
                </c:pt>
                <c:pt idx="658">
                  <c:v>6.1314083623642546E-6</c:v>
                </c:pt>
                <c:pt idx="659">
                  <c:v>1.2022292278146551E-5</c:v>
                </c:pt>
                <c:pt idx="660">
                  <c:v>5.9166772022223313E-5</c:v>
                </c:pt>
                <c:pt idx="661">
                  <c:v>3.4893232221833159E-5</c:v>
                </c:pt>
                <c:pt idx="662">
                  <c:v>5.2909110728194264E-6</c:v>
                </c:pt>
                <c:pt idx="663">
                  <c:v>2.0849870633554701E-5</c:v>
                </c:pt>
                <c:pt idx="664">
                  <c:v>2.1012839205525324E-5</c:v>
                </c:pt>
                <c:pt idx="665">
                  <c:v>4.6559571902804464E-5</c:v>
                </c:pt>
                <c:pt idx="666">
                  <c:v>2.1273098390395262E-5</c:v>
                </c:pt>
                <c:pt idx="667">
                  <c:v>6.1591059328236497E-6</c:v>
                </c:pt>
                <c:pt idx="668">
                  <c:v>6.1343166027683083E-5</c:v>
                </c:pt>
                <c:pt idx="669">
                  <c:v>6.5104736570731347E-5</c:v>
                </c:pt>
                <c:pt idx="670">
                  <c:v>2.9908492280128485E-5</c:v>
                </c:pt>
                <c:pt idx="671">
                  <c:v>1.9248345992650684E-5</c:v>
                </c:pt>
                <c:pt idx="672">
                  <c:v>4.9436472952635313E-5</c:v>
                </c:pt>
                <c:pt idx="673">
                  <c:v>9.0216104208451497E-5</c:v>
                </c:pt>
                <c:pt idx="674">
                  <c:v>1.3810947432801868E-5</c:v>
                </c:pt>
                <c:pt idx="675">
                  <c:v>1.850679569059821E-5</c:v>
                </c:pt>
                <c:pt idx="676">
                  <c:v>2.7056485773613304E-5</c:v>
                </c:pt>
                <c:pt idx="677">
                  <c:v>8.5377203955516734E-5</c:v>
                </c:pt>
                <c:pt idx="678">
                  <c:v>7.8357655187488717E-5</c:v>
                </c:pt>
                <c:pt idx="679">
                  <c:v>1.7482704205207256E-5</c:v>
                </c:pt>
                <c:pt idx="680">
                  <c:v>1.2588965553561593E-5</c:v>
                </c:pt>
                <c:pt idx="681">
                  <c:v>8.3007726153994099E-5</c:v>
                </c:pt>
                <c:pt idx="682">
                  <c:v>2.0702395786287298E-4</c:v>
                </c:pt>
                <c:pt idx="683">
                  <c:v>8.6972854553835077E-6</c:v>
                </c:pt>
                <c:pt idx="684">
                  <c:v>8.2612688849792448E-6</c:v>
                </c:pt>
                <c:pt idx="685">
                  <c:v>1.084041207874975E-4</c:v>
                </c:pt>
                <c:pt idx="686">
                  <c:v>5.1149316814047552E-5</c:v>
                </c:pt>
                <c:pt idx="687">
                  <c:v>4.7964126277832975E-5</c:v>
                </c:pt>
                <c:pt idx="688">
                  <c:v>8.6573119386201824E-5</c:v>
                </c:pt>
                <c:pt idx="689">
                  <c:v>2.208811202208949E-5</c:v>
                </c:pt>
                <c:pt idx="690">
                  <c:v>1.5758484757100177E-5</c:v>
                </c:pt>
                <c:pt idx="691">
                  <c:v>7.8670293142124592E-6</c:v>
                </c:pt>
                <c:pt idx="692">
                  <c:v>3.0970483781089797E-5</c:v>
                </c:pt>
                <c:pt idx="693">
                  <c:v>1.4602297495258654E-4</c:v>
                </c:pt>
                <c:pt idx="694">
                  <c:v>3.5330243196796118E-5</c:v>
                </c:pt>
                <c:pt idx="695">
                  <c:v>4.7396276269040527E-5</c:v>
                </c:pt>
                <c:pt idx="696">
                  <c:v>4.4070900724335615E-5</c:v>
                </c:pt>
                <c:pt idx="697">
                  <c:v>3.6787502576629549E-5</c:v>
                </c:pt>
                <c:pt idx="698">
                  <c:v>6.516306336834532E-5</c:v>
                </c:pt>
                <c:pt idx="699">
                  <c:v>3.6029083151589703E-5</c:v>
                </c:pt>
                <c:pt idx="700">
                  <c:v>2.3520581613922786E-5</c:v>
                </c:pt>
                <c:pt idx="701">
                  <c:v>6.7979440210308439E-6</c:v>
                </c:pt>
                <c:pt idx="702">
                  <c:v>5.6853698307435252E-5</c:v>
                </c:pt>
                <c:pt idx="703">
                  <c:v>9.2290315620857655E-6</c:v>
                </c:pt>
                <c:pt idx="704">
                  <c:v>7.1531162671334414E-5</c:v>
                </c:pt>
                <c:pt idx="705">
                  <c:v>9.6867555612334399E-6</c:v>
                </c:pt>
                <c:pt idx="706">
                  <c:v>3.4675444222642682E-5</c:v>
                </c:pt>
                <c:pt idx="707">
                  <c:v>3.7718964044586301E-5</c:v>
                </c:pt>
                <c:pt idx="708">
                  <c:v>1.7967699260879044E-5</c:v>
                </c:pt>
                <c:pt idx="709">
                  <c:v>3.9497377301245251E-5</c:v>
                </c:pt>
                <c:pt idx="710">
                  <c:v>4.0475633600323135E-5</c:v>
                </c:pt>
                <c:pt idx="711">
                  <c:v>5.755083163450081E-5</c:v>
                </c:pt>
                <c:pt idx="712">
                  <c:v>4.3225974650340504E-5</c:v>
                </c:pt>
                <c:pt idx="713">
                  <c:v>4.6664000400653549E-5</c:v>
                </c:pt>
                <c:pt idx="714">
                  <c:v>1.202113473439681E-4</c:v>
                </c:pt>
                <c:pt idx="715">
                  <c:v>1.6237403518459814E-4</c:v>
                </c:pt>
                <c:pt idx="716">
                  <c:v>6.1978959106312459E-5</c:v>
                </c:pt>
                <c:pt idx="717">
                  <c:v>7.833220384512174E-5</c:v>
                </c:pt>
                <c:pt idx="718">
                  <c:v>2.9003563394525145E-5</c:v>
                </c:pt>
                <c:pt idx="719">
                  <c:v>1.096561287994291E-5</c:v>
                </c:pt>
                <c:pt idx="720">
                  <c:v>7.414627809509966E-6</c:v>
                </c:pt>
                <c:pt idx="721">
                  <c:v>1.6415233394795337E-4</c:v>
                </c:pt>
                <c:pt idx="722">
                  <c:v>2.0697339440545193E-5</c:v>
                </c:pt>
                <c:pt idx="723">
                  <c:v>8.4301892886884389E-5</c:v>
                </c:pt>
                <c:pt idx="724">
                  <c:v>1.7522942755476834E-5</c:v>
                </c:pt>
                <c:pt idx="725">
                  <c:v>1.799369425725672E-5</c:v>
                </c:pt>
                <c:pt idx="726">
                  <c:v>4.1409492656185876E-5</c:v>
                </c:pt>
                <c:pt idx="727">
                  <c:v>2.6585317897342975E-5</c:v>
                </c:pt>
                <c:pt idx="728">
                  <c:v>4.3161945480818531E-5</c:v>
                </c:pt>
                <c:pt idx="729">
                  <c:v>1.0064445855562099E-4</c:v>
                </c:pt>
                <c:pt idx="730">
                  <c:v>1.7660992696733047E-5</c:v>
                </c:pt>
                <c:pt idx="731">
                  <c:v>1.8081999961339079E-5</c:v>
                </c:pt>
                <c:pt idx="732">
                  <c:v>9.0311467282333524E-5</c:v>
                </c:pt>
                <c:pt idx="733">
                  <c:v>1.170508023307093E-5</c:v>
                </c:pt>
                <c:pt idx="734">
                  <c:v>8.918064608565146E-5</c:v>
                </c:pt>
                <c:pt idx="735">
                  <c:v>3.6930801165624416E-5</c:v>
                </c:pt>
                <c:pt idx="736">
                  <c:v>1.8876863606465122E-5</c:v>
                </c:pt>
                <c:pt idx="737">
                  <c:v>3.9354946252956324E-6</c:v>
                </c:pt>
                <c:pt idx="738">
                  <c:v>6.4710819451363477E-5</c:v>
                </c:pt>
                <c:pt idx="739">
                  <c:v>4.3700945173696937E-5</c:v>
                </c:pt>
                <c:pt idx="740">
                  <c:v>4.7873251897811997E-5</c:v>
                </c:pt>
                <c:pt idx="741">
                  <c:v>2.4374933413895405E-5</c:v>
                </c:pt>
                <c:pt idx="742">
                  <c:v>1.8693039560702118E-5</c:v>
                </c:pt>
                <c:pt idx="743">
                  <c:v>1.7583695058220883E-5</c:v>
                </c:pt>
                <c:pt idx="744">
                  <c:v>2.8442955112950585E-5</c:v>
                </c:pt>
                <c:pt idx="745">
                  <c:v>6.4519747436264652E-5</c:v>
                </c:pt>
                <c:pt idx="746">
                  <c:v>8.3774838930850137E-5</c:v>
                </c:pt>
                <c:pt idx="747">
                  <c:v>8.9392435722146502E-5</c:v>
                </c:pt>
                <c:pt idx="748">
                  <c:v>1.0050354735113842E-5</c:v>
                </c:pt>
                <c:pt idx="749">
                  <c:v>1.5635387548229573E-5</c:v>
                </c:pt>
                <c:pt idx="750">
                  <c:v>2.0460186732407237E-5</c:v>
                </c:pt>
                <c:pt idx="751">
                  <c:v>1.1224060096637345E-4</c:v>
                </c:pt>
                <c:pt idx="752">
                  <c:v>2.818880078692132E-5</c:v>
                </c:pt>
                <c:pt idx="753">
                  <c:v>7.4131959770795675E-6</c:v>
                </c:pt>
                <c:pt idx="754">
                  <c:v>4.2699800751222483E-5</c:v>
                </c:pt>
                <c:pt idx="755">
                  <c:v>1.3653104549149475E-5</c:v>
                </c:pt>
                <c:pt idx="756">
                  <c:v>1.8502160397559919E-5</c:v>
                </c:pt>
                <c:pt idx="757">
                  <c:v>1.6742245971812508E-5</c:v>
                </c:pt>
                <c:pt idx="758">
                  <c:v>5.0486357267232052E-5</c:v>
                </c:pt>
                <c:pt idx="759">
                  <c:v>2.8864524416860604E-5</c:v>
                </c:pt>
                <c:pt idx="760">
                  <c:v>6.5766153088731016E-5</c:v>
                </c:pt>
                <c:pt idx="761">
                  <c:v>6.6547949924000704E-5</c:v>
                </c:pt>
                <c:pt idx="762">
                  <c:v>7.0322442077497271E-5</c:v>
                </c:pt>
                <c:pt idx="763">
                  <c:v>4.7269003044192459E-5</c:v>
                </c:pt>
                <c:pt idx="764">
                  <c:v>7.6531987957650927E-5</c:v>
                </c:pt>
                <c:pt idx="765">
                  <c:v>2.2280611730707278E-5</c:v>
                </c:pt>
                <c:pt idx="766">
                  <c:v>1.0168117370668028E-4</c:v>
                </c:pt>
                <c:pt idx="767">
                  <c:v>1.3809786403129465E-4</c:v>
                </c:pt>
                <c:pt idx="768">
                  <c:v>1.8824279020179802E-4</c:v>
                </c:pt>
                <c:pt idx="769">
                  <c:v>7.8779744686841013E-5</c:v>
                </c:pt>
                <c:pt idx="770">
                  <c:v>4.7241294964806002E-5</c:v>
                </c:pt>
                <c:pt idx="771">
                  <c:v>3.4212838713187921E-5</c:v>
                </c:pt>
                <c:pt idx="772">
                  <c:v>4.4096436727869559E-5</c:v>
                </c:pt>
                <c:pt idx="773">
                  <c:v>5.0355932792456315E-5</c:v>
                </c:pt>
                <c:pt idx="774">
                  <c:v>3.3418298045262418E-5</c:v>
                </c:pt>
                <c:pt idx="775">
                  <c:v>1.6668232397876181E-5</c:v>
                </c:pt>
                <c:pt idx="776">
                  <c:v>1.6150464471564874E-5</c:v>
                </c:pt>
                <c:pt idx="777">
                  <c:v>3.0372650190457762E-5</c:v>
                </c:pt>
                <c:pt idx="778">
                  <c:v>5.2884089690508063E-5</c:v>
                </c:pt>
                <c:pt idx="779">
                  <c:v>5.1366002221442386E-5</c:v>
                </c:pt>
                <c:pt idx="780">
                  <c:v>1.6259491136594306E-5</c:v>
                </c:pt>
                <c:pt idx="781">
                  <c:v>5.2290485008654741E-6</c:v>
                </c:pt>
                <c:pt idx="782">
                  <c:v>8.4865962211466694E-5</c:v>
                </c:pt>
                <c:pt idx="783">
                  <c:v>1.7200981559994943E-5</c:v>
                </c:pt>
                <c:pt idx="784">
                  <c:v>5.254097586515627E-5</c:v>
                </c:pt>
                <c:pt idx="785">
                  <c:v>6.2891003889120611E-5</c:v>
                </c:pt>
                <c:pt idx="786">
                  <c:v>6.657477499061315E-5</c:v>
                </c:pt>
                <c:pt idx="787">
                  <c:v>2.1543536664836438E-5</c:v>
                </c:pt>
                <c:pt idx="788">
                  <c:v>4.0826961900108927E-5</c:v>
                </c:pt>
                <c:pt idx="789">
                  <c:v>8.5483497944238707E-5</c:v>
                </c:pt>
                <c:pt idx="790">
                  <c:v>1.2358120573097153E-4</c:v>
                </c:pt>
                <c:pt idx="791">
                  <c:v>1.9942908590309116E-5</c:v>
                </c:pt>
                <c:pt idx="792">
                  <c:v>1.7343671359526525E-5</c:v>
                </c:pt>
                <c:pt idx="793">
                  <c:v>2.4087862811938976E-5</c:v>
                </c:pt>
                <c:pt idx="794">
                  <c:v>3.1808663937482606E-5</c:v>
                </c:pt>
                <c:pt idx="795">
                  <c:v>3.1281717610909254E-5</c:v>
                </c:pt>
                <c:pt idx="796">
                  <c:v>2.4626441636144136E-5</c:v>
                </c:pt>
                <c:pt idx="797">
                  <c:v>6.5103912604058678E-5</c:v>
                </c:pt>
                <c:pt idx="798">
                  <c:v>7.0742275784851927E-5</c:v>
                </c:pt>
                <c:pt idx="799">
                  <c:v>2.9456887659762288E-5</c:v>
                </c:pt>
                <c:pt idx="800">
                  <c:v>3.7022779853401744E-5</c:v>
                </c:pt>
                <c:pt idx="801">
                  <c:v>6.4441133297066244E-5</c:v>
                </c:pt>
                <c:pt idx="802">
                  <c:v>4.831736774235651E-6</c:v>
                </c:pt>
                <c:pt idx="803">
                  <c:v>4.7407713136493612E-5</c:v>
                </c:pt>
                <c:pt idx="804">
                  <c:v>3.6402883385022733E-5</c:v>
                </c:pt>
                <c:pt idx="805">
                  <c:v>5.242392646209737E-6</c:v>
                </c:pt>
                <c:pt idx="806">
                  <c:v>5.2031697105547892E-5</c:v>
                </c:pt>
                <c:pt idx="807">
                  <c:v>5.1863393188966711E-6</c:v>
                </c:pt>
                <c:pt idx="808">
                  <c:v>5.2001455372874261E-6</c:v>
                </c:pt>
                <c:pt idx="809">
                  <c:v>6.8236685734746061E-5</c:v>
                </c:pt>
                <c:pt idx="810">
                  <c:v>2.193461561361687E-5</c:v>
                </c:pt>
                <c:pt idx="811">
                  <c:v>3.9294215305574198E-5</c:v>
                </c:pt>
                <c:pt idx="812">
                  <c:v>1.7510865872694126E-4</c:v>
                </c:pt>
                <c:pt idx="813">
                  <c:v>1.710317156167207E-5</c:v>
                </c:pt>
                <c:pt idx="814">
                  <c:v>5.6074030513997286E-5</c:v>
                </c:pt>
                <c:pt idx="815">
                  <c:v>6.3792970859566367E-5</c:v>
                </c:pt>
                <c:pt idx="816">
                  <c:v>1.3107514263310804E-5</c:v>
                </c:pt>
                <c:pt idx="817">
                  <c:v>7.4912886965705638E-5</c:v>
                </c:pt>
                <c:pt idx="818">
                  <c:v>5.3035907374265889E-5</c:v>
                </c:pt>
                <c:pt idx="819">
                  <c:v>9.8462653355113616E-6</c:v>
                </c:pt>
                <c:pt idx="820">
                  <c:v>3.159284721832023E-5</c:v>
                </c:pt>
                <c:pt idx="821">
                  <c:v>1.032986547038206E-4</c:v>
                </c:pt>
                <c:pt idx="822">
                  <c:v>2.5296381572559312E-5</c:v>
                </c:pt>
                <c:pt idx="823">
                  <c:v>5.4977753300988752E-6</c:v>
                </c:pt>
                <c:pt idx="824">
                  <c:v>3.2040829530899373E-5</c:v>
                </c:pt>
                <c:pt idx="825">
                  <c:v>1.7139713701652681E-5</c:v>
                </c:pt>
                <c:pt idx="826">
                  <c:v>1.8976030524697762E-5</c:v>
                </c:pt>
                <c:pt idx="827">
                  <c:v>1.6640322581196187E-5</c:v>
                </c:pt>
                <c:pt idx="828">
                  <c:v>3.1903544790878868E-5</c:v>
                </c:pt>
                <c:pt idx="829">
                  <c:v>7.3755179503365298E-5</c:v>
                </c:pt>
                <c:pt idx="830">
                  <c:v>1.7807348744014462E-5</c:v>
                </c:pt>
                <c:pt idx="831">
                  <c:v>6.5592438712513967E-5</c:v>
                </c:pt>
                <c:pt idx="832">
                  <c:v>1.0037934337248089E-4</c:v>
                </c:pt>
                <c:pt idx="833">
                  <c:v>4.3842301717944565E-5</c:v>
                </c:pt>
                <c:pt idx="834">
                  <c:v>9.5289695515532458E-5</c:v>
                </c:pt>
                <c:pt idx="835">
                  <c:v>1.0392483719812162E-5</c:v>
                </c:pt>
                <c:pt idx="836">
                  <c:v>8.7611713038171501E-5</c:v>
                </c:pt>
                <c:pt idx="837">
                  <c:v>1.2519357955653732E-5</c:v>
                </c:pt>
                <c:pt idx="838">
                  <c:v>2.5102376486785261E-5</c:v>
                </c:pt>
                <c:pt idx="839">
                  <c:v>8.29631031962208E-6</c:v>
                </c:pt>
                <c:pt idx="840">
                  <c:v>2.7763443622319528E-5</c:v>
                </c:pt>
                <c:pt idx="841">
                  <c:v>8.0258087216122931E-6</c:v>
                </c:pt>
                <c:pt idx="842">
                  <c:v>3.8898347501259423E-5</c:v>
                </c:pt>
                <c:pt idx="843">
                  <c:v>6.7487466584026379E-5</c:v>
                </c:pt>
                <c:pt idx="844">
                  <c:v>5.5808102565890749E-6</c:v>
                </c:pt>
                <c:pt idx="845">
                  <c:v>8.9294932191563703E-5</c:v>
                </c:pt>
                <c:pt idx="846">
                  <c:v>5.5586069233726221E-5</c:v>
                </c:pt>
                <c:pt idx="847">
                  <c:v>1.2222800521044519E-5</c:v>
                </c:pt>
                <c:pt idx="848">
                  <c:v>5.9932011041041733E-5</c:v>
                </c:pt>
                <c:pt idx="849">
                  <c:v>7.8687540607802475E-6</c:v>
                </c:pt>
                <c:pt idx="850">
                  <c:v>3.1155823215556211E-5</c:v>
                </c:pt>
                <c:pt idx="851">
                  <c:v>6.0585312652960965E-5</c:v>
                </c:pt>
                <c:pt idx="852">
                  <c:v>3.312453470272203E-5</c:v>
                </c:pt>
                <c:pt idx="853">
                  <c:v>5.3377337728477414E-5</c:v>
                </c:pt>
                <c:pt idx="854">
                  <c:v>7.6530344017555763E-5</c:v>
                </c:pt>
                <c:pt idx="855">
                  <c:v>4.725563140794975E-6</c:v>
                </c:pt>
                <c:pt idx="856">
                  <c:v>1.1104042275889014E-5</c:v>
                </c:pt>
                <c:pt idx="857">
                  <c:v>2.6271070613148595E-5</c:v>
                </c:pt>
                <c:pt idx="858">
                  <c:v>1.7776427231552816E-4</c:v>
                </c:pt>
                <c:pt idx="859">
                  <c:v>8.7047141001050932E-5</c:v>
                </c:pt>
                <c:pt idx="860">
                  <c:v>3.7048748239953966E-5</c:v>
                </c:pt>
                <c:pt idx="861">
                  <c:v>7.9345985817269593E-6</c:v>
                </c:pt>
                <c:pt idx="862">
                  <c:v>3.7351950158637237E-5</c:v>
                </c:pt>
                <c:pt idx="863">
                  <c:v>1.760470911094103E-5</c:v>
                </c:pt>
                <c:pt idx="864">
                  <c:v>1.1940615896577356E-4</c:v>
                </c:pt>
                <c:pt idx="865">
                  <c:v>3.9467982624330489E-6</c:v>
                </c:pt>
                <c:pt idx="866">
                  <c:v>1.6220884965889582E-5</c:v>
                </c:pt>
                <c:pt idx="867">
                  <c:v>2.9528165718772925E-5</c:v>
                </c:pt>
                <c:pt idx="868">
                  <c:v>1.7351106926355442E-5</c:v>
                </c:pt>
                <c:pt idx="869">
                  <c:v>5.743291465165612E-5</c:v>
                </c:pt>
                <c:pt idx="870">
                  <c:v>1.2040838967308787E-4</c:v>
                </c:pt>
                <c:pt idx="871">
                  <c:v>3.0091491243666724E-5</c:v>
                </c:pt>
                <c:pt idx="872">
                  <c:v>2.6238606924522401E-5</c:v>
                </c:pt>
                <c:pt idx="873">
                  <c:v>1.3514495666555604E-5</c:v>
                </c:pt>
                <c:pt idx="874">
                  <c:v>4.9876005498106224E-5</c:v>
                </c:pt>
                <c:pt idx="875">
                  <c:v>1.2085405721506959E-4</c:v>
                </c:pt>
                <c:pt idx="876">
                  <c:v>9.5817062444325529E-6</c:v>
                </c:pt>
                <c:pt idx="877">
                  <c:v>7.6723407083534312E-5</c:v>
                </c:pt>
                <c:pt idx="878">
                  <c:v>3.939521608131713E-5</c:v>
                </c:pt>
                <c:pt idx="879">
                  <c:v>3.250555092293439E-5</c:v>
                </c:pt>
                <c:pt idx="880">
                  <c:v>8.5260935236419755E-6</c:v>
                </c:pt>
                <c:pt idx="881">
                  <c:v>1.0848648617667322E-5</c:v>
                </c:pt>
                <c:pt idx="882">
                  <c:v>4.726832631263278E-5</c:v>
                </c:pt>
                <c:pt idx="883">
                  <c:v>1.1817923481061143E-4</c:v>
                </c:pt>
                <c:pt idx="884">
                  <c:v>3.6236215642304614E-5</c:v>
                </c:pt>
                <c:pt idx="885">
                  <c:v>2.3451060407353452E-5</c:v>
                </c:pt>
                <c:pt idx="886">
                  <c:v>1.1243089947043927E-5</c:v>
                </c:pt>
                <c:pt idx="887">
                  <c:v>2.1478006516417736E-5</c:v>
                </c:pt>
                <c:pt idx="888">
                  <c:v>5.7540506595898933E-5</c:v>
                </c:pt>
                <c:pt idx="889">
                  <c:v>7.8630300208715198E-5</c:v>
                </c:pt>
                <c:pt idx="890">
                  <c:v>3.8971808724141965E-5</c:v>
                </c:pt>
                <c:pt idx="891">
                  <c:v>4.3714357087054623E-5</c:v>
                </c:pt>
                <c:pt idx="892">
                  <c:v>6.1542694247407326E-5</c:v>
                </c:pt>
                <c:pt idx="893">
                  <c:v>4.1082977197959281E-5</c:v>
                </c:pt>
                <c:pt idx="894">
                  <c:v>4.0565106857570754E-5</c:v>
                </c:pt>
                <c:pt idx="895">
                  <c:v>1.465810185372618E-4</c:v>
                </c:pt>
                <c:pt idx="896">
                  <c:v>9.0480931760339445E-6</c:v>
                </c:pt>
                <c:pt idx="897">
                  <c:v>1.2312040019679671E-4</c:v>
                </c:pt>
                <c:pt idx="898">
                  <c:v>1.6687094520762003E-4</c:v>
                </c:pt>
                <c:pt idx="899">
                  <c:v>4.1245314335469629E-5</c:v>
                </c:pt>
                <c:pt idx="900">
                  <c:v>3.0810859723118256E-5</c:v>
                </c:pt>
                <c:pt idx="901">
                  <c:v>2.0262948197569131E-5</c:v>
                </c:pt>
                <c:pt idx="902">
                  <c:v>1.0043408983406721E-4</c:v>
                </c:pt>
                <c:pt idx="903">
                  <c:v>1.2367695543247237E-5</c:v>
                </c:pt>
                <c:pt idx="904">
                  <c:v>7.7280848362448751E-5</c:v>
                </c:pt>
                <c:pt idx="905">
                  <c:v>2.0527576012341342E-5</c:v>
                </c:pt>
                <c:pt idx="906">
                  <c:v>1.8181171789422024E-5</c:v>
                </c:pt>
                <c:pt idx="907">
                  <c:v>1.5617349859553542E-5</c:v>
                </c:pt>
                <c:pt idx="908">
                  <c:v>3.4352552720662288E-5</c:v>
                </c:pt>
                <c:pt idx="909">
                  <c:v>1.0014335756380888E-4</c:v>
                </c:pt>
                <c:pt idx="910">
                  <c:v>3.0534274777949122E-5</c:v>
                </c:pt>
                <c:pt idx="911">
                  <c:v>2.4589485224879581E-5</c:v>
                </c:pt>
                <c:pt idx="912">
                  <c:v>7.2745118391281949E-5</c:v>
                </c:pt>
                <c:pt idx="913">
                  <c:v>8.0198963559041658E-6</c:v>
                </c:pt>
                <c:pt idx="914">
                  <c:v>4.7426134806016762E-6</c:v>
                </c:pt>
                <c:pt idx="915">
                  <c:v>3.8778416495688361E-6</c:v>
                </c:pt>
                <c:pt idx="916">
                  <c:v>6.9524851618041339E-6</c:v>
                </c:pt>
                <c:pt idx="917">
                  <c:v>4.0642262831624976E-5</c:v>
                </c:pt>
                <c:pt idx="918">
                  <c:v>3.4738434102621341E-5</c:v>
                </c:pt>
                <c:pt idx="919">
                  <c:v>3.6358430115512874E-6</c:v>
                </c:pt>
                <c:pt idx="920">
                  <c:v>3.90507109564453E-5</c:v>
                </c:pt>
                <c:pt idx="921">
                  <c:v>1.8901102340151965E-5</c:v>
                </c:pt>
                <c:pt idx="922">
                  <c:v>4.7893057377734749E-5</c:v>
                </c:pt>
                <c:pt idx="923">
                  <c:v>2.1254679483106997E-4</c:v>
                </c:pt>
                <c:pt idx="924">
                  <c:v>2.0791558295485402E-5</c:v>
                </c:pt>
                <c:pt idx="925">
                  <c:v>2.6024828333248706E-5</c:v>
                </c:pt>
                <c:pt idx="926">
                  <c:v>2.6840463444699481E-5</c:v>
                </c:pt>
                <c:pt idx="927">
                  <c:v>2.6430749890948846E-5</c:v>
                </c:pt>
                <c:pt idx="928">
                  <c:v>1.5708159878613515E-5</c:v>
                </c:pt>
                <c:pt idx="929">
                  <c:v>2.1445129593899992E-5</c:v>
                </c:pt>
                <c:pt idx="930">
                  <c:v>5.1799999607027303E-5</c:v>
                </c:pt>
                <c:pt idx="931">
                  <c:v>3.1672363260071279E-5</c:v>
                </c:pt>
                <c:pt idx="932">
                  <c:v>1.9102805307369408E-4</c:v>
                </c:pt>
                <c:pt idx="933">
                  <c:v>9.5668127258363711E-5</c:v>
                </c:pt>
                <c:pt idx="934">
                  <c:v>7.9445902407826452E-6</c:v>
                </c:pt>
                <c:pt idx="935">
                  <c:v>1.0284250777203852E-5</c:v>
                </c:pt>
                <c:pt idx="936">
                  <c:v>5.9010617839305723E-5</c:v>
                </c:pt>
                <c:pt idx="937">
                  <c:v>1.1409949356178117E-4</c:v>
                </c:pt>
                <c:pt idx="938">
                  <c:v>1.2532764905870408E-5</c:v>
                </c:pt>
                <c:pt idx="939">
                  <c:v>1.9615406088746568E-5</c:v>
                </c:pt>
                <c:pt idx="940">
                  <c:v>4.9850376061755242E-5</c:v>
                </c:pt>
                <c:pt idx="941">
                  <c:v>8.4218119724255303E-5</c:v>
                </c:pt>
                <c:pt idx="942">
                  <c:v>1.9380865371232403E-5</c:v>
                </c:pt>
                <c:pt idx="943">
                  <c:v>2.8839469809582852E-5</c:v>
                </c:pt>
                <c:pt idx="944">
                  <c:v>1.5320323143441783E-5</c:v>
                </c:pt>
                <c:pt idx="945">
                  <c:v>9.3307648860729842E-6</c:v>
                </c:pt>
                <c:pt idx="946">
                  <c:v>5.4811093892936924E-5</c:v>
                </c:pt>
                <c:pt idx="947">
                  <c:v>6.4332526939381296E-5</c:v>
                </c:pt>
                <c:pt idx="948">
                  <c:v>1.2605868801784936E-4</c:v>
                </c:pt>
                <c:pt idx="949">
                  <c:v>1.677518464049399E-5</c:v>
                </c:pt>
                <c:pt idx="950">
                  <c:v>3.8138542979737622E-5</c:v>
                </c:pt>
                <c:pt idx="951">
                  <c:v>1.7709436804125289E-5</c:v>
                </c:pt>
                <c:pt idx="952">
                  <c:v>2.3874779881083441E-5</c:v>
                </c:pt>
                <c:pt idx="953">
                  <c:v>1.1889459317160345E-4</c:v>
                </c:pt>
                <c:pt idx="954">
                  <c:v>3.296926848506132E-5</c:v>
                </c:pt>
                <c:pt idx="955">
                  <c:v>2.2649458983892146E-5</c:v>
                </c:pt>
                <c:pt idx="956">
                  <c:v>2.1711279437397479E-5</c:v>
                </c:pt>
                <c:pt idx="957">
                  <c:v>1.3633312161687172E-4</c:v>
                </c:pt>
                <c:pt idx="958">
                  <c:v>7.6898925151169806E-5</c:v>
                </c:pt>
                <c:pt idx="959">
                  <c:v>1.1076243330521152E-4</c:v>
                </c:pt>
                <c:pt idx="960">
                  <c:v>2.2191090810252945E-5</c:v>
                </c:pt>
                <c:pt idx="961">
                  <c:v>1.4433172140115857E-5</c:v>
                </c:pt>
                <c:pt idx="962">
                  <c:v>6.1591078711842329E-5</c:v>
                </c:pt>
                <c:pt idx="963">
                  <c:v>2.7987450909705558E-5</c:v>
                </c:pt>
                <c:pt idx="964">
                  <c:v>1.4118151518971445E-5</c:v>
                </c:pt>
                <c:pt idx="965">
                  <c:v>7.0229044787595285E-5</c:v>
                </c:pt>
                <c:pt idx="966">
                  <c:v>4.173835572629514E-5</c:v>
                </c:pt>
                <c:pt idx="967">
                  <c:v>7.860640041101874E-5</c:v>
                </c:pt>
                <c:pt idx="968">
                  <c:v>3.6766035901081295E-5</c:v>
                </c:pt>
                <c:pt idx="969">
                  <c:v>7.3561506749086902E-5</c:v>
                </c:pt>
                <c:pt idx="970">
                  <c:v>2.2307452806558103E-4</c:v>
                </c:pt>
                <c:pt idx="971">
                  <c:v>2.8949877943773572E-5</c:v>
                </c:pt>
                <c:pt idx="972">
                  <c:v>2.261361204602963E-5</c:v>
                </c:pt>
                <c:pt idx="973">
                  <c:v>2.7310263948976399E-5</c:v>
                </c:pt>
                <c:pt idx="974">
                  <c:v>7.0460894825430387E-6</c:v>
                </c:pt>
                <c:pt idx="975">
                  <c:v>2.4782954852753392E-5</c:v>
                </c:pt>
                <c:pt idx="976">
                  <c:v>6.1734911618316346E-5</c:v>
                </c:pt>
                <c:pt idx="977">
                  <c:v>2.527417544229138E-5</c:v>
                </c:pt>
                <c:pt idx="978">
                  <c:v>5.9603376790562379E-5</c:v>
                </c:pt>
                <c:pt idx="979">
                  <c:v>1.8789352516535018E-5</c:v>
                </c:pt>
                <c:pt idx="980">
                  <c:v>1.7595436784034746E-5</c:v>
                </c:pt>
                <c:pt idx="981">
                  <c:v>5.3135779104707126E-5</c:v>
                </c:pt>
                <c:pt idx="982">
                  <c:v>3.6131602776379168E-5</c:v>
                </c:pt>
                <c:pt idx="983">
                  <c:v>1.0713930958772266E-4</c:v>
                </c:pt>
                <c:pt idx="984">
                  <c:v>8.9616844931583728E-6</c:v>
                </c:pt>
                <c:pt idx="985">
                  <c:v>1.2422484115148791E-5</c:v>
                </c:pt>
                <c:pt idx="986">
                  <c:v>1.6833245158665022E-5</c:v>
                </c:pt>
                <c:pt idx="987">
                  <c:v>4.0683783783634908E-5</c:v>
                </c:pt>
                <c:pt idx="988">
                  <c:v>5.8188671346215415E-5</c:v>
                </c:pt>
                <c:pt idx="989">
                  <c:v>3.4314537945334678E-5</c:v>
                </c:pt>
                <c:pt idx="990">
                  <c:v>4.1721628356583551E-5</c:v>
                </c:pt>
                <c:pt idx="991">
                  <c:v>5.4619695223578901E-5</c:v>
                </c:pt>
                <c:pt idx="992">
                  <c:v>1.7127456672483277E-5</c:v>
                </c:pt>
                <c:pt idx="993">
                  <c:v>3.6824763846254882E-5</c:v>
                </c:pt>
                <c:pt idx="994">
                  <c:v>3.5188197845315017E-5</c:v>
                </c:pt>
                <c:pt idx="995">
                  <c:v>2.6324917673292703E-5</c:v>
                </c:pt>
                <c:pt idx="996">
                  <c:v>7.1264579830199182E-5</c:v>
                </c:pt>
                <c:pt idx="997">
                  <c:v>4.3778474708489057E-5</c:v>
                </c:pt>
                <c:pt idx="998">
                  <c:v>3.7893648645592748E-5</c:v>
                </c:pt>
                <c:pt idx="999">
                  <c:v>9.5047343933174488E-6</c:v>
                </c:pt>
              </c:numCache>
            </c:numRef>
          </c:xVal>
          <c:yVal>
            <c:numRef>
              <c:f>Process!$B$12:$B$1011</c:f>
              <c:numCache>
                <c:formatCode>General</c:formatCode>
                <c:ptCount val="1000"/>
                <c:pt idx="0">
                  <c:v>0.30777704850421</c:v>
                </c:pt>
                <c:pt idx="1">
                  <c:v>0.55447105233393079</c:v>
                </c:pt>
                <c:pt idx="2">
                  <c:v>0.3812620274153507</c:v>
                </c:pt>
                <c:pt idx="3">
                  <c:v>0.75654540534544334</c:v>
                </c:pt>
                <c:pt idx="4">
                  <c:v>0.56239970033740883</c:v>
                </c:pt>
                <c:pt idx="5">
                  <c:v>0.58671426368644986</c:v>
                </c:pt>
                <c:pt idx="6">
                  <c:v>0.67987857814432473</c:v>
                </c:pt>
                <c:pt idx="7">
                  <c:v>0.68705403635912776</c:v>
                </c:pt>
                <c:pt idx="8">
                  <c:v>0.34900585035560561</c:v>
                </c:pt>
                <c:pt idx="9">
                  <c:v>0.51805286598283296</c:v>
                </c:pt>
                <c:pt idx="10">
                  <c:v>0.38851986155885559</c:v>
                </c:pt>
                <c:pt idx="11">
                  <c:v>0.52790915683969986</c:v>
                </c:pt>
                <c:pt idx="12">
                  <c:v>0.94815968039854925</c:v>
                </c:pt>
                <c:pt idx="13">
                  <c:v>0.43284431643731652</c:v>
                </c:pt>
                <c:pt idx="14">
                  <c:v>0.35414804511941678</c:v>
                </c:pt>
                <c:pt idx="15">
                  <c:v>0.11159169613372233</c:v>
                </c:pt>
                <c:pt idx="16">
                  <c:v>0.50064836998902518</c:v>
                </c:pt>
                <c:pt idx="17">
                  <c:v>0.33623510553488839</c:v>
                </c:pt>
                <c:pt idx="18">
                  <c:v>0.38835401340720377</c:v>
                </c:pt>
                <c:pt idx="19">
                  <c:v>0.53383646033558474</c:v>
                </c:pt>
                <c:pt idx="20">
                  <c:v>0.47877290857562937</c:v>
                </c:pt>
                <c:pt idx="21">
                  <c:v>0.44312781121288691</c:v>
                </c:pt>
                <c:pt idx="22">
                  <c:v>0.45842886642395064</c:v>
                </c:pt>
                <c:pt idx="23">
                  <c:v>0.75287404330544161</c:v>
                </c:pt>
                <c:pt idx="24">
                  <c:v>0.85852321521808106</c:v>
                </c:pt>
                <c:pt idx="25">
                  <c:v>0.38879745103942737</c:v>
                </c:pt>
                <c:pt idx="26">
                  <c:v>0.51703820488653074</c:v>
                </c:pt>
                <c:pt idx="27">
                  <c:v>0.55417617844105571</c:v>
                </c:pt>
                <c:pt idx="28">
                  <c:v>0.60784884047052623</c:v>
                </c:pt>
                <c:pt idx="29">
                  <c:v>0.48269174138802518</c:v>
                </c:pt>
                <c:pt idx="30">
                  <c:v>0.40281895692252445</c:v>
                </c:pt>
                <c:pt idx="31">
                  <c:v>0.28252097640149609</c:v>
                </c:pt>
                <c:pt idx="32">
                  <c:v>0.53387717544111479</c:v>
                </c:pt>
                <c:pt idx="33">
                  <c:v>0.49581085905312344</c:v>
                </c:pt>
                <c:pt idx="34">
                  <c:v>0.35958015947196725</c:v>
                </c:pt>
                <c:pt idx="35">
                  <c:v>0.26149826693152622</c:v>
                </c:pt>
                <c:pt idx="36">
                  <c:v>0.63563241947073146</c:v>
                </c:pt>
                <c:pt idx="37">
                  <c:v>0.45897085037040153</c:v>
                </c:pt>
                <c:pt idx="38">
                  <c:v>0.43710404924316043</c:v>
                </c:pt>
                <c:pt idx="39">
                  <c:v>0.79019000285309438</c:v>
                </c:pt>
                <c:pt idx="40">
                  <c:v>0.58317936781324886</c:v>
                </c:pt>
                <c:pt idx="41">
                  <c:v>0.55109837900306347</c:v>
                </c:pt>
                <c:pt idx="42">
                  <c:v>0.40113318643145141</c:v>
                </c:pt>
                <c:pt idx="43">
                  <c:v>0.60905036689953662</c:v>
                </c:pt>
                <c:pt idx="44">
                  <c:v>0.41493127603995539</c:v>
                </c:pt>
                <c:pt idx="45">
                  <c:v>0.27299123364234668</c:v>
                </c:pt>
                <c:pt idx="46">
                  <c:v>6.2986004747965452E-2</c:v>
                </c:pt>
                <c:pt idx="47">
                  <c:v>0.8389737697095565</c:v>
                </c:pt>
                <c:pt idx="48">
                  <c:v>0.38958282302644892</c:v>
                </c:pt>
                <c:pt idx="49">
                  <c:v>0.56189809919044742</c:v>
                </c:pt>
                <c:pt idx="50">
                  <c:v>0.61365652494669798</c:v>
                </c:pt>
                <c:pt idx="51">
                  <c:v>0.4944515253828673</c:v>
                </c:pt>
                <c:pt idx="52">
                  <c:v>0.71215766715875151</c:v>
                </c:pt>
                <c:pt idx="53">
                  <c:v>0.52598287301051849</c:v>
                </c:pt>
                <c:pt idx="54">
                  <c:v>0.52055480436057611</c:v>
                </c:pt>
                <c:pt idx="55">
                  <c:v>0.41683636933757967</c:v>
                </c:pt>
                <c:pt idx="56">
                  <c:v>0.50286928713155032</c:v>
                </c:pt>
                <c:pt idx="57">
                  <c:v>0.73464307467347822</c:v>
                </c:pt>
                <c:pt idx="58">
                  <c:v>0.94509526719438353</c:v>
                </c:pt>
                <c:pt idx="59">
                  <c:v>0.31983886780938298</c:v>
                </c:pt>
                <c:pt idx="60">
                  <c:v>0.62765238064415518</c:v>
                </c:pt>
                <c:pt idx="61">
                  <c:v>0.3261942019608991</c:v>
                </c:pt>
                <c:pt idx="62">
                  <c:v>0.71560261517769208</c:v>
                </c:pt>
                <c:pt idx="63">
                  <c:v>0.23878248663072774</c:v>
                </c:pt>
                <c:pt idx="64">
                  <c:v>0.7014736604450893</c:v>
                </c:pt>
                <c:pt idx="65">
                  <c:v>0.56850472684851883</c:v>
                </c:pt>
                <c:pt idx="66">
                  <c:v>0.46286973334382142</c:v>
                </c:pt>
                <c:pt idx="67">
                  <c:v>0.43446441618004344</c:v>
                </c:pt>
                <c:pt idx="68">
                  <c:v>0.6921438030423297</c:v>
                </c:pt>
                <c:pt idx="69">
                  <c:v>0.51519441373435981</c:v>
                </c:pt>
                <c:pt idx="70">
                  <c:v>0.2793540819649068</c:v>
                </c:pt>
                <c:pt idx="71">
                  <c:v>0.51447841198214095</c:v>
                </c:pt>
                <c:pt idx="72">
                  <c:v>0.66559603657178368</c:v>
                </c:pt>
                <c:pt idx="73">
                  <c:v>0.31277228870150869</c:v>
                </c:pt>
                <c:pt idx="74">
                  <c:v>0.11439698490207878</c:v>
                </c:pt>
                <c:pt idx="75">
                  <c:v>0.35215586744026195</c:v>
                </c:pt>
                <c:pt idx="76">
                  <c:v>0.23233567461206012</c:v>
                </c:pt>
                <c:pt idx="77">
                  <c:v>0.56009666705869132</c:v>
                </c:pt>
                <c:pt idx="78">
                  <c:v>0.69439293149509895</c:v>
                </c:pt>
                <c:pt idx="79">
                  <c:v>0.15821527213134973</c:v>
                </c:pt>
                <c:pt idx="80">
                  <c:v>0.57829460906368479</c:v>
                </c:pt>
                <c:pt idx="81">
                  <c:v>0.48341897850228188</c:v>
                </c:pt>
                <c:pt idx="82">
                  <c:v>0.66222050410090227</c:v>
                </c:pt>
                <c:pt idx="83">
                  <c:v>0.32331612989277969</c:v>
                </c:pt>
                <c:pt idx="84">
                  <c:v>0.7196641585597493</c:v>
                </c:pt>
                <c:pt idx="85">
                  <c:v>0.45677370389637406</c:v>
                </c:pt>
                <c:pt idx="86">
                  <c:v>0.27120831070215068</c:v>
                </c:pt>
                <c:pt idx="87">
                  <c:v>0.67510779409068611</c:v>
                </c:pt>
                <c:pt idx="88">
                  <c:v>0.59335990155646468</c:v>
                </c:pt>
                <c:pt idx="89">
                  <c:v>0.67310445410673692</c:v>
                </c:pt>
                <c:pt idx="90">
                  <c:v>0.34638835078805918</c:v>
                </c:pt>
                <c:pt idx="91">
                  <c:v>0.48581095128354912</c:v>
                </c:pt>
                <c:pt idx="92">
                  <c:v>0.55627567393615807</c:v>
                </c:pt>
                <c:pt idx="93">
                  <c:v>0.63650427577892943</c:v>
                </c:pt>
                <c:pt idx="94">
                  <c:v>0.29918702450839374</c:v>
                </c:pt>
                <c:pt idx="95">
                  <c:v>0.228086271441655</c:v>
                </c:pt>
                <c:pt idx="96">
                  <c:v>0.9347698235883386</c:v>
                </c:pt>
                <c:pt idx="97">
                  <c:v>0.39509578100069731</c:v>
                </c:pt>
                <c:pt idx="98">
                  <c:v>0.28127984562434288</c:v>
                </c:pt>
                <c:pt idx="99">
                  <c:v>0.639324817172085</c:v>
                </c:pt>
                <c:pt idx="100">
                  <c:v>0.58574579450376363</c:v>
                </c:pt>
                <c:pt idx="101">
                  <c:v>0.50160782352171629</c:v>
                </c:pt>
                <c:pt idx="102">
                  <c:v>0.51578015091480889</c:v>
                </c:pt>
                <c:pt idx="103">
                  <c:v>0.42853063785900924</c:v>
                </c:pt>
                <c:pt idx="104">
                  <c:v>0.58438872947153309</c:v>
                </c:pt>
                <c:pt idx="105">
                  <c:v>0.42219034649194354</c:v>
                </c:pt>
                <c:pt idx="106">
                  <c:v>0.48864573045986642</c:v>
                </c:pt>
                <c:pt idx="107">
                  <c:v>0.48893386526376098</c:v>
                </c:pt>
                <c:pt idx="108">
                  <c:v>0.96492800567221348</c:v>
                </c:pt>
                <c:pt idx="109">
                  <c:v>0.49080450005663734</c:v>
                </c:pt>
                <c:pt idx="110">
                  <c:v>0.72291964249574558</c:v>
                </c:pt>
                <c:pt idx="111">
                  <c:v>0.27278602896727705</c:v>
                </c:pt>
                <c:pt idx="112">
                  <c:v>0.97540826649840384</c:v>
                </c:pt>
                <c:pt idx="113">
                  <c:v>0.3605864125929143</c:v>
                </c:pt>
                <c:pt idx="114">
                  <c:v>0.48087081435625711</c:v>
                </c:pt>
                <c:pt idx="115">
                  <c:v>0.56121728844717367</c:v>
                </c:pt>
                <c:pt idx="116">
                  <c:v>0.34206683555214257</c:v>
                </c:pt>
                <c:pt idx="117">
                  <c:v>0.67266649275252743</c:v>
                </c:pt>
                <c:pt idx="118">
                  <c:v>8.3708113006347507E-2</c:v>
                </c:pt>
                <c:pt idx="119">
                  <c:v>0.44735600611499526</c:v>
                </c:pt>
                <c:pt idx="120">
                  <c:v>0.53308634841809777</c:v>
                </c:pt>
                <c:pt idx="121">
                  <c:v>0.36322176531604883</c:v>
                </c:pt>
                <c:pt idx="122">
                  <c:v>0.58158403431985684</c:v>
                </c:pt>
                <c:pt idx="123">
                  <c:v>0.51629004528499112</c:v>
                </c:pt>
                <c:pt idx="124">
                  <c:v>0.45778112020832917</c:v>
                </c:pt>
                <c:pt idx="125">
                  <c:v>0.37431197612299438</c:v>
                </c:pt>
                <c:pt idx="126">
                  <c:v>0.56452393365021603</c:v>
                </c:pt>
                <c:pt idx="127">
                  <c:v>0.42299296087386085</c:v>
                </c:pt>
                <c:pt idx="128">
                  <c:v>0.5883238761815649</c:v>
                </c:pt>
                <c:pt idx="129">
                  <c:v>0.79321239889814299</c:v>
                </c:pt>
                <c:pt idx="130">
                  <c:v>0.39617431046721918</c:v>
                </c:pt>
                <c:pt idx="131">
                  <c:v>0.79006452662437998</c:v>
                </c:pt>
                <c:pt idx="132">
                  <c:v>0.72616436104070092</c:v>
                </c:pt>
                <c:pt idx="133">
                  <c:v>0.56166081242935662</c:v>
                </c:pt>
                <c:pt idx="134">
                  <c:v>0.51174631579005081</c:v>
                </c:pt>
                <c:pt idx="135">
                  <c:v>0.38331894099853075</c:v>
                </c:pt>
                <c:pt idx="136">
                  <c:v>0.37862057180252118</c:v>
                </c:pt>
                <c:pt idx="137">
                  <c:v>0.2945643478261139</c:v>
                </c:pt>
                <c:pt idx="138">
                  <c:v>0.40903032174984444</c:v>
                </c:pt>
                <c:pt idx="139">
                  <c:v>0.61282160767350025</c:v>
                </c:pt>
                <c:pt idx="140">
                  <c:v>0.36770051972098228</c:v>
                </c:pt>
                <c:pt idx="141">
                  <c:v>0.46783141615715285</c:v>
                </c:pt>
                <c:pt idx="142">
                  <c:v>0.35551508757590938</c:v>
                </c:pt>
                <c:pt idx="143">
                  <c:v>0.40486318535142962</c:v>
                </c:pt>
                <c:pt idx="144">
                  <c:v>0.47198352265248822</c:v>
                </c:pt>
                <c:pt idx="145">
                  <c:v>0.52913707867297</c:v>
                </c:pt>
                <c:pt idx="146">
                  <c:v>0.41004032838741356</c:v>
                </c:pt>
                <c:pt idx="147">
                  <c:v>0.51059641690758073</c:v>
                </c:pt>
                <c:pt idx="148">
                  <c:v>0.44072314626813924</c:v>
                </c:pt>
                <c:pt idx="149">
                  <c:v>0.56970150925835161</c:v>
                </c:pt>
                <c:pt idx="150">
                  <c:v>0.66294944017010249</c:v>
                </c:pt>
                <c:pt idx="151">
                  <c:v>0.22276072365089339</c:v>
                </c:pt>
                <c:pt idx="152">
                  <c:v>0.2778048547846344</c:v>
                </c:pt>
                <c:pt idx="153">
                  <c:v>0.30119909517714394</c:v>
                </c:pt>
                <c:pt idx="154">
                  <c:v>0.39986402967189572</c:v>
                </c:pt>
                <c:pt idx="155">
                  <c:v>0.16553735799502134</c:v>
                </c:pt>
                <c:pt idx="156">
                  <c:v>0.75375292567157637</c:v>
                </c:pt>
                <c:pt idx="157">
                  <c:v>0.3293933684198424</c:v>
                </c:pt>
                <c:pt idx="158">
                  <c:v>0.90558809868341894</c:v>
                </c:pt>
                <c:pt idx="159">
                  <c:v>0.33821061985774259</c:v>
                </c:pt>
                <c:pt idx="160">
                  <c:v>0.31944337158329572</c:v>
                </c:pt>
                <c:pt idx="161">
                  <c:v>0.57503719813389342</c:v>
                </c:pt>
                <c:pt idx="162">
                  <c:v>0.52858835779974267</c:v>
                </c:pt>
                <c:pt idx="163">
                  <c:v>0.81831622842425289</c:v>
                </c:pt>
                <c:pt idx="164">
                  <c:v>0.66053565218437671</c:v>
                </c:pt>
                <c:pt idx="165">
                  <c:v>0.42102934245703211</c:v>
                </c:pt>
                <c:pt idx="166">
                  <c:v>0.63734065864056244</c:v>
                </c:pt>
                <c:pt idx="167">
                  <c:v>0.74575548111884904</c:v>
                </c:pt>
                <c:pt idx="168">
                  <c:v>0.55230061124366503</c:v>
                </c:pt>
                <c:pt idx="169">
                  <c:v>0.56486455507355127</c:v>
                </c:pt>
                <c:pt idx="170">
                  <c:v>0.58012515422772271</c:v>
                </c:pt>
                <c:pt idx="171">
                  <c:v>0.61392718134055857</c:v>
                </c:pt>
                <c:pt idx="172">
                  <c:v>0.41773408922593042</c:v>
                </c:pt>
                <c:pt idx="173">
                  <c:v>0.6263052903512899</c:v>
                </c:pt>
                <c:pt idx="174">
                  <c:v>0.34512662917857817</c:v>
                </c:pt>
                <c:pt idx="175">
                  <c:v>0.85075638294211586</c:v>
                </c:pt>
                <c:pt idx="176">
                  <c:v>0.26149086463299631</c:v>
                </c:pt>
                <c:pt idx="177">
                  <c:v>0.70044020465490608</c:v>
                </c:pt>
                <c:pt idx="178">
                  <c:v>0.55425116127136231</c:v>
                </c:pt>
                <c:pt idx="179">
                  <c:v>0.6536074943204796</c:v>
                </c:pt>
                <c:pt idx="180">
                  <c:v>0.40171578193671398</c:v>
                </c:pt>
                <c:pt idx="181">
                  <c:v>0.40864407321706869</c:v>
                </c:pt>
                <c:pt idx="182">
                  <c:v>0.70022921301379415</c:v>
                </c:pt>
                <c:pt idx="183">
                  <c:v>0.47317911485474284</c:v>
                </c:pt>
                <c:pt idx="184">
                  <c:v>0.41085598866947548</c:v>
                </c:pt>
                <c:pt idx="185">
                  <c:v>0.52661258790005128</c:v>
                </c:pt>
                <c:pt idx="186">
                  <c:v>0.93837869063545531</c:v>
                </c:pt>
                <c:pt idx="187">
                  <c:v>0.33965709883865436</c:v>
                </c:pt>
                <c:pt idx="188">
                  <c:v>0.39506037003081113</c:v>
                </c:pt>
                <c:pt idx="189">
                  <c:v>0.58419976928657924</c:v>
                </c:pt>
                <c:pt idx="190">
                  <c:v>0.5310533136021971</c:v>
                </c:pt>
                <c:pt idx="191">
                  <c:v>0.48200493791321752</c:v>
                </c:pt>
                <c:pt idx="192">
                  <c:v>0.87574481286642136</c:v>
                </c:pt>
                <c:pt idx="193">
                  <c:v>0.73599991872987736</c:v>
                </c:pt>
                <c:pt idx="194">
                  <c:v>0.74223149783294928</c:v>
                </c:pt>
                <c:pt idx="195">
                  <c:v>0.48914576708091106</c:v>
                </c:pt>
                <c:pt idx="196">
                  <c:v>0.52126041301764836</c:v>
                </c:pt>
                <c:pt idx="197">
                  <c:v>0.5085473592361911</c:v>
                </c:pt>
                <c:pt idx="198">
                  <c:v>0.57861416764407425</c:v>
                </c:pt>
                <c:pt idx="199">
                  <c:v>0.63204777004806056</c:v>
                </c:pt>
                <c:pt idx="200">
                  <c:v>0.44760249902268162</c:v>
                </c:pt>
                <c:pt idx="201">
                  <c:v>0.45768360226744331</c:v>
                </c:pt>
                <c:pt idx="202">
                  <c:v>0.43673993224774516</c:v>
                </c:pt>
                <c:pt idx="203">
                  <c:v>0.95632559004294548</c:v>
                </c:pt>
                <c:pt idx="204">
                  <c:v>0.85701464497061708</c:v>
                </c:pt>
                <c:pt idx="205">
                  <c:v>0.52063020858062448</c:v>
                </c:pt>
                <c:pt idx="206">
                  <c:v>0.36470924322434417</c:v>
                </c:pt>
                <c:pt idx="207">
                  <c:v>0.52122277917504833</c:v>
                </c:pt>
                <c:pt idx="208">
                  <c:v>0.46777048989311337</c:v>
                </c:pt>
                <c:pt idx="209">
                  <c:v>0.69105558057604155</c:v>
                </c:pt>
                <c:pt idx="210">
                  <c:v>0.59489177952393879</c:v>
                </c:pt>
                <c:pt idx="211">
                  <c:v>0.3639444582027358</c:v>
                </c:pt>
                <c:pt idx="212">
                  <c:v>0.45767667752599706</c:v>
                </c:pt>
                <c:pt idx="213">
                  <c:v>0.60152214071391963</c:v>
                </c:pt>
                <c:pt idx="214">
                  <c:v>0.45331924598435053</c:v>
                </c:pt>
                <c:pt idx="215">
                  <c:v>0.52530589997483967</c:v>
                </c:pt>
                <c:pt idx="216">
                  <c:v>0.51385198886852013</c:v>
                </c:pt>
                <c:pt idx="217">
                  <c:v>0.3866674041511225</c:v>
                </c:pt>
                <c:pt idx="218">
                  <c:v>0.46057919049348917</c:v>
                </c:pt>
                <c:pt idx="219">
                  <c:v>0.94041129189584205</c:v>
                </c:pt>
                <c:pt idx="220">
                  <c:v>0.8420798335271632</c:v>
                </c:pt>
                <c:pt idx="221">
                  <c:v>0.72582588397154524</c:v>
                </c:pt>
                <c:pt idx="222">
                  <c:v>0.67647090004156407</c:v>
                </c:pt>
                <c:pt idx="223">
                  <c:v>0.45205465328743666</c:v>
                </c:pt>
                <c:pt idx="224">
                  <c:v>0.48457123690750004</c:v>
                </c:pt>
                <c:pt idx="225">
                  <c:v>0.59687271715954837</c:v>
                </c:pt>
                <c:pt idx="226">
                  <c:v>0.32225610832942203</c:v>
                </c:pt>
                <c:pt idx="227">
                  <c:v>0.50991101213692347</c:v>
                </c:pt>
                <c:pt idx="228">
                  <c:v>0.73712078939501946</c:v>
                </c:pt>
                <c:pt idx="229">
                  <c:v>0.35655913967175973</c:v>
                </c:pt>
                <c:pt idx="230">
                  <c:v>0.2947189437578539</c:v>
                </c:pt>
                <c:pt idx="231">
                  <c:v>0.46258830823126629</c:v>
                </c:pt>
                <c:pt idx="232">
                  <c:v>0.74186094839143324</c:v>
                </c:pt>
                <c:pt idx="233">
                  <c:v>0.83920354941785902</c:v>
                </c:pt>
                <c:pt idx="234">
                  <c:v>0.6522499531784528</c:v>
                </c:pt>
                <c:pt idx="235">
                  <c:v>0.68231881031579178</c:v>
                </c:pt>
                <c:pt idx="236">
                  <c:v>0.49434800747695917</c:v>
                </c:pt>
                <c:pt idx="237">
                  <c:v>0.65809737655417966</c:v>
                </c:pt>
                <c:pt idx="238">
                  <c:v>0.88620066089022898</c:v>
                </c:pt>
                <c:pt idx="239">
                  <c:v>0.40788435835001019</c:v>
                </c:pt>
                <c:pt idx="240">
                  <c:v>0.37623513178527207</c:v>
                </c:pt>
                <c:pt idx="241">
                  <c:v>0.63986812918248537</c:v>
                </c:pt>
                <c:pt idx="242">
                  <c:v>0.52035062312996361</c:v>
                </c:pt>
                <c:pt idx="243">
                  <c:v>0.45040076760446546</c:v>
                </c:pt>
                <c:pt idx="244">
                  <c:v>0.35970776757380274</c:v>
                </c:pt>
                <c:pt idx="245">
                  <c:v>0.53543970550179598</c:v>
                </c:pt>
                <c:pt idx="246">
                  <c:v>0.69451861571528251</c:v>
                </c:pt>
                <c:pt idx="247">
                  <c:v>0.87598914068962541</c:v>
                </c:pt>
                <c:pt idx="248">
                  <c:v>0.52529900616201164</c:v>
                </c:pt>
                <c:pt idx="249">
                  <c:v>0.2536724352310995</c:v>
                </c:pt>
                <c:pt idx="250">
                  <c:v>0.40837943298782875</c:v>
                </c:pt>
                <c:pt idx="251">
                  <c:v>0.39874307633717743</c:v>
                </c:pt>
                <c:pt idx="252">
                  <c:v>0.3895868141249057</c:v>
                </c:pt>
                <c:pt idx="253">
                  <c:v>0.37429265250502036</c:v>
                </c:pt>
                <c:pt idx="254">
                  <c:v>0.86389328093776263</c:v>
                </c:pt>
                <c:pt idx="255">
                  <c:v>0.11375369060171103</c:v>
                </c:pt>
                <c:pt idx="256">
                  <c:v>0.38387609717035109</c:v>
                </c:pt>
                <c:pt idx="257">
                  <c:v>0.12234263662119083</c:v>
                </c:pt>
                <c:pt idx="258">
                  <c:v>0.29976654561202731</c:v>
                </c:pt>
                <c:pt idx="259">
                  <c:v>0.5323459570990331</c:v>
                </c:pt>
                <c:pt idx="260">
                  <c:v>0.43490297808429279</c:v>
                </c:pt>
                <c:pt idx="261">
                  <c:v>0.47305554813801692</c:v>
                </c:pt>
                <c:pt idx="262">
                  <c:v>0.35784165812255875</c:v>
                </c:pt>
                <c:pt idx="263">
                  <c:v>0.50920881821598218</c:v>
                </c:pt>
                <c:pt idx="264">
                  <c:v>0.44246570029023874</c:v>
                </c:pt>
                <c:pt idx="265">
                  <c:v>0.2976585041033275</c:v>
                </c:pt>
                <c:pt idx="266">
                  <c:v>0.33746420657413717</c:v>
                </c:pt>
                <c:pt idx="267">
                  <c:v>0.44537168126893267</c:v>
                </c:pt>
                <c:pt idx="268">
                  <c:v>0.7835489891666072</c:v>
                </c:pt>
                <c:pt idx="269">
                  <c:v>0.12060975442534694</c:v>
                </c:pt>
                <c:pt idx="270">
                  <c:v>0.3534591083117079</c:v>
                </c:pt>
                <c:pt idx="271">
                  <c:v>0.38785276097549187</c:v>
                </c:pt>
                <c:pt idx="272">
                  <c:v>1.1278625893197816</c:v>
                </c:pt>
                <c:pt idx="273">
                  <c:v>0.45323379883333514</c:v>
                </c:pt>
                <c:pt idx="274">
                  <c:v>0.95700973246313525</c:v>
                </c:pt>
                <c:pt idx="275">
                  <c:v>0.52472794196164774</c:v>
                </c:pt>
                <c:pt idx="276">
                  <c:v>0.60050738027141226</c:v>
                </c:pt>
                <c:pt idx="277">
                  <c:v>0.9714933559206721</c:v>
                </c:pt>
                <c:pt idx="278">
                  <c:v>0.57097613488548138</c:v>
                </c:pt>
                <c:pt idx="279">
                  <c:v>0.37458700039710602</c:v>
                </c:pt>
                <c:pt idx="280">
                  <c:v>0.667155986285494</c:v>
                </c:pt>
                <c:pt idx="281">
                  <c:v>0.60277013710062821</c:v>
                </c:pt>
                <c:pt idx="282">
                  <c:v>0.50056406189844127</c:v>
                </c:pt>
                <c:pt idx="283">
                  <c:v>0.50124002439795723</c:v>
                </c:pt>
                <c:pt idx="284">
                  <c:v>0.42102687184022675</c:v>
                </c:pt>
                <c:pt idx="285">
                  <c:v>0.59617754489179031</c:v>
                </c:pt>
                <c:pt idx="286">
                  <c:v>0.81284483994880408</c:v>
                </c:pt>
                <c:pt idx="287">
                  <c:v>0.63824189863374359</c:v>
                </c:pt>
                <c:pt idx="288">
                  <c:v>0.39001844513037881</c:v>
                </c:pt>
                <c:pt idx="289">
                  <c:v>0.77187832166681614</c:v>
                </c:pt>
                <c:pt idx="290">
                  <c:v>0.47774078971616674</c:v>
                </c:pt>
                <c:pt idx="291">
                  <c:v>0.77927460627905987</c:v>
                </c:pt>
                <c:pt idx="292">
                  <c:v>0.29758989645493877</c:v>
                </c:pt>
                <c:pt idx="293">
                  <c:v>0.30385837571721225</c:v>
                </c:pt>
                <c:pt idx="294">
                  <c:v>0.4189119553622096</c:v>
                </c:pt>
                <c:pt idx="295">
                  <c:v>0.45975821831881197</c:v>
                </c:pt>
                <c:pt idx="296">
                  <c:v>0.54563897713584086</c:v>
                </c:pt>
                <c:pt idx="297">
                  <c:v>0.56553011642252304</c:v>
                </c:pt>
                <c:pt idx="298">
                  <c:v>0.65847051407370993</c:v>
                </c:pt>
                <c:pt idx="299">
                  <c:v>0.38695230806623193</c:v>
                </c:pt>
                <c:pt idx="300">
                  <c:v>0.29950848551973486</c:v>
                </c:pt>
                <c:pt idx="301">
                  <c:v>0.50385007463970588</c:v>
                </c:pt>
                <c:pt idx="302">
                  <c:v>0.43732531704988747</c:v>
                </c:pt>
                <c:pt idx="303">
                  <c:v>0.19562888648807658</c:v>
                </c:pt>
                <c:pt idx="304">
                  <c:v>0.48050849467359319</c:v>
                </c:pt>
                <c:pt idx="305">
                  <c:v>0.9024691629221071</c:v>
                </c:pt>
                <c:pt idx="306">
                  <c:v>0.5088454774591844</c:v>
                </c:pt>
                <c:pt idx="307">
                  <c:v>0.56321225631997573</c:v>
                </c:pt>
                <c:pt idx="308">
                  <c:v>0.29149309751269681</c:v>
                </c:pt>
                <c:pt idx="309">
                  <c:v>0.59263183492388249</c:v>
                </c:pt>
                <c:pt idx="310">
                  <c:v>0.67210044359645382</c:v>
                </c:pt>
                <c:pt idx="311">
                  <c:v>0.29950897540542598</c:v>
                </c:pt>
                <c:pt idx="312">
                  <c:v>0.40718885381641984</c:v>
                </c:pt>
                <c:pt idx="313">
                  <c:v>0.71483949479245545</c:v>
                </c:pt>
                <c:pt idx="314">
                  <c:v>0.49418312438377154</c:v>
                </c:pt>
                <c:pt idx="315">
                  <c:v>0.59167956094335317</c:v>
                </c:pt>
                <c:pt idx="316">
                  <c:v>0.6289974459249702</c:v>
                </c:pt>
                <c:pt idx="317">
                  <c:v>0.87382982915653373</c:v>
                </c:pt>
                <c:pt idx="318">
                  <c:v>0.5395959735453526</c:v>
                </c:pt>
                <c:pt idx="319">
                  <c:v>0.52295386656219778</c:v>
                </c:pt>
                <c:pt idx="320">
                  <c:v>0.37563837242264481</c:v>
                </c:pt>
                <c:pt idx="321">
                  <c:v>0.43727707910736013</c:v>
                </c:pt>
                <c:pt idx="322">
                  <c:v>0.10752162423131773</c:v>
                </c:pt>
                <c:pt idx="323">
                  <c:v>0.41168656751636068</c:v>
                </c:pt>
                <c:pt idx="324">
                  <c:v>0.33174307169500017</c:v>
                </c:pt>
                <c:pt idx="325">
                  <c:v>0.63477511525770092</c:v>
                </c:pt>
                <c:pt idx="326">
                  <c:v>0.61814356118539193</c:v>
                </c:pt>
                <c:pt idx="327">
                  <c:v>0.64825559504921881</c:v>
                </c:pt>
                <c:pt idx="328">
                  <c:v>0.53015465033407994</c:v>
                </c:pt>
                <c:pt idx="329">
                  <c:v>0.64772305336203484</c:v>
                </c:pt>
                <c:pt idx="330">
                  <c:v>0.72194171479411506</c:v>
                </c:pt>
                <c:pt idx="331">
                  <c:v>0.64979428219865953</c:v>
                </c:pt>
                <c:pt idx="332">
                  <c:v>0.93950767123837475</c:v>
                </c:pt>
                <c:pt idx="333">
                  <c:v>0.55021596016738927</c:v>
                </c:pt>
                <c:pt idx="334">
                  <c:v>0.30907167384972767</c:v>
                </c:pt>
                <c:pt idx="335">
                  <c:v>0.84740469425100595</c:v>
                </c:pt>
                <c:pt idx="336">
                  <c:v>0.36498272111050523</c:v>
                </c:pt>
                <c:pt idx="337">
                  <c:v>0.75788257823021798</c:v>
                </c:pt>
                <c:pt idx="338">
                  <c:v>0.90073607910198261</c:v>
                </c:pt>
                <c:pt idx="339">
                  <c:v>0.34802481674827074</c:v>
                </c:pt>
                <c:pt idx="340">
                  <c:v>0.57949712084766025</c:v>
                </c:pt>
                <c:pt idx="341">
                  <c:v>0.7376754317290859</c:v>
                </c:pt>
                <c:pt idx="342">
                  <c:v>0.76675324227747832</c:v>
                </c:pt>
                <c:pt idx="343">
                  <c:v>0.54259627094852669</c:v>
                </c:pt>
                <c:pt idx="344">
                  <c:v>0.68783220676043666</c:v>
                </c:pt>
                <c:pt idx="345">
                  <c:v>0.36726075281453946</c:v>
                </c:pt>
                <c:pt idx="346">
                  <c:v>0.30449926378899367</c:v>
                </c:pt>
                <c:pt idx="347">
                  <c:v>0.83961078148915891</c:v>
                </c:pt>
                <c:pt idx="348">
                  <c:v>0.49907127174564314</c:v>
                </c:pt>
                <c:pt idx="349">
                  <c:v>0.39517639261994458</c:v>
                </c:pt>
                <c:pt idx="350">
                  <c:v>0.74423305329219458</c:v>
                </c:pt>
                <c:pt idx="351">
                  <c:v>0.56407960520502876</c:v>
                </c:pt>
                <c:pt idx="352">
                  <c:v>0.57131104449945491</c:v>
                </c:pt>
                <c:pt idx="353">
                  <c:v>0.50312317123451233</c:v>
                </c:pt>
                <c:pt idx="354">
                  <c:v>0.34076119840143992</c:v>
                </c:pt>
                <c:pt idx="355">
                  <c:v>0.6311768468862281</c:v>
                </c:pt>
                <c:pt idx="356">
                  <c:v>0.39474723910614173</c:v>
                </c:pt>
                <c:pt idx="357">
                  <c:v>0.35143067121518246</c:v>
                </c:pt>
                <c:pt idx="358">
                  <c:v>0.56695476834962122</c:v>
                </c:pt>
                <c:pt idx="359">
                  <c:v>0.76605890117523345</c:v>
                </c:pt>
                <c:pt idx="360">
                  <c:v>0.55215575161249886</c:v>
                </c:pt>
                <c:pt idx="361">
                  <c:v>0.54646331893675149</c:v>
                </c:pt>
                <c:pt idx="362">
                  <c:v>0.70696766006552125</c:v>
                </c:pt>
                <c:pt idx="363">
                  <c:v>0.26452773420894116</c:v>
                </c:pt>
                <c:pt idx="364">
                  <c:v>0.25239744824709864</c:v>
                </c:pt>
                <c:pt idx="365">
                  <c:v>0.63823713905087087</c:v>
                </c:pt>
                <c:pt idx="366">
                  <c:v>0.30434953754036365</c:v>
                </c:pt>
                <c:pt idx="367">
                  <c:v>0.62350656385501624</c:v>
                </c:pt>
                <c:pt idx="368">
                  <c:v>0.33418909593936114</c:v>
                </c:pt>
                <c:pt idx="369">
                  <c:v>0.50111679579689594</c:v>
                </c:pt>
                <c:pt idx="370">
                  <c:v>0.40316009905082761</c:v>
                </c:pt>
                <c:pt idx="371">
                  <c:v>0.33194710374648889</c:v>
                </c:pt>
                <c:pt idx="372">
                  <c:v>0.49602927460105684</c:v>
                </c:pt>
                <c:pt idx="373">
                  <c:v>0.80715968213453992</c:v>
                </c:pt>
                <c:pt idx="374">
                  <c:v>0.326438506824964</c:v>
                </c:pt>
                <c:pt idx="375">
                  <c:v>0.3925603469948003</c:v>
                </c:pt>
                <c:pt idx="376">
                  <c:v>0.58337378373074555</c:v>
                </c:pt>
                <c:pt idx="377">
                  <c:v>0.46000240825455302</c:v>
                </c:pt>
                <c:pt idx="378">
                  <c:v>1.1130994885807968</c:v>
                </c:pt>
                <c:pt idx="379">
                  <c:v>0.51414405833257015</c:v>
                </c:pt>
                <c:pt idx="380">
                  <c:v>0.57345755193707881</c:v>
                </c:pt>
                <c:pt idx="381">
                  <c:v>0.42556634480077915</c:v>
                </c:pt>
                <c:pt idx="382">
                  <c:v>0.40113895900268415</c:v>
                </c:pt>
                <c:pt idx="383">
                  <c:v>0.81068532996633658</c:v>
                </c:pt>
                <c:pt idx="384">
                  <c:v>0.55901498043442244</c:v>
                </c:pt>
                <c:pt idx="385">
                  <c:v>0.53457354679463354</c:v>
                </c:pt>
                <c:pt idx="386">
                  <c:v>0.42858777199982434</c:v>
                </c:pt>
                <c:pt idx="387">
                  <c:v>0.26965402603453797</c:v>
                </c:pt>
                <c:pt idx="388">
                  <c:v>0.75080675934229046</c:v>
                </c:pt>
                <c:pt idx="389">
                  <c:v>0.13038937315897781</c:v>
                </c:pt>
                <c:pt idx="390">
                  <c:v>0.44293593400373998</c:v>
                </c:pt>
                <c:pt idx="391">
                  <c:v>0.39093779266072293</c:v>
                </c:pt>
                <c:pt idx="392">
                  <c:v>0.73834990348000618</c:v>
                </c:pt>
                <c:pt idx="393">
                  <c:v>0.68769544722554743</c:v>
                </c:pt>
                <c:pt idx="394">
                  <c:v>0.79932623285300464</c:v>
                </c:pt>
                <c:pt idx="395">
                  <c:v>0.31861254660036675</c:v>
                </c:pt>
                <c:pt idx="396">
                  <c:v>0.62631099952947389</c:v>
                </c:pt>
                <c:pt idx="397">
                  <c:v>0.64325583405171993</c:v>
                </c:pt>
                <c:pt idx="398">
                  <c:v>0.92965990741880289</c:v>
                </c:pt>
                <c:pt idx="399">
                  <c:v>0.79741439864817643</c:v>
                </c:pt>
                <c:pt idx="400">
                  <c:v>0.48095100280852077</c:v>
                </c:pt>
                <c:pt idx="401">
                  <c:v>7.5731783768165806E-2</c:v>
                </c:pt>
                <c:pt idx="402">
                  <c:v>0.46386564973879735</c:v>
                </c:pt>
                <c:pt idx="403">
                  <c:v>0.40357541039424716</c:v>
                </c:pt>
                <c:pt idx="404">
                  <c:v>0.47105803548792413</c:v>
                </c:pt>
                <c:pt idx="405">
                  <c:v>0.21362619471893965</c:v>
                </c:pt>
                <c:pt idx="406">
                  <c:v>0.56756120780381025</c:v>
                </c:pt>
                <c:pt idx="407">
                  <c:v>0.58558698346222271</c:v>
                </c:pt>
                <c:pt idx="408">
                  <c:v>0.25926880059932023</c:v>
                </c:pt>
                <c:pt idx="409">
                  <c:v>0.66878971062107839</c:v>
                </c:pt>
                <c:pt idx="410">
                  <c:v>0.82535687338278307</c:v>
                </c:pt>
                <c:pt idx="411">
                  <c:v>0.44899056430037276</c:v>
                </c:pt>
                <c:pt idx="412">
                  <c:v>0.95267602655251371</c:v>
                </c:pt>
                <c:pt idx="413">
                  <c:v>0.42900219262594197</c:v>
                </c:pt>
                <c:pt idx="414">
                  <c:v>0.78434265784494206</c:v>
                </c:pt>
                <c:pt idx="415">
                  <c:v>0.52748775390332048</c:v>
                </c:pt>
                <c:pt idx="416">
                  <c:v>0.47463597971622429</c:v>
                </c:pt>
                <c:pt idx="417">
                  <c:v>0.5760679961386761</c:v>
                </c:pt>
                <c:pt idx="418">
                  <c:v>0.81400458840344536</c:v>
                </c:pt>
                <c:pt idx="419">
                  <c:v>0.44597671127848737</c:v>
                </c:pt>
                <c:pt idx="420">
                  <c:v>0.63377256229335277</c:v>
                </c:pt>
                <c:pt idx="421">
                  <c:v>0.5657794030944141</c:v>
                </c:pt>
                <c:pt idx="422">
                  <c:v>0.47812923092772364</c:v>
                </c:pt>
                <c:pt idx="423">
                  <c:v>0.42338485321373648</c:v>
                </c:pt>
                <c:pt idx="424">
                  <c:v>0.7476192790387306</c:v>
                </c:pt>
                <c:pt idx="425">
                  <c:v>0.55964489255301131</c:v>
                </c:pt>
                <c:pt idx="426">
                  <c:v>0.27176876801443339</c:v>
                </c:pt>
                <c:pt idx="427">
                  <c:v>0.66769182169731034</c:v>
                </c:pt>
                <c:pt idx="428">
                  <c:v>0.25332541756123866</c:v>
                </c:pt>
                <c:pt idx="429">
                  <c:v>0.73583632190691795</c:v>
                </c:pt>
                <c:pt idx="430">
                  <c:v>0.4206820310639629</c:v>
                </c:pt>
                <c:pt idx="431">
                  <c:v>0.33393897763342684</c:v>
                </c:pt>
                <c:pt idx="432">
                  <c:v>0.63321022953346273</c:v>
                </c:pt>
                <c:pt idx="433">
                  <c:v>0.5903684353776657</c:v>
                </c:pt>
                <c:pt idx="434">
                  <c:v>0.24200067060484109</c:v>
                </c:pt>
                <c:pt idx="435">
                  <c:v>0.73360252461434106</c:v>
                </c:pt>
                <c:pt idx="436">
                  <c:v>0.48549673861542125</c:v>
                </c:pt>
                <c:pt idx="437">
                  <c:v>0.29545677286334432</c:v>
                </c:pt>
                <c:pt idx="438">
                  <c:v>0.19421579507377057</c:v>
                </c:pt>
                <c:pt idx="439">
                  <c:v>0.27818335501748076</c:v>
                </c:pt>
                <c:pt idx="440">
                  <c:v>0.50751341586343834</c:v>
                </c:pt>
                <c:pt idx="441">
                  <c:v>0.51190326715970447</c:v>
                </c:pt>
                <c:pt idx="442">
                  <c:v>0.34618092713969784</c:v>
                </c:pt>
                <c:pt idx="443">
                  <c:v>0.83118869168394538</c:v>
                </c:pt>
                <c:pt idx="444">
                  <c:v>0.51471414896456436</c:v>
                </c:pt>
                <c:pt idx="445">
                  <c:v>0.78024642570038139</c:v>
                </c:pt>
                <c:pt idx="446">
                  <c:v>0.23590786094416777</c:v>
                </c:pt>
                <c:pt idx="447">
                  <c:v>0.27255931828468061</c:v>
                </c:pt>
                <c:pt idx="448">
                  <c:v>0.45804337410806523</c:v>
                </c:pt>
                <c:pt idx="449">
                  <c:v>0.56485117451561606</c:v>
                </c:pt>
                <c:pt idx="450">
                  <c:v>0.41552216340247478</c:v>
                </c:pt>
                <c:pt idx="451">
                  <c:v>0.22296330457500874</c:v>
                </c:pt>
                <c:pt idx="452">
                  <c:v>0.54783767967930097</c:v>
                </c:pt>
                <c:pt idx="453">
                  <c:v>0.60002321494329269</c:v>
                </c:pt>
                <c:pt idx="454">
                  <c:v>0.60369537874530466</c:v>
                </c:pt>
                <c:pt idx="455">
                  <c:v>0.59670289380132868</c:v>
                </c:pt>
                <c:pt idx="456">
                  <c:v>0.38729775301659486</c:v>
                </c:pt>
                <c:pt idx="457">
                  <c:v>0.92896480153270511</c:v>
                </c:pt>
                <c:pt idx="458">
                  <c:v>0.50122791698681513</c:v>
                </c:pt>
                <c:pt idx="459">
                  <c:v>0.56045970950715052</c:v>
                </c:pt>
                <c:pt idx="460">
                  <c:v>0.7719491622414939</c:v>
                </c:pt>
                <c:pt idx="461">
                  <c:v>0.29268506318389353</c:v>
                </c:pt>
                <c:pt idx="462">
                  <c:v>0.39944459907239271</c:v>
                </c:pt>
                <c:pt idx="463">
                  <c:v>0.5379289649792679</c:v>
                </c:pt>
                <c:pt idx="464">
                  <c:v>0.64374671403595196</c:v>
                </c:pt>
                <c:pt idx="465">
                  <c:v>0.43949960886085754</c:v>
                </c:pt>
                <c:pt idx="466">
                  <c:v>0.51001704786895241</c:v>
                </c:pt>
                <c:pt idx="467">
                  <c:v>0.47360874226071115</c:v>
                </c:pt>
                <c:pt idx="468">
                  <c:v>0.21658236320617233</c:v>
                </c:pt>
                <c:pt idx="469">
                  <c:v>0.27752067638202271</c:v>
                </c:pt>
                <c:pt idx="470">
                  <c:v>0.69827593012931322</c:v>
                </c:pt>
                <c:pt idx="471">
                  <c:v>0.59849576290696715</c:v>
                </c:pt>
                <c:pt idx="472">
                  <c:v>0.6328013853488843</c:v>
                </c:pt>
                <c:pt idx="473">
                  <c:v>0.57881294137345263</c:v>
                </c:pt>
                <c:pt idx="474">
                  <c:v>0.49230394707413822</c:v>
                </c:pt>
                <c:pt idx="475">
                  <c:v>0.85730783848041259</c:v>
                </c:pt>
                <c:pt idx="476">
                  <c:v>0.48294208563322061</c:v>
                </c:pt>
                <c:pt idx="477">
                  <c:v>0.59939287452299761</c:v>
                </c:pt>
                <c:pt idx="478">
                  <c:v>0.72883610645837071</c:v>
                </c:pt>
                <c:pt idx="479">
                  <c:v>0.57737390552853329</c:v>
                </c:pt>
                <c:pt idx="480">
                  <c:v>0.54893218156543688</c:v>
                </c:pt>
                <c:pt idx="481">
                  <c:v>0.31540283507651962</c:v>
                </c:pt>
                <c:pt idx="482">
                  <c:v>0.50108907292406912</c:v>
                </c:pt>
                <c:pt idx="483">
                  <c:v>0.16472733520038552</c:v>
                </c:pt>
                <c:pt idx="484">
                  <c:v>0.52085452736487592</c:v>
                </c:pt>
                <c:pt idx="485">
                  <c:v>0.48151364120353712</c:v>
                </c:pt>
                <c:pt idx="486">
                  <c:v>0.3117451289237449</c:v>
                </c:pt>
                <c:pt idx="487">
                  <c:v>0.33483128102358645</c:v>
                </c:pt>
                <c:pt idx="488">
                  <c:v>0.38504950493394574</c:v>
                </c:pt>
                <c:pt idx="489">
                  <c:v>0.40419194453557872</c:v>
                </c:pt>
                <c:pt idx="490">
                  <c:v>0.48077841101944274</c:v>
                </c:pt>
                <c:pt idx="491">
                  <c:v>0.23765159943658942</c:v>
                </c:pt>
                <c:pt idx="492">
                  <c:v>0.35980893939360087</c:v>
                </c:pt>
                <c:pt idx="493">
                  <c:v>0.77198936041945931</c:v>
                </c:pt>
                <c:pt idx="494">
                  <c:v>0.88047524922450904</c:v>
                </c:pt>
                <c:pt idx="495">
                  <c:v>0.57629050813610261</c:v>
                </c:pt>
                <c:pt idx="496">
                  <c:v>0.32495134173814127</c:v>
                </c:pt>
                <c:pt idx="497">
                  <c:v>0.16111678791529416</c:v>
                </c:pt>
                <c:pt idx="498">
                  <c:v>0.58679685221105271</c:v>
                </c:pt>
                <c:pt idx="499">
                  <c:v>0.12613634374433369</c:v>
                </c:pt>
                <c:pt idx="500">
                  <c:v>0.55017587813127644</c:v>
                </c:pt>
                <c:pt idx="501">
                  <c:v>0.48812963803095838</c:v>
                </c:pt>
                <c:pt idx="502">
                  <c:v>0.32862850949133615</c:v>
                </c:pt>
                <c:pt idx="503">
                  <c:v>0.58318008745966188</c:v>
                </c:pt>
                <c:pt idx="504">
                  <c:v>0.73681175342100258</c:v>
                </c:pt>
                <c:pt idx="505">
                  <c:v>0.43344516399984123</c:v>
                </c:pt>
                <c:pt idx="506">
                  <c:v>0.52166778079262499</c:v>
                </c:pt>
                <c:pt idx="507">
                  <c:v>0.50624798278630512</c:v>
                </c:pt>
                <c:pt idx="508">
                  <c:v>0.60038130797598566</c:v>
                </c:pt>
                <c:pt idx="509">
                  <c:v>0.60840828561802573</c:v>
                </c:pt>
                <c:pt idx="510">
                  <c:v>0.51556370763479675</c:v>
                </c:pt>
                <c:pt idx="511">
                  <c:v>0.42207898766817498</c:v>
                </c:pt>
                <c:pt idx="512">
                  <c:v>0.48857440708104316</c:v>
                </c:pt>
                <c:pt idx="513">
                  <c:v>0.27284104631846517</c:v>
                </c:pt>
                <c:pt idx="514">
                  <c:v>0.46858357945297258</c:v>
                </c:pt>
                <c:pt idx="515">
                  <c:v>0.34452162687297511</c:v>
                </c:pt>
                <c:pt idx="516">
                  <c:v>0.48654977638340674</c:v>
                </c:pt>
                <c:pt idx="517">
                  <c:v>0.47884280756989167</c:v>
                </c:pt>
                <c:pt idx="518">
                  <c:v>0.7220332530368575</c:v>
                </c:pt>
                <c:pt idx="519">
                  <c:v>0.47393175683817745</c:v>
                </c:pt>
                <c:pt idx="520">
                  <c:v>0.91137879193221283</c:v>
                </c:pt>
                <c:pt idx="521">
                  <c:v>0.46922106728273094</c:v>
                </c:pt>
                <c:pt idx="522">
                  <c:v>0.26421201056954619</c:v>
                </c:pt>
                <c:pt idx="523">
                  <c:v>0.35024078142399423</c:v>
                </c:pt>
                <c:pt idx="524">
                  <c:v>0.84048810986163691</c:v>
                </c:pt>
                <c:pt idx="525">
                  <c:v>0.5690026689594484</c:v>
                </c:pt>
                <c:pt idx="526">
                  <c:v>0.44782217302602267</c:v>
                </c:pt>
                <c:pt idx="527">
                  <c:v>0.94090864671625285</c:v>
                </c:pt>
                <c:pt idx="528">
                  <c:v>0.43313263229621191</c:v>
                </c:pt>
                <c:pt idx="529">
                  <c:v>0.49078004922007046</c:v>
                </c:pt>
                <c:pt idx="530">
                  <c:v>0.56138552543597531</c:v>
                </c:pt>
                <c:pt idx="531">
                  <c:v>0.27731684683804114</c:v>
                </c:pt>
                <c:pt idx="532">
                  <c:v>0.54435043144519524</c:v>
                </c:pt>
                <c:pt idx="533">
                  <c:v>0.6382899376711566</c:v>
                </c:pt>
                <c:pt idx="534">
                  <c:v>0.5000368328290814</c:v>
                </c:pt>
                <c:pt idx="535">
                  <c:v>0.77050430996332586</c:v>
                </c:pt>
                <c:pt idx="536">
                  <c:v>0.56971873664711969</c:v>
                </c:pt>
                <c:pt idx="537">
                  <c:v>0.6223611522603657</c:v>
                </c:pt>
                <c:pt idx="538">
                  <c:v>0.83520460409108743</c:v>
                </c:pt>
                <c:pt idx="539">
                  <c:v>0.57812513499099516</c:v>
                </c:pt>
                <c:pt idx="540">
                  <c:v>0.6061842475456295</c:v>
                </c:pt>
                <c:pt idx="541">
                  <c:v>0.47502160390881143</c:v>
                </c:pt>
                <c:pt idx="542">
                  <c:v>0.31727200663084959</c:v>
                </c:pt>
                <c:pt idx="543">
                  <c:v>0.70412325399013254</c:v>
                </c:pt>
                <c:pt idx="544">
                  <c:v>0.5399916076258191</c:v>
                </c:pt>
                <c:pt idx="545">
                  <c:v>0.52119306301064006</c:v>
                </c:pt>
                <c:pt idx="546">
                  <c:v>0.49768233328367839</c:v>
                </c:pt>
                <c:pt idx="547">
                  <c:v>0.35422799498707602</c:v>
                </c:pt>
                <c:pt idx="548">
                  <c:v>0.42344531724841511</c:v>
                </c:pt>
                <c:pt idx="549">
                  <c:v>0.4239619860656359</c:v>
                </c:pt>
                <c:pt idx="550">
                  <c:v>0.58268102289206236</c:v>
                </c:pt>
                <c:pt idx="551">
                  <c:v>0.54776641513312585</c:v>
                </c:pt>
                <c:pt idx="552">
                  <c:v>0.33775989285274699</c:v>
                </c:pt>
                <c:pt idx="553">
                  <c:v>0.35077234594895851</c:v>
                </c:pt>
                <c:pt idx="554">
                  <c:v>0.45640810108199759</c:v>
                </c:pt>
                <c:pt idx="555">
                  <c:v>0.33659906915734972</c:v>
                </c:pt>
                <c:pt idx="556">
                  <c:v>0.73932372400307578</c:v>
                </c:pt>
                <c:pt idx="557">
                  <c:v>0.78991126719697369</c:v>
                </c:pt>
                <c:pt idx="558">
                  <c:v>0.40448880818047389</c:v>
                </c:pt>
                <c:pt idx="559">
                  <c:v>0.6271369077244946</c:v>
                </c:pt>
                <c:pt idx="560">
                  <c:v>0.48722855809730342</c:v>
                </c:pt>
                <c:pt idx="561">
                  <c:v>0.47754650703653678</c:v>
                </c:pt>
                <c:pt idx="562">
                  <c:v>0.81813555449330688</c:v>
                </c:pt>
                <c:pt idx="563">
                  <c:v>1.0194678665399619</c:v>
                </c:pt>
                <c:pt idx="564">
                  <c:v>0.95656524652988162</c:v>
                </c:pt>
                <c:pt idx="565">
                  <c:v>0.3281065419009877</c:v>
                </c:pt>
                <c:pt idx="566">
                  <c:v>0.786093768753656</c:v>
                </c:pt>
                <c:pt idx="567">
                  <c:v>0.69848471796241196</c:v>
                </c:pt>
                <c:pt idx="568">
                  <c:v>0.66553774840297653</c:v>
                </c:pt>
                <c:pt idx="569">
                  <c:v>0.40055673066679526</c:v>
                </c:pt>
                <c:pt idx="570">
                  <c:v>0.12452138425798265</c:v>
                </c:pt>
                <c:pt idx="571">
                  <c:v>0.72254971934781986</c:v>
                </c:pt>
                <c:pt idx="572">
                  <c:v>0.34946436598559416</c:v>
                </c:pt>
                <c:pt idx="573">
                  <c:v>0.71829521645031624</c:v>
                </c:pt>
                <c:pt idx="574">
                  <c:v>0.41803107718936156</c:v>
                </c:pt>
                <c:pt idx="575">
                  <c:v>0.58339801128517088</c:v>
                </c:pt>
                <c:pt idx="576">
                  <c:v>0.7723984635531872</c:v>
                </c:pt>
                <c:pt idx="577">
                  <c:v>0.5380644056883217</c:v>
                </c:pt>
                <c:pt idx="578">
                  <c:v>0.51179377215239108</c:v>
                </c:pt>
                <c:pt idx="579">
                  <c:v>0.46446923533560802</c:v>
                </c:pt>
                <c:pt idx="580">
                  <c:v>0.75878707978524906</c:v>
                </c:pt>
                <c:pt idx="581">
                  <c:v>0.59813123323696349</c:v>
                </c:pt>
                <c:pt idx="582">
                  <c:v>0.75810223064569682</c:v>
                </c:pt>
                <c:pt idx="583">
                  <c:v>0.50863167670150666</c:v>
                </c:pt>
                <c:pt idx="584">
                  <c:v>0.65782876323233352</c:v>
                </c:pt>
                <c:pt idx="585">
                  <c:v>0.42981201108513201</c:v>
                </c:pt>
                <c:pt idx="586">
                  <c:v>0.67609134674410809</c:v>
                </c:pt>
                <c:pt idx="587">
                  <c:v>0.38564162133843655</c:v>
                </c:pt>
                <c:pt idx="588">
                  <c:v>5.7414265580470691E-2</c:v>
                </c:pt>
                <c:pt idx="589">
                  <c:v>0.28953862870747754</c:v>
                </c:pt>
                <c:pt idx="590">
                  <c:v>0.36649149274587789</c:v>
                </c:pt>
                <c:pt idx="591">
                  <c:v>0.19586023944614517</c:v>
                </c:pt>
                <c:pt idx="592">
                  <c:v>0.41677041006176097</c:v>
                </c:pt>
                <c:pt idx="593">
                  <c:v>0.72724970917728604</c:v>
                </c:pt>
                <c:pt idx="594">
                  <c:v>0.69437119351484822</c:v>
                </c:pt>
                <c:pt idx="595">
                  <c:v>5.5275702515067304E-2</c:v>
                </c:pt>
                <c:pt idx="596">
                  <c:v>0.70576616341481591</c:v>
                </c:pt>
                <c:pt idx="597">
                  <c:v>0.43791189012207743</c:v>
                </c:pt>
                <c:pt idx="598">
                  <c:v>0.35533330663749207</c:v>
                </c:pt>
                <c:pt idx="599">
                  <c:v>0.73703015902936875</c:v>
                </c:pt>
                <c:pt idx="600">
                  <c:v>0.48072177970630531</c:v>
                </c:pt>
                <c:pt idx="601">
                  <c:v>0.68353351288972919</c:v>
                </c:pt>
                <c:pt idx="602">
                  <c:v>0.47261106504668726</c:v>
                </c:pt>
                <c:pt idx="603">
                  <c:v>0.66808613540137374</c:v>
                </c:pt>
                <c:pt idx="604">
                  <c:v>0.76816645364128278</c:v>
                </c:pt>
                <c:pt idx="605">
                  <c:v>0.77701559786000685</c:v>
                </c:pt>
                <c:pt idx="606">
                  <c:v>0.42049306166441702</c:v>
                </c:pt>
                <c:pt idx="607">
                  <c:v>0.61868240299491895</c:v>
                </c:pt>
                <c:pt idx="608">
                  <c:v>0.32761016023275397</c:v>
                </c:pt>
                <c:pt idx="609">
                  <c:v>0.61851263767947084</c:v>
                </c:pt>
                <c:pt idx="610">
                  <c:v>0.48994981521156877</c:v>
                </c:pt>
                <c:pt idx="611">
                  <c:v>0.73649892505439296</c:v>
                </c:pt>
                <c:pt idx="612">
                  <c:v>0.55982287600685066</c:v>
                </c:pt>
                <c:pt idx="613">
                  <c:v>0.2812085747981426</c:v>
                </c:pt>
                <c:pt idx="614">
                  <c:v>0.31829731475507234</c:v>
                </c:pt>
                <c:pt idx="615">
                  <c:v>0.19926098181520213</c:v>
                </c:pt>
                <c:pt idx="616">
                  <c:v>0.5457007277729724</c:v>
                </c:pt>
                <c:pt idx="617">
                  <c:v>0.50115114545377903</c:v>
                </c:pt>
                <c:pt idx="618">
                  <c:v>0.44064455100804745</c:v>
                </c:pt>
                <c:pt idx="619">
                  <c:v>0.64213197721852655</c:v>
                </c:pt>
                <c:pt idx="620">
                  <c:v>0.28014780340791778</c:v>
                </c:pt>
                <c:pt idx="621">
                  <c:v>0.34882799795112407</c:v>
                </c:pt>
                <c:pt idx="622">
                  <c:v>0.5882737037729473</c:v>
                </c:pt>
                <c:pt idx="623">
                  <c:v>0.55260531957328385</c:v>
                </c:pt>
                <c:pt idx="624">
                  <c:v>0.35896003786566755</c:v>
                </c:pt>
                <c:pt idx="625">
                  <c:v>0.65520089715679486</c:v>
                </c:pt>
                <c:pt idx="626">
                  <c:v>0.89290016800137373</c:v>
                </c:pt>
                <c:pt idx="627">
                  <c:v>0.5964181865424647</c:v>
                </c:pt>
                <c:pt idx="628">
                  <c:v>0.59278101293440888</c:v>
                </c:pt>
                <c:pt idx="629">
                  <c:v>0.71818335951131052</c:v>
                </c:pt>
                <c:pt idx="630">
                  <c:v>0.43102715038117573</c:v>
                </c:pt>
                <c:pt idx="631">
                  <c:v>0.58665786963418176</c:v>
                </c:pt>
                <c:pt idx="632">
                  <c:v>0.50901701204984706</c:v>
                </c:pt>
                <c:pt idx="633">
                  <c:v>0.63873225205205342</c:v>
                </c:pt>
                <c:pt idx="634">
                  <c:v>0.42620256185389843</c:v>
                </c:pt>
                <c:pt idx="635">
                  <c:v>0.49894474917712095</c:v>
                </c:pt>
                <c:pt idx="636">
                  <c:v>0.25803698695388499</c:v>
                </c:pt>
                <c:pt idx="637">
                  <c:v>0.66385709737852194</c:v>
                </c:pt>
                <c:pt idx="638">
                  <c:v>0.42009113045253832</c:v>
                </c:pt>
                <c:pt idx="639">
                  <c:v>0.79629205964669514</c:v>
                </c:pt>
                <c:pt idx="640">
                  <c:v>0.55090346719896022</c:v>
                </c:pt>
                <c:pt idx="641">
                  <c:v>0.52493079922538022</c:v>
                </c:pt>
                <c:pt idx="642">
                  <c:v>0.41190967181338423</c:v>
                </c:pt>
                <c:pt idx="643">
                  <c:v>0.59981971797362099</c:v>
                </c:pt>
                <c:pt idx="644">
                  <c:v>0.61704767500313007</c:v>
                </c:pt>
                <c:pt idx="645">
                  <c:v>0.27834670673212936</c:v>
                </c:pt>
                <c:pt idx="646">
                  <c:v>0.38308604595579865</c:v>
                </c:pt>
                <c:pt idx="647">
                  <c:v>0.55029662925112277</c:v>
                </c:pt>
                <c:pt idx="648">
                  <c:v>0.65762614096679495</c:v>
                </c:pt>
                <c:pt idx="649">
                  <c:v>0.31257163064654492</c:v>
                </c:pt>
                <c:pt idx="650">
                  <c:v>0.57529620456861641</c:v>
                </c:pt>
                <c:pt idx="651">
                  <c:v>0.34048954057635922</c:v>
                </c:pt>
                <c:pt idx="652">
                  <c:v>0.52362994221428982</c:v>
                </c:pt>
                <c:pt idx="653">
                  <c:v>0.26460115047399846</c:v>
                </c:pt>
                <c:pt idx="654">
                  <c:v>0.37401783674017841</c:v>
                </c:pt>
                <c:pt idx="655">
                  <c:v>0.93196068564645806</c:v>
                </c:pt>
                <c:pt idx="656">
                  <c:v>0.47989112979910831</c:v>
                </c:pt>
                <c:pt idx="657">
                  <c:v>0.34655523420266227</c:v>
                </c:pt>
                <c:pt idx="658">
                  <c:v>0.42077586225711971</c:v>
                </c:pt>
                <c:pt idx="659">
                  <c:v>0.46107299295503767</c:v>
                </c:pt>
                <c:pt idx="660">
                  <c:v>0.20255847387698001</c:v>
                </c:pt>
                <c:pt idx="661">
                  <c:v>0.59194942518207772</c:v>
                </c:pt>
                <c:pt idx="662">
                  <c:v>0.56152218370553419</c:v>
                </c:pt>
                <c:pt idx="663">
                  <c:v>0.5850894551258039</c:v>
                </c:pt>
                <c:pt idx="664">
                  <c:v>0.55434293560703807</c:v>
                </c:pt>
                <c:pt idx="665">
                  <c:v>0.58543015893709049</c:v>
                </c:pt>
                <c:pt idx="666">
                  <c:v>0.7653776115992037</c:v>
                </c:pt>
                <c:pt idx="667">
                  <c:v>0.33800791478798897</c:v>
                </c:pt>
                <c:pt idx="668">
                  <c:v>0.17259292003408244</c:v>
                </c:pt>
                <c:pt idx="669">
                  <c:v>0.66510965981264336</c:v>
                </c:pt>
                <c:pt idx="670">
                  <c:v>0.85240026947550773</c:v>
                </c:pt>
                <c:pt idx="671">
                  <c:v>0.42143018600045473</c:v>
                </c:pt>
                <c:pt idx="672">
                  <c:v>0.75042638399090889</c:v>
                </c:pt>
                <c:pt idx="673">
                  <c:v>0.59549014744621087</c:v>
                </c:pt>
                <c:pt idx="674">
                  <c:v>0.39048168853307441</c:v>
                </c:pt>
                <c:pt idx="675">
                  <c:v>0.68183380593047183</c:v>
                </c:pt>
                <c:pt idx="676">
                  <c:v>0.53988094420806754</c:v>
                </c:pt>
                <c:pt idx="677">
                  <c:v>0.37780281158343471</c:v>
                </c:pt>
                <c:pt idx="678">
                  <c:v>0.40967740810916753</c:v>
                </c:pt>
                <c:pt idx="679">
                  <c:v>0.68088675184758918</c:v>
                </c:pt>
                <c:pt idx="680">
                  <c:v>0.67091309388575104</c:v>
                </c:pt>
                <c:pt idx="681">
                  <c:v>0.25729214247233012</c:v>
                </c:pt>
                <c:pt idx="682">
                  <c:v>0.53703723082582011</c:v>
                </c:pt>
                <c:pt idx="683">
                  <c:v>0.95468229614731592</c:v>
                </c:pt>
                <c:pt idx="684">
                  <c:v>0.8138783299831075</c:v>
                </c:pt>
                <c:pt idx="685">
                  <c:v>0.39419043655979086</c:v>
                </c:pt>
                <c:pt idx="686">
                  <c:v>0.49319088160126923</c:v>
                </c:pt>
                <c:pt idx="687">
                  <c:v>0.43784743239954754</c:v>
                </c:pt>
                <c:pt idx="688">
                  <c:v>0.79602983732607802</c:v>
                </c:pt>
                <c:pt idx="689">
                  <c:v>0.67185175714844148</c:v>
                </c:pt>
                <c:pt idx="690">
                  <c:v>0.59729330224960964</c:v>
                </c:pt>
                <c:pt idx="691">
                  <c:v>0.46857983409702531</c:v>
                </c:pt>
                <c:pt idx="692">
                  <c:v>0.83498641398616791</c:v>
                </c:pt>
                <c:pt idx="693">
                  <c:v>0.46074811094825163</c:v>
                </c:pt>
                <c:pt idx="694">
                  <c:v>0.39922329030287956</c:v>
                </c:pt>
                <c:pt idx="695">
                  <c:v>0.21761959016026888</c:v>
                </c:pt>
                <c:pt idx="696">
                  <c:v>0.22914545876034365</c:v>
                </c:pt>
                <c:pt idx="697">
                  <c:v>0.52719221846380038</c:v>
                </c:pt>
                <c:pt idx="698">
                  <c:v>0.51520517085150108</c:v>
                </c:pt>
                <c:pt idx="699">
                  <c:v>0.76631458500502114</c:v>
                </c:pt>
                <c:pt idx="700">
                  <c:v>0.5256049731501834</c:v>
                </c:pt>
                <c:pt idx="701">
                  <c:v>0.47893180460962964</c:v>
                </c:pt>
                <c:pt idx="702">
                  <c:v>0.67799566891516938</c:v>
                </c:pt>
                <c:pt idx="703">
                  <c:v>0.31574755843324764</c:v>
                </c:pt>
                <c:pt idx="704">
                  <c:v>0.35031551032632258</c:v>
                </c:pt>
                <c:pt idx="705">
                  <c:v>0.5481111740060427</c:v>
                </c:pt>
                <c:pt idx="706">
                  <c:v>0.61797390609751901</c:v>
                </c:pt>
                <c:pt idx="707">
                  <c:v>0.52240017000741013</c:v>
                </c:pt>
                <c:pt idx="708">
                  <c:v>0.41718657219588806</c:v>
                </c:pt>
                <c:pt idx="709">
                  <c:v>0.64113982326156316</c:v>
                </c:pt>
                <c:pt idx="710">
                  <c:v>0.50187196275718504</c:v>
                </c:pt>
                <c:pt idx="711">
                  <c:v>0.40081509293951134</c:v>
                </c:pt>
                <c:pt idx="712">
                  <c:v>7.979327123604768E-2</c:v>
                </c:pt>
                <c:pt idx="713">
                  <c:v>7.8838922694662972E-2</c:v>
                </c:pt>
                <c:pt idx="714">
                  <c:v>0.37981447348212638</c:v>
                </c:pt>
                <c:pt idx="715">
                  <c:v>0.37170853822165945</c:v>
                </c:pt>
                <c:pt idx="716">
                  <c:v>0.44498936967049635</c:v>
                </c:pt>
                <c:pt idx="717">
                  <c:v>0.70515253057902449</c:v>
                </c:pt>
                <c:pt idx="718">
                  <c:v>0.42990694743328306</c:v>
                </c:pt>
                <c:pt idx="719">
                  <c:v>0.57020768462507909</c:v>
                </c:pt>
                <c:pt idx="720">
                  <c:v>0.85458912029406775</c:v>
                </c:pt>
                <c:pt idx="721">
                  <c:v>0.43525623815762871</c:v>
                </c:pt>
                <c:pt idx="722">
                  <c:v>0.49687520440619876</c:v>
                </c:pt>
                <c:pt idx="723">
                  <c:v>0.53372115892285954</c:v>
                </c:pt>
                <c:pt idx="724">
                  <c:v>0.4704091693957953</c:v>
                </c:pt>
                <c:pt idx="725">
                  <c:v>0.44558863415136352</c:v>
                </c:pt>
                <c:pt idx="726">
                  <c:v>0.71259130329480369</c:v>
                </c:pt>
                <c:pt idx="727">
                  <c:v>0.55058989897182042</c:v>
                </c:pt>
                <c:pt idx="728">
                  <c:v>0.48412850634021259</c:v>
                </c:pt>
                <c:pt idx="729">
                  <c:v>0.4032063632722161</c:v>
                </c:pt>
                <c:pt idx="730">
                  <c:v>0.89599210356793368</c:v>
                </c:pt>
                <c:pt idx="731">
                  <c:v>0.70012230621306804</c:v>
                </c:pt>
                <c:pt idx="732">
                  <c:v>0.65430596748499259</c:v>
                </c:pt>
                <c:pt idx="733">
                  <c:v>0.3002399652790787</c:v>
                </c:pt>
                <c:pt idx="734">
                  <c:v>0.3170823948016519</c:v>
                </c:pt>
                <c:pt idx="735">
                  <c:v>0.38087292388266358</c:v>
                </c:pt>
                <c:pt idx="736">
                  <c:v>0.31863515840654677</c:v>
                </c:pt>
                <c:pt idx="737">
                  <c:v>0.44529876276088842</c:v>
                </c:pt>
                <c:pt idx="738">
                  <c:v>0.56086192600074913</c:v>
                </c:pt>
                <c:pt idx="739">
                  <c:v>0.704972367096798</c:v>
                </c:pt>
                <c:pt idx="740">
                  <c:v>0.3330870214538999</c:v>
                </c:pt>
                <c:pt idx="741">
                  <c:v>0.52560701789317787</c:v>
                </c:pt>
                <c:pt idx="742">
                  <c:v>7.675511251433581E-2</c:v>
                </c:pt>
                <c:pt idx="743">
                  <c:v>0.61506611108396858</c:v>
                </c:pt>
                <c:pt idx="744">
                  <c:v>0.34928089551822505</c:v>
                </c:pt>
                <c:pt idx="745">
                  <c:v>0.76883123284582244</c:v>
                </c:pt>
                <c:pt idx="746">
                  <c:v>0.4175846402219201</c:v>
                </c:pt>
                <c:pt idx="747">
                  <c:v>0.38129588255307367</c:v>
                </c:pt>
                <c:pt idx="748">
                  <c:v>0.56408295515719076</c:v>
                </c:pt>
                <c:pt idx="749">
                  <c:v>0.58830103634099651</c:v>
                </c:pt>
                <c:pt idx="750">
                  <c:v>0.81043300721340628</c:v>
                </c:pt>
                <c:pt idx="751">
                  <c:v>0.62164990157270961</c:v>
                </c:pt>
                <c:pt idx="752">
                  <c:v>0.3187044330960932</c:v>
                </c:pt>
                <c:pt idx="753">
                  <c:v>0.62187740478789055</c:v>
                </c:pt>
                <c:pt idx="754">
                  <c:v>0.35969222532809675</c:v>
                </c:pt>
                <c:pt idx="755">
                  <c:v>0.35251712285987469</c:v>
                </c:pt>
                <c:pt idx="756">
                  <c:v>0.4348220589086087</c:v>
                </c:pt>
                <c:pt idx="757">
                  <c:v>0.62505360209437577</c:v>
                </c:pt>
                <c:pt idx="758">
                  <c:v>0.12615044347763305</c:v>
                </c:pt>
                <c:pt idx="759">
                  <c:v>0.44049601441123865</c:v>
                </c:pt>
                <c:pt idx="760">
                  <c:v>0.53380232829670082</c:v>
                </c:pt>
                <c:pt idx="761">
                  <c:v>0.46338226671699423</c:v>
                </c:pt>
                <c:pt idx="762">
                  <c:v>0.45644237375489949</c:v>
                </c:pt>
                <c:pt idx="763">
                  <c:v>0.53026790284274905</c:v>
                </c:pt>
                <c:pt idx="764">
                  <c:v>0.18402381007233315</c:v>
                </c:pt>
                <c:pt idx="765">
                  <c:v>1.0394063879846585</c:v>
                </c:pt>
                <c:pt idx="766">
                  <c:v>0.3953025937695992</c:v>
                </c:pt>
                <c:pt idx="767">
                  <c:v>0.29322308736537339</c:v>
                </c:pt>
                <c:pt idx="768">
                  <c:v>0.26824946799217042</c:v>
                </c:pt>
                <c:pt idx="769">
                  <c:v>0.22253835508539288</c:v>
                </c:pt>
                <c:pt idx="770">
                  <c:v>0.48047922179473646</c:v>
                </c:pt>
                <c:pt idx="771">
                  <c:v>0.82208277478070002</c:v>
                </c:pt>
                <c:pt idx="772">
                  <c:v>0.6372012991546141</c:v>
                </c:pt>
                <c:pt idx="773">
                  <c:v>0.26202361326216356</c:v>
                </c:pt>
                <c:pt idx="774">
                  <c:v>0.34726913748109678</c:v>
                </c:pt>
                <c:pt idx="775">
                  <c:v>0.36216542272692837</c:v>
                </c:pt>
                <c:pt idx="776">
                  <c:v>0.50799212304879426</c:v>
                </c:pt>
                <c:pt idx="777">
                  <c:v>0.63373860155879136</c:v>
                </c:pt>
                <c:pt idx="778">
                  <c:v>0.64419796770060611</c:v>
                </c:pt>
                <c:pt idx="779">
                  <c:v>0.25764740506236961</c:v>
                </c:pt>
                <c:pt idx="780">
                  <c:v>0.62819243100363953</c:v>
                </c:pt>
                <c:pt idx="781">
                  <c:v>0.41507180177306213</c:v>
                </c:pt>
                <c:pt idx="782">
                  <c:v>0.38845948294561861</c:v>
                </c:pt>
                <c:pt idx="783">
                  <c:v>0.36821702883485541</c:v>
                </c:pt>
                <c:pt idx="784">
                  <c:v>0.41475398895554222</c:v>
                </c:pt>
                <c:pt idx="785">
                  <c:v>0.33409267757236205</c:v>
                </c:pt>
                <c:pt idx="786">
                  <c:v>0.49984068805225135</c:v>
                </c:pt>
                <c:pt idx="787">
                  <c:v>0.5300484653527554</c:v>
                </c:pt>
                <c:pt idx="788">
                  <c:v>7.7209640087007647E-2</c:v>
                </c:pt>
                <c:pt idx="789">
                  <c:v>0.8140493140733307</c:v>
                </c:pt>
                <c:pt idx="790">
                  <c:v>0.64999812079282715</c:v>
                </c:pt>
                <c:pt idx="791">
                  <c:v>0.65407636003919523</c:v>
                </c:pt>
                <c:pt idx="792">
                  <c:v>0.22098358294642234</c:v>
                </c:pt>
                <c:pt idx="793">
                  <c:v>0.44770084362517903</c:v>
                </c:pt>
                <c:pt idx="794">
                  <c:v>0.39919021800426169</c:v>
                </c:pt>
                <c:pt idx="795">
                  <c:v>0.52657748080601474</c:v>
                </c:pt>
                <c:pt idx="796">
                  <c:v>0.36310693457949217</c:v>
                </c:pt>
                <c:pt idx="797">
                  <c:v>0.17403235588041049</c:v>
                </c:pt>
                <c:pt idx="798">
                  <c:v>0.41595776685115438</c:v>
                </c:pt>
                <c:pt idx="799">
                  <c:v>0.47332604264616118</c:v>
                </c:pt>
                <c:pt idx="800">
                  <c:v>0.6381440283888532</c:v>
                </c:pt>
                <c:pt idx="801">
                  <c:v>0.31392460070422873</c:v>
                </c:pt>
                <c:pt idx="802">
                  <c:v>0.45990125191070441</c:v>
                </c:pt>
                <c:pt idx="803">
                  <c:v>0.32314703025323843</c:v>
                </c:pt>
                <c:pt idx="804">
                  <c:v>0.36562302320489609</c:v>
                </c:pt>
                <c:pt idx="805">
                  <c:v>0.7671539295461931</c:v>
                </c:pt>
                <c:pt idx="806">
                  <c:v>0.33508307551735367</c:v>
                </c:pt>
                <c:pt idx="807">
                  <c:v>0.45542989216091517</c:v>
                </c:pt>
                <c:pt idx="808">
                  <c:v>1.0639973602756223</c:v>
                </c:pt>
                <c:pt idx="809">
                  <c:v>0.83164206474592239</c:v>
                </c:pt>
                <c:pt idx="810">
                  <c:v>0.50817413717431414</c:v>
                </c:pt>
                <c:pt idx="811">
                  <c:v>0.28222167099750139</c:v>
                </c:pt>
                <c:pt idx="812">
                  <c:v>0.20009200370398908</c:v>
                </c:pt>
                <c:pt idx="813">
                  <c:v>0.38635601860566426</c:v>
                </c:pt>
                <c:pt idx="814">
                  <c:v>0.10643288108849025</c:v>
                </c:pt>
                <c:pt idx="815">
                  <c:v>0.57715532299721306</c:v>
                </c:pt>
                <c:pt idx="816">
                  <c:v>0.66361034097843252</c:v>
                </c:pt>
                <c:pt idx="817">
                  <c:v>0.41156403749929016</c:v>
                </c:pt>
                <c:pt idx="818">
                  <c:v>0.42362150226456474</c:v>
                </c:pt>
                <c:pt idx="819">
                  <c:v>0.54164508379053222</c:v>
                </c:pt>
                <c:pt idx="820">
                  <c:v>0.51663727404987758</c:v>
                </c:pt>
                <c:pt idx="821">
                  <c:v>0.83561271727421127</c:v>
                </c:pt>
                <c:pt idx="822">
                  <c:v>0.43181408341607258</c:v>
                </c:pt>
                <c:pt idx="823">
                  <c:v>0.7261243648416803</c:v>
                </c:pt>
                <c:pt idx="824">
                  <c:v>0.48407995989453323</c:v>
                </c:pt>
                <c:pt idx="825">
                  <c:v>0.49276371725826285</c:v>
                </c:pt>
                <c:pt idx="826">
                  <c:v>0.5112607022185951</c:v>
                </c:pt>
                <c:pt idx="827">
                  <c:v>0.42229758697573239</c:v>
                </c:pt>
                <c:pt idx="828">
                  <c:v>0.51445550568749243</c:v>
                </c:pt>
                <c:pt idx="829">
                  <c:v>0.18958275242867562</c:v>
                </c:pt>
                <c:pt idx="830">
                  <c:v>0.65151851684701123</c:v>
                </c:pt>
                <c:pt idx="831">
                  <c:v>0.67477173550990444</c:v>
                </c:pt>
                <c:pt idx="832">
                  <c:v>0.37219631891397525</c:v>
                </c:pt>
                <c:pt idx="833">
                  <c:v>0.54861009733544575</c:v>
                </c:pt>
                <c:pt idx="834">
                  <c:v>0.32147076535518715</c:v>
                </c:pt>
                <c:pt idx="835">
                  <c:v>0.48430270727189917</c:v>
                </c:pt>
                <c:pt idx="836">
                  <c:v>0.77614415556683491</c:v>
                </c:pt>
                <c:pt idx="837">
                  <c:v>0.45002499325472478</c:v>
                </c:pt>
                <c:pt idx="838">
                  <c:v>0.80139220502999065</c:v>
                </c:pt>
                <c:pt idx="839">
                  <c:v>0.35404197590652259</c:v>
                </c:pt>
                <c:pt idx="840">
                  <c:v>0.40263530591073837</c:v>
                </c:pt>
                <c:pt idx="841">
                  <c:v>0.30669997913067992</c:v>
                </c:pt>
                <c:pt idx="842">
                  <c:v>0.38243848602906849</c:v>
                </c:pt>
                <c:pt idx="843">
                  <c:v>0.79338395712075982</c:v>
                </c:pt>
                <c:pt idx="844">
                  <c:v>0.60325638541979121</c:v>
                </c:pt>
                <c:pt idx="845">
                  <c:v>0.67136301635286599</c:v>
                </c:pt>
                <c:pt idx="846">
                  <c:v>0.39171671115488615</c:v>
                </c:pt>
                <c:pt idx="847">
                  <c:v>0.4350765993704736</c:v>
                </c:pt>
                <c:pt idx="848">
                  <c:v>0.91058932051588792</c:v>
                </c:pt>
                <c:pt idx="849">
                  <c:v>0.54711675268445104</c:v>
                </c:pt>
                <c:pt idx="850">
                  <c:v>0.46199850946432641</c:v>
                </c:pt>
                <c:pt idx="851">
                  <c:v>0.22096201826660028</c:v>
                </c:pt>
                <c:pt idx="852">
                  <c:v>0.73347365933474706</c:v>
                </c:pt>
                <c:pt idx="853">
                  <c:v>0.37000422084588952</c:v>
                </c:pt>
                <c:pt idx="854">
                  <c:v>1.0521972161094157</c:v>
                </c:pt>
                <c:pt idx="855">
                  <c:v>0.3845682967056977</c:v>
                </c:pt>
                <c:pt idx="856">
                  <c:v>0.74643769919469871</c:v>
                </c:pt>
                <c:pt idx="857">
                  <c:v>0.45905852627559018</c:v>
                </c:pt>
                <c:pt idx="858">
                  <c:v>0.38528851427934696</c:v>
                </c:pt>
                <c:pt idx="859">
                  <c:v>0.35815779913300838</c:v>
                </c:pt>
                <c:pt idx="860">
                  <c:v>0.30250045022795724</c:v>
                </c:pt>
                <c:pt idx="861">
                  <c:v>0.30806176240526073</c:v>
                </c:pt>
                <c:pt idx="862">
                  <c:v>0.47321439031372781</c:v>
                </c:pt>
                <c:pt idx="863">
                  <c:v>0.53978354069400458</c:v>
                </c:pt>
                <c:pt idx="864">
                  <c:v>0.74403286135406366</c:v>
                </c:pt>
                <c:pt idx="865">
                  <c:v>0.40668976518300504</c:v>
                </c:pt>
                <c:pt idx="866">
                  <c:v>0.77708000883602679</c:v>
                </c:pt>
                <c:pt idx="867">
                  <c:v>0.66921107887352904</c:v>
                </c:pt>
                <c:pt idx="868">
                  <c:v>0.64075181708802642</c:v>
                </c:pt>
                <c:pt idx="869">
                  <c:v>0.16191757292968245</c:v>
                </c:pt>
                <c:pt idx="870">
                  <c:v>0.28370238422065658</c:v>
                </c:pt>
                <c:pt idx="871">
                  <c:v>0.70343878012633554</c:v>
                </c:pt>
                <c:pt idx="872">
                  <c:v>0.37722955987589779</c:v>
                </c:pt>
                <c:pt idx="873">
                  <c:v>0.5948158929203734</c:v>
                </c:pt>
                <c:pt idx="874">
                  <c:v>0.43499101870719631</c:v>
                </c:pt>
                <c:pt idx="875">
                  <c:v>0.19514227519473049</c:v>
                </c:pt>
                <c:pt idx="876">
                  <c:v>0.57777346403685537</c:v>
                </c:pt>
                <c:pt idx="877">
                  <c:v>0.60782133430216312</c:v>
                </c:pt>
                <c:pt idx="878">
                  <c:v>0.57761766466152509</c:v>
                </c:pt>
                <c:pt idx="879">
                  <c:v>0.56571142109349903</c:v>
                </c:pt>
                <c:pt idx="880">
                  <c:v>0.42047414166699992</c:v>
                </c:pt>
                <c:pt idx="881">
                  <c:v>0.60262202069624493</c:v>
                </c:pt>
                <c:pt idx="882">
                  <c:v>0.96516560337650315</c:v>
                </c:pt>
                <c:pt idx="883">
                  <c:v>0.40834452790180964</c:v>
                </c:pt>
                <c:pt idx="884">
                  <c:v>0.57737547535410105</c:v>
                </c:pt>
                <c:pt idx="885">
                  <c:v>0.27463376818949858</c:v>
                </c:pt>
                <c:pt idx="886">
                  <c:v>0.45778266342488677</c:v>
                </c:pt>
                <c:pt idx="887">
                  <c:v>0.48640378909500764</c:v>
                </c:pt>
                <c:pt idx="888">
                  <c:v>0.36298423263925156</c:v>
                </c:pt>
                <c:pt idx="889">
                  <c:v>0.58629959224903572</c:v>
                </c:pt>
                <c:pt idx="890">
                  <c:v>0.35566903370636938</c:v>
                </c:pt>
                <c:pt idx="891">
                  <c:v>0.23982185560401248</c:v>
                </c:pt>
                <c:pt idx="892">
                  <c:v>0.65592890284538963</c:v>
                </c:pt>
                <c:pt idx="893">
                  <c:v>0.62088936471656409</c:v>
                </c:pt>
                <c:pt idx="894">
                  <c:v>0.5189180675301579</c:v>
                </c:pt>
                <c:pt idx="895">
                  <c:v>0.36000139709279955</c:v>
                </c:pt>
                <c:pt idx="896">
                  <c:v>0.54775401142947089</c:v>
                </c:pt>
                <c:pt idx="897">
                  <c:v>0.30812129484367112</c:v>
                </c:pt>
                <c:pt idx="898">
                  <c:v>0.34674708363653139</c:v>
                </c:pt>
                <c:pt idx="899">
                  <c:v>0.50813909047570682</c:v>
                </c:pt>
                <c:pt idx="900">
                  <c:v>0.48254754376651587</c:v>
                </c:pt>
                <c:pt idx="901">
                  <c:v>0.77471123890745675</c:v>
                </c:pt>
                <c:pt idx="902">
                  <c:v>0.6605993806469912</c:v>
                </c:pt>
                <c:pt idx="903">
                  <c:v>0.33502363446128763</c:v>
                </c:pt>
                <c:pt idx="904">
                  <c:v>0.64515404277781263</c:v>
                </c:pt>
                <c:pt idx="905">
                  <c:v>0.40918770029892282</c:v>
                </c:pt>
                <c:pt idx="906">
                  <c:v>0.83900022269169172</c:v>
                </c:pt>
                <c:pt idx="907">
                  <c:v>1.1210794613627826</c:v>
                </c:pt>
                <c:pt idx="908">
                  <c:v>0.73521960709566903</c:v>
                </c:pt>
                <c:pt idx="909">
                  <c:v>0.48352950555054114</c:v>
                </c:pt>
                <c:pt idx="910">
                  <c:v>0.71392905128698614</c:v>
                </c:pt>
                <c:pt idx="911">
                  <c:v>0.46060418595253944</c:v>
                </c:pt>
                <c:pt idx="912">
                  <c:v>0.15041039952111979</c:v>
                </c:pt>
                <c:pt idx="913">
                  <c:v>0.39297656065196912</c:v>
                </c:pt>
                <c:pt idx="914">
                  <c:v>0.57307751604361246</c:v>
                </c:pt>
                <c:pt idx="915">
                  <c:v>0.39757885783946062</c:v>
                </c:pt>
                <c:pt idx="916">
                  <c:v>0.63969677084322973</c:v>
                </c:pt>
                <c:pt idx="917">
                  <c:v>0.45070516181575282</c:v>
                </c:pt>
                <c:pt idx="918">
                  <c:v>0.54408274977673821</c:v>
                </c:pt>
                <c:pt idx="919">
                  <c:v>0.43685903909876261</c:v>
                </c:pt>
                <c:pt idx="920">
                  <c:v>1.0643050742687998</c:v>
                </c:pt>
                <c:pt idx="921">
                  <c:v>0.88381234508360795</c:v>
                </c:pt>
                <c:pt idx="922">
                  <c:v>0.29852171391136745</c:v>
                </c:pt>
                <c:pt idx="923">
                  <c:v>0.63500725857056795</c:v>
                </c:pt>
                <c:pt idx="924">
                  <c:v>9.3176620056494908E-2</c:v>
                </c:pt>
                <c:pt idx="925">
                  <c:v>0.7676635337242308</c:v>
                </c:pt>
                <c:pt idx="926">
                  <c:v>0.27838725284774268</c:v>
                </c:pt>
                <c:pt idx="927">
                  <c:v>0.10483266110143358</c:v>
                </c:pt>
                <c:pt idx="928">
                  <c:v>0.44295416668360654</c:v>
                </c:pt>
                <c:pt idx="929">
                  <c:v>0.46422976284888462</c:v>
                </c:pt>
                <c:pt idx="930">
                  <c:v>0.50528696034577514</c:v>
                </c:pt>
                <c:pt idx="931">
                  <c:v>0.40592353919012547</c:v>
                </c:pt>
                <c:pt idx="932">
                  <c:v>0.26732414778174929</c:v>
                </c:pt>
                <c:pt idx="933">
                  <c:v>0.32909231536224537</c:v>
                </c:pt>
                <c:pt idx="934">
                  <c:v>0.79161305001718274</c:v>
                </c:pt>
                <c:pt idx="935">
                  <c:v>0.36005979822573347</c:v>
                </c:pt>
                <c:pt idx="936">
                  <c:v>0.1260602844837122</c:v>
                </c:pt>
                <c:pt idx="937">
                  <c:v>0.47415995761348845</c:v>
                </c:pt>
                <c:pt idx="938">
                  <c:v>0.32037803548818033</c:v>
                </c:pt>
                <c:pt idx="939">
                  <c:v>0.68605874776668418</c:v>
                </c:pt>
                <c:pt idx="940">
                  <c:v>0.49287452693104389</c:v>
                </c:pt>
                <c:pt idx="941">
                  <c:v>0.34757072405756106</c:v>
                </c:pt>
                <c:pt idx="942">
                  <c:v>0.82395803300160719</c:v>
                </c:pt>
                <c:pt idx="943">
                  <c:v>0.69776043764192719</c:v>
                </c:pt>
                <c:pt idx="944">
                  <c:v>0.42096824803918514</c:v>
                </c:pt>
                <c:pt idx="945">
                  <c:v>0.70064718027024786</c:v>
                </c:pt>
                <c:pt idx="946">
                  <c:v>0.40930744907899075</c:v>
                </c:pt>
                <c:pt idx="947">
                  <c:v>0.53276921246226738</c:v>
                </c:pt>
                <c:pt idx="948">
                  <c:v>0.47440681424068293</c:v>
                </c:pt>
                <c:pt idx="949">
                  <c:v>0.76620431225916485</c:v>
                </c:pt>
                <c:pt idx="950">
                  <c:v>0.57010917828353469</c:v>
                </c:pt>
                <c:pt idx="951">
                  <c:v>0.29416715032921054</c:v>
                </c:pt>
                <c:pt idx="952">
                  <c:v>0.81491339087367498</c:v>
                </c:pt>
                <c:pt idx="953">
                  <c:v>0.58245666292087594</c:v>
                </c:pt>
                <c:pt idx="954">
                  <c:v>0.36251569853808857</c:v>
                </c:pt>
                <c:pt idx="955">
                  <c:v>0.47062142758325282</c:v>
                </c:pt>
                <c:pt idx="956">
                  <c:v>0.81327207855900063</c:v>
                </c:pt>
                <c:pt idx="957">
                  <c:v>0.32580414092704507</c:v>
                </c:pt>
                <c:pt idx="958">
                  <c:v>0.55295734815422593</c:v>
                </c:pt>
                <c:pt idx="959">
                  <c:v>0.26471653862678368</c:v>
                </c:pt>
                <c:pt idx="960">
                  <c:v>0.53640212719516367</c:v>
                </c:pt>
                <c:pt idx="961">
                  <c:v>0.60088836904456866</c:v>
                </c:pt>
                <c:pt idx="962">
                  <c:v>0.42531371659521555</c:v>
                </c:pt>
                <c:pt idx="963">
                  <c:v>0.40038386508779644</c:v>
                </c:pt>
                <c:pt idx="964">
                  <c:v>0.54154919958330139</c:v>
                </c:pt>
                <c:pt idx="965">
                  <c:v>0.52786294412697354</c:v>
                </c:pt>
                <c:pt idx="966">
                  <c:v>0.48954540387520706</c:v>
                </c:pt>
                <c:pt idx="967">
                  <c:v>0.54791732229943335</c:v>
                </c:pt>
                <c:pt idx="968">
                  <c:v>0.33129666542026848</c:v>
                </c:pt>
                <c:pt idx="969">
                  <c:v>0.44193722259651508</c:v>
                </c:pt>
                <c:pt idx="970">
                  <c:v>0.43390866251032945</c:v>
                </c:pt>
                <c:pt idx="971">
                  <c:v>0.52364049937251889</c:v>
                </c:pt>
                <c:pt idx="972">
                  <c:v>0.61569250677275822</c:v>
                </c:pt>
                <c:pt idx="973">
                  <c:v>0.65565020544819153</c:v>
                </c:pt>
                <c:pt idx="974">
                  <c:v>0.39035991150143479</c:v>
                </c:pt>
                <c:pt idx="975">
                  <c:v>0.40756278433747678</c:v>
                </c:pt>
                <c:pt idx="976">
                  <c:v>0.60735763867844283</c:v>
                </c:pt>
                <c:pt idx="977">
                  <c:v>0.84870572301117342</c:v>
                </c:pt>
                <c:pt idx="978">
                  <c:v>0.40756153209445412</c:v>
                </c:pt>
                <c:pt idx="979">
                  <c:v>0.75875106915186386</c:v>
                </c:pt>
                <c:pt idx="980">
                  <c:v>0.58999250578082985</c:v>
                </c:pt>
                <c:pt idx="981">
                  <c:v>0.62595187450672962</c:v>
                </c:pt>
                <c:pt idx="982">
                  <c:v>0.43759087577921058</c:v>
                </c:pt>
                <c:pt idx="983">
                  <c:v>0.50811982970579961</c:v>
                </c:pt>
                <c:pt idx="984">
                  <c:v>0.5991309587031618</c:v>
                </c:pt>
                <c:pt idx="985">
                  <c:v>0.52220526094404462</c:v>
                </c:pt>
                <c:pt idx="986">
                  <c:v>0.54943006434844299</c:v>
                </c:pt>
                <c:pt idx="987">
                  <c:v>0.74670254442523532</c:v>
                </c:pt>
                <c:pt idx="988">
                  <c:v>0.33249668186512937</c:v>
                </c:pt>
                <c:pt idx="989">
                  <c:v>0.75789100999646042</c:v>
                </c:pt>
                <c:pt idx="990">
                  <c:v>0.47749209653083996</c:v>
                </c:pt>
                <c:pt idx="991">
                  <c:v>0.7333786385541452</c:v>
                </c:pt>
                <c:pt idx="992">
                  <c:v>0.74359520848424365</c:v>
                </c:pt>
                <c:pt idx="993">
                  <c:v>0.36792823375786532</c:v>
                </c:pt>
                <c:pt idx="994">
                  <c:v>0.62414880785635285</c:v>
                </c:pt>
                <c:pt idx="995">
                  <c:v>0.26411672718828372</c:v>
                </c:pt>
                <c:pt idx="996">
                  <c:v>0.37902761012746422</c:v>
                </c:pt>
                <c:pt idx="997">
                  <c:v>0.29589534007990392</c:v>
                </c:pt>
                <c:pt idx="998">
                  <c:v>0.54041520344787397</c:v>
                </c:pt>
                <c:pt idx="999">
                  <c:v>0.31740390422396098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23-4846-B3FA-3D1D2CAE916A}"/>
            </c:ext>
          </c:extLst>
        </c:ser>
        <c:ser>
          <c:idx val="5"/>
          <c:order val="1"/>
          <c:tx>
            <c:strRef>
              <c:f>'Cost-effectiveness'!$B$10</c:f>
              <c:strCache>
                <c:ptCount val="1"/>
                <c:pt idx="0">
                  <c:v>Confidence ellipse 95%</c:v>
                </c:pt>
              </c:strCache>
            </c:strRef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'Cost-effectiveness'!$C$16:$C$41</c:f>
              <c:numCache>
                <c:formatCode>General</c:formatCode>
                <c:ptCount val="26"/>
                <c:pt idx="0">
                  <c:v>1.1377971616389447E-4</c:v>
                </c:pt>
                <c:pt idx="1">
                  <c:v>1.0047417988021299E-4</c:v>
                </c:pt>
                <c:pt idx="2">
                  <c:v>8.513973788146986E-5</c:v>
                </c:pt>
                <c:pt idx="3">
                  <c:v>6.8739909554578797E-5</c:v>
                </c:pt>
                <c:pt idx="4">
                  <c:v>5.230515642766794E-5</c:v>
                </c:pt>
                <c:pt idx="5">
                  <c:v>3.6868134482495019E-5</c:v>
                </c:pt>
                <c:pt idx="6">
                  <c:v>2.3398808581270613E-5</c:v>
                </c:pt>
                <c:pt idx="7">
                  <c:v>1.2743506007084164E-5</c:v>
                </c:pt>
                <c:pt idx="8">
                  <c:v>5.5717386081334676E-6</c:v>
                </c:pt>
                <c:pt idx="9">
                  <c:v>2.334134906010064E-6</c:v>
                </c:pt>
                <c:pt idx="10">
                  <c:v>3.2341254483918578E-6</c:v>
                </c:pt>
                <c:pt idx="11">
                  <c:v>8.2151605195673395E-6</c:v>
                </c:pt>
                <c:pt idx="12">
                  <c:v>1.6964263367048976E-5</c:v>
                </c:pt>
                <c:pt idx="13">
                  <c:v>2.8931695681980052E-5</c:v>
                </c:pt>
                <c:pt idx="14">
                  <c:v>4.3365499678876186E-5</c:v>
                </c:pt>
                <c:pt idx="15">
                  <c:v>5.9358746368794483E-5</c:v>
                </c:pt>
                <c:pt idx="16">
                  <c:v>7.5906521243160614E-5</c:v>
                </c:pt>
                <c:pt idx="17">
                  <c:v>9.1969066748159232E-5</c:v>
                </c:pt>
                <c:pt idx="18">
                  <c:v>1.0653711407580121E-4</c:v>
                </c:pt>
                <c:pt idx="19">
                  <c:v>1.186952992349605E-4</c:v>
                </c:pt>
                <c:pt idx="20">
                  <c:v>1.2767967873740998E-4</c:v>
                </c:pt>
                <c:pt idx="21">
                  <c:v>1.3292573097677427E-4</c:v>
                </c:pt>
                <c:pt idx="22">
                  <c:v>1.3410382719722359E-4</c:v>
                </c:pt>
                <c:pt idx="23">
                  <c:v>1.3113994328049224E-4</c:v>
                </c:pt>
                <c:pt idx="24">
                  <c:v>1.2422031095347109E-4</c:v>
                </c:pt>
                <c:pt idx="25">
                  <c:v>1.1377971616389435E-4</c:v>
                </c:pt>
              </c:numCache>
            </c:numRef>
          </c:xVal>
          <c:yVal>
            <c:numRef>
              <c:f>'Cost-effectiveness'!$E$16:$E$41</c:f>
              <c:numCache>
                <c:formatCode>General</c:formatCode>
                <c:ptCount val="26"/>
                <c:pt idx="0">
                  <c:v>0.72416450414923594</c:v>
                </c:pt>
                <c:pt idx="1">
                  <c:v>0.77201241326702252</c:v>
                </c:pt>
                <c:pt idx="2">
                  <c:v>0.80372420223927021</c:v>
                </c:pt>
                <c:pt idx="3">
                  <c:v>0.81730730273705121</c:v>
                </c:pt>
                <c:pt idx="4">
                  <c:v>0.81190823860094052</c:v>
                </c:pt>
                <c:pt idx="5">
                  <c:v>0.78786625288697909</c:v>
                </c:pt>
                <c:pt idx="6">
                  <c:v>0.74669199197781333</c:v>
                </c:pt>
                <c:pt idx="7">
                  <c:v>0.69097258611470525</c:v>
                </c:pt>
                <c:pt idx="8">
                  <c:v>0.62420909048967421</c:v>
                </c:pt>
                <c:pt idx="9">
                  <c:v>0.55059650107180202</c:v>
                </c:pt>
                <c:pt idx="10">
                  <c:v>0.47476016758237982</c:v>
                </c:pt>
                <c:pt idx="11">
                  <c:v>0.40146516576107266</c:v>
                </c:pt>
                <c:pt idx="12">
                  <c:v>0.33531689013247401</c:v>
                </c:pt>
                <c:pt idx="13">
                  <c:v>0.28047168013066892</c:v>
                </c:pt>
                <c:pt idx="14">
                  <c:v>0.24037566200664362</c:v>
                </c:pt>
                <c:pt idx="15">
                  <c:v>0.21754821604197017</c:v>
                </c:pt>
                <c:pt idx="16">
                  <c:v>0.21342367462008255</c:v>
                </c:pt>
                <c:pt idx="17">
                  <c:v>0.2282611978475203</c:v>
                </c:pt>
                <c:pt idx="18">
                  <c:v>0.26112848957131024</c:v>
                </c:pt>
                <c:pt idx="19">
                  <c:v>0.30996037697500317</c:v>
                </c:pt>
                <c:pt idx="20">
                  <c:v>0.37168857298190572</c:v>
                </c:pt>
                <c:pt idx="21">
                  <c:v>0.44243446801647973</c:v>
                </c:pt>
                <c:pt idx="22">
                  <c:v>0.51775283730850108</c:v>
                </c:pt>
                <c:pt idx="23">
                  <c:v>0.59291115071376654</c:v>
                </c:pt>
                <c:pt idx="24">
                  <c:v>0.66318693498808179</c:v>
                </c:pt>
                <c:pt idx="25">
                  <c:v>0.72416450414923639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23-4846-B3FA-3D1D2CAE916A}"/>
            </c:ext>
          </c:extLst>
        </c:ser>
        <c:ser>
          <c:idx val="2"/>
          <c:order val="3"/>
          <c:tx>
            <c:strRef>
              <c:f>Localization!$B$53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tx1"/>
              </a:solidFill>
            </c:spPr>
          </c:marker>
          <c:xVal>
            <c:numRef>
              <c:f>Process!$C$2</c:f>
              <c:numCache>
                <c:formatCode>General</c:formatCode>
                <c:ptCount val="1"/>
                <c:pt idx="0">
                  <c:v>4.6400552324080023E-5</c:v>
                </c:pt>
              </c:numCache>
            </c:numRef>
          </c:xVal>
          <c:yVal>
            <c:numRef>
              <c:f>Process!$B$2</c:f>
              <c:numCache>
                <c:formatCode>General</c:formatCode>
                <c:ptCount val="1"/>
                <c:pt idx="0">
                  <c:v>0.51520554272849406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D23-4846-B3FA-3D1D2CAE9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447960"/>
        <c:axId val="384448352"/>
      </c:scatterChart>
      <c:valAx>
        <c:axId val="384447960"/>
        <c:scaling>
          <c:orientation val="minMax"/>
          <c:max val="6.0000000000000016E-4"/>
          <c:min val="-3.0000000000000008E-4"/>
        </c:scaling>
        <c:delete val="0"/>
        <c:axPos val="b"/>
        <c:title>
          <c:tx>
            <c:strRef>
              <c:f>Localization!$B$5</c:f>
              <c:strCache>
                <c:ptCount val="1"/>
                <c:pt idx="0">
                  <c:v>Effectiveness</c:v>
                </c:pt>
              </c:strCache>
            </c:strRef>
          </c:tx>
          <c:layout>
            <c:manualLayout>
              <c:xMode val="edge"/>
              <c:yMode val="edge"/>
              <c:x val="0.87928927774389443"/>
              <c:y val="0.4361086525275378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4448352"/>
        <c:crosses val="autoZero"/>
        <c:crossBetween val="midCat"/>
      </c:valAx>
      <c:valAx>
        <c:axId val="384448352"/>
        <c:scaling>
          <c:orientation val="minMax"/>
          <c:max val="3"/>
          <c:min val="-3"/>
        </c:scaling>
        <c:delete val="0"/>
        <c:axPos val="l"/>
        <c:majorGridlines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</c:majorGridlines>
        <c:title>
          <c:tx>
            <c:strRef>
              <c:f>Localization!$B$4</c:f>
              <c:strCache>
                <c:ptCount val="1"/>
                <c:pt idx="0">
                  <c:v>Cost</c:v>
                </c:pt>
              </c:strCache>
            </c:strRef>
          </c:tx>
          <c:layout>
            <c:manualLayout>
              <c:xMode val="edge"/>
              <c:yMode val="edge"/>
              <c:x val="0.43685751325618732"/>
              <c:y val="0.85626916584920909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/>
              </a:pPr>
              <a:endParaRPr lang="es-ES"/>
            </a:p>
          </c:txPr>
        </c:title>
        <c:numFmt formatCode="#,##0\ \€" sourceLinked="0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84447960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en-GB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173228346456687E-2"/>
          <c:y val="6.9064441183945738E-2"/>
          <c:w val="0.877739891209251"/>
          <c:h val="0.7093046546226546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'Acceptability curves'!$D$3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xVal>
            <c:numRef>
              <c:f>'Acceptability curves'!$B$4:$B$55</c:f>
              <c:numCache>
                <c:formatCode>General</c:formatCode>
                <c:ptCount val="52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  <c:pt idx="41">
                  <c:v>102500</c:v>
                </c:pt>
                <c:pt idx="42">
                  <c:v>105000</c:v>
                </c:pt>
                <c:pt idx="43">
                  <c:v>107500</c:v>
                </c:pt>
                <c:pt idx="44">
                  <c:v>110000</c:v>
                </c:pt>
                <c:pt idx="45">
                  <c:v>112500</c:v>
                </c:pt>
                <c:pt idx="46">
                  <c:v>115000</c:v>
                </c:pt>
                <c:pt idx="47">
                  <c:v>117500</c:v>
                </c:pt>
                <c:pt idx="48">
                  <c:v>120000</c:v>
                </c:pt>
                <c:pt idx="49">
                  <c:v>122500</c:v>
                </c:pt>
                <c:pt idx="50">
                  <c:v>125000</c:v>
                </c:pt>
                <c:pt idx="51">
                  <c:v>127500</c:v>
                </c:pt>
              </c:numCache>
            </c:numRef>
          </c:xVal>
          <c:yVal>
            <c:numRef>
              <c:f>'Acceptability curves'!$D$4:$D$55</c:f>
              <c:numCache>
                <c:formatCode>General</c:formatCode>
                <c:ptCount val="52"/>
                <c:pt idx="0">
                  <c:v>1</c:v>
                </c:pt>
                <c:pt idx="1">
                  <c:v>0.91900000000000004</c:v>
                </c:pt>
                <c:pt idx="2">
                  <c:v>0.77</c:v>
                </c:pt>
                <c:pt idx="3">
                  <c:v>0.60799999999999998</c:v>
                </c:pt>
                <c:pt idx="4">
                  <c:v>0.44399999999999995</c:v>
                </c:pt>
                <c:pt idx="5">
                  <c:v>0.30100000000000005</c:v>
                </c:pt>
                <c:pt idx="6">
                  <c:v>0.20799999999999996</c:v>
                </c:pt>
                <c:pt idx="7">
                  <c:v>0.128</c:v>
                </c:pt>
                <c:pt idx="8">
                  <c:v>6.5999999999999948E-2</c:v>
                </c:pt>
                <c:pt idx="9">
                  <c:v>3.8000000000000034E-2</c:v>
                </c:pt>
                <c:pt idx="10">
                  <c:v>1.8000000000000016E-2</c:v>
                </c:pt>
                <c:pt idx="11">
                  <c:v>1.0000000000000009E-2</c:v>
                </c:pt>
                <c:pt idx="12">
                  <c:v>5.0000000000000044E-3</c:v>
                </c:pt>
                <c:pt idx="13">
                  <c:v>4.0000000000000036E-3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17-4442-8F06-40BD977C47A3}"/>
            </c:ext>
          </c:extLst>
        </c:ser>
        <c:ser>
          <c:idx val="0"/>
          <c:order val="1"/>
          <c:tx>
            <c:strRef>
              <c:f>'Acceptability curves'!$C$3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xVal>
            <c:numRef>
              <c:f>'Acceptability curves'!$B$4:$B$55</c:f>
              <c:numCache>
                <c:formatCode>General</c:formatCode>
                <c:ptCount val="52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  <c:pt idx="41">
                  <c:v>102500</c:v>
                </c:pt>
                <c:pt idx="42">
                  <c:v>105000</c:v>
                </c:pt>
                <c:pt idx="43">
                  <c:v>107500</c:v>
                </c:pt>
                <c:pt idx="44">
                  <c:v>110000</c:v>
                </c:pt>
                <c:pt idx="45">
                  <c:v>112500</c:v>
                </c:pt>
                <c:pt idx="46">
                  <c:v>115000</c:v>
                </c:pt>
                <c:pt idx="47">
                  <c:v>117500</c:v>
                </c:pt>
                <c:pt idx="48">
                  <c:v>120000</c:v>
                </c:pt>
                <c:pt idx="49">
                  <c:v>122500</c:v>
                </c:pt>
                <c:pt idx="50">
                  <c:v>125000</c:v>
                </c:pt>
                <c:pt idx="51">
                  <c:v>127500</c:v>
                </c:pt>
              </c:numCache>
            </c:numRef>
          </c:xVal>
          <c:yVal>
            <c:numRef>
              <c:f>'Acceptability curves'!$C$4:$C$55</c:f>
              <c:numCache>
                <c:formatCode>General</c:formatCode>
                <c:ptCount val="52"/>
                <c:pt idx="0">
                  <c:v>0</c:v>
                </c:pt>
                <c:pt idx="1">
                  <c:v>8.1000000000000003E-2</c:v>
                </c:pt>
                <c:pt idx="2">
                  <c:v>0.23</c:v>
                </c:pt>
                <c:pt idx="3">
                  <c:v>0.39200000000000002</c:v>
                </c:pt>
                <c:pt idx="4">
                  <c:v>0.55600000000000005</c:v>
                </c:pt>
                <c:pt idx="5">
                  <c:v>0.69899999999999995</c:v>
                </c:pt>
                <c:pt idx="6">
                  <c:v>0.79200000000000004</c:v>
                </c:pt>
                <c:pt idx="7">
                  <c:v>0.872</c:v>
                </c:pt>
                <c:pt idx="8">
                  <c:v>0.93400000000000005</c:v>
                </c:pt>
                <c:pt idx="9">
                  <c:v>0.96199999999999997</c:v>
                </c:pt>
                <c:pt idx="10">
                  <c:v>0.98199999999999998</c:v>
                </c:pt>
                <c:pt idx="11">
                  <c:v>0.99</c:v>
                </c:pt>
                <c:pt idx="12">
                  <c:v>0.995</c:v>
                </c:pt>
                <c:pt idx="13">
                  <c:v>0.996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17-4442-8F06-40BD977C4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449136"/>
        <c:axId val="384449528"/>
      </c:scatterChart>
      <c:valAx>
        <c:axId val="384449136"/>
        <c:scaling>
          <c:orientation val="minMax"/>
          <c:max val="80000"/>
        </c:scaling>
        <c:delete val="0"/>
        <c:axPos val="b"/>
        <c:title>
          <c:tx>
            <c:strRef>
              <c:f>Localization!$B$8</c:f>
              <c:strCache>
                <c:ptCount val="1"/>
                <c:pt idx="0">
                  <c:v>Willingness to pay</c:v>
                </c:pt>
              </c:strCache>
            </c:strRef>
          </c:tx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4449528"/>
        <c:crosses val="autoZero"/>
        <c:crossBetween val="midCat"/>
      </c:valAx>
      <c:valAx>
        <c:axId val="384449528"/>
        <c:scaling>
          <c:orientation val="minMax"/>
          <c:max val="1"/>
          <c:min val="0"/>
        </c:scaling>
        <c:delete val="0"/>
        <c:axPos val="l"/>
        <c:majorGridlines/>
        <c:title>
          <c:tx>
            <c:strRef>
              <c:f>Localization!$B$16</c:f>
              <c:strCache>
                <c:ptCount val="1"/>
                <c:pt idx="0">
                  <c:v>Probability</c:v>
                </c:pt>
              </c:strCache>
            </c:strRef>
          </c:tx>
          <c:layout>
            <c:manualLayout>
              <c:xMode val="edge"/>
              <c:yMode val="edge"/>
              <c:x val="9.6207539274981938E-3"/>
              <c:y val="0.33150662726007146"/>
            </c:manualLayout>
          </c:layout>
          <c:overlay val="0"/>
          <c:spPr>
            <a:noFill/>
            <a:ln w="25400">
              <a:noFill/>
            </a:ln>
          </c:spPr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844491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173228346456687E-2"/>
          <c:y val="6.9064441183945738E-2"/>
          <c:w val="0.877739891209251"/>
          <c:h val="0.7093046546226546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'Acceptability curves'!$F$3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xVal>
            <c:numRef>
              <c:f>'Acceptability curves'!$B$4:$B$55</c:f>
              <c:numCache>
                <c:formatCode>General</c:formatCode>
                <c:ptCount val="52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  <c:pt idx="41">
                  <c:v>102500</c:v>
                </c:pt>
                <c:pt idx="42">
                  <c:v>105000</c:v>
                </c:pt>
                <c:pt idx="43">
                  <c:v>107500</c:v>
                </c:pt>
                <c:pt idx="44">
                  <c:v>110000</c:v>
                </c:pt>
                <c:pt idx="45">
                  <c:v>112500</c:v>
                </c:pt>
                <c:pt idx="46">
                  <c:v>115000</c:v>
                </c:pt>
                <c:pt idx="47">
                  <c:v>117500</c:v>
                </c:pt>
                <c:pt idx="48">
                  <c:v>120000</c:v>
                </c:pt>
                <c:pt idx="49">
                  <c:v>122500</c:v>
                </c:pt>
                <c:pt idx="50">
                  <c:v>125000</c:v>
                </c:pt>
                <c:pt idx="51">
                  <c:v>127500</c:v>
                </c:pt>
              </c:numCache>
            </c:numRef>
          </c:xVal>
          <c:yVal>
            <c:numRef>
              <c:f>'Acceptability curves'!$F$4:$F$55</c:f>
              <c:numCache>
                <c:formatCode>General</c:formatCode>
                <c:ptCount val="52"/>
                <c:pt idx="0">
                  <c:v>1</c:v>
                </c:pt>
                <c:pt idx="1">
                  <c:v>0.93599999999999994</c:v>
                </c:pt>
                <c:pt idx="2">
                  <c:v>0.82800000000000007</c:v>
                </c:pt>
                <c:pt idx="3">
                  <c:v>0.73099999999999998</c:v>
                </c:pt>
                <c:pt idx="4">
                  <c:v>0.64900000000000002</c:v>
                </c:pt>
                <c:pt idx="5">
                  <c:v>0.57800000000000007</c:v>
                </c:pt>
                <c:pt idx="6">
                  <c:v>0.51100000000000001</c:v>
                </c:pt>
                <c:pt idx="7">
                  <c:v>0.44399999999999995</c:v>
                </c:pt>
                <c:pt idx="8">
                  <c:v>0.41100000000000003</c:v>
                </c:pt>
                <c:pt idx="9">
                  <c:v>0.36199999999999999</c:v>
                </c:pt>
                <c:pt idx="10">
                  <c:v>0.32499999999999996</c:v>
                </c:pt>
                <c:pt idx="11">
                  <c:v>0.28900000000000003</c:v>
                </c:pt>
                <c:pt idx="12">
                  <c:v>0.26100000000000001</c:v>
                </c:pt>
                <c:pt idx="13">
                  <c:v>0.24099999999999999</c:v>
                </c:pt>
                <c:pt idx="14">
                  <c:v>0.22299999999999998</c:v>
                </c:pt>
                <c:pt idx="15">
                  <c:v>0.20499999999999996</c:v>
                </c:pt>
                <c:pt idx="16">
                  <c:v>0.18400000000000005</c:v>
                </c:pt>
                <c:pt idx="17">
                  <c:v>0.16800000000000004</c:v>
                </c:pt>
                <c:pt idx="18">
                  <c:v>0.15300000000000002</c:v>
                </c:pt>
                <c:pt idx="19">
                  <c:v>0.14100000000000001</c:v>
                </c:pt>
                <c:pt idx="20">
                  <c:v>0.128</c:v>
                </c:pt>
                <c:pt idx="21">
                  <c:v>0.11799999999999999</c:v>
                </c:pt>
                <c:pt idx="22">
                  <c:v>0.10999999999999999</c:v>
                </c:pt>
                <c:pt idx="23">
                  <c:v>0.10199999999999998</c:v>
                </c:pt>
                <c:pt idx="24">
                  <c:v>9.1999999999999971E-2</c:v>
                </c:pt>
                <c:pt idx="25">
                  <c:v>8.5999999999999965E-2</c:v>
                </c:pt>
                <c:pt idx="26">
                  <c:v>8.2999999999999963E-2</c:v>
                </c:pt>
                <c:pt idx="27">
                  <c:v>7.2999999999999954E-2</c:v>
                </c:pt>
                <c:pt idx="28">
                  <c:v>6.899999999999995E-2</c:v>
                </c:pt>
                <c:pt idx="29">
                  <c:v>6.2999999999999945E-2</c:v>
                </c:pt>
                <c:pt idx="30">
                  <c:v>6.1000000000000054E-2</c:v>
                </c:pt>
                <c:pt idx="31">
                  <c:v>5.600000000000005E-2</c:v>
                </c:pt>
                <c:pt idx="32">
                  <c:v>5.4000000000000048E-2</c:v>
                </c:pt>
                <c:pt idx="33">
                  <c:v>5.1000000000000045E-2</c:v>
                </c:pt>
                <c:pt idx="34">
                  <c:v>5.0000000000000044E-2</c:v>
                </c:pt>
                <c:pt idx="35">
                  <c:v>4.8000000000000043E-2</c:v>
                </c:pt>
                <c:pt idx="36">
                  <c:v>4.6000000000000041E-2</c:v>
                </c:pt>
                <c:pt idx="37">
                  <c:v>4.1000000000000036E-2</c:v>
                </c:pt>
                <c:pt idx="38">
                  <c:v>4.0000000000000036E-2</c:v>
                </c:pt>
                <c:pt idx="39">
                  <c:v>3.9000000000000035E-2</c:v>
                </c:pt>
                <c:pt idx="40">
                  <c:v>3.6000000000000032E-2</c:v>
                </c:pt>
                <c:pt idx="41">
                  <c:v>3.6000000000000032E-2</c:v>
                </c:pt>
                <c:pt idx="42">
                  <c:v>3.400000000000003E-2</c:v>
                </c:pt>
                <c:pt idx="43">
                  <c:v>3.1000000000000028E-2</c:v>
                </c:pt>
                <c:pt idx="44">
                  <c:v>2.9000000000000026E-2</c:v>
                </c:pt>
                <c:pt idx="45">
                  <c:v>2.8000000000000025E-2</c:v>
                </c:pt>
                <c:pt idx="46">
                  <c:v>2.6000000000000023E-2</c:v>
                </c:pt>
                <c:pt idx="47">
                  <c:v>2.4000000000000021E-2</c:v>
                </c:pt>
                <c:pt idx="48">
                  <c:v>2.200000000000002E-2</c:v>
                </c:pt>
                <c:pt idx="49">
                  <c:v>1.9000000000000017E-2</c:v>
                </c:pt>
                <c:pt idx="50">
                  <c:v>1.9000000000000017E-2</c:v>
                </c:pt>
                <c:pt idx="51">
                  <c:v>1.7000000000000015E-2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51-44C8-93D5-875E1EEC5E27}"/>
            </c:ext>
          </c:extLst>
        </c:ser>
        <c:ser>
          <c:idx val="0"/>
          <c:order val="1"/>
          <c:tx>
            <c:strRef>
              <c:f>'Acceptability curves'!$E$3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xVal>
            <c:numRef>
              <c:f>'Acceptability curves'!$B$4:$B$55</c:f>
              <c:numCache>
                <c:formatCode>General</c:formatCode>
                <c:ptCount val="52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  <c:pt idx="41">
                  <c:v>102500</c:v>
                </c:pt>
                <c:pt idx="42">
                  <c:v>105000</c:v>
                </c:pt>
                <c:pt idx="43">
                  <c:v>107500</c:v>
                </c:pt>
                <c:pt idx="44">
                  <c:v>110000</c:v>
                </c:pt>
                <c:pt idx="45">
                  <c:v>112500</c:v>
                </c:pt>
                <c:pt idx="46">
                  <c:v>115000</c:v>
                </c:pt>
                <c:pt idx="47">
                  <c:v>117500</c:v>
                </c:pt>
                <c:pt idx="48">
                  <c:v>120000</c:v>
                </c:pt>
                <c:pt idx="49">
                  <c:v>122500</c:v>
                </c:pt>
                <c:pt idx="50">
                  <c:v>125000</c:v>
                </c:pt>
                <c:pt idx="51">
                  <c:v>127500</c:v>
                </c:pt>
              </c:numCache>
            </c:numRef>
          </c:xVal>
          <c:yVal>
            <c:numRef>
              <c:f>'Acceptability curves'!$E$4:$E$55</c:f>
              <c:numCache>
                <c:formatCode>General</c:formatCode>
                <c:ptCount val="52"/>
                <c:pt idx="0">
                  <c:v>0</c:v>
                </c:pt>
                <c:pt idx="1">
                  <c:v>6.4000000000000001E-2</c:v>
                </c:pt>
                <c:pt idx="2">
                  <c:v>0.17199999999999999</c:v>
                </c:pt>
                <c:pt idx="3">
                  <c:v>0.26900000000000002</c:v>
                </c:pt>
                <c:pt idx="4">
                  <c:v>0.35099999999999998</c:v>
                </c:pt>
                <c:pt idx="5">
                  <c:v>0.42199999999999999</c:v>
                </c:pt>
                <c:pt idx="6">
                  <c:v>0.48899999999999999</c:v>
                </c:pt>
                <c:pt idx="7">
                  <c:v>0.55600000000000005</c:v>
                </c:pt>
                <c:pt idx="8">
                  <c:v>0.58899999999999997</c:v>
                </c:pt>
                <c:pt idx="9">
                  <c:v>0.63800000000000001</c:v>
                </c:pt>
                <c:pt idx="10">
                  <c:v>0.67500000000000004</c:v>
                </c:pt>
                <c:pt idx="11">
                  <c:v>0.71099999999999997</c:v>
                </c:pt>
                <c:pt idx="12">
                  <c:v>0.73899999999999999</c:v>
                </c:pt>
                <c:pt idx="13">
                  <c:v>0.75900000000000001</c:v>
                </c:pt>
                <c:pt idx="14">
                  <c:v>0.77700000000000002</c:v>
                </c:pt>
                <c:pt idx="15">
                  <c:v>0.79500000000000004</c:v>
                </c:pt>
                <c:pt idx="16">
                  <c:v>0.81599999999999995</c:v>
                </c:pt>
                <c:pt idx="17">
                  <c:v>0.83199999999999996</c:v>
                </c:pt>
                <c:pt idx="18">
                  <c:v>0.84699999999999998</c:v>
                </c:pt>
                <c:pt idx="19">
                  <c:v>0.85899999999999999</c:v>
                </c:pt>
                <c:pt idx="20">
                  <c:v>0.872</c:v>
                </c:pt>
                <c:pt idx="21">
                  <c:v>0.88200000000000001</c:v>
                </c:pt>
                <c:pt idx="22">
                  <c:v>0.89</c:v>
                </c:pt>
                <c:pt idx="23">
                  <c:v>0.89800000000000002</c:v>
                </c:pt>
                <c:pt idx="24">
                  <c:v>0.90800000000000003</c:v>
                </c:pt>
                <c:pt idx="25">
                  <c:v>0.91400000000000003</c:v>
                </c:pt>
                <c:pt idx="26">
                  <c:v>0.91700000000000004</c:v>
                </c:pt>
                <c:pt idx="27">
                  <c:v>0.92700000000000005</c:v>
                </c:pt>
                <c:pt idx="28">
                  <c:v>0.93100000000000005</c:v>
                </c:pt>
                <c:pt idx="29">
                  <c:v>0.93700000000000006</c:v>
                </c:pt>
                <c:pt idx="30">
                  <c:v>0.93899999999999995</c:v>
                </c:pt>
                <c:pt idx="31">
                  <c:v>0.94399999999999995</c:v>
                </c:pt>
                <c:pt idx="32">
                  <c:v>0.94599999999999995</c:v>
                </c:pt>
                <c:pt idx="33">
                  <c:v>0.94899999999999995</c:v>
                </c:pt>
                <c:pt idx="34">
                  <c:v>0.95</c:v>
                </c:pt>
                <c:pt idx="35">
                  <c:v>0.95199999999999996</c:v>
                </c:pt>
                <c:pt idx="36">
                  <c:v>0.95399999999999996</c:v>
                </c:pt>
                <c:pt idx="37">
                  <c:v>0.95899999999999996</c:v>
                </c:pt>
                <c:pt idx="38">
                  <c:v>0.96</c:v>
                </c:pt>
                <c:pt idx="39">
                  <c:v>0.96099999999999997</c:v>
                </c:pt>
                <c:pt idx="40">
                  <c:v>0.96399999999999997</c:v>
                </c:pt>
                <c:pt idx="41">
                  <c:v>0.96399999999999997</c:v>
                </c:pt>
                <c:pt idx="42">
                  <c:v>0.96599999999999997</c:v>
                </c:pt>
                <c:pt idx="43">
                  <c:v>0.96899999999999997</c:v>
                </c:pt>
                <c:pt idx="44">
                  <c:v>0.97099999999999997</c:v>
                </c:pt>
                <c:pt idx="45">
                  <c:v>0.97199999999999998</c:v>
                </c:pt>
                <c:pt idx="46">
                  <c:v>0.97399999999999998</c:v>
                </c:pt>
                <c:pt idx="47">
                  <c:v>0.97599999999999998</c:v>
                </c:pt>
                <c:pt idx="48">
                  <c:v>0.97799999999999998</c:v>
                </c:pt>
                <c:pt idx="49">
                  <c:v>0.98099999999999998</c:v>
                </c:pt>
                <c:pt idx="50">
                  <c:v>0.98099999999999998</c:v>
                </c:pt>
                <c:pt idx="51">
                  <c:v>0.98299999999999998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51-44C8-93D5-875E1EEC5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450312"/>
        <c:axId val="384450704"/>
      </c:scatterChart>
      <c:valAx>
        <c:axId val="384450312"/>
        <c:scaling>
          <c:orientation val="minMax"/>
          <c:max val="80000"/>
        </c:scaling>
        <c:delete val="0"/>
        <c:axPos val="b"/>
        <c:title>
          <c:tx>
            <c:strRef>
              <c:f>Localization!$B$8</c:f>
              <c:strCache>
                <c:ptCount val="1"/>
                <c:pt idx="0">
                  <c:v>Willingness to pay</c:v>
                </c:pt>
              </c:strCache>
            </c:strRef>
          </c:tx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4450704"/>
        <c:crosses val="autoZero"/>
        <c:crossBetween val="midCat"/>
      </c:valAx>
      <c:valAx>
        <c:axId val="384450704"/>
        <c:scaling>
          <c:orientation val="minMax"/>
          <c:max val="1"/>
          <c:min val="0"/>
        </c:scaling>
        <c:delete val="0"/>
        <c:axPos val="l"/>
        <c:majorGridlines/>
        <c:title>
          <c:tx>
            <c:strRef>
              <c:f>Localization!$B$16</c:f>
              <c:strCache>
                <c:ptCount val="1"/>
                <c:pt idx="0">
                  <c:v>Probability</c:v>
                </c:pt>
              </c:strCache>
            </c:strRef>
          </c:tx>
          <c:layout>
            <c:manualLayout>
              <c:xMode val="edge"/>
              <c:yMode val="edge"/>
              <c:x val="9.6207539274981938E-3"/>
              <c:y val="0.33150662726007146"/>
            </c:manualLayout>
          </c:layout>
          <c:overlay val="0"/>
          <c:spPr>
            <a:noFill/>
            <a:ln w="25400">
              <a:noFill/>
            </a:ln>
          </c:spPr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844503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63109279439406"/>
          <c:y val="7.5494166587705983E-2"/>
          <c:w val="0.75635139685858277"/>
          <c:h val="0.7484373423970019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EVPI!$J$6:$J$46</c:f>
              <c:numCache>
                <c:formatCode>General</c:formatCode>
                <c:ptCount val="41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</c:numCache>
            </c:numRef>
          </c:xVal>
          <c:yVal>
            <c:numRef>
              <c:f>EVPI!$Q$6:$Q$46</c:f>
              <c:numCache>
                <c:formatCode>General</c:formatCode>
                <c:ptCount val="41"/>
                <c:pt idx="0">
                  <c:v>0</c:v>
                </c:pt>
                <c:pt idx="1">
                  <c:v>3036.7570751535241</c:v>
                </c:pt>
                <c:pt idx="2">
                  <c:v>24483.248535689432</c:v>
                </c:pt>
                <c:pt idx="3">
                  <c:v>62764.62080911221</c:v>
                </c:pt>
                <c:pt idx="4">
                  <c:v>38061.187526358292</c:v>
                </c:pt>
                <c:pt idx="5">
                  <c:v>21938.762086344883</c:v>
                </c:pt>
                <c:pt idx="6">
                  <c:v>11810.937788709998</c:v>
                </c:pt>
                <c:pt idx="7">
                  <c:v>5966.2826015353203</c:v>
                </c:pt>
                <c:pt idx="8">
                  <c:v>3026.2079961840063</c:v>
                </c:pt>
                <c:pt idx="9">
                  <c:v>1470.7911488953978</c:v>
                </c:pt>
                <c:pt idx="10">
                  <c:v>728.51394356414676</c:v>
                </c:pt>
                <c:pt idx="11">
                  <c:v>369.80208985321224</c:v>
                </c:pt>
                <c:pt idx="12">
                  <c:v>155.86696012504399</c:v>
                </c:pt>
                <c:pt idx="13">
                  <c:v>44.2119330316782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EE-433D-9D8E-75290FF70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78608"/>
        <c:axId val="357879000"/>
      </c:scatterChart>
      <c:valAx>
        <c:axId val="357878608"/>
        <c:scaling>
          <c:orientation val="minMax"/>
          <c:max val="80000"/>
        </c:scaling>
        <c:delete val="0"/>
        <c:axPos val="b"/>
        <c:title>
          <c:tx>
            <c:strRef>
              <c:f>Localization!$B$8</c:f>
              <c:strCache>
                <c:ptCount val="1"/>
                <c:pt idx="0">
                  <c:v>Willingness to pay</c:v>
                </c:pt>
              </c:strCache>
            </c:strRef>
          </c:tx>
          <c:layout>
            <c:manualLayout>
              <c:xMode val="edge"/>
              <c:yMode val="edge"/>
              <c:x val="0.47313484095290381"/>
              <c:y val="0.9134136389061243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57879000"/>
        <c:crosses val="autoZero"/>
        <c:crossBetween val="midCat"/>
      </c:valAx>
      <c:valAx>
        <c:axId val="357879000"/>
        <c:scaling>
          <c:orientation val="minMax"/>
          <c:min val="0"/>
        </c:scaling>
        <c:delete val="0"/>
        <c:axPos val="l"/>
        <c:majorGridlines/>
        <c:title>
          <c:tx>
            <c:strRef>
              <c:f>Localization!$B$9</c:f>
              <c:strCache>
                <c:ptCount val="1"/>
                <c:pt idx="0">
                  <c:v>EVPI (€)</c:v>
                </c:pt>
              </c:strCache>
            </c:strRef>
          </c:tx>
          <c:layout>
            <c:manualLayout>
              <c:xMode val="edge"/>
              <c:yMode val="edge"/>
              <c:x val="1.6330623428518428E-2"/>
              <c:y val="0.37918035743213713"/>
            </c:manualLayout>
          </c:layout>
          <c:overlay val="0"/>
          <c:spPr>
            <a:noFill/>
            <a:ln w="25400">
              <a:noFill/>
            </a:ln>
          </c:spPr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#,##0.00\ &quot;€&quot;" sourceLinked="0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57878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63109279439406"/>
          <c:y val="7.5494166587705983E-2"/>
          <c:w val="0.75635139685858277"/>
          <c:h val="0.7484373423970019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EVPI!$J$6:$J$46</c:f>
              <c:numCache>
                <c:formatCode>General</c:formatCode>
                <c:ptCount val="41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</c:numCache>
            </c:numRef>
          </c:xVal>
          <c:yVal>
            <c:numRef>
              <c:f>EVPI!$R$6:$R$46</c:f>
              <c:numCache>
                <c:formatCode>General</c:formatCode>
                <c:ptCount val="41"/>
                <c:pt idx="0">
                  <c:v>0</c:v>
                </c:pt>
                <c:pt idx="1">
                  <c:v>1859.8733182002325</c:v>
                </c:pt>
                <c:pt idx="2">
                  <c:v>17268.037814115174</c:v>
                </c:pt>
                <c:pt idx="3">
                  <c:v>42481.365203090478</c:v>
                </c:pt>
                <c:pt idx="4">
                  <c:v>74468.751364650205</c:v>
                </c:pt>
                <c:pt idx="5">
                  <c:v>81369.654477002099</c:v>
                </c:pt>
                <c:pt idx="6">
                  <c:v>68421.148917160928</c:v>
                </c:pt>
                <c:pt idx="7">
                  <c:v>58284.24315335229</c:v>
                </c:pt>
                <c:pt idx="8">
                  <c:v>50051.600582325831</c:v>
                </c:pt>
                <c:pt idx="9">
                  <c:v>43152.6818943955</c:v>
                </c:pt>
                <c:pt idx="10">
                  <c:v>37539.850724486634</c:v>
                </c:pt>
                <c:pt idx="11">
                  <c:v>32816.889854418114</c:v>
                </c:pt>
                <c:pt idx="12">
                  <c:v>29009.105325940996</c:v>
                </c:pt>
                <c:pt idx="13">
                  <c:v>25726.095883155242</c:v>
                </c:pt>
                <c:pt idx="14">
                  <c:v>22801.247528549284</c:v>
                </c:pt>
                <c:pt idx="15">
                  <c:v>20254.517052024603</c:v>
                </c:pt>
                <c:pt idx="16">
                  <c:v>18137.199419181794</c:v>
                </c:pt>
                <c:pt idx="17">
                  <c:v>16277.143699578941</c:v>
                </c:pt>
                <c:pt idx="18">
                  <c:v>14711.699425198138</c:v>
                </c:pt>
                <c:pt idx="19">
                  <c:v>13308.444869857281</c:v>
                </c:pt>
                <c:pt idx="20">
                  <c:v>12104.981835775077</c:v>
                </c:pt>
                <c:pt idx="21">
                  <c:v>11039.259400259703</c:v>
                </c:pt>
                <c:pt idx="22">
                  <c:v>10119.155131693929</c:v>
                </c:pt>
                <c:pt idx="23">
                  <c:v>9287.8342457599938</c:v>
                </c:pt>
                <c:pt idx="24">
                  <c:v>8535.0214525125921</c:v>
                </c:pt>
                <c:pt idx="25">
                  <c:v>7864.2857881486416</c:v>
                </c:pt>
                <c:pt idx="26">
                  <c:v>7247.1946970112622</c:v>
                </c:pt>
                <c:pt idx="27">
                  <c:v>6695.6583984494209</c:v>
                </c:pt>
                <c:pt idx="28">
                  <c:v>6211.7346158698201</c:v>
                </c:pt>
                <c:pt idx="29">
                  <c:v>5780.3248077109456</c:v>
                </c:pt>
                <c:pt idx="30">
                  <c:v>5400.3422391265631</c:v>
                </c:pt>
                <c:pt idx="31">
                  <c:v>5044.0283693224192</c:v>
                </c:pt>
                <c:pt idx="32">
                  <c:v>4720.349495343864</c:v>
                </c:pt>
                <c:pt idx="33">
                  <c:v>4417.5171255767345</c:v>
                </c:pt>
                <c:pt idx="34">
                  <c:v>4135.1576818004251</c:v>
                </c:pt>
                <c:pt idx="35">
                  <c:v>3863.3824645653367</c:v>
                </c:pt>
                <c:pt idx="36">
                  <c:v>3608.6808213889599</c:v>
                </c:pt>
                <c:pt idx="37">
                  <c:v>3375.2861490622163</c:v>
                </c:pt>
                <c:pt idx="38">
                  <c:v>3157.5246758908033</c:v>
                </c:pt>
                <c:pt idx="39">
                  <c:v>2948.8220548182726</c:v>
                </c:pt>
                <c:pt idx="40">
                  <c:v>2753.6339406892657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B-4B95-815D-A76E8A58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79784"/>
        <c:axId val="389549640"/>
      </c:scatterChart>
      <c:valAx>
        <c:axId val="357879784"/>
        <c:scaling>
          <c:orientation val="minMax"/>
          <c:max val="80000"/>
        </c:scaling>
        <c:delete val="0"/>
        <c:axPos val="b"/>
        <c:title>
          <c:tx>
            <c:strRef>
              <c:f>Localization!$B$8</c:f>
              <c:strCache>
                <c:ptCount val="1"/>
                <c:pt idx="0">
                  <c:v>Willingness to pay</c:v>
                </c:pt>
              </c:strCache>
            </c:strRef>
          </c:tx>
          <c:layout>
            <c:manualLayout>
              <c:xMode val="edge"/>
              <c:yMode val="edge"/>
              <c:x val="0.47313484095290381"/>
              <c:y val="0.9134136389061243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9549640"/>
        <c:crosses val="autoZero"/>
        <c:crossBetween val="midCat"/>
      </c:valAx>
      <c:valAx>
        <c:axId val="389549640"/>
        <c:scaling>
          <c:orientation val="minMax"/>
          <c:min val="0"/>
        </c:scaling>
        <c:delete val="0"/>
        <c:axPos val="l"/>
        <c:majorGridlines/>
        <c:title>
          <c:tx>
            <c:strRef>
              <c:f>Localization!$B$9</c:f>
              <c:strCache>
                <c:ptCount val="1"/>
                <c:pt idx="0">
                  <c:v>EVPI (€)</c:v>
                </c:pt>
              </c:strCache>
            </c:strRef>
          </c:tx>
          <c:layout>
            <c:manualLayout>
              <c:xMode val="edge"/>
              <c:yMode val="edge"/>
              <c:x val="1.6330623428518428E-2"/>
              <c:y val="0.37918035743213713"/>
            </c:manualLayout>
          </c:layout>
          <c:overlay val="0"/>
          <c:spPr>
            <a:noFill/>
            <a:ln w="25400">
              <a:noFill/>
            </a:ln>
          </c:spPr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#,##0.00\ &quot;€&quot;" sourceLinked="0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578797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'Impact of uncertainty'!$B$3:$B$7</c:f>
              <c:strCache>
                <c:ptCount val="5"/>
                <c:pt idx="0">
                  <c:v>SampleParam</c:v>
                </c:pt>
                <c:pt idx="1">
                  <c:v>#¡NUM!</c:v>
                </c:pt>
                <c:pt idx="2">
                  <c:v>#¡NUM!</c:v>
                </c:pt>
                <c:pt idx="3">
                  <c:v>#¡NUM!</c:v>
                </c:pt>
                <c:pt idx="4">
                  <c:v>#¡NUM!</c:v>
                </c:pt>
              </c:strCache>
            </c:strRef>
          </c:cat>
          <c:val>
            <c:numRef>
              <c:f>'Impact of uncertainty'!$C$3:$C$7</c:f>
              <c:numCache>
                <c:formatCode>General</c:formatCode>
                <c:ptCount val="5"/>
                <c:pt idx="0">
                  <c:v>1.0343508649858291E-6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BA-4528-B76D-EEAC5910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550424"/>
        <c:axId val="389550816"/>
      </c:barChart>
      <c:catAx>
        <c:axId val="38955042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89550816"/>
        <c:crosses val="autoZero"/>
        <c:auto val="1"/>
        <c:lblAlgn val="ctr"/>
        <c:lblOffset val="100"/>
        <c:noMultiLvlLbl val="0"/>
      </c:catAx>
      <c:valAx>
        <c:axId val="389550816"/>
        <c:scaling>
          <c:orientation val="minMax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crossAx val="38955042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'Impact of uncertainty'!$E$3:$E$7</c:f>
              <c:strCache>
                <c:ptCount val="5"/>
                <c:pt idx="0">
                  <c:v>SampleParam</c:v>
                </c:pt>
                <c:pt idx="1">
                  <c:v>#¡NUM!</c:v>
                </c:pt>
                <c:pt idx="2">
                  <c:v>#¡NUM!</c:v>
                </c:pt>
                <c:pt idx="3">
                  <c:v>#¡NUM!</c:v>
                </c:pt>
                <c:pt idx="4">
                  <c:v>#¡NUM!</c:v>
                </c:pt>
              </c:strCache>
            </c:strRef>
          </c:cat>
          <c:val>
            <c:numRef>
              <c:f>'Impact of uncertainty'!$F$3:$F$7</c:f>
              <c:numCache>
                <c:formatCode>General</c:formatCode>
                <c:ptCount val="5"/>
                <c:pt idx="0">
                  <c:v>5.6471822259082617E-6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E-42A3-A7A7-60A77CBC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551600"/>
        <c:axId val="389551992"/>
      </c:barChart>
      <c:catAx>
        <c:axId val="3895516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89551992"/>
        <c:crosses val="autoZero"/>
        <c:auto val="1"/>
        <c:lblAlgn val="ctr"/>
        <c:lblOffset val="100"/>
        <c:noMultiLvlLbl val="0"/>
      </c:catAx>
      <c:valAx>
        <c:axId val="389551992"/>
        <c:scaling>
          <c:orientation val="minMax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crossAx val="3895516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'Impact of uncertainty'!$H$3:$H$7</c:f>
              <c:strCache>
                <c:ptCount val="5"/>
                <c:pt idx="0">
                  <c:v>SampleParam</c:v>
                </c:pt>
                <c:pt idx="1">
                  <c:v>#¡NUM!</c:v>
                </c:pt>
                <c:pt idx="2">
                  <c:v>#¡NUM!</c:v>
                </c:pt>
                <c:pt idx="3">
                  <c:v>#¡NUM!</c:v>
                </c:pt>
                <c:pt idx="4">
                  <c:v>#¡NUM!</c:v>
                </c:pt>
              </c:strCache>
            </c:strRef>
          </c:cat>
          <c:val>
            <c:numRef>
              <c:f>'Impact of uncertainty'!$I$3:$I$7</c:f>
              <c:numCache>
                <c:formatCode>General</c:formatCode>
                <c:ptCount val="5"/>
                <c:pt idx="0">
                  <c:v>7.4388561797772074E-6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2-430D-AB77-F22027A2D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552776"/>
        <c:axId val="389553168"/>
      </c:barChart>
      <c:catAx>
        <c:axId val="3895527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89553168"/>
        <c:crosses val="autoZero"/>
        <c:auto val="1"/>
        <c:lblAlgn val="ctr"/>
        <c:lblOffset val="100"/>
        <c:noMultiLvlLbl val="0"/>
      </c:catAx>
      <c:valAx>
        <c:axId val="389553168"/>
        <c:scaling>
          <c:orientation val="minMax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crossAx val="3895527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66597724922542E-2"/>
          <c:y val="3.2203389830508473E-2"/>
          <c:w val="0.87487073422958184"/>
          <c:h val="0.8273553521524135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invertIfNegative val="0"/>
          <c:cat>
            <c:numRef>
              <c:f>'One-way sensitivity'!$C$49:$C$58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'One-way sensitivity'!$D$49:$D$58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9242.1462013088694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E-4ECD-ACF5-2D9F076C779B}"/>
            </c:ext>
          </c:extLst>
        </c:ser>
        <c:ser>
          <c:idx val="1"/>
          <c:order val="1"/>
          <c:spPr>
            <a:solidFill>
              <a:schemeClr val="accent1"/>
            </a:solidFill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invertIfNegative val="0"/>
          <c:cat>
            <c:numRef>
              <c:f>'One-way sensitivity'!$C$49:$C$58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'One-way sensitivity'!$E$49:$E$58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7964.6281241995139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8E-4ECD-ACF5-2D9F076C7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89556304"/>
        <c:axId val="389556696"/>
      </c:barChart>
      <c:catAx>
        <c:axId val="3895563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 anchor="ctr" anchorCtr="1"/>
          <a:lstStyle/>
          <a:p>
            <a:pPr>
              <a:defRPr sz="800"/>
            </a:pPr>
            <a:endParaRPr lang="es-ES"/>
          </a:p>
        </c:txPr>
        <c:crossAx val="389556696"/>
        <c:crossesAt val="8868.138043647401"/>
        <c:auto val="1"/>
        <c:lblAlgn val="ctr"/>
        <c:lblOffset val="100"/>
        <c:tickMarkSkip val="1"/>
        <c:noMultiLvlLbl val="0"/>
      </c:catAx>
      <c:valAx>
        <c:axId val="389556696"/>
        <c:scaling>
          <c:orientation val="minMax"/>
        </c:scaling>
        <c:delete val="0"/>
        <c:axPos val="b"/>
        <c:minorGridlines/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txPr>
            <a:bodyPr/>
            <a:lstStyle/>
            <a:p>
              <a:pPr>
                <a:defRPr sz="900"/>
              </a:pPr>
              <a:endParaRPr lang="es-ES"/>
            </a:p>
          </c:txPr>
        </c:title>
        <c:numFmt formatCode="#,##0\ \€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s-ES"/>
          </a:p>
        </c:txPr>
        <c:crossAx val="389556304"/>
        <c:crosses val="max"/>
        <c:crossBetween val="between"/>
        <c:majorUnit val="30000"/>
        <c:minorUnit val="3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'One-way sensitivity'!$D$33:$D$39</c:f>
              <c:numCache>
                <c:formatCode>General</c:formatCode>
                <c:ptCount val="7"/>
              </c:numCache>
            </c:numRef>
          </c:xVal>
          <c:yVal>
            <c:numRef>
              <c:f>'One-way sensitivity'!$G$33:$G$39</c:f>
              <c:numCache>
                <c:formatCode>#,##0.00</c:formatCode>
                <c:ptCount val="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B0-4398-9E0A-80EBDB591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61224"/>
        <c:axId val="153361616"/>
      </c:scatterChart>
      <c:valAx>
        <c:axId val="153361224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Localization!$B$14</c:f>
              <c:strCache>
                <c:ptCount val="1"/>
                <c:pt idx="0">
                  <c:v>Time horizon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1616"/>
        <c:crosses val="autoZero"/>
        <c:crossBetween val="midCat"/>
      </c:valAx>
      <c:valAx>
        <c:axId val="1533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1224"/>
        <c:crosses val="autoZero"/>
        <c:crossBetween val="midCat"/>
        <c:majorUnit val="3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'One-way sensitivity'!$D$40:$D$45</c:f>
              <c:numCache>
                <c:formatCode>0.000000</c:formatCode>
                <c:ptCount val="6"/>
              </c:numCache>
            </c:numRef>
          </c:xVal>
          <c:yVal>
            <c:numRef>
              <c:f>'One-way sensitivity'!$G$40:$G$45</c:f>
              <c:numCache>
                <c:formatCode>#,##0.00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D-433B-AB82-1F3B3B965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62400"/>
        <c:axId val="153362792"/>
      </c:scatterChart>
      <c:valAx>
        <c:axId val="153362400"/>
        <c:scaling>
          <c:orientation val="minMax"/>
          <c:min val="5.0000000000000021E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Process!#REF!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2792"/>
        <c:crosses val="autoZero"/>
        <c:crossBetween val="midCat"/>
        <c:majorUnit val="1.0000000000000004E-5"/>
      </c:valAx>
      <c:valAx>
        <c:axId val="15336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2400"/>
        <c:crosses val="autoZero"/>
        <c:crossBetween val="midCat"/>
        <c:majorUnit val="1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66597724922542E-2"/>
          <c:y val="3.2203389830508473E-2"/>
          <c:w val="0.87487073422958184"/>
          <c:h val="0.8273553521524135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invertIfNegative val="0"/>
          <c:cat>
            <c:numRef>
              <c:f>'One-way sensitivity'!$I$49:$I$58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'One-way sensitivity'!$J$49:$J$58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14811.881986109936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65-410D-940E-79781EEC5C4A}"/>
            </c:ext>
          </c:extLst>
        </c:ser>
        <c:ser>
          <c:idx val="1"/>
          <c:order val="1"/>
          <c:spPr>
            <a:solidFill>
              <a:schemeClr val="accent1"/>
            </a:solidFill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invertIfNegative val="0"/>
          <c:cat>
            <c:numRef>
              <c:f>'One-way sensitivity'!$I$49:$I$58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'One-way sensitivity'!$K$49:$K$58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12764.473669985275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65-410D-940E-79781EEC5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53363576"/>
        <c:axId val="153363968"/>
      </c:barChart>
      <c:catAx>
        <c:axId val="1533635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 anchor="ctr" anchorCtr="1"/>
          <a:lstStyle/>
          <a:p>
            <a:pPr>
              <a:defRPr sz="800"/>
            </a:pPr>
            <a:endParaRPr lang="es-ES"/>
          </a:p>
        </c:txPr>
        <c:crossAx val="153363968"/>
        <c:crossesAt val="14212.479578172337"/>
        <c:auto val="1"/>
        <c:lblAlgn val="ctr"/>
        <c:lblOffset val="100"/>
        <c:tickMarkSkip val="1"/>
        <c:noMultiLvlLbl val="0"/>
      </c:catAx>
      <c:valAx>
        <c:axId val="153363968"/>
        <c:scaling>
          <c:orientation val="minMax"/>
        </c:scaling>
        <c:delete val="0"/>
        <c:axPos val="b"/>
        <c:minorGridlines/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txPr>
            <a:bodyPr/>
            <a:lstStyle/>
            <a:p>
              <a:pPr>
                <a:defRPr sz="900"/>
              </a:pPr>
              <a:endParaRPr lang="es-ES"/>
            </a:p>
          </c:txPr>
        </c:title>
        <c:numFmt formatCode="#,##0\ \€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s-ES"/>
          </a:p>
        </c:txPr>
        <c:crossAx val="153363576"/>
        <c:crosses val="max"/>
        <c:crossBetween val="between"/>
        <c:majorUnit val="30000"/>
        <c:minorUnit val="3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10"/>
      <c:rotY val="20"/>
      <c:rAngAx val="0"/>
      <c:perspective val="20"/>
    </c:view3D>
    <c:floor>
      <c:thickness val="0"/>
      <c:spPr>
        <a:noFill/>
        <a:ln w="9525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'Two-way sensitivity'!$C$40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chemeClr val="accent1">
                <a:tint val="5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shade val="5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sensitivity'!$D$40:$H$40</c:f>
              <c:numCache>
                <c:formatCode>_-* #,##0.00\ _€_-;\-* #,##0.00\ _€_-;_-* "-"??\ _€_-;_-@_-</c:formatCode>
                <c:ptCount val="5"/>
                <c:pt idx="0">
                  <c:v>21430.892010211654</c:v>
                </c:pt>
                <c:pt idx="1">
                  <c:v>16576.485223696785</c:v>
                </c:pt>
                <c:pt idx="2">
                  <c:v>13508.07492379904</c:v>
                </c:pt>
                <c:pt idx="3">
                  <c:v>11393.167984537946</c:v>
                </c:pt>
                <c:pt idx="4">
                  <c:v>9847.08438403338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48-4012-8705-91F118DBAAAC}"/>
            </c:ext>
          </c:extLst>
        </c:ser>
        <c:ser>
          <c:idx val="1"/>
          <c:order val="1"/>
          <c:tx>
            <c:strRef>
              <c:f>'Two-way sensitivity'!$C$41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tint val="7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shade val="7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sensitivity'!$D$41:$H$41</c:f>
              <c:numCache>
                <c:formatCode>_-* #,##0.00\ _€_-;\-* #,##0.00\ _€_-;_-* "-"??\ _€_-;_-@_-</c:formatCode>
                <c:ptCount val="5"/>
                <c:pt idx="0">
                  <c:v>19248.588787368917</c:v>
                </c:pt>
                <c:pt idx="1">
                  <c:v>15267.482584050784</c:v>
                </c:pt>
                <c:pt idx="2">
                  <c:v>12644.880405618889</c:v>
                </c:pt>
                <c:pt idx="3">
                  <c:v>10786.772168070973</c:v>
                </c:pt>
                <c:pt idx="4">
                  <c:v>9401.4039646257133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48-4012-8705-91F118DBAAAC}"/>
            </c:ext>
          </c:extLst>
        </c:ser>
        <c:ser>
          <c:idx val="2"/>
          <c:order val="2"/>
          <c:tx>
            <c:strRef>
              <c:f>'Two-way sensitivity'!$C$42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tint val="9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shade val="9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sensitivity'!$D$42:$H$42</c:f>
              <c:numCache>
                <c:formatCode>_-* #,##0.00\ _€_-;\-* #,##0.00\ _€_-;_-* "-"??\ _€_-;_-@_-</c:formatCode>
                <c:ptCount val="5"/>
                <c:pt idx="0">
                  <c:v>15592.469460597973</c:v>
                </c:pt>
                <c:pt idx="1">
                  <c:v>12918.534509142</c:v>
                </c:pt>
                <c:pt idx="2">
                  <c:v>11023.033472355393</c:v>
                </c:pt>
                <c:pt idx="3">
                  <c:v>9609.2330949261341</c:v>
                </c:pt>
                <c:pt idx="4">
                  <c:v>8514.2138808848722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48-4012-8705-91F118DBAAAC}"/>
            </c:ext>
          </c:extLst>
        </c:ser>
        <c:ser>
          <c:idx val="3"/>
          <c:order val="3"/>
          <c:tx>
            <c:strRef>
              <c:f>'Two-way sensitivity'!$C$43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9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tint val="9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sensitivity'!$D$43:$H$43</c:f>
              <c:numCache>
                <c:formatCode>_-* #,##0.00\ _€_-;\-* #,##0.00\ _€_-;_-* "-"??\ _€_-;_-@_-</c:formatCode>
                <c:ptCount val="5"/>
                <c:pt idx="0">
                  <c:v>12650.387841523752</c:v>
                </c:pt>
                <c:pt idx="1">
                  <c:v>10870.821705764973</c:v>
                </c:pt>
                <c:pt idx="2">
                  <c:v>9527.0539353168951</c:v>
                </c:pt>
                <c:pt idx="3">
                  <c:v>8476.463619996488</c:v>
                </c:pt>
                <c:pt idx="4">
                  <c:v>7632.5415710780044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48-4012-8705-91F118DBAAAC}"/>
            </c:ext>
          </c:extLst>
        </c:ser>
        <c:ser>
          <c:idx val="4"/>
          <c:order val="4"/>
          <c:tx>
            <c:strRef>
              <c:f>'Two-way sensitivity'!$C$44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7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tint val="7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sensitivity'!$D$44:$H$44</c:f>
              <c:numCache>
                <c:formatCode>_-* #,##0.00\ _€_-;\-* #,##0.00\ _€_-;_-* "-"??\ _€_-;_-@_-</c:formatCode>
                <c:ptCount val="5"/>
                <c:pt idx="0">
                  <c:v>10231.776163544429</c:v>
                </c:pt>
                <c:pt idx="1">
                  <c:v>9069.8891009280487</c:v>
                </c:pt>
                <c:pt idx="2">
                  <c:v>8142.8367521577366</c:v>
                </c:pt>
                <c:pt idx="3">
                  <c:v>7385.9581871157097</c:v>
                </c:pt>
                <c:pt idx="4">
                  <c:v>6756.3357185533578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48-4012-8705-91F118DBAAAC}"/>
            </c:ext>
          </c:extLst>
        </c:ser>
        <c:ser>
          <c:idx val="5"/>
          <c:order val="5"/>
          <c:tx>
            <c:strRef>
              <c:f>'Two-way sensitivity'!$C$45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5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tint val="5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sensitivity'!$D$45:$H$45</c:f>
              <c:numCache>
                <c:formatCode>_-* #,##0.00\ _€_-;\-* #,##0.00\ _€_-;_-* "-"??\ _€_-;_-@_-</c:formatCode>
                <c:ptCount val="5"/>
                <c:pt idx="0">
                  <c:v>8208.3402017984026</c:v>
                </c:pt>
                <c:pt idx="1">
                  <c:v>7473.6609835509316</c:v>
                </c:pt>
                <c:pt idx="2">
                  <c:v>6858.3085230120114</c:v>
                </c:pt>
                <c:pt idx="3">
                  <c:v>6335.3947841668278</c:v>
                </c:pt>
                <c:pt idx="4">
                  <c:v>5885.5456412229532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48-4012-8705-91F118DBAAAC}"/>
            </c:ext>
          </c:extLst>
        </c:ser>
        <c:bandFmts>
          <c:bandFmt>
            <c:idx val="0"/>
            <c:spPr>
              <a:solidFill>
                <a:schemeClr val="accent1">
                  <a:tint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shade val="58000"/>
                    <a:shade val="95000"/>
                  </a:schemeClr>
                </a:contourClr>
              </a:sp3d>
            </c:spPr>
          </c:bandFmt>
          <c:bandFmt>
            <c:idx val="1"/>
            <c:spPr>
              <a:solidFill>
                <a:schemeClr val="accent1">
                  <a:tint val="86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shade val="86000"/>
                    <a:shade val="95000"/>
                  </a:schemeClr>
                </a:contourClr>
              </a:sp3d>
            </c:spPr>
          </c:bandFmt>
          <c:bandFmt>
            <c:idx val="2"/>
            <c:spPr>
              <a:solidFill>
                <a:schemeClr val="accent1">
                  <a:shade val="86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86000"/>
                    <a:shade val="95000"/>
                  </a:schemeClr>
                </a:contourClr>
              </a:sp3d>
            </c:spPr>
          </c:bandFmt>
          <c:bandFmt>
            <c:idx val="3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58000"/>
                    <a:shade val="95000"/>
                  </a:schemeClr>
                </a:contourClr>
              </a:sp3d>
            </c:spPr>
          </c:bandFmt>
          <c:bandFmt>
            <c:idx val="4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5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2000"/>
                    <a:shade val="95000"/>
                  </a:schemeClr>
                </a:contourClr>
              </a:sp3d>
            </c:spPr>
          </c:bandFmt>
          <c:bandFmt>
            <c:idx val="6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74000"/>
                    <a:shade val="95000"/>
                  </a:schemeClr>
                </a:contourClr>
              </a:sp3d>
            </c:spPr>
          </c:bandFmt>
          <c:bandFmt>
            <c:idx val="7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46000"/>
                    <a:shade val="95000"/>
                  </a:schemeClr>
                </a:contourClr>
              </a:sp3d>
            </c:spPr>
          </c:bandFmt>
          <c:bandFmt>
            <c:idx val="8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18000"/>
                    <a:shade val="95000"/>
                  </a:schemeClr>
                </a:contourClr>
              </a:sp3d>
            </c:spPr>
          </c:bandFmt>
          <c:bandFmt>
            <c:idx val="9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10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62000"/>
                    <a:shade val="95000"/>
                  </a:schemeClr>
                </a:contourClr>
              </a:sp3d>
            </c:spPr>
          </c:bandFmt>
          <c:bandFmt>
            <c:idx val="11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34000"/>
                    <a:shade val="95000"/>
                  </a:schemeClr>
                </a:contourClr>
              </a:sp3d>
            </c:spPr>
          </c:bandFmt>
          <c:bandFmt>
            <c:idx val="12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6000"/>
                    <a:shade val="95000"/>
                  </a:schemeClr>
                </a:contourClr>
              </a:sp3d>
            </c:spPr>
          </c:bandFmt>
          <c:bandFmt>
            <c:idx val="13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78000"/>
                    <a:shade val="95000"/>
                  </a:schemeClr>
                </a:contourClr>
              </a:sp3d>
            </c:spPr>
          </c:bandFmt>
          <c:bandFmt>
            <c:idx val="14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</c:bandFmts>
        <c:axId val="153365144"/>
        <c:axId val="153365536"/>
        <c:axId val="396294616"/>
      </c:surface3DChart>
      <c:catAx>
        <c:axId val="153365144"/>
        <c:scaling>
          <c:orientation val="minMax"/>
        </c:scaling>
        <c:delete val="0"/>
        <c:axPos val="b"/>
        <c:title>
          <c:tx>
            <c:strRef>
              <c:f>Process!#REF!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5536"/>
        <c:crosses val="autoZero"/>
        <c:auto val="1"/>
        <c:lblAlgn val="ctr"/>
        <c:lblOffset val="100"/>
        <c:noMultiLvlLbl val="0"/>
      </c:catAx>
      <c:valAx>
        <c:axId val="15336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_-* #,##0.00\ _€_-;\-* #,##0.00\ _€_-;_-* &quot;-&quot;??\ _€_-;_-@_-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5144"/>
        <c:crosses val="autoZero"/>
        <c:crossBetween val="midCat"/>
        <c:majorUnit val="10000"/>
      </c:valAx>
      <c:serAx>
        <c:axId val="396294616"/>
        <c:scaling>
          <c:orientation val="minMax"/>
        </c:scaling>
        <c:delete val="0"/>
        <c:axPos val="b"/>
        <c:title>
          <c:tx>
            <c:strRef>
              <c:f>Process!#REF!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5536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1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033771010642231"/>
          <c:y val="4.0050973966866923E-2"/>
          <c:w val="0.81902134622963307"/>
          <c:h val="0.59153912423972665"/>
        </c:manualLayout>
      </c:layout>
      <c:surface3DChart>
        <c:wireframe val="0"/>
        <c:ser>
          <c:idx val="0"/>
          <c:order val="0"/>
          <c:tx>
            <c:strRef>
              <c:f>'Two-way sensitivity'!$C$40</c:f>
              <c:strCache>
                <c:ptCount val="1"/>
                <c:pt idx="0">
                  <c:v>0.05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0000"/>
                    <a:tint val="50000"/>
                    <a:satMod val="300000"/>
                  </a:schemeClr>
                </a:gs>
                <a:gs pos="35000">
                  <a:schemeClr val="accent1">
                    <a:shade val="50000"/>
                    <a:tint val="37000"/>
                    <a:satMod val="300000"/>
                  </a:schemeClr>
                </a:gs>
                <a:gs pos="100000">
                  <a:schemeClr val="accent1">
                    <a:shade val="5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5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5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sensitivity'!$K$40:$O$40</c:f>
              <c:numCache>
                <c:formatCode>_-* #,##0.00\ _€_-;\-* #,##0.00\ _€_-;_-* "-"??\ _€_-;_-@_-</c:formatCode>
                <c:ptCount val="5"/>
                <c:pt idx="0">
                  <c:v>261723.44199745762</c:v>
                </c:pt>
                <c:pt idx="1">
                  <c:v>54043.976117519356</c:v>
                </c:pt>
                <c:pt idx="2">
                  <c:v>30095.540918590221</c:v>
                </c:pt>
                <c:pt idx="3">
                  <c:v>20836.287515730146</c:v>
                </c:pt>
                <c:pt idx="4">
                  <c:v>15923.397293558139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A-49A5-8570-930A8AD7E310}"/>
            </c:ext>
          </c:extLst>
        </c:ser>
        <c:ser>
          <c:idx val="1"/>
          <c:order val="1"/>
          <c:tx>
            <c:strRef>
              <c:f>'Two-way sensitivity'!$C$41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0000"/>
                    <a:tint val="50000"/>
                    <a:satMod val="300000"/>
                  </a:schemeClr>
                </a:gs>
                <a:gs pos="35000">
                  <a:schemeClr val="accent1">
                    <a:shade val="70000"/>
                    <a:tint val="37000"/>
                    <a:satMod val="300000"/>
                  </a:schemeClr>
                </a:gs>
                <a:gs pos="100000">
                  <a:schemeClr val="accent1">
                    <a:shade val="7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7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7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sensitivity'!$K$41:$O$41</c:f>
              <c:numCache>
                <c:formatCode>_-* #,##0.00\ _€_-;\-* #,##0.00\ _€_-;_-* "-"??\ _€_-;_-@_-</c:formatCode>
                <c:ptCount val="5"/>
                <c:pt idx="0">
                  <c:v>125128.19408008229</c:v>
                </c:pt>
                <c:pt idx="1">
                  <c:v>44354.666228871021</c:v>
                </c:pt>
                <c:pt idx="2">
                  <c:v>26925.1622883522</c:v>
                </c:pt>
                <c:pt idx="3">
                  <c:v>19314.23288410611</c:v>
                </c:pt>
                <c:pt idx="4">
                  <c:v>15048.537203923157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A-49A5-8570-930A8AD7E310}"/>
            </c:ext>
          </c:extLst>
        </c:ser>
        <c:ser>
          <c:idx val="2"/>
          <c:order val="2"/>
          <c:tx>
            <c:strRef>
              <c:f>'Two-way sensitivity'!$C$42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0000"/>
                    <a:tint val="50000"/>
                    <a:satMod val="300000"/>
                  </a:schemeClr>
                </a:gs>
                <a:gs pos="35000">
                  <a:schemeClr val="accent1">
                    <a:shade val="90000"/>
                    <a:tint val="37000"/>
                    <a:satMod val="300000"/>
                  </a:schemeClr>
                </a:gs>
                <a:gs pos="100000">
                  <a:schemeClr val="accent1">
                    <a:shade val="9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sensitivity'!$K$42:$O$42</c:f>
              <c:numCache>
                <c:formatCode>_-* #,##0.00\ _€_-;\-* #,##0.00\ _€_-;_-* "-"??\ _€_-;_-@_-</c:formatCode>
                <c:ptCount val="5"/>
                <c:pt idx="0">
                  <c:v>56830.570217913177</c:v>
                </c:pt>
                <c:pt idx="1">
                  <c:v>31394.486374713608</c:v>
                </c:pt>
                <c:pt idx="2">
                  <c:v>21669.266807909036</c:v>
                </c:pt>
                <c:pt idx="3">
                  <c:v>16533.553007047707</c:v>
                </c:pt>
                <c:pt idx="4">
                  <c:v>13358.774495836311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8A-49A5-8570-930A8AD7E310}"/>
            </c:ext>
          </c:extLst>
        </c:ser>
        <c:ser>
          <c:idx val="3"/>
          <c:order val="3"/>
          <c:tx>
            <c:strRef>
              <c:f>'Two-way sensitivity'!$C$43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0000"/>
                    <a:tint val="50000"/>
                    <a:satMod val="300000"/>
                  </a:schemeClr>
                </a:gs>
                <a:gs pos="35000">
                  <a:schemeClr val="accent1">
                    <a:tint val="90000"/>
                    <a:tint val="37000"/>
                    <a:satMod val="300000"/>
                  </a:schemeClr>
                </a:gs>
                <a:gs pos="100000">
                  <a:schemeClr val="accent1">
                    <a:tint val="9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tint val="9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tint val="9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sensitivity'!$K$43:$O$43</c:f>
              <c:numCache>
                <c:formatCode>_-* #,##0.00\ _€_-;\-* #,##0.00\ _€_-;_-* "-"??\ _€_-;_-@_-</c:formatCode>
                <c:ptCount val="5"/>
                <c:pt idx="0">
                  <c:v>34064.695605565088</c:v>
                </c:pt>
                <c:pt idx="1">
                  <c:v>23122.536746048165</c:v>
                </c:pt>
                <c:pt idx="2">
                  <c:v>17489.611674114392</c:v>
                </c:pt>
                <c:pt idx="3">
                  <c:v>14056.216597926703</c:v>
                </c:pt>
                <c:pt idx="4">
                  <c:v>11744.491372238546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8A-49A5-8570-930A8AD7E310}"/>
            </c:ext>
          </c:extLst>
        </c:ser>
        <c:ser>
          <c:idx val="4"/>
          <c:order val="4"/>
          <c:tx>
            <c:strRef>
              <c:f>'Two-way sensitivity'!$C$44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0000"/>
                    <a:tint val="50000"/>
                    <a:satMod val="300000"/>
                  </a:schemeClr>
                </a:gs>
                <a:gs pos="35000">
                  <a:schemeClr val="accent1">
                    <a:tint val="70000"/>
                    <a:tint val="37000"/>
                    <a:satMod val="300000"/>
                  </a:schemeClr>
                </a:gs>
                <a:gs pos="100000">
                  <a:schemeClr val="accent1">
                    <a:tint val="7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tint val="7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tint val="7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sensitivity'!$K$44:$O$44</c:f>
              <c:numCache>
                <c:formatCode>_-* #,##0.00\ _€_-;\-* #,##0.00\ _€_-;_-* "-"??\ _€_-;_-@_-</c:formatCode>
                <c:ptCount val="5"/>
                <c:pt idx="0">
                  <c:v>22681.758291010927</c:v>
                </c:pt>
                <c:pt idx="1">
                  <c:v>17384.568879276489</c:v>
                </c:pt>
                <c:pt idx="2">
                  <c:v>14086.328886216394</c:v>
                </c:pt>
                <c:pt idx="3">
                  <c:v>11835.153622988815</c:v>
                </c:pt>
                <c:pt idx="4">
                  <c:v>10200.740950847303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8A-49A5-8570-930A8AD7E310}"/>
            </c:ext>
          </c:extLst>
        </c:ser>
        <c:ser>
          <c:idx val="5"/>
          <c:order val="5"/>
          <c:tx>
            <c:strRef>
              <c:f>'Two-way sensitivity'!$C$45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tint val="50000"/>
                    <a:satMod val="300000"/>
                  </a:schemeClr>
                </a:gs>
                <a:gs pos="35000">
                  <a:schemeClr val="accent1">
                    <a:tint val="50000"/>
                    <a:tint val="37000"/>
                    <a:satMod val="300000"/>
                  </a:schemeClr>
                </a:gs>
                <a:gs pos="100000">
                  <a:schemeClr val="accent1">
                    <a:tint val="5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tint val="5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tint val="5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sensitivity'!$K$45:$O$45</c:f>
              <c:numCache>
                <c:formatCode>_-* #,##0.00\ _€_-;\-* #,##0.00\ _€_-;_-* "-"??\ _€_-;_-@_-</c:formatCode>
                <c:ptCount val="5"/>
                <c:pt idx="0">
                  <c:v>15851.995902950084</c:v>
                </c:pt>
                <c:pt idx="1">
                  <c:v>13170.869449392265</c:v>
                </c:pt>
                <c:pt idx="2">
                  <c:v>11261.484459464258</c:v>
                </c:pt>
                <c:pt idx="3">
                  <c:v>9832.5536338136753</c:v>
                </c:pt>
                <c:pt idx="4">
                  <c:v>8722.9993945571896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8A-49A5-8570-930A8AD7E3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hade val="41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41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41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41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41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shade val="53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53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53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53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53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shade val="65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65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65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65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65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shade val="76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76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76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76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76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shade val="88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88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88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88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88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tint val="89000"/>
                      <a:tint val="50000"/>
                      <a:satMod val="300000"/>
                    </a:schemeClr>
                  </a:gs>
                  <a:gs pos="35000">
                    <a:schemeClr val="accent1">
                      <a:tint val="89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89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89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89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tint val="77000"/>
                      <a:tint val="50000"/>
                      <a:satMod val="300000"/>
                    </a:schemeClr>
                  </a:gs>
                  <a:gs pos="35000">
                    <a:schemeClr val="accent1">
                      <a:tint val="77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77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77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77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tint val="65000"/>
                      <a:tint val="50000"/>
                      <a:satMod val="300000"/>
                    </a:schemeClr>
                  </a:gs>
                  <a:gs pos="35000">
                    <a:schemeClr val="accent1">
                      <a:tint val="65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65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65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65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tint val="54000"/>
                      <a:tint val="50000"/>
                      <a:satMod val="300000"/>
                    </a:schemeClr>
                  </a:gs>
                  <a:gs pos="35000">
                    <a:schemeClr val="accent1">
                      <a:tint val="54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54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54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54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tint val="42000"/>
                      <a:tint val="50000"/>
                      <a:satMod val="300000"/>
                    </a:schemeClr>
                  </a:gs>
                  <a:gs pos="35000">
                    <a:schemeClr val="accent1">
                      <a:tint val="42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42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42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42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tint val="30000"/>
                      <a:tint val="50000"/>
                      <a:satMod val="300000"/>
                    </a:schemeClr>
                  </a:gs>
                  <a:gs pos="35000">
                    <a:schemeClr val="accent1">
                      <a:tint val="30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3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tint val="19000"/>
                      <a:tint val="50000"/>
                      <a:satMod val="300000"/>
                    </a:schemeClr>
                  </a:gs>
                  <a:gs pos="35000">
                    <a:schemeClr val="accent1">
                      <a:tint val="19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19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19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19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tint val="7000"/>
                      <a:tint val="50000"/>
                      <a:satMod val="300000"/>
                    </a:schemeClr>
                  </a:gs>
                  <a:gs pos="35000">
                    <a:schemeClr val="accent1">
                      <a:tint val="7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7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7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7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tint val="95000"/>
                      <a:tint val="50000"/>
                      <a:satMod val="300000"/>
                    </a:schemeClr>
                  </a:gs>
                  <a:gs pos="35000">
                    <a:schemeClr val="accent1">
                      <a:tint val="95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95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95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95000"/>
                    <a:shade val="95000"/>
                  </a:schemeClr>
                </a:contourClr>
              </a:sp3d>
            </c:spPr>
          </c:bandFmt>
        </c:bandFmts>
        <c:axId val="153366320"/>
        <c:axId val="153366712"/>
        <c:axId val="396297584"/>
      </c:surface3DChart>
      <c:catAx>
        <c:axId val="153366320"/>
        <c:scaling>
          <c:orientation val="minMax"/>
        </c:scaling>
        <c:delete val="0"/>
        <c:axPos val="b"/>
        <c:title>
          <c:tx>
            <c:strRef>
              <c:f>Process!#REF!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6712"/>
        <c:crosses val="autoZero"/>
        <c:auto val="1"/>
        <c:lblAlgn val="ctr"/>
        <c:lblOffset val="100"/>
        <c:noMultiLvlLbl val="0"/>
      </c:catAx>
      <c:valAx>
        <c:axId val="15336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layout>
            <c:manualLayout>
              <c:xMode val="edge"/>
              <c:yMode val="edge"/>
              <c:x val="1.8614552531281619E-2"/>
              <c:y val="0.298717193392879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_-* #,##0.00\ _€_-;\-* #,##0.0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6320"/>
        <c:crosses val="autoZero"/>
        <c:crossBetween val="midCat"/>
        <c:majorUnit val="30000"/>
      </c:valAx>
      <c:serAx>
        <c:axId val="396297584"/>
        <c:scaling>
          <c:orientation val="minMax"/>
        </c:scaling>
        <c:delete val="0"/>
        <c:axPos val="b"/>
        <c:title>
          <c:tx>
            <c:strRef>
              <c:f>Process!#REF!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93863191695005643"/>
              <c:y val="4.005097396686692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6712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Impacto presupuestario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'Budget impact'!$W$33:$W$37</c:f>
              <c:numCache>
                <c:formatCode>#,##0_ ;\-#,##0\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F-46E8-A77A-1A2368AFF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40"/>
        <c:axId val="153287848"/>
        <c:axId val="153288240"/>
      </c:barChart>
      <c:catAx>
        <c:axId val="153287848"/>
        <c:scaling>
          <c:orientation val="minMax"/>
        </c:scaling>
        <c:delete val="0"/>
        <c:axPos val="b"/>
        <c:title>
          <c:tx>
            <c:strRef>
              <c:f>Localization!$B$11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288240"/>
        <c:crosses val="autoZero"/>
        <c:auto val="1"/>
        <c:lblAlgn val="ctr"/>
        <c:lblOffset val="100"/>
        <c:noMultiLvlLbl val="0"/>
      </c:catAx>
      <c:valAx>
        <c:axId val="15328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Localization!$B$10</c:f>
              <c:strCache>
                <c:ptCount val="1"/>
                <c:pt idx="0">
                  <c:v>Incremental net cost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28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0" fmlaLink="$E$5" fmlaRange="$F$5:$F$6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</xdr:row>
          <xdr:rowOff>175260</xdr:rowOff>
        </xdr:from>
        <xdr:to>
          <xdr:col>11</xdr:col>
          <xdr:colOff>708660</xdr:colOff>
          <xdr:row>8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MC + PSA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4</xdr:col>
          <xdr:colOff>106680</xdr:colOff>
          <xdr:row>5</xdr:row>
          <xdr:rowOff>22860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274320</xdr:colOff>
          <xdr:row>9</xdr:row>
          <xdr:rowOff>22860</xdr:rowOff>
        </xdr:from>
        <xdr:to>
          <xdr:col>12</xdr:col>
          <xdr:colOff>137160</xdr:colOff>
          <xdr:row>11</xdr:row>
          <xdr:rowOff>22860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1-way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22860</xdr:rowOff>
        </xdr:from>
        <xdr:to>
          <xdr:col>11</xdr:col>
          <xdr:colOff>76200</xdr:colOff>
          <xdr:row>11</xdr:row>
          <xdr:rowOff>22860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Budget impact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327660</xdr:colOff>
          <xdr:row>9</xdr:row>
          <xdr:rowOff>22860</xdr:rowOff>
        </xdr:from>
        <xdr:to>
          <xdr:col>13</xdr:col>
          <xdr:colOff>365760</xdr:colOff>
          <xdr:row>11</xdr:row>
          <xdr:rowOff>22860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2-way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251460</xdr:colOff>
      <xdr:row>24</xdr:row>
      <xdr:rowOff>54428</xdr:rowOff>
    </xdr:from>
    <xdr:to>
      <xdr:col>17</xdr:col>
      <xdr:colOff>223670</xdr:colOff>
      <xdr:row>49</xdr:row>
      <xdr:rowOff>113595</xdr:rowOff>
    </xdr:to>
    <xdr:graphicFrame macro="">
      <xdr:nvGraphicFramePr>
        <xdr:cNvPr id="2" name="CEPlan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311331</xdr:colOff>
      <xdr:row>0</xdr:row>
      <xdr:rowOff>134984</xdr:rowOff>
    </xdr:from>
    <xdr:to>
      <xdr:col>13</xdr:col>
      <xdr:colOff>357051</xdr:colOff>
      <xdr:row>23</xdr:row>
      <xdr:rowOff>10886</xdr:rowOff>
    </xdr:to>
    <xdr:graphicFrame macro="">
      <xdr:nvGraphicFramePr>
        <xdr:cNvPr id="3" name="CEPlane_detail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729343</xdr:colOff>
      <xdr:row>0</xdr:row>
      <xdr:rowOff>152400</xdr:rowOff>
    </xdr:from>
    <xdr:to>
      <xdr:col>21</xdr:col>
      <xdr:colOff>775063</xdr:colOff>
      <xdr:row>23</xdr:row>
      <xdr:rowOff>28302</xdr:rowOff>
    </xdr:to>
    <xdr:graphicFrame macro="">
      <xdr:nvGraphicFramePr>
        <xdr:cNvPr id="5" name="CEPlane_detail2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402771</xdr:colOff>
      <xdr:row>24</xdr:row>
      <xdr:rowOff>54429</xdr:rowOff>
    </xdr:from>
    <xdr:to>
      <xdr:col>29</xdr:col>
      <xdr:colOff>374982</xdr:colOff>
      <xdr:row>49</xdr:row>
      <xdr:rowOff>113596</xdr:rowOff>
    </xdr:to>
    <xdr:graphicFrame macro="">
      <xdr:nvGraphicFramePr>
        <xdr:cNvPr id="6" name="CEPlane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4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5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4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4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4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5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384810</xdr:colOff>
      <xdr:row>1</xdr:row>
      <xdr:rowOff>160020</xdr:rowOff>
    </xdr:from>
    <xdr:to>
      <xdr:col>14</xdr:col>
      <xdr:colOff>617220</xdr:colOff>
      <xdr:row>23</xdr:row>
      <xdr:rowOff>35859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358140</xdr:colOff>
      <xdr:row>23</xdr:row>
      <xdr:rowOff>152400</xdr:rowOff>
    </xdr:from>
    <xdr:to>
      <xdr:col>14</xdr:col>
      <xdr:colOff>590550</xdr:colOff>
      <xdr:row>45</xdr:row>
      <xdr:rowOff>58719</xdr:rowOff>
    </xdr:to>
    <xdr:graphicFrame macro="">
      <xdr:nvGraphicFramePr>
        <xdr:cNvPr id="4" name="2 Gráfico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0.00694</cdr:x>
      <cdr:y>0.01564</cdr:y>
    </cdr:from>
    <cdr:to>
      <cdr:x>0.00694</cdr:x>
      <cdr:y>0.01564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P4J6vM0Q3tUKZyA13YF8J1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0.00694</cdr:x>
      <cdr:y>0.01564</cdr:y>
    </cdr:from>
    <cdr:to>
      <cdr:x>0.00694</cdr:x>
      <cdr:y>0.01564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P4J6vM0Q3tUKZyA13YF8J1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746760</xdr:colOff>
      <xdr:row>5</xdr:row>
      <xdr:rowOff>91440</xdr:rowOff>
    </xdr:from>
    <xdr:to>
      <xdr:col>26</xdr:col>
      <xdr:colOff>558165</xdr:colOff>
      <xdr:row>22</xdr:row>
      <xdr:rowOff>101750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24</xdr:row>
      <xdr:rowOff>0</xdr:rowOff>
    </xdr:from>
    <xdr:to>
      <xdr:col>26</xdr:col>
      <xdr:colOff>603885</xdr:colOff>
      <xdr:row>41</xdr:row>
      <xdr:rowOff>25550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0.00697</cdr:x>
      <cdr:y>0.01515</cdr:y>
    </cdr:from>
    <cdr:to>
      <cdr:x>0.00697</cdr:x>
      <cdr:y>0.01515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xZRefylF3gGAOzzRyy9fRK</a:t>
          </a:r>
        </a:p>
      </cdr:txBody>
    </cdr:sp>
  </cdr:relSizeAnchor>
  <cdr:relSizeAnchor xmlns:cdr="http://schemas.openxmlformats.org/drawingml/2006/chartDrawing">
    <cdr:from>
      <cdr:x>0.00697</cdr:x>
      <cdr:y>0.01515</cdr:y>
    </cdr:from>
    <cdr:to>
      <cdr:x>0.00697</cdr:x>
      <cdr:y>0.01515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xZRefylF3gGAOzzRyy9fRK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0.00697</cdr:x>
      <cdr:y>0.01515</cdr:y>
    </cdr:from>
    <cdr:to>
      <cdr:x>0.00697</cdr:x>
      <cdr:y>0.01515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xZRefylF3gGAOzzRyy9fRK</a:t>
          </a:r>
        </a:p>
      </cdr:txBody>
    </cdr:sp>
  </cdr:relSizeAnchor>
  <cdr:relSizeAnchor xmlns:cdr="http://schemas.openxmlformats.org/drawingml/2006/chartDrawing">
    <cdr:from>
      <cdr:x>0.00697</cdr:x>
      <cdr:y>0.01515</cdr:y>
    </cdr:from>
    <cdr:to>
      <cdr:x>0.00697</cdr:x>
      <cdr:y>0.01515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xZRefylF3gGAOzzRyy9fRK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81737</xdr:colOff>
      <xdr:row>13</xdr:row>
      <xdr:rowOff>124499</xdr:rowOff>
    </xdr:from>
    <xdr:to>
      <xdr:col>4</xdr:col>
      <xdr:colOff>1813771</xdr:colOff>
      <xdr:row>36</xdr:row>
      <xdr:rowOff>101458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1882479</xdr:colOff>
      <xdr:row>13</xdr:row>
      <xdr:rowOff>116702</xdr:rowOff>
    </xdr:from>
    <xdr:to>
      <xdr:col>10</xdr:col>
      <xdr:colOff>122386</xdr:colOff>
      <xdr:row>36</xdr:row>
      <xdr:rowOff>93841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183645</xdr:colOff>
      <xdr:row>13</xdr:row>
      <xdr:rowOff>145099</xdr:rowOff>
    </xdr:from>
    <xdr:to>
      <xdr:col>17</xdr:col>
      <xdr:colOff>253634</xdr:colOff>
      <xdr:row>36</xdr:row>
      <xdr:rowOff>128001</xdr:rowOff>
    </xdr:to>
    <xdr:graphicFrame macro="">
      <xdr:nvGraphicFramePr>
        <xdr:cNvPr id="5" name="3 Gráfico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321945</xdr:colOff>
      <xdr:row>48</xdr:row>
      <xdr:rowOff>96201</xdr:rowOff>
    </xdr:from>
    <xdr:to>
      <xdr:col>9</xdr:col>
      <xdr:colOff>666751</xdr:colOff>
      <xdr:row>66</xdr:row>
      <xdr:rowOff>91440</xdr:rowOff>
    </xdr:to>
    <xdr:graphicFrame macro="">
      <xdr:nvGraphicFramePr>
        <xdr:cNvPr id="2" name="oneWayChart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14</xdr:col>
      <xdr:colOff>129540</xdr:colOff>
      <xdr:row>6</xdr:row>
      <xdr:rowOff>91440</xdr:rowOff>
    </xdr:from>
    <xdr:to>
      <xdr:col>19</xdr:col>
      <xdr:colOff>935355</xdr:colOff>
      <xdr:row>20</xdr:row>
      <xdr:rowOff>167640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129540</xdr:colOff>
      <xdr:row>21</xdr:row>
      <xdr:rowOff>133350</xdr:rowOff>
    </xdr:from>
    <xdr:to>
      <xdr:col>19</xdr:col>
      <xdr:colOff>931545</xdr:colOff>
      <xdr:row>36</xdr:row>
      <xdr:rowOff>91440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99060</xdr:rowOff>
        </xdr:from>
        <xdr:to>
          <xdr:col>2</xdr:col>
          <xdr:colOff>899160</xdr:colOff>
          <xdr:row>3</xdr:row>
          <xdr:rowOff>228600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1-way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434340</xdr:colOff>
      <xdr:row>48</xdr:row>
      <xdr:rowOff>55245</xdr:rowOff>
    </xdr:from>
    <xdr:to>
      <xdr:col>14</xdr:col>
      <xdr:colOff>249556</xdr:colOff>
      <xdr:row>66</xdr:row>
      <xdr:rowOff>56199</xdr:rowOff>
    </xdr:to>
    <xdr:graphicFrame macro="">
      <xdr:nvGraphicFramePr>
        <xdr:cNvPr id="6" name="oneWayChart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0.00552</cdr:x>
      <cdr:y>0.00904</cdr:y>
    </cdr:from>
    <cdr:to>
      <cdr:x>0.00552</cdr:x>
      <cdr:y>0.00904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sB4lxdYh2fsa9OVZ20yoMd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0.00552</cdr:x>
      <cdr:y>0.00904</cdr:y>
    </cdr:from>
    <cdr:to>
      <cdr:x>0.00552</cdr:x>
      <cdr:y>0.00904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sB4lxdYh2fsa9OVZ20yoMd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114300</xdr:rowOff>
        </xdr:from>
        <xdr:to>
          <xdr:col>2</xdr:col>
          <xdr:colOff>914400</xdr:colOff>
          <xdr:row>3</xdr:row>
          <xdr:rowOff>228600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2-way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232409</xdr:colOff>
      <xdr:row>47</xdr:row>
      <xdr:rowOff>5714</xdr:rowOff>
    </xdr:from>
    <xdr:to>
      <xdr:col>7</xdr:col>
      <xdr:colOff>706754</xdr:colOff>
      <xdr:row>66</xdr:row>
      <xdr:rowOff>19049</xdr:rowOff>
    </xdr:to>
    <xdr:graphicFrame macro="">
      <xdr:nvGraphicFramePr>
        <xdr:cNvPr id="3" name="3 Gráfico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510540</xdr:colOff>
      <xdr:row>47</xdr:row>
      <xdr:rowOff>0</xdr:rowOff>
    </xdr:from>
    <xdr:to>
      <xdr:col>16</xdr:col>
      <xdr:colOff>78105</xdr:colOff>
      <xdr:row>66</xdr:row>
      <xdr:rowOff>13335</xdr:rowOff>
    </xdr:to>
    <xdr:graphicFrame macro="">
      <xdr:nvGraphicFramePr>
        <xdr:cNvPr id="5" name="3 Gráfico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289560</xdr:colOff>
      <xdr:row>27</xdr:row>
      <xdr:rowOff>99060</xdr:rowOff>
    </xdr:from>
    <xdr:to>
      <xdr:col>6</xdr:col>
      <xdr:colOff>0</xdr:colOff>
      <xdr:row>42</xdr:row>
      <xdr:rowOff>83820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5</xdr:row>
          <xdr:rowOff>38100</xdr:rowOff>
        </xdr:from>
        <xdr:to>
          <xdr:col>2</xdr:col>
          <xdr:colOff>99060</xdr:colOff>
          <xdr:row>6</xdr:row>
          <xdr:rowOff>175260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D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Budget impact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trol">
    <tabColor theme="0" tint="-0.34998626667073579"/>
  </sheetPr>
  <dimension ref="B3:N32"/>
  <sheetViews>
    <sheetView zoomScale="115" zoomScaleNormal="115" workbookViewId="0">
      <selection activeCell="G13" sqref="G13"/>
    </sheetView>
  </sheetViews>
  <sheetFormatPr baseColWidth="10" defaultColWidth="11.5546875" defaultRowHeight="14.4" x14ac:dyDescent="0.3"/>
  <cols>
    <col min="1" max="1" width="11.5546875" style="2"/>
    <col min="2" max="2" width="2.88671875" style="2" customWidth="1"/>
    <col min="3" max="4" width="15.109375" style="2" bestFit="1" customWidth="1"/>
    <col min="5" max="5" width="14" style="2" bestFit="1" customWidth="1"/>
    <col min="6" max="6" width="15" style="2" bestFit="1" customWidth="1"/>
    <col min="7" max="7" width="16.5546875" style="2" customWidth="1"/>
    <col min="8" max="8" width="4.5546875" style="2" customWidth="1"/>
    <col min="9" max="9" width="11.5546875" style="2"/>
    <col min="10" max="10" width="3.33203125" style="2" customWidth="1"/>
    <col min="11" max="11" width="11.5546875" style="2"/>
    <col min="12" max="12" width="14.33203125" style="2" customWidth="1"/>
    <col min="13" max="13" width="11.5546875" style="2"/>
    <col min="14" max="14" width="8.33203125" style="2" customWidth="1"/>
    <col min="15" max="15" width="11.5546875" style="2" customWidth="1"/>
    <col min="16" max="16384" width="11.5546875" style="2"/>
  </cols>
  <sheetData>
    <row r="3" spans="2:14" x14ac:dyDescent="0.3">
      <c r="B3" s="5"/>
      <c r="C3" s="5" t="str">
        <f>IF(language=1,"Panel de control (ASP)", "Control panel (PSA)")</f>
        <v>Control panel (PSA)</v>
      </c>
      <c r="D3" s="5"/>
      <c r="J3" s="5"/>
      <c r="K3" s="5" t="str">
        <f>IF(language=1,"Panel de control (Acciones)", "Control panel (Actions)")</f>
        <v>Control panel (Actions)</v>
      </c>
      <c r="L3" s="5"/>
    </row>
    <row r="4" spans="2:14" ht="15" thickBot="1" x14ac:dyDescent="0.35">
      <c r="B4" s="3"/>
      <c r="C4" s="3"/>
      <c r="D4" s="3"/>
      <c r="E4" s="3"/>
      <c r="F4" s="3"/>
      <c r="G4" s="3"/>
      <c r="H4" s="3"/>
      <c r="J4" s="3"/>
      <c r="K4" s="3"/>
      <c r="L4" s="3"/>
      <c r="M4" s="3"/>
      <c r="N4" s="3"/>
    </row>
    <row r="5" spans="2:14" ht="15" thickBot="1" x14ac:dyDescent="0.35">
      <c r="B5" s="3"/>
      <c r="C5" s="5" t="str">
        <f>IF(language=1,"Lenguaje", "Language")</f>
        <v>Language</v>
      </c>
      <c r="D5" s="3"/>
      <c r="E5" s="42">
        <v>2</v>
      </c>
      <c r="F5" s="42" t="s">
        <v>280</v>
      </c>
      <c r="G5" s="3"/>
      <c r="H5" s="3"/>
      <c r="J5" s="3"/>
      <c r="K5" s="19">
        <v>0</v>
      </c>
      <c r="L5" s="21" t="str">
        <f>IF(language=1,"¿Probabilístico?", "Probabilistic?")</f>
        <v>Probabilistic?</v>
      </c>
      <c r="M5" s="22"/>
      <c r="N5" s="3"/>
    </row>
    <row r="6" spans="2:14" x14ac:dyDescent="0.3">
      <c r="B6" s="3"/>
      <c r="C6" s="3"/>
      <c r="D6" s="3"/>
      <c r="E6" s="3"/>
      <c r="F6" s="42" t="s">
        <v>118</v>
      </c>
      <c r="G6" s="3"/>
      <c r="H6" s="3"/>
      <c r="J6" s="3"/>
      <c r="K6" s="3"/>
      <c r="L6" s="3"/>
      <c r="M6" s="3"/>
      <c r="N6" s="3"/>
    </row>
    <row r="7" spans="2:14" x14ac:dyDescent="0.3">
      <c r="B7" s="3"/>
      <c r="C7" s="3"/>
      <c r="D7" s="12" t="str">
        <f>IF(language=1,"Nombre","Name")</f>
        <v>Name</v>
      </c>
      <c r="E7" s="3"/>
      <c r="F7" s="3"/>
      <c r="G7" s="3"/>
      <c r="H7" s="3"/>
      <c r="J7" s="3"/>
      <c r="K7" s="3"/>
      <c r="L7" s="3"/>
      <c r="M7" s="3"/>
      <c r="N7" s="3"/>
    </row>
    <row r="8" spans="2:14" x14ac:dyDescent="0.3">
      <c r="B8" s="3"/>
      <c r="C8" s="5" t="str">
        <f>IF(language=1,"Rama 1", "Branch 1")</f>
        <v>Branch 1</v>
      </c>
      <c r="D8" s="1" t="s">
        <v>265</v>
      </c>
      <c r="E8" s="3"/>
      <c r="F8" s="3"/>
      <c r="G8" s="3"/>
      <c r="H8" s="3"/>
      <c r="J8" s="3"/>
      <c r="K8" s="3"/>
      <c r="L8" s="3"/>
      <c r="M8" s="3"/>
      <c r="N8" s="3"/>
    </row>
    <row r="9" spans="2:14" x14ac:dyDescent="0.3">
      <c r="B9" s="3"/>
      <c r="C9" s="5" t="str">
        <f>IF(language=1,"Rama 2", "Branch 2")</f>
        <v>Branch 2</v>
      </c>
      <c r="D9" s="1" t="s">
        <v>266</v>
      </c>
      <c r="E9" s="3"/>
      <c r="F9" s="5" t="s">
        <v>132</v>
      </c>
      <c r="G9" s="1">
        <v>150</v>
      </c>
      <c r="H9" s="3"/>
      <c r="J9" s="3"/>
      <c r="K9" s="3"/>
      <c r="L9" s="3"/>
      <c r="M9" s="3"/>
      <c r="N9" s="3"/>
    </row>
    <row r="10" spans="2:14" x14ac:dyDescent="0.3">
      <c r="B10" s="3"/>
      <c r="C10" s="13" t="str">
        <f>IF(language=1,"Nombres de alternativas de tratamiento a comparar","Name of compared treatment alternatives")</f>
        <v>Name of compared treatment alternatives</v>
      </c>
      <c r="D10" s="3"/>
      <c r="E10" s="3"/>
      <c r="F10" s="13" t="str">
        <f>IF(language=1,"Horizonte temporal","Time horizon")</f>
        <v>Time horizon</v>
      </c>
      <c r="G10" s="3"/>
      <c r="H10" s="3"/>
      <c r="J10" s="3"/>
      <c r="K10" s="3"/>
      <c r="L10" s="3"/>
      <c r="M10" s="3"/>
      <c r="N10" s="3"/>
    </row>
    <row r="11" spans="2:14" x14ac:dyDescent="0.3">
      <c r="B11" s="3"/>
      <c r="C11" s="3"/>
      <c r="D11" s="3"/>
      <c r="E11" s="3"/>
      <c r="F11" s="3"/>
      <c r="G11" s="3"/>
      <c r="H11" s="3"/>
      <c r="J11" s="3"/>
      <c r="K11" s="3"/>
      <c r="L11" s="3"/>
      <c r="M11" s="3"/>
      <c r="N11" s="3"/>
    </row>
    <row r="12" spans="2:14" x14ac:dyDescent="0.3">
      <c r="B12" s="3"/>
      <c r="C12" s="5" t="str">
        <f>IF(language=1,"# Simulaciones", "# Simulations")</f>
        <v># Simulations</v>
      </c>
      <c r="D12" s="1">
        <v>1000</v>
      </c>
      <c r="E12" s="3"/>
      <c r="F12" s="5" t="s">
        <v>277</v>
      </c>
      <c r="G12" s="1">
        <v>2026</v>
      </c>
      <c r="H12" s="3"/>
      <c r="J12" s="3"/>
      <c r="K12" s="3"/>
      <c r="L12" s="3"/>
      <c r="M12" s="3"/>
      <c r="N12" s="3"/>
    </row>
    <row r="13" spans="2:14" x14ac:dyDescent="0.3">
      <c r="B13" s="3"/>
      <c r="C13" s="13" t="str">
        <f>IF(language=1,"Número de simulaciones de MC efectuadas","Number of MC simulations to perform")</f>
        <v>Number of MC simulations to perform</v>
      </c>
      <c r="D13" s="3"/>
      <c r="E13" s="3"/>
      <c r="F13" s="13" t="str">
        <f>IF(language=1,"Año para actualizar costes","Year used to update costs")</f>
        <v>Year used to update costs</v>
      </c>
      <c r="G13" s="3"/>
      <c r="H13" s="3"/>
    </row>
    <row r="14" spans="2:14" x14ac:dyDescent="0.3">
      <c r="B14" s="3"/>
      <c r="C14" s="13"/>
      <c r="D14" s="3"/>
      <c r="E14" s="3"/>
      <c r="F14" s="3"/>
      <c r="G14" s="3"/>
      <c r="H14" s="3"/>
    </row>
    <row r="15" spans="2:14" x14ac:dyDescent="0.3">
      <c r="B15" s="3"/>
      <c r="C15" s="3"/>
      <c r="D15" s="12" t="s">
        <v>29</v>
      </c>
      <c r="E15" s="12" t="s">
        <v>28</v>
      </c>
      <c r="F15" s="3"/>
      <c r="G15" s="3"/>
      <c r="H15" s="3"/>
    </row>
    <row r="16" spans="2:14" x14ac:dyDescent="0.3">
      <c r="B16" s="3"/>
      <c r="C16" s="5" t="str">
        <f>IF(language=1,"Distribuciones", "Distributions")</f>
        <v>Distributions</v>
      </c>
      <c r="D16" s="1" t="s">
        <v>108</v>
      </c>
      <c r="E16" s="1" t="s">
        <v>108</v>
      </c>
      <c r="F16" s="3"/>
      <c r="G16" s="3"/>
      <c r="H16" s="3"/>
    </row>
    <row r="17" spans="2:8" x14ac:dyDescent="0.3">
      <c r="B17" s="3"/>
      <c r="C17" s="13" t="str">
        <f>IF(language=1,"La primera y última columnas que contienen los valores muestreados de cada distribución","First and last columns with values sampled from distributions")</f>
        <v>First and last columns with values sampled from distributions</v>
      </c>
      <c r="D17" s="3"/>
      <c r="E17" s="3"/>
      <c r="F17" s="3"/>
      <c r="G17" s="3"/>
      <c r="H17" s="3"/>
    </row>
    <row r="18" spans="2:8" x14ac:dyDescent="0.3">
      <c r="B18" s="3"/>
      <c r="C18" s="3"/>
      <c r="D18" s="3"/>
      <c r="E18" s="3"/>
      <c r="F18" s="3"/>
      <c r="G18" s="3"/>
      <c r="H18" s="3"/>
    </row>
    <row r="19" spans="2:8" x14ac:dyDescent="0.3">
      <c r="B19" s="3"/>
      <c r="C19" s="3"/>
      <c r="D19" s="12" t="str">
        <f>IF(language=1,"Costes","Costs")</f>
        <v>Costs</v>
      </c>
      <c r="E19" s="12" t="s">
        <v>279</v>
      </c>
      <c r="F19" s="12" t="s">
        <v>278</v>
      </c>
      <c r="G19" s="3"/>
      <c r="H19" s="3"/>
    </row>
    <row r="20" spans="2:8" x14ac:dyDescent="0.3">
      <c r="B20" s="3"/>
      <c r="C20" s="5" t="str">
        <f>IF(language=1,"Unidades", "Units")</f>
        <v>Units</v>
      </c>
      <c r="D20" s="1" t="s">
        <v>15</v>
      </c>
      <c r="E20" s="1" t="str">
        <f>Localization!$B$6</f>
        <v>LY</v>
      </c>
      <c r="F20" s="1" t="str">
        <f>Localization!$B$7</f>
        <v>QALY</v>
      </c>
      <c r="G20" s="3"/>
      <c r="H20" s="3"/>
    </row>
    <row r="21" spans="2:8" x14ac:dyDescent="0.3">
      <c r="B21" s="3"/>
      <c r="C21" s="5" t="str">
        <f>IF(language=1,"Redondear a", "Round to")</f>
        <v>Round to</v>
      </c>
      <c r="D21" s="1">
        <v>2</v>
      </c>
      <c r="E21" s="1">
        <v>3</v>
      </c>
      <c r="F21" s="1">
        <v>3</v>
      </c>
      <c r="G21" s="3"/>
      <c r="H21" s="3"/>
    </row>
    <row r="22" spans="2:8" x14ac:dyDescent="0.3">
      <c r="B22" s="3"/>
      <c r="C22" s="5" t="str">
        <f>Localization!$B$49</f>
        <v>Discount</v>
      </c>
      <c r="D22" s="1">
        <v>0.03</v>
      </c>
      <c r="E22" s="1">
        <v>0.03</v>
      </c>
      <c r="F22" s="1">
        <v>0.03</v>
      </c>
      <c r="G22" s="3"/>
      <c r="H22" s="3"/>
    </row>
    <row r="23" spans="2:8" x14ac:dyDescent="0.3">
      <c r="B23" s="3"/>
      <c r="C23" s="13" t="str">
        <f>IF(language=1,"Unidades y redondeo que se aplicará a los resultados","Units and rounding applied to results")</f>
        <v>Units and rounding applied to results</v>
      </c>
      <c r="D23" s="3"/>
      <c r="E23" s="3"/>
      <c r="F23" s="3"/>
      <c r="G23" s="3"/>
      <c r="H23" s="3"/>
    </row>
    <row r="24" spans="2:8" x14ac:dyDescent="0.3">
      <c r="B24" s="3"/>
      <c r="C24" s="13"/>
      <c r="D24" s="3"/>
      <c r="E24" s="3"/>
      <c r="F24" s="3"/>
      <c r="G24" s="3"/>
      <c r="H24" s="3"/>
    </row>
    <row r="25" spans="2:8" x14ac:dyDescent="0.3">
      <c r="B25" s="3"/>
      <c r="C25" s="5" t="str">
        <f>IF(language=1,"Umbral", "Threshold")</f>
        <v>Threshold</v>
      </c>
      <c r="D25" s="4">
        <v>100000</v>
      </c>
      <c r="E25" s="3"/>
      <c r="F25" s="3"/>
      <c r="G25" s="3"/>
      <c r="H25" s="3"/>
    </row>
    <row r="26" spans="2:8" x14ac:dyDescent="0.3">
      <c r="B26" s="3"/>
      <c r="C26" s="13" t="str">
        <f>IF(language=1,"Máximo umbral de la disponibilidad a pagar","Max threshold for willingness to pay")</f>
        <v>Max threshold for willingness to pay</v>
      </c>
      <c r="D26" s="3"/>
      <c r="E26" s="3"/>
      <c r="F26" s="3"/>
      <c r="G26" s="3"/>
      <c r="H26" s="3"/>
    </row>
    <row r="27" spans="2:8" x14ac:dyDescent="0.3">
      <c r="B27" s="3"/>
      <c r="C27" s="3"/>
      <c r="D27" s="3"/>
      <c r="E27" s="3"/>
      <c r="F27" s="3"/>
      <c r="G27" s="3"/>
      <c r="H27" s="3"/>
    </row>
    <row r="28" spans="2:8" x14ac:dyDescent="0.3">
      <c r="B28" s="3"/>
      <c r="C28" s="5" t="str">
        <f>IF(language=1,"Bucle exterior", "Outer loop")</f>
        <v>Outer loop</v>
      </c>
      <c r="D28" s="1">
        <v>100</v>
      </c>
      <c r="E28" s="3"/>
      <c r="F28" s="5" t="str">
        <f>IF(language=1,"Población","Population")</f>
        <v>Population</v>
      </c>
      <c r="G28" s="74">
        <v>450704</v>
      </c>
      <c r="H28" s="3"/>
    </row>
    <row r="29" spans="2:8" x14ac:dyDescent="0.3">
      <c r="B29" s="3"/>
      <c r="C29" s="5" t="str">
        <f>IF(language=1,"Bucle interior", "Inner loop")</f>
        <v>Inner loop</v>
      </c>
      <c r="D29" s="1">
        <v>1000</v>
      </c>
      <c r="E29" s="3"/>
      <c r="F29" s="5" t="str">
        <f>IF(language=1,"Incidencia","Incidence")</f>
        <v>Incidence</v>
      </c>
      <c r="G29" s="1">
        <v>1</v>
      </c>
      <c r="H29" s="3"/>
    </row>
    <row r="30" spans="2:8" x14ac:dyDescent="0.3">
      <c r="B30" s="3"/>
      <c r="C30" s="3" t="str">
        <f>IF(language=1,"Parámetros para el VEIPP","Parameters for EVPPI")</f>
        <v>Parameters for EVPPI</v>
      </c>
      <c r="D30" s="3"/>
      <c r="E30" s="3"/>
      <c r="F30" s="5" t="str">
        <f>IF(language=1,"Dist. Umbral:","Gap:")</f>
        <v>Gap:</v>
      </c>
      <c r="G30" s="1">
        <v>2500</v>
      </c>
      <c r="H30" s="3"/>
    </row>
    <row r="31" spans="2:8" x14ac:dyDescent="0.3">
      <c r="B31" s="3"/>
      <c r="C31" s="3"/>
      <c r="D31" s="3"/>
      <c r="E31" s="3"/>
      <c r="F31" s="3" t="str">
        <f>IF(language=1,"Parámetros para el VEIP/VEIPP","Parameters for EVPI/EVPPI")</f>
        <v>Parameters for EVPI/EVPPI</v>
      </c>
      <c r="G31" s="3"/>
      <c r="H31" s="3"/>
    </row>
    <row r="32" spans="2:8" x14ac:dyDescent="0.3">
      <c r="B32" s="3"/>
      <c r="C32" s="3"/>
      <c r="D32" s="3"/>
      <c r="E32" s="3"/>
      <c r="F32" s="3"/>
      <c r="G32" s="3"/>
      <c r="H3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ódulo1.Procesar">
                <anchor moveWithCells="1">
                  <from>
                    <xdr:col>10</xdr:col>
                    <xdr:colOff>22860</xdr:colOff>
                    <xdr:row>5</xdr:row>
                    <xdr:rowOff>175260</xdr:rowOff>
                  </from>
                  <to>
                    <xdr:col>11</xdr:col>
                    <xdr:colOff>708660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4</xdr:col>
                    <xdr:colOff>106680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Button 13">
              <controlPr defaultSize="0" print="0" autoFill="0" autoPict="0" macro="[0]!OneWaySensitivity">
                <anchor moveWithCells="1">
                  <from>
                    <xdr:col>11</xdr:col>
                    <xdr:colOff>274320</xdr:colOff>
                    <xdr:row>9</xdr:row>
                    <xdr:rowOff>22860</xdr:rowOff>
                  </from>
                  <to>
                    <xdr:col>12</xdr:col>
                    <xdr:colOff>137160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Button 14">
              <controlPr defaultSize="0" print="0" autoFill="0" autoPict="0" macro="[0]!BI">
                <anchor moveWithCells="1" sizeWithCells="1">
                  <from>
                    <xdr:col>10</xdr:col>
                    <xdr:colOff>38100</xdr:colOff>
                    <xdr:row>9</xdr:row>
                    <xdr:rowOff>22860</xdr:rowOff>
                  </from>
                  <to>
                    <xdr:col>11</xdr:col>
                    <xdr:colOff>76200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Button 15">
              <controlPr defaultSize="0" print="0" autoFill="0" autoPict="0" macro="[0]!TwoWaySensitivity">
                <anchor moveWithCells="1">
                  <from>
                    <xdr:col>12</xdr:col>
                    <xdr:colOff>327660</xdr:colOff>
                    <xdr:row>9</xdr:row>
                    <xdr:rowOff>22860</xdr:rowOff>
                  </from>
                  <to>
                    <xdr:col>13</xdr:col>
                    <xdr:colOff>365760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8E2A7-DF6A-4698-863A-574FBFB2016E}">
  <sheetPr codeName="Hoja2">
    <tabColor theme="0" tint="-0.34998626667073579"/>
  </sheetPr>
  <dimension ref="B2:U16"/>
  <sheetViews>
    <sheetView workbookViewId="0">
      <selection activeCell="P5" sqref="P5"/>
    </sheetView>
  </sheetViews>
  <sheetFormatPr baseColWidth="10" defaultColWidth="11.5546875" defaultRowHeight="14.4" x14ac:dyDescent="0.3"/>
  <cols>
    <col min="1" max="1" width="11.5546875" style="1"/>
    <col min="2" max="2" width="12.33203125" style="1" bestFit="1" customWidth="1"/>
    <col min="3" max="5" width="11.5546875" style="1"/>
    <col min="6" max="6" width="14.109375" style="1" bestFit="1" customWidth="1"/>
    <col min="7" max="10" width="11.5546875" style="1"/>
    <col min="11" max="11" width="11" style="1" customWidth="1"/>
    <col min="12" max="16384" width="11.5546875" style="1"/>
  </cols>
  <sheetData>
    <row r="2" spans="2:21" x14ac:dyDescent="0.3">
      <c r="B2" s="107" t="s">
        <v>252</v>
      </c>
      <c r="C2" s="107" t="s">
        <v>253</v>
      </c>
      <c r="F2" s="107" t="s">
        <v>252</v>
      </c>
      <c r="G2" s="107" t="s">
        <v>256</v>
      </c>
    </row>
    <row r="4" spans="2:21" x14ac:dyDescent="0.3">
      <c r="B4" s="1" t="s">
        <v>245</v>
      </c>
      <c r="C4" s="24" t="s">
        <v>246</v>
      </c>
      <c r="G4" s="14"/>
      <c r="H4" s="14"/>
      <c r="I4" s="14"/>
      <c r="J4" s="14"/>
      <c r="K4" s="14"/>
      <c r="L4" s="119" t="str">
        <f>IF(language=1,"DETALLE","DETAIL")</f>
        <v>DETAIL</v>
      </c>
      <c r="M4" s="119"/>
      <c r="N4" s="119"/>
      <c r="O4" s="14"/>
      <c r="P4" s="14"/>
    </row>
    <row r="5" spans="2:21" x14ac:dyDescent="0.3">
      <c r="F5" s="1" t="s">
        <v>255</v>
      </c>
      <c r="G5" s="101" t="str">
        <f>IF(language=1,"PROB.","PROBABILITY")</f>
        <v>PROBABILITY</v>
      </c>
      <c r="H5" s="102" t="str">
        <f>IF(language=1,"COSTE","COST")</f>
        <v>COST</v>
      </c>
      <c r="I5" s="104" t="str">
        <f>unitLE</f>
        <v>LY</v>
      </c>
      <c r="J5" s="106" t="str">
        <f>unitQALE</f>
        <v>QALY</v>
      </c>
      <c r="K5" s="14"/>
      <c r="L5" s="102" t="str">
        <f>IF(language=1,"COSTE","COST")</f>
        <v>COST</v>
      </c>
      <c r="M5" s="104" t="str">
        <f>unitLE</f>
        <v>LY</v>
      </c>
      <c r="N5" s="106" t="str">
        <f>unitQALE</f>
        <v>QALY</v>
      </c>
      <c r="O5" s="14"/>
      <c r="P5" s="104" t="str">
        <f>"Undiscounted "&amp;unitLE</f>
        <v>Undiscounted LY</v>
      </c>
    </row>
    <row r="6" spans="2:21" x14ac:dyDescent="0.3">
      <c r="B6" s="1" t="s">
        <v>254</v>
      </c>
      <c r="C6" s="16"/>
    </row>
    <row r="7" spans="2:21" x14ac:dyDescent="0.3">
      <c r="F7" s="1" t="s">
        <v>258</v>
      </c>
      <c r="G7" s="14"/>
      <c r="H7" s="108" t="str">
        <f>IF(language=1,"Chequeo","CHECK")</f>
        <v>CHECK</v>
      </c>
      <c r="I7" s="102" t="str">
        <f>IF(language=1,"COSTE","COST")</f>
        <v>COST</v>
      </c>
      <c r="J7" s="104" t="str">
        <f>unitLE</f>
        <v>LY</v>
      </c>
      <c r="K7" s="106" t="str">
        <f>unitQALE</f>
        <v>QALY</v>
      </c>
    </row>
    <row r="8" spans="2:21" x14ac:dyDescent="0.3">
      <c r="B8" s="1" t="s">
        <v>248</v>
      </c>
      <c r="C8" s="17"/>
    </row>
    <row r="9" spans="2:21" x14ac:dyDescent="0.3">
      <c r="F9" s="1" t="s">
        <v>259</v>
      </c>
      <c r="G9" s="109" t="s">
        <v>257</v>
      </c>
      <c r="H9" s="25"/>
      <c r="I9" s="15"/>
      <c r="J9" s="53"/>
      <c r="K9" s="54"/>
    </row>
    <row r="10" spans="2:21" x14ac:dyDescent="0.3">
      <c r="B10" s="1" t="s">
        <v>247</v>
      </c>
      <c r="C10" s="100">
        <v>3.0000000000000001E-3</v>
      </c>
    </row>
    <row r="11" spans="2:21" x14ac:dyDescent="0.3">
      <c r="F11" s="1" t="s">
        <v>264</v>
      </c>
      <c r="G11" s="32"/>
      <c r="H11" s="32"/>
      <c r="I11" s="32"/>
      <c r="J11" s="43"/>
      <c r="K11" s="32"/>
      <c r="L11" s="26"/>
      <c r="M11" s="26"/>
      <c r="N11" s="26"/>
      <c r="O11" s="26"/>
      <c r="P11" s="26"/>
      <c r="Q11" s="26"/>
      <c r="R11" s="43"/>
      <c r="S11" s="26"/>
      <c r="T11" s="26"/>
      <c r="U11" s="26"/>
    </row>
    <row r="12" spans="2:21" x14ac:dyDescent="0.3">
      <c r="B12" s="1" t="s">
        <v>249</v>
      </c>
      <c r="C12" s="15">
        <v>1.2</v>
      </c>
    </row>
    <row r="14" spans="2:21" x14ac:dyDescent="0.3">
      <c r="B14" s="1" t="s">
        <v>250</v>
      </c>
      <c r="C14" s="103">
        <v>5.0000000000000001E-3</v>
      </c>
    </row>
    <row r="16" spans="2:21" x14ac:dyDescent="0.3">
      <c r="B16" s="1" t="s">
        <v>251</v>
      </c>
      <c r="C16" s="105">
        <v>5.0000000000000001E-3</v>
      </c>
    </row>
  </sheetData>
  <mergeCells count="1">
    <mergeCell ref="L4:N4"/>
  </mergeCells>
  <conditionalFormatting sqref="H9">
    <cfRule type="cellIs" dxfId="7" priority="3" operator="equal">
      <formula>"ERROR"</formula>
    </cfRule>
  </conditionalFormatting>
  <conditionalFormatting sqref="G11:I11">
    <cfRule type="expression" dxfId="6" priority="1">
      <formula>OR($D11="Calculado",$D11="CALCULATED")</formula>
    </cfRule>
    <cfRule type="expression" dxfId="5" priority="2">
      <formula>OR($D11="Estocástico",$D11="SECOND_ORDER")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arameters">
    <tabColor theme="7" tint="-0.499984740745262"/>
  </sheetPr>
  <dimension ref="A1:P40"/>
  <sheetViews>
    <sheetView zoomScaleNormal="100" workbookViewId="0">
      <pane xSplit="5" ySplit="6" topLeftCell="F7" activePane="bottomRight" state="frozen"/>
      <selection pane="topRight" activeCell="D1" sqref="D1"/>
      <selection pane="bottomLeft" activeCell="A7" sqref="A7"/>
      <selection pane="bottomRight" activeCell="O7" sqref="O7"/>
    </sheetView>
  </sheetViews>
  <sheetFormatPr baseColWidth="10" defaultColWidth="11.5546875" defaultRowHeight="14.4" x14ac:dyDescent="0.3"/>
  <cols>
    <col min="1" max="1" width="3.33203125" style="18" customWidth="1"/>
    <col min="2" max="2" width="30.33203125" style="18" bestFit="1" customWidth="1"/>
    <col min="3" max="3" width="14.33203125" style="18" customWidth="1"/>
    <col min="4" max="4" width="16.109375" style="18" customWidth="1"/>
    <col min="5" max="5" width="2.33203125" style="18" customWidth="1"/>
    <col min="6" max="6" width="12" style="18" bestFit="1" customWidth="1"/>
    <col min="7" max="7" width="12.33203125" style="18" bestFit="1" customWidth="1"/>
    <col min="8" max="8" width="13.109375" style="18" bestFit="1" customWidth="1"/>
    <col min="9" max="9" width="12.88671875" style="18" bestFit="1" customWidth="1"/>
    <col min="10" max="11" width="11.5546875" style="18"/>
    <col min="12" max="12" width="12" style="18" bestFit="1" customWidth="1"/>
    <col min="13" max="13" width="2.33203125" style="18" customWidth="1"/>
    <col min="14" max="14" width="8.109375" style="18" customWidth="1"/>
    <col min="15" max="15" width="38" style="18" customWidth="1"/>
    <col min="16" max="16" width="41.33203125" style="18" customWidth="1"/>
    <col min="17" max="20" width="11.5546875" style="18"/>
    <col min="21" max="21" width="14.44140625" style="18" bestFit="1" customWidth="1"/>
    <col min="22" max="22" width="13.44140625" style="18" bestFit="1" customWidth="1"/>
    <col min="23" max="16384" width="11.5546875" style="18"/>
  </cols>
  <sheetData>
    <row r="1" spans="1:16" x14ac:dyDescent="0.3">
      <c r="B1" s="77"/>
      <c r="C1" s="77"/>
      <c r="D1" s="77"/>
      <c r="J1" s="79"/>
    </row>
    <row r="2" spans="1:16" s="43" customFormat="1" x14ac:dyDescent="0.3">
      <c r="B2" s="110" t="s">
        <v>62</v>
      </c>
      <c r="C2" s="110"/>
      <c r="D2" s="78"/>
    </row>
    <row r="3" spans="1:16" s="43" customFormat="1" x14ac:dyDescent="0.3">
      <c r="B3" s="111" t="s">
        <v>22</v>
      </c>
      <c r="C3" s="111"/>
      <c r="D3" s="78"/>
    </row>
    <row r="4" spans="1:16" s="43" customFormat="1" x14ac:dyDescent="0.3">
      <c r="B4" s="112" t="s">
        <v>19</v>
      </c>
      <c r="C4" s="112"/>
      <c r="D4" s="78"/>
    </row>
    <row r="5" spans="1:16" ht="15.75" customHeight="1" x14ac:dyDescent="0.3">
      <c r="B5" s="77"/>
      <c r="C5" s="77"/>
      <c r="D5" s="77"/>
      <c r="E5" s="43"/>
      <c r="F5" s="20"/>
      <c r="G5" s="20"/>
      <c r="I5" s="120" t="str">
        <f>Localization!$B$19</f>
        <v>PSA</v>
      </c>
      <c r="J5" s="120"/>
      <c r="K5" s="120"/>
      <c r="L5" s="120"/>
      <c r="M5" s="43"/>
    </row>
    <row r="6" spans="1:16" x14ac:dyDescent="0.3">
      <c r="B6" s="46" t="str">
        <f>Localization!$B$34</f>
        <v>Name</v>
      </c>
      <c r="C6" s="46" t="str">
        <f>Localization!$B$86</f>
        <v>Grouping</v>
      </c>
      <c r="D6" s="46" t="str">
        <f>Localization!$B$87</f>
        <v>Uncertainty</v>
      </c>
      <c r="E6" s="43"/>
      <c r="F6" s="46" t="str">
        <f>Localization!$B$33</f>
        <v>'Live' value</v>
      </c>
      <c r="G6" s="46" t="str">
        <f>Localization!$B$30</f>
        <v>Probabilistic</v>
      </c>
      <c r="H6" s="46" t="str">
        <f>Localization!$B$31</f>
        <v>Deterministic</v>
      </c>
      <c r="I6" s="46" t="str">
        <f>Localization!$B$32</f>
        <v>Standard error</v>
      </c>
      <c r="J6" s="46" t="str">
        <f>Localization!$B$35</f>
        <v>Distribution</v>
      </c>
      <c r="K6" s="46" t="str">
        <f>Localization!$B$21 &amp; " " &amp; 1</f>
        <v>Parameter 1</v>
      </c>
      <c r="L6" s="46" t="str">
        <f>Localization!$B$21 &amp; " " &amp; 2</f>
        <v>Parameter 2</v>
      </c>
      <c r="M6" s="43"/>
      <c r="N6" s="46" t="s">
        <v>66</v>
      </c>
      <c r="O6" s="46" t="s">
        <v>260</v>
      </c>
      <c r="P6" s="46" t="s">
        <v>261</v>
      </c>
    </row>
    <row r="7" spans="1:16" x14ac:dyDescent="0.3">
      <c r="B7" s="32"/>
      <c r="C7" s="32"/>
      <c r="D7" s="32"/>
      <c r="E7" s="43"/>
      <c r="F7" s="32"/>
      <c r="G7" s="26"/>
      <c r="H7" s="26"/>
      <c r="I7" s="26"/>
      <c r="J7" s="26"/>
      <c r="K7" s="26"/>
      <c r="L7" s="26"/>
      <c r="M7" s="43"/>
      <c r="N7" s="26"/>
      <c r="O7" s="26"/>
      <c r="P7" s="26"/>
    </row>
    <row r="8" spans="1:16" x14ac:dyDescent="0.3">
      <c r="B8" s="32"/>
      <c r="C8" s="32"/>
      <c r="D8" s="32"/>
      <c r="E8" s="43"/>
      <c r="F8" s="32"/>
      <c r="G8" s="26"/>
      <c r="H8" s="26"/>
      <c r="I8" s="26"/>
      <c r="J8" s="26"/>
      <c r="K8" s="26"/>
      <c r="L8" s="26"/>
      <c r="M8" s="43"/>
      <c r="N8" s="26"/>
      <c r="O8" s="26"/>
      <c r="P8" s="26"/>
    </row>
    <row r="9" spans="1:16" x14ac:dyDescent="0.3">
      <c r="A9" s="77"/>
      <c r="B9" s="32"/>
      <c r="C9" s="32"/>
      <c r="D9" s="32"/>
      <c r="E9" s="43"/>
      <c r="F9" s="32"/>
      <c r="G9" s="26"/>
      <c r="H9" s="80"/>
      <c r="I9" s="80"/>
      <c r="J9" s="26"/>
      <c r="K9" s="26"/>
      <c r="L9" s="26"/>
      <c r="M9" s="43"/>
      <c r="N9" s="26"/>
      <c r="O9" s="26"/>
      <c r="P9" s="26"/>
    </row>
    <row r="10" spans="1:16" x14ac:dyDescent="0.3">
      <c r="A10" s="77"/>
      <c r="B10" s="32"/>
      <c r="C10" s="32"/>
      <c r="D10" s="32"/>
      <c r="F10" s="32"/>
      <c r="G10" s="27"/>
      <c r="H10" s="27"/>
      <c r="I10" s="27"/>
      <c r="J10" s="26"/>
      <c r="K10" s="26"/>
      <c r="L10" s="26"/>
      <c r="N10" s="26"/>
      <c r="O10" s="26"/>
      <c r="P10" s="26"/>
    </row>
    <row r="11" spans="1:16" x14ac:dyDescent="0.3">
      <c r="A11" s="77"/>
      <c r="B11" s="32"/>
      <c r="C11" s="32"/>
      <c r="D11" s="32"/>
      <c r="F11" s="32"/>
      <c r="G11" s="26"/>
      <c r="H11" s="26"/>
      <c r="I11" s="26"/>
      <c r="J11" s="26"/>
      <c r="K11" s="26"/>
      <c r="L11" s="26"/>
      <c r="N11" s="26"/>
      <c r="O11" s="26"/>
      <c r="P11" s="26"/>
    </row>
    <row r="12" spans="1:16" x14ac:dyDescent="0.3">
      <c r="B12" s="32"/>
      <c r="C12" s="32"/>
      <c r="D12" s="32"/>
      <c r="F12" s="32"/>
      <c r="G12" s="26"/>
      <c r="H12" s="26"/>
      <c r="I12" s="26"/>
      <c r="J12" s="26"/>
      <c r="K12" s="26"/>
      <c r="L12" s="26"/>
      <c r="N12" s="26"/>
      <c r="O12" s="26"/>
      <c r="P12" s="26"/>
    </row>
    <row r="13" spans="1:16" x14ac:dyDescent="0.3">
      <c r="B13" s="32"/>
      <c r="C13" s="32"/>
      <c r="D13" s="32"/>
      <c r="F13" s="32"/>
      <c r="G13" s="26"/>
      <c r="H13" s="26"/>
      <c r="I13" s="26"/>
      <c r="J13" s="26"/>
      <c r="K13" s="26"/>
      <c r="L13" s="26"/>
      <c r="N13" s="26"/>
      <c r="O13" s="26"/>
      <c r="P13" s="26"/>
    </row>
    <row r="14" spans="1:16" x14ac:dyDescent="0.3">
      <c r="B14" s="32"/>
      <c r="C14" s="32"/>
      <c r="D14" s="32"/>
      <c r="F14" s="32"/>
      <c r="G14" s="26"/>
      <c r="H14" s="26"/>
      <c r="I14" s="26"/>
      <c r="J14" s="26"/>
      <c r="K14" s="26"/>
      <c r="L14" s="26"/>
      <c r="N14" s="26"/>
      <c r="O14" s="26"/>
      <c r="P14" s="26"/>
    </row>
    <row r="15" spans="1:16" x14ac:dyDescent="0.3">
      <c r="B15" s="32"/>
      <c r="C15" s="32"/>
      <c r="D15" s="32"/>
      <c r="F15" s="32"/>
      <c r="G15" s="26"/>
      <c r="H15" s="26"/>
      <c r="I15" s="26"/>
      <c r="J15" s="26"/>
      <c r="K15" s="26"/>
      <c r="L15" s="26"/>
      <c r="N15" s="26"/>
      <c r="O15" s="26"/>
      <c r="P15" s="26"/>
    </row>
    <row r="16" spans="1:16" x14ac:dyDescent="0.3">
      <c r="B16" s="32"/>
      <c r="C16" s="32"/>
      <c r="D16" s="32"/>
      <c r="F16" s="32"/>
      <c r="G16" s="26"/>
      <c r="H16" s="26"/>
      <c r="I16" s="26"/>
      <c r="J16" s="26"/>
      <c r="K16" s="26"/>
      <c r="L16" s="26"/>
      <c r="N16" s="26"/>
      <c r="O16" s="26"/>
      <c r="P16" s="26"/>
    </row>
    <row r="17" spans="2:16" x14ac:dyDescent="0.3">
      <c r="B17" s="32"/>
      <c r="C17" s="32"/>
      <c r="D17" s="32"/>
      <c r="F17" s="32"/>
      <c r="G17" s="26"/>
      <c r="H17" s="26"/>
      <c r="I17" s="26"/>
      <c r="J17" s="26"/>
      <c r="K17" s="26"/>
      <c r="L17" s="26"/>
      <c r="N17" s="26"/>
      <c r="O17" s="26"/>
      <c r="P17" s="26"/>
    </row>
    <row r="18" spans="2:16" x14ac:dyDescent="0.3">
      <c r="B18" s="32"/>
      <c r="C18" s="32"/>
      <c r="D18" s="32"/>
      <c r="F18" s="32"/>
      <c r="G18" s="26"/>
      <c r="H18" s="26"/>
      <c r="I18" s="26"/>
      <c r="J18" s="26"/>
      <c r="K18" s="26"/>
      <c r="L18" s="26"/>
      <c r="N18" s="26"/>
      <c r="O18" s="26"/>
      <c r="P18" s="26"/>
    </row>
    <row r="19" spans="2:16" x14ac:dyDescent="0.3">
      <c r="B19" s="32"/>
      <c r="C19" s="32"/>
      <c r="D19" s="32"/>
      <c r="F19" s="32"/>
      <c r="G19" s="26"/>
      <c r="H19" s="26"/>
      <c r="I19" s="26"/>
      <c r="J19" s="26"/>
      <c r="K19" s="26"/>
      <c r="L19" s="26"/>
      <c r="N19" s="26"/>
      <c r="O19" s="26"/>
      <c r="P19" s="26"/>
    </row>
    <row r="20" spans="2:16" x14ac:dyDescent="0.3">
      <c r="B20" s="32"/>
      <c r="C20" s="32"/>
      <c r="D20" s="32"/>
      <c r="F20" s="32"/>
      <c r="G20" s="26"/>
      <c r="H20" s="26"/>
      <c r="I20" s="26"/>
      <c r="J20" s="26"/>
      <c r="K20" s="26"/>
      <c r="L20" s="26"/>
      <c r="N20" s="26"/>
      <c r="O20" s="26"/>
      <c r="P20" s="26"/>
    </row>
    <row r="21" spans="2:16" x14ac:dyDescent="0.3">
      <c r="B21" s="32"/>
      <c r="C21" s="32"/>
      <c r="D21" s="32"/>
      <c r="F21" s="32"/>
      <c r="G21" s="26"/>
      <c r="H21" s="26"/>
      <c r="I21" s="26"/>
      <c r="J21" s="26"/>
      <c r="K21" s="26"/>
      <c r="L21" s="26"/>
      <c r="N21" s="26"/>
      <c r="O21" s="26"/>
      <c r="P21" s="26"/>
    </row>
    <row r="22" spans="2:16" x14ac:dyDescent="0.3">
      <c r="B22" s="32"/>
      <c r="C22" s="32"/>
      <c r="D22" s="32"/>
      <c r="F22" s="32"/>
      <c r="G22" s="26"/>
      <c r="H22" s="26"/>
      <c r="I22" s="26"/>
      <c r="J22" s="26"/>
      <c r="K22" s="26"/>
      <c r="L22" s="26"/>
      <c r="N22" s="26"/>
      <c r="O22" s="26"/>
      <c r="P22" s="26"/>
    </row>
    <row r="23" spans="2:16" x14ac:dyDescent="0.3">
      <c r="B23" s="32"/>
      <c r="C23" s="32"/>
      <c r="D23" s="32"/>
      <c r="F23" s="32"/>
      <c r="G23" s="26"/>
      <c r="H23" s="26"/>
      <c r="I23" s="26"/>
      <c r="J23" s="26"/>
      <c r="K23" s="26"/>
      <c r="L23" s="26"/>
      <c r="N23" s="26"/>
      <c r="O23" s="26"/>
      <c r="P23" s="26"/>
    </row>
    <row r="24" spans="2:16" x14ac:dyDescent="0.3">
      <c r="B24" s="32"/>
      <c r="C24" s="32"/>
      <c r="D24" s="32"/>
      <c r="F24" s="32"/>
      <c r="G24" s="26"/>
      <c r="H24" s="26"/>
      <c r="I24" s="26"/>
      <c r="J24" s="26"/>
      <c r="K24" s="26"/>
      <c r="L24" s="26"/>
      <c r="N24" s="26"/>
      <c r="O24" s="26"/>
      <c r="P24" s="26"/>
    </row>
    <row r="25" spans="2:16" x14ac:dyDescent="0.3">
      <c r="B25" s="32"/>
      <c r="C25" s="32"/>
      <c r="D25" s="32"/>
      <c r="F25" s="32"/>
      <c r="G25" s="26"/>
      <c r="H25" s="26"/>
      <c r="I25" s="26"/>
      <c r="J25" s="26"/>
      <c r="K25" s="26"/>
      <c r="L25" s="26"/>
      <c r="N25" s="26"/>
      <c r="O25" s="26"/>
      <c r="P25" s="26"/>
    </row>
    <row r="26" spans="2:16" x14ac:dyDescent="0.3">
      <c r="B26" s="32"/>
      <c r="C26" s="32"/>
      <c r="D26" s="32"/>
      <c r="F26" s="32"/>
      <c r="G26" s="26"/>
      <c r="H26" s="26"/>
      <c r="I26" s="26"/>
      <c r="J26" s="26"/>
      <c r="K26" s="26"/>
      <c r="L26" s="26"/>
      <c r="N26" s="26"/>
      <c r="O26" s="26"/>
      <c r="P26" s="26"/>
    </row>
    <row r="27" spans="2:16" x14ac:dyDescent="0.3">
      <c r="B27" s="32"/>
      <c r="C27" s="32"/>
      <c r="D27" s="32"/>
      <c r="F27" s="32"/>
      <c r="G27" s="26"/>
      <c r="H27" s="26"/>
      <c r="I27" s="26"/>
      <c r="J27" s="26"/>
      <c r="K27" s="26"/>
      <c r="L27" s="26"/>
      <c r="N27" s="26"/>
      <c r="O27" s="26"/>
      <c r="P27" s="26"/>
    </row>
    <row r="28" spans="2:16" x14ac:dyDescent="0.3">
      <c r="B28" s="32"/>
      <c r="C28" s="32"/>
      <c r="D28" s="32"/>
      <c r="F28" s="32"/>
      <c r="G28" s="26"/>
      <c r="H28" s="26"/>
      <c r="I28" s="26"/>
      <c r="J28" s="26"/>
      <c r="K28" s="26"/>
      <c r="L28" s="26"/>
      <c r="N28" s="26"/>
      <c r="O28" s="26"/>
      <c r="P28" s="26"/>
    </row>
    <row r="29" spans="2:16" x14ac:dyDescent="0.3">
      <c r="B29" s="32"/>
      <c r="C29" s="32"/>
      <c r="D29" s="32"/>
      <c r="F29" s="32"/>
      <c r="G29" s="26"/>
      <c r="H29" s="26"/>
      <c r="I29" s="26"/>
      <c r="J29" s="26"/>
      <c r="K29" s="26"/>
      <c r="L29" s="26"/>
      <c r="N29" s="26"/>
      <c r="O29" s="26"/>
      <c r="P29" s="26"/>
    </row>
    <row r="30" spans="2:16" x14ac:dyDescent="0.3">
      <c r="B30" s="32"/>
      <c r="C30" s="32"/>
      <c r="D30" s="32"/>
      <c r="F30" s="32"/>
      <c r="G30" s="26"/>
      <c r="H30" s="26"/>
      <c r="I30" s="26"/>
      <c r="J30" s="26"/>
      <c r="K30" s="26"/>
      <c r="L30" s="26"/>
      <c r="N30" s="26"/>
      <c r="O30" s="26"/>
      <c r="P30" s="26"/>
    </row>
    <row r="31" spans="2:16" x14ac:dyDescent="0.3">
      <c r="B31" s="32"/>
      <c r="C31" s="32"/>
      <c r="D31" s="32"/>
      <c r="F31" s="32"/>
      <c r="G31" s="26"/>
      <c r="H31" s="26"/>
      <c r="I31" s="26"/>
      <c r="J31" s="26"/>
      <c r="K31" s="26"/>
      <c r="L31" s="26"/>
      <c r="N31" s="26"/>
      <c r="O31" s="26"/>
      <c r="P31" s="26"/>
    </row>
    <row r="32" spans="2:16" x14ac:dyDescent="0.3">
      <c r="B32" s="32"/>
      <c r="C32" s="32"/>
      <c r="D32" s="32"/>
      <c r="F32" s="32"/>
      <c r="G32" s="26"/>
      <c r="H32" s="26"/>
      <c r="I32" s="26"/>
      <c r="J32" s="26"/>
      <c r="K32" s="26"/>
      <c r="L32" s="26"/>
      <c r="N32" s="26"/>
      <c r="O32" s="26"/>
      <c r="P32" s="26"/>
    </row>
    <row r="33" spans="2:16" x14ac:dyDescent="0.3">
      <c r="B33" s="32"/>
      <c r="C33" s="32"/>
      <c r="D33" s="32"/>
      <c r="F33" s="32"/>
      <c r="G33" s="26"/>
      <c r="H33" s="26"/>
      <c r="I33" s="26"/>
      <c r="J33" s="26"/>
      <c r="K33" s="26"/>
      <c r="L33" s="26"/>
      <c r="N33" s="26"/>
      <c r="O33" s="26"/>
      <c r="P33" s="26"/>
    </row>
    <row r="34" spans="2:16" x14ac:dyDescent="0.3">
      <c r="B34" s="32"/>
      <c r="C34" s="32"/>
      <c r="D34" s="32"/>
      <c r="F34" s="32"/>
      <c r="G34" s="26"/>
      <c r="H34" s="26"/>
      <c r="I34" s="26"/>
      <c r="J34" s="26"/>
      <c r="K34" s="26"/>
      <c r="L34" s="26"/>
      <c r="N34" s="26"/>
      <c r="O34" s="26"/>
      <c r="P34" s="26"/>
    </row>
    <row r="35" spans="2:16" x14ac:dyDescent="0.3">
      <c r="B35" s="32"/>
      <c r="C35" s="32"/>
      <c r="D35" s="32"/>
      <c r="F35" s="32"/>
      <c r="G35" s="26"/>
      <c r="H35" s="26"/>
      <c r="I35" s="26"/>
      <c r="J35" s="26"/>
      <c r="K35" s="26"/>
      <c r="L35" s="26"/>
      <c r="N35" s="26"/>
      <c r="O35" s="26"/>
      <c r="P35" s="26"/>
    </row>
    <row r="36" spans="2:16" x14ac:dyDescent="0.3">
      <c r="B36" s="32"/>
      <c r="C36" s="32"/>
      <c r="D36" s="32"/>
      <c r="F36" s="32"/>
      <c r="G36" s="26"/>
      <c r="H36" s="26"/>
      <c r="I36" s="26"/>
      <c r="J36" s="26"/>
      <c r="K36" s="26"/>
      <c r="L36" s="26"/>
      <c r="N36" s="26"/>
      <c r="O36" s="26"/>
      <c r="P36" s="26"/>
    </row>
    <row r="37" spans="2:16" x14ac:dyDescent="0.3">
      <c r="B37" s="32"/>
      <c r="C37" s="32"/>
      <c r="D37" s="32"/>
      <c r="F37" s="32"/>
      <c r="G37" s="26"/>
      <c r="H37" s="26"/>
      <c r="I37" s="26"/>
      <c r="J37" s="26"/>
      <c r="K37" s="26"/>
      <c r="L37" s="26"/>
      <c r="N37" s="26"/>
      <c r="O37" s="26"/>
      <c r="P37" s="26"/>
    </row>
    <row r="38" spans="2:16" x14ac:dyDescent="0.3">
      <c r="B38" s="32"/>
      <c r="C38" s="32"/>
      <c r="D38" s="32"/>
      <c r="F38" s="32"/>
      <c r="G38" s="26"/>
      <c r="H38" s="26"/>
      <c r="I38" s="26"/>
      <c r="J38" s="26"/>
      <c r="K38" s="26"/>
      <c r="L38" s="26"/>
      <c r="N38" s="26"/>
      <c r="O38" s="26"/>
      <c r="P38" s="26"/>
    </row>
    <row r="39" spans="2:16" x14ac:dyDescent="0.3">
      <c r="B39" s="32"/>
      <c r="C39" s="32"/>
      <c r="D39" s="32"/>
      <c r="F39" s="32"/>
      <c r="G39" s="26"/>
      <c r="H39" s="26"/>
      <c r="I39" s="26"/>
      <c r="J39" s="26"/>
      <c r="K39" s="26"/>
      <c r="L39" s="26"/>
      <c r="N39" s="26"/>
      <c r="O39" s="26"/>
      <c r="P39" s="26"/>
    </row>
    <row r="40" spans="2:16" x14ac:dyDescent="0.3">
      <c r="B40" s="32"/>
      <c r="C40" s="32"/>
      <c r="D40" s="32"/>
      <c r="F40" s="32"/>
      <c r="G40" s="26"/>
      <c r="H40" s="26"/>
      <c r="I40" s="26"/>
      <c r="J40" s="26"/>
      <c r="K40" s="26"/>
      <c r="L40" s="26"/>
      <c r="N40" s="26"/>
      <c r="O40" s="26"/>
      <c r="P40" s="26"/>
    </row>
  </sheetData>
  <mergeCells count="1">
    <mergeCell ref="I5:L5"/>
  </mergeCells>
  <conditionalFormatting sqref="B7:D40">
    <cfRule type="expression" dxfId="4" priority="1">
      <formula>OR($D7="Calculado",$D7="CALCULATED")</formula>
    </cfRule>
    <cfRule type="expression" dxfId="3" priority="2">
      <formula>OR($D7="Estocástico",$D7="SECOND_ORDER")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8204-626B-4394-B5B5-45138E4FF377}">
  <sheetPr codeName="Hoja5">
    <tabColor theme="7" tint="-0.499984740745262"/>
  </sheetPr>
  <dimension ref="B2:E105"/>
  <sheetViews>
    <sheetView workbookViewId="0">
      <selection activeCell="J19" sqref="J19"/>
    </sheetView>
  </sheetViews>
  <sheetFormatPr baseColWidth="10" defaultColWidth="11.5546875" defaultRowHeight="14.4" x14ac:dyDescent="0.3"/>
  <cols>
    <col min="1" max="16384" width="11.5546875" style="18"/>
  </cols>
  <sheetData>
    <row r="2" spans="2:5" x14ac:dyDescent="0.3">
      <c r="C2" s="117" t="str">
        <f>Localization!$B$49</f>
        <v>Discount</v>
      </c>
      <c r="D2" s="117"/>
      <c r="E2" s="117"/>
    </row>
    <row r="3" spans="2:5" x14ac:dyDescent="0.3">
      <c r="B3" s="46" t="str">
        <f>Localization!$B$11</f>
        <v>Year</v>
      </c>
      <c r="C3" s="117" t="str">
        <f>Control!D19</f>
        <v>Costs</v>
      </c>
      <c r="D3" s="117" t="str">
        <f>Control!E19</f>
        <v>LE</v>
      </c>
      <c r="E3" s="117" t="str">
        <f>Control!F19</f>
        <v>QALE</v>
      </c>
    </row>
    <row r="5" spans="2:5" x14ac:dyDescent="0.3">
      <c r="B5" s="118">
        <v>1</v>
      </c>
      <c r="C5" s="40">
        <v>1</v>
      </c>
      <c r="D5" s="40">
        <v>1</v>
      </c>
      <c r="E5" s="40">
        <v>1</v>
      </c>
    </row>
    <row r="6" spans="2:5" x14ac:dyDescent="0.3">
      <c r="B6" s="118">
        <v>2</v>
      </c>
      <c r="C6" s="40">
        <f t="shared" ref="C6:C69" si="0">C5/(1+discountCosts)</f>
        <v>0.970873786407767</v>
      </c>
      <c r="D6" s="40">
        <f t="shared" ref="D6:D37" si="1">D5/(1+discountLE)</f>
        <v>0.970873786407767</v>
      </c>
      <c r="E6" s="40">
        <f t="shared" ref="E6:E37" si="2">E5/(1+discountQALE)</f>
        <v>0.970873786407767</v>
      </c>
    </row>
    <row r="7" spans="2:5" x14ac:dyDescent="0.3">
      <c r="B7" s="118">
        <v>3</v>
      </c>
      <c r="C7" s="40">
        <f t="shared" si="0"/>
        <v>0.94259590913375435</v>
      </c>
      <c r="D7" s="40">
        <f t="shared" si="1"/>
        <v>0.94259590913375435</v>
      </c>
      <c r="E7" s="40">
        <f t="shared" si="2"/>
        <v>0.94259590913375435</v>
      </c>
    </row>
    <row r="8" spans="2:5" x14ac:dyDescent="0.3">
      <c r="B8" s="118">
        <v>4</v>
      </c>
      <c r="C8" s="40">
        <f t="shared" si="0"/>
        <v>0.9151416593531595</v>
      </c>
      <c r="D8" s="40">
        <f t="shared" si="1"/>
        <v>0.9151416593531595</v>
      </c>
      <c r="E8" s="40">
        <f t="shared" si="2"/>
        <v>0.9151416593531595</v>
      </c>
    </row>
    <row r="9" spans="2:5" x14ac:dyDescent="0.3">
      <c r="B9" s="118">
        <v>5</v>
      </c>
      <c r="C9" s="40">
        <f t="shared" si="0"/>
        <v>0.88848704791568878</v>
      </c>
      <c r="D9" s="40">
        <f t="shared" si="1"/>
        <v>0.88848704791568878</v>
      </c>
      <c r="E9" s="40">
        <f t="shared" si="2"/>
        <v>0.88848704791568878</v>
      </c>
    </row>
    <row r="10" spans="2:5" x14ac:dyDescent="0.3">
      <c r="B10" s="118">
        <v>6</v>
      </c>
      <c r="C10" s="40">
        <f t="shared" si="0"/>
        <v>0.86260878438416388</v>
      </c>
      <c r="D10" s="40">
        <f t="shared" si="1"/>
        <v>0.86260878438416388</v>
      </c>
      <c r="E10" s="40">
        <f t="shared" si="2"/>
        <v>0.86260878438416388</v>
      </c>
    </row>
    <row r="11" spans="2:5" x14ac:dyDescent="0.3">
      <c r="B11" s="118">
        <v>7</v>
      </c>
      <c r="C11" s="40">
        <f t="shared" si="0"/>
        <v>0.83748425668365423</v>
      </c>
      <c r="D11" s="40">
        <f t="shared" si="1"/>
        <v>0.83748425668365423</v>
      </c>
      <c r="E11" s="40">
        <f t="shared" si="2"/>
        <v>0.83748425668365423</v>
      </c>
    </row>
    <row r="12" spans="2:5" x14ac:dyDescent="0.3">
      <c r="B12" s="118">
        <v>8</v>
      </c>
      <c r="C12" s="40">
        <f t="shared" si="0"/>
        <v>0.81309151134335356</v>
      </c>
      <c r="D12" s="40">
        <f t="shared" si="1"/>
        <v>0.81309151134335356</v>
      </c>
      <c r="E12" s="40">
        <f t="shared" si="2"/>
        <v>0.81309151134335356</v>
      </c>
    </row>
    <row r="13" spans="2:5" x14ac:dyDescent="0.3">
      <c r="B13" s="118">
        <v>9</v>
      </c>
      <c r="C13" s="40">
        <f t="shared" si="0"/>
        <v>0.7894092343139355</v>
      </c>
      <c r="D13" s="40">
        <f t="shared" si="1"/>
        <v>0.7894092343139355</v>
      </c>
      <c r="E13" s="40">
        <f t="shared" si="2"/>
        <v>0.7894092343139355</v>
      </c>
    </row>
    <row r="14" spans="2:5" x14ac:dyDescent="0.3">
      <c r="B14" s="118">
        <v>10</v>
      </c>
      <c r="C14" s="40">
        <f t="shared" si="0"/>
        <v>0.76641673234362673</v>
      </c>
      <c r="D14" s="40">
        <f t="shared" si="1"/>
        <v>0.76641673234362673</v>
      </c>
      <c r="E14" s="40">
        <f t="shared" si="2"/>
        <v>0.76641673234362673</v>
      </c>
    </row>
    <row r="15" spans="2:5" x14ac:dyDescent="0.3">
      <c r="B15" s="118">
        <v>11</v>
      </c>
      <c r="C15" s="40">
        <f t="shared" si="0"/>
        <v>0.74409391489672494</v>
      </c>
      <c r="D15" s="40">
        <f t="shared" si="1"/>
        <v>0.74409391489672494</v>
      </c>
      <c r="E15" s="40">
        <f t="shared" si="2"/>
        <v>0.74409391489672494</v>
      </c>
    </row>
    <row r="16" spans="2:5" x14ac:dyDescent="0.3">
      <c r="B16" s="118">
        <v>12</v>
      </c>
      <c r="C16" s="40">
        <f t="shared" si="0"/>
        <v>0.7224212765987621</v>
      </c>
      <c r="D16" s="40">
        <f t="shared" si="1"/>
        <v>0.7224212765987621</v>
      </c>
      <c r="E16" s="40">
        <f t="shared" si="2"/>
        <v>0.7224212765987621</v>
      </c>
    </row>
    <row r="17" spans="2:5" x14ac:dyDescent="0.3">
      <c r="B17" s="118">
        <v>13</v>
      </c>
      <c r="C17" s="40">
        <f t="shared" si="0"/>
        <v>0.70137988019297293</v>
      </c>
      <c r="D17" s="40">
        <f t="shared" si="1"/>
        <v>0.70137988019297293</v>
      </c>
      <c r="E17" s="40">
        <f t="shared" si="2"/>
        <v>0.70137988019297293</v>
      </c>
    </row>
    <row r="18" spans="2:5" x14ac:dyDescent="0.3">
      <c r="B18" s="118">
        <v>14</v>
      </c>
      <c r="C18" s="40">
        <f t="shared" si="0"/>
        <v>0.68095133999317758</v>
      </c>
      <c r="D18" s="40">
        <f t="shared" si="1"/>
        <v>0.68095133999317758</v>
      </c>
      <c r="E18" s="40">
        <f t="shared" si="2"/>
        <v>0.68095133999317758</v>
      </c>
    </row>
    <row r="19" spans="2:5" x14ac:dyDescent="0.3">
      <c r="B19" s="118">
        <v>15</v>
      </c>
      <c r="C19" s="40">
        <f t="shared" si="0"/>
        <v>0.66111780581861901</v>
      </c>
      <c r="D19" s="40">
        <f t="shared" si="1"/>
        <v>0.66111780581861901</v>
      </c>
      <c r="E19" s="40">
        <f t="shared" si="2"/>
        <v>0.66111780581861901</v>
      </c>
    </row>
    <row r="20" spans="2:5" x14ac:dyDescent="0.3">
      <c r="B20" s="118">
        <v>16</v>
      </c>
      <c r="C20" s="40">
        <f t="shared" si="0"/>
        <v>0.64186194739671742</v>
      </c>
      <c r="D20" s="40">
        <f t="shared" si="1"/>
        <v>0.64186194739671742</v>
      </c>
      <c r="E20" s="40">
        <f t="shared" si="2"/>
        <v>0.64186194739671742</v>
      </c>
    </row>
    <row r="21" spans="2:5" x14ac:dyDescent="0.3">
      <c r="B21" s="118">
        <v>17</v>
      </c>
      <c r="C21" s="40">
        <f t="shared" si="0"/>
        <v>0.62316693922011401</v>
      </c>
      <c r="D21" s="40">
        <f t="shared" si="1"/>
        <v>0.62316693922011401</v>
      </c>
      <c r="E21" s="40">
        <f t="shared" si="2"/>
        <v>0.62316693922011401</v>
      </c>
    </row>
    <row r="22" spans="2:5" x14ac:dyDescent="0.3">
      <c r="B22" s="118">
        <v>18</v>
      </c>
      <c r="C22" s="40">
        <f t="shared" si="0"/>
        <v>0.60501644584477088</v>
      </c>
      <c r="D22" s="40">
        <f t="shared" si="1"/>
        <v>0.60501644584477088</v>
      </c>
      <c r="E22" s="40">
        <f t="shared" si="2"/>
        <v>0.60501644584477088</v>
      </c>
    </row>
    <row r="23" spans="2:5" x14ac:dyDescent="0.3">
      <c r="B23" s="118">
        <v>19</v>
      </c>
      <c r="C23" s="40">
        <f t="shared" si="0"/>
        <v>0.58739460761628237</v>
      </c>
      <c r="D23" s="40">
        <f t="shared" si="1"/>
        <v>0.58739460761628237</v>
      </c>
      <c r="E23" s="40">
        <f t="shared" si="2"/>
        <v>0.58739460761628237</v>
      </c>
    </row>
    <row r="24" spans="2:5" x14ac:dyDescent="0.3">
      <c r="B24" s="118">
        <v>20</v>
      </c>
      <c r="C24" s="40">
        <f t="shared" si="0"/>
        <v>0.57028602681192464</v>
      </c>
      <c r="D24" s="40">
        <f t="shared" si="1"/>
        <v>0.57028602681192464</v>
      </c>
      <c r="E24" s="40">
        <f t="shared" si="2"/>
        <v>0.57028602681192464</v>
      </c>
    </row>
    <row r="25" spans="2:5" x14ac:dyDescent="0.3">
      <c r="B25" s="118">
        <v>21</v>
      </c>
      <c r="C25" s="40">
        <f t="shared" si="0"/>
        <v>0.55367575418633463</v>
      </c>
      <c r="D25" s="40">
        <f t="shared" si="1"/>
        <v>0.55367575418633463</v>
      </c>
      <c r="E25" s="40">
        <f t="shared" si="2"/>
        <v>0.55367575418633463</v>
      </c>
    </row>
    <row r="26" spans="2:5" x14ac:dyDescent="0.3">
      <c r="B26" s="118">
        <v>22</v>
      </c>
      <c r="C26" s="40">
        <f t="shared" si="0"/>
        <v>0.53754927590906276</v>
      </c>
      <c r="D26" s="40">
        <f t="shared" si="1"/>
        <v>0.53754927590906276</v>
      </c>
      <c r="E26" s="40">
        <f t="shared" si="2"/>
        <v>0.53754927590906276</v>
      </c>
    </row>
    <row r="27" spans="2:5" x14ac:dyDescent="0.3">
      <c r="B27" s="118">
        <v>23</v>
      </c>
      <c r="C27" s="40">
        <f t="shared" si="0"/>
        <v>0.52189250088258521</v>
      </c>
      <c r="D27" s="40">
        <f t="shared" si="1"/>
        <v>0.52189250088258521</v>
      </c>
      <c r="E27" s="40">
        <f t="shared" si="2"/>
        <v>0.52189250088258521</v>
      </c>
    </row>
    <row r="28" spans="2:5" x14ac:dyDescent="0.3">
      <c r="B28" s="118">
        <v>24</v>
      </c>
      <c r="C28" s="40">
        <f t="shared" si="0"/>
        <v>0.50669174842969433</v>
      </c>
      <c r="D28" s="40">
        <f t="shared" si="1"/>
        <v>0.50669174842969433</v>
      </c>
      <c r="E28" s="40">
        <f t="shared" si="2"/>
        <v>0.50669174842969433</v>
      </c>
    </row>
    <row r="29" spans="2:5" x14ac:dyDescent="0.3">
      <c r="B29" s="118">
        <v>25</v>
      </c>
      <c r="C29" s="40">
        <f t="shared" si="0"/>
        <v>0.49193373633950904</v>
      </c>
      <c r="D29" s="40">
        <f t="shared" si="1"/>
        <v>0.49193373633950904</v>
      </c>
      <c r="E29" s="40">
        <f t="shared" si="2"/>
        <v>0.49193373633950904</v>
      </c>
    </row>
    <row r="30" spans="2:5" x14ac:dyDescent="0.3">
      <c r="B30" s="118">
        <v>26</v>
      </c>
      <c r="C30" s="40">
        <f t="shared" si="0"/>
        <v>0.47760556926165926</v>
      </c>
      <c r="D30" s="40">
        <f t="shared" si="1"/>
        <v>0.47760556926165926</v>
      </c>
      <c r="E30" s="40">
        <f t="shared" si="2"/>
        <v>0.47760556926165926</v>
      </c>
    </row>
    <row r="31" spans="2:5" x14ac:dyDescent="0.3">
      <c r="B31" s="118">
        <v>27</v>
      </c>
      <c r="C31" s="40">
        <f t="shared" si="0"/>
        <v>0.4636947274385041</v>
      </c>
      <c r="D31" s="40">
        <f t="shared" si="1"/>
        <v>0.4636947274385041</v>
      </c>
      <c r="E31" s="40">
        <f t="shared" si="2"/>
        <v>0.4636947274385041</v>
      </c>
    </row>
    <row r="32" spans="2:5" x14ac:dyDescent="0.3">
      <c r="B32" s="118">
        <v>28</v>
      </c>
      <c r="C32" s="40">
        <f t="shared" si="0"/>
        <v>0.45018905576553797</v>
      </c>
      <c r="D32" s="40">
        <f t="shared" si="1"/>
        <v>0.45018905576553797</v>
      </c>
      <c r="E32" s="40">
        <f t="shared" si="2"/>
        <v>0.45018905576553797</v>
      </c>
    </row>
    <row r="33" spans="2:5" x14ac:dyDescent="0.3">
      <c r="B33" s="118">
        <v>29</v>
      </c>
      <c r="C33" s="40">
        <f t="shared" si="0"/>
        <v>0.43707675317042521</v>
      </c>
      <c r="D33" s="40">
        <f t="shared" si="1"/>
        <v>0.43707675317042521</v>
      </c>
      <c r="E33" s="40">
        <f t="shared" si="2"/>
        <v>0.43707675317042521</v>
      </c>
    </row>
    <row r="34" spans="2:5" x14ac:dyDescent="0.3">
      <c r="B34" s="118">
        <v>30</v>
      </c>
      <c r="C34" s="40">
        <f t="shared" si="0"/>
        <v>0.42434636230138367</v>
      </c>
      <c r="D34" s="40">
        <f t="shared" si="1"/>
        <v>0.42434636230138367</v>
      </c>
      <c r="E34" s="40">
        <f t="shared" si="2"/>
        <v>0.42434636230138367</v>
      </c>
    </row>
    <row r="35" spans="2:5" x14ac:dyDescent="0.3">
      <c r="B35" s="118">
        <v>31</v>
      </c>
      <c r="C35" s="40">
        <f t="shared" si="0"/>
        <v>0.41198675951590646</v>
      </c>
      <c r="D35" s="40">
        <f t="shared" si="1"/>
        <v>0.41198675951590646</v>
      </c>
      <c r="E35" s="40">
        <f t="shared" si="2"/>
        <v>0.41198675951590646</v>
      </c>
    </row>
    <row r="36" spans="2:5" x14ac:dyDescent="0.3">
      <c r="B36" s="118">
        <v>32</v>
      </c>
      <c r="C36" s="40">
        <f t="shared" si="0"/>
        <v>0.39998714516107425</v>
      </c>
      <c r="D36" s="40">
        <f t="shared" si="1"/>
        <v>0.39998714516107425</v>
      </c>
      <c r="E36" s="40">
        <f t="shared" si="2"/>
        <v>0.39998714516107425</v>
      </c>
    </row>
    <row r="37" spans="2:5" x14ac:dyDescent="0.3">
      <c r="B37" s="118">
        <v>33</v>
      </c>
      <c r="C37" s="40">
        <f t="shared" si="0"/>
        <v>0.3883370341369653</v>
      </c>
      <c r="D37" s="40">
        <f t="shared" si="1"/>
        <v>0.3883370341369653</v>
      </c>
      <c r="E37" s="40">
        <f t="shared" si="2"/>
        <v>0.3883370341369653</v>
      </c>
    </row>
    <row r="38" spans="2:5" x14ac:dyDescent="0.3">
      <c r="B38" s="118">
        <v>34</v>
      </c>
      <c r="C38" s="40">
        <f t="shared" si="0"/>
        <v>0.37702624673491775</v>
      </c>
      <c r="D38" s="40">
        <f t="shared" ref="D38:D69" si="3">D37/(1+discountLE)</f>
        <v>0.37702624673491775</v>
      </c>
      <c r="E38" s="40">
        <f t="shared" ref="E38:E69" si="4">E37/(1+discountQALE)</f>
        <v>0.37702624673491775</v>
      </c>
    </row>
    <row r="39" spans="2:5" x14ac:dyDescent="0.3">
      <c r="B39" s="118">
        <v>35</v>
      </c>
      <c r="C39" s="40">
        <f t="shared" si="0"/>
        <v>0.3660448997426386</v>
      </c>
      <c r="D39" s="40">
        <f t="shared" si="3"/>
        <v>0.3660448997426386</v>
      </c>
      <c r="E39" s="40">
        <f t="shared" si="4"/>
        <v>0.3660448997426386</v>
      </c>
    </row>
    <row r="40" spans="2:5" x14ac:dyDescent="0.3">
      <c r="B40" s="118">
        <v>36</v>
      </c>
      <c r="C40" s="40">
        <f t="shared" si="0"/>
        <v>0.35538339780838696</v>
      </c>
      <c r="D40" s="40">
        <f t="shared" si="3"/>
        <v>0.35538339780838696</v>
      </c>
      <c r="E40" s="40">
        <f t="shared" si="4"/>
        <v>0.35538339780838696</v>
      </c>
    </row>
    <row r="41" spans="2:5" x14ac:dyDescent="0.3">
      <c r="B41" s="118">
        <v>37</v>
      </c>
      <c r="C41" s="40">
        <f t="shared" si="0"/>
        <v>0.34503242505668635</v>
      </c>
      <c r="D41" s="40">
        <f t="shared" si="3"/>
        <v>0.34503242505668635</v>
      </c>
      <c r="E41" s="40">
        <f t="shared" si="4"/>
        <v>0.34503242505668635</v>
      </c>
    </row>
    <row r="42" spans="2:5" x14ac:dyDescent="0.3">
      <c r="B42" s="118">
        <v>38</v>
      </c>
      <c r="C42" s="40">
        <f t="shared" si="0"/>
        <v>0.33498293694823916</v>
      </c>
      <c r="D42" s="40">
        <f t="shared" si="3"/>
        <v>0.33498293694823916</v>
      </c>
      <c r="E42" s="40">
        <f t="shared" si="4"/>
        <v>0.33498293694823916</v>
      </c>
    </row>
    <row r="43" spans="2:5" x14ac:dyDescent="0.3">
      <c r="B43" s="118">
        <v>39</v>
      </c>
      <c r="C43" s="40">
        <f t="shared" si="0"/>
        <v>0.3252261523769312</v>
      </c>
      <c r="D43" s="40">
        <f t="shared" si="3"/>
        <v>0.3252261523769312</v>
      </c>
      <c r="E43" s="40">
        <f t="shared" si="4"/>
        <v>0.3252261523769312</v>
      </c>
    </row>
    <row r="44" spans="2:5" x14ac:dyDescent="0.3">
      <c r="B44" s="118">
        <v>40</v>
      </c>
      <c r="C44" s="40">
        <f t="shared" si="0"/>
        <v>0.31575354599702055</v>
      </c>
      <c r="D44" s="40">
        <f t="shared" si="3"/>
        <v>0.31575354599702055</v>
      </c>
      <c r="E44" s="40">
        <f t="shared" si="4"/>
        <v>0.31575354599702055</v>
      </c>
    </row>
    <row r="45" spans="2:5" x14ac:dyDescent="0.3">
      <c r="B45" s="118">
        <v>41</v>
      </c>
      <c r="C45" s="40">
        <f t="shared" si="0"/>
        <v>0.30655684077380635</v>
      </c>
      <c r="D45" s="40">
        <f t="shared" si="3"/>
        <v>0.30655684077380635</v>
      </c>
      <c r="E45" s="40">
        <f t="shared" si="4"/>
        <v>0.30655684077380635</v>
      </c>
    </row>
    <row r="46" spans="2:5" x14ac:dyDescent="0.3">
      <c r="B46" s="118">
        <v>42</v>
      </c>
      <c r="C46" s="40">
        <f t="shared" si="0"/>
        <v>0.29762800075126827</v>
      </c>
      <c r="D46" s="40">
        <f t="shared" si="3"/>
        <v>0.29762800075126827</v>
      </c>
      <c r="E46" s="40">
        <f t="shared" si="4"/>
        <v>0.29762800075126827</v>
      </c>
    </row>
    <row r="47" spans="2:5" x14ac:dyDescent="0.3">
      <c r="B47" s="118">
        <v>43</v>
      </c>
      <c r="C47" s="40">
        <f t="shared" si="0"/>
        <v>0.28895922403035756</v>
      </c>
      <c r="D47" s="40">
        <f t="shared" si="3"/>
        <v>0.28895922403035756</v>
      </c>
      <c r="E47" s="40">
        <f t="shared" si="4"/>
        <v>0.28895922403035756</v>
      </c>
    </row>
    <row r="48" spans="2:5" x14ac:dyDescent="0.3">
      <c r="B48" s="118">
        <v>44</v>
      </c>
      <c r="C48" s="40">
        <f t="shared" si="0"/>
        <v>0.28054293595180346</v>
      </c>
      <c r="D48" s="40">
        <f t="shared" si="3"/>
        <v>0.28054293595180346</v>
      </c>
      <c r="E48" s="40">
        <f t="shared" si="4"/>
        <v>0.28054293595180346</v>
      </c>
    </row>
    <row r="49" spans="2:5" x14ac:dyDescent="0.3">
      <c r="B49" s="118">
        <v>45</v>
      </c>
      <c r="C49" s="40">
        <f t="shared" si="0"/>
        <v>0.27237178247747906</v>
      </c>
      <c r="D49" s="40">
        <f t="shared" si="3"/>
        <v>0.27237178247747906</v>
      </c>
      <c r="E49" s="40">
        <f t="shared" si="4"/>
        <v>0.27237178247747906</v>
      </c>
    </row>
    <row r="50" spans="2:5" x14ac:dyDescent="0.3">
      <c r="B50" s="118">
        <v>46</v>
      </c>
      <c r="C50" s="40">
        <f t="shared" si="0"/>
        <v>0.26443862376454275</v>
      </c>
      <c r="D50" s="40">
        <f t="shared" si="3"/>
        <v>0.26443862376454275</v>
      </c>
      <c r="E50" s="40">
        <f t="shared" si="4"/>
        <v>0.26443862376454275</v>
      </c>
    </row>
    <row r="51" spans="2:5" x14ac:dyDescent="0.3">
      <c r="B51" s="118">
        <v>47</v>
      </c>
      <c r="C51" s="40">
        <f t="shared" si="0"/>
        <v>0.25673652792674051</v>
      </c>
      <c r="D51" s="40">
        <f t="shared" si="3"/>
        <v>0.25673652792674051</v>
      </c>
      <c r="E51" s="40">
        <f t="shared" si="4"/>
        <v>0.25673652792674051</v>
      </c>
    </row>
    <row r="52" spans="2:5" x14ac:dyDescent="0.3">
      <c r="B52" s="118">
        <v>48</v>
      </c>
      <c r="C52" s="40">
        <f t="shared" si="0"/>
        <v>0.24925876497741797</v>
      </c>
      <c r="D52" s="40">
        <f t="shared" si="3"/>
        <v>0.24925876497741797</v>
      </c>
      <c r="E52" s="40">
        <f t="shared" si="4"/>
        <v>0.24925876497741797</v>
      </c>
    </row>
    <row r="53" spans="2:5" x14ac:dyDescent="0.3">
      <c r="B53" s="118">
        <v>49</v>
      </c>
      <c r="C53" s="40">
        <f t="shared" si="0"/>
        <v>0.24199880094894949</v>
      </c>
      <c r="D53" s="40">
        <f t="shared" si="3"/>
        <v>0.24199880094894949</v>
      </c>
      <c r="E53" s="40">
        <f t="shared" si="4"/>
        <v>0.24199880094894949</v>
      </c>
    </row>
    <row r="54" spans="2:5" x14ac:dyDescent="0.3">
      <c r="B54" s="118">
        <v>50</v>
      </c>
      <c r="C54" s="40">
        <f t="shared" si="0"/>
        <v>0.2349502921834461</v>
      </c>
      <c r="D54" s="40">
        <f t="shared" si="3"/>
        <v>0.2349502921834461</v>
      </c>
      <c r="E54" s="40">
        <f t="shared" si="4"/>
        <v>0.2349502921834461</v>
      </c>
    </row>
    <row r="55" spans="2:5" x14ac:dyDescent="0.3">
      <c r="B55" s="118">
        <v>51</v>
      </c>
      <c r="C55" s="40">
        <f t="shared" si="0"/>
        <v>0.22810707978975348</v>
      </c>
      <c r="D55" s="40">
        <f t="shared" si="3"/>
        <v>0.22810707978975348</v>
      </c>
      <c r="E55" s="40">
        <f t="shared" si="4"/>
        <v>0.22810707978975348</v>
      </c>
    </row>
    <row r="56" spans="2:5" x14ac:dyDescent="0.3">
      <c r="B56" s="118">
        <v>52</v>
      </c>
      <c r="C56" s="40">
        <f t="shared" si="0"/>
        <v>0.22146318426189657</v>
      </c>
      <c r="D56" s="40">
        <f t="shared" si="3"/>
        <v>0.22146318426189657</v>
      </c>
      <c r="E56" s="40">
        <f t="shared" si="4"/>
        <v>0.22146318426189657</v>
      </c>
    </row>
    <row r="57" spans="2:5" x14ac:dyDescent="0.3">
      <c r="B57" s="118">
        <v>53</v>
      </c>
      <c r="C57" s="40">
        <f t="shared" si="0"/>
        <v>0.2150128002542685</v>
      </c>
      <c r="D57" s="40">
        <f t="shared" si="3"/>
        <v>0.2150128002542685</v>
      </c>
      <c r="E57" s="40">
        <f t="shared" si="4"/>
        <v>0.2150128002542685</v>
      </c>
    </row>
    <row r="58" spans="2:5" x14ac:dyDescent="0.3">
      <c r="B58" s="118">
        <v>54</v>
      </c>
      <c r="C58" s="40">
        <f t="shared" si="0"/>
        <v>0.20875029150899854</v>
      </c>
      <c r="D58" s="40">
        <f t="shared" si="3"/>
        <v>0.20875029150899854</v>
      </c>
      <c r="E58" s="40">
        <f t="shared" si="4"/>
        <v>0.20875029150899854</v>
      </c>
    </row>
    <row r="59" spans="2:5" x14ac:dyDescent="0.3">
      <c r="B59" s="118">
        <v>55</v>
      </c>
      <c r="C59" s="40">
        <f t="shared" si="0"/>
        <v>0.20267018593106653</v>
      </c>
      <c r="D59" s="40">
        <f t="shared" si="3"/>
        <v>0.20267018593106653</v>
      </c>
      <c r="E59" s="40">
        <f t="shared" si="4"/>
        <v>0.20267018593106653</v>
      </c>
    </row>
    <row r="60" spans="2:5" x14ac:dyDescent="0.3">
      <c r="B60" s="118">
        <v>56</v>
      </c>
      <c r="C60" s="40">
        <f t="shared" si="0"/>
        <v>0.19676717080686071</v>
      </c>
      <c r="D60" s="40">
        <f t="shared" si="3"/>
        <v>0.19676717080686071</v>
      </c>
      <c r="E60" s="40">
        <f t="shared" si="4"/>
        <v>0.19676717080686071</v>
      </c>
    </row>
    <row r="61" spans="2:5" x14ac:dyDescent="0.3">
      <c r="B61" s="118">
        <v>57</v>
      </c>
      <c r="C61" s="40">
        <f t="shared" si="0"/>
        <v>0.19103608816200068</v>
      </c>
      <c r="D61" s="40">
        <f t="shared" si="3"/>
        <v>0.19103608816200068</v>
      </c>
      <c r="E61" s="40">
        <f t="shared" si="4"/>
        <v>0.19103608816200068</v>
      </c>
    </row>
    <row r="62" spans="2:5" x14ac:dyDescent="0.3">
      <c r="B62" s="118">
        <v>58</v>
      </c>
      <c r="C62" s="40">
        <f t="shared" si="0"/>
        <v>0.18547193025436959</v>
      </c>
      <c r="D62" s="40">
        <f t="shared" si="3"/>
        <v>0.18547193025436959</v>
      </c>
      <c r="E62" s="40">
        <f t="shared" si="4"/>
        <v>0.18547193025436959</v>
      </c>
    </row>
    <row r="63" spans="2:5" x14ac:dyDescent="0.3">
      <c r="B63" s="118">
        <v>59</v>
      </c>
      <c r="C63" s="40">
        <f t="shared" si="0"/>
        <v>0.18006983519841707</v>
      </c>
      <c r="D63" s="40">
        <f t="shared" si="3"/>
        <v>0.18006983519841707</v>
      </c>
      <c r="E63" s="40">
        <f t="shared" si="4"/>
        <v>0.18006983519841707</v>
      </c>
    </row>
    <row r="64" spans="2:5" x14ac:dyDescent="0.3">
      <c r="B64" s="118">
        <v>60</v>
      </c>
      <c r="C64" s="40">
        <f t="shared" si="0"/>
        <v>0.17482508271690977</v>
      </c>
      <c r="D64" s="40">
        <f t="shared" si="3"/>
        <v>0.17482508271690977</v>
      </c>
      <c r="E64" s="40">
        <f t="shared" si="4"/>
        <v>0.17482508271690977</v>
      </c>
    </row>
    <row r="65" spans="2:5" x14ac:dyDescent="0.3">
      <c r="B65" s="118">
        <v>61</v>
      </c>
      <c r="C65" s="40">
        <f t="shared" si="0"/>
        <v>0.16973309001641726</v>
      </c>
      <c r="D65" s="40">
        <f t="shared" si="3"/>
        <v>0.16973309001641726</v>
      </c>
      <c r="E65" s="40">
        <f t="shared" si="4"/>
        <v>0.16973309001641726</v>
      </c>
    </row>
    <row r="66" spans="2:5" x14ac:dyDescent="0.3">
      <c r="B66" s="118">
        <v>62</v>
      </c>
      <c r="C66" s="40">
        <f t="shared" si="0"/>
        <v>0.16478940778292939</v>
      </c>
      <c r="D66" s="40">
        <f t="shared" si="3"/>
        <v>0.16478940778292939</v>
      </c>
      <c r="E66" s="40">
        <f t="shared" si="4"/>
        <v>0.16478940778292939</v>
      </c>
    </row>
    <row r="67" spans="2:5" x14ac:dyDescent="0.3">
      <c r="B67" s="118">
        <v>63</v>
      </c>
      <c r="C67" s="40">
        <f t="shared" si="0"/>
        <v>0.15998971629410619</v>
      </c>
      <c r="D67" s="40">
        <f t="shared" si="3"/>
        <v>0.15998971629410619</v>
      </c>
      <c r="E67" s="40">
        <f t="shared" si="4"/>
        <v>0.15998971629410619</v>
      </c>
    </row>
    <row r="68" spans="2:5" x14ac:dyDescent="0.3">
      <c r="B68" s="118">
        <v>64</v>
      </c>
      <c r="C68" s="40">
        <f t="shared" si="0"/>
        <v>0.15532982164476328</v>
      </c>
      <c r="D68" s="40">
        <f t="shared" si="3"/>
        <v>0.15532982164476328</v>
      </c>
      <c r="E68" s="40">
        <f t="shared" si="4"/>
        <v>0.15532982164476328</v>
      </c>
    </row>
    <row r="69" spans="2:5" x14ac:dyDescent="0.3">
      <c r="B69" s="118">
        <v>65</v>
      </c>
      <c r="C69" s="40">
        <f t="shared" si="0"/>
        <v>0.15080565208229443</v>
      </c>
      <c r="D69" s="40">
        <f t="shared" si="3"/>
        <v>0.15080565208229443</v>
      </c>
      <c r="E69" s="40">
        <f t="shared" si="4"/>
        <v>0.15080565208229443</v>
      </c>
    </row>
    <row r="70" spans="2:5" x14ac:dyDescent="0.3">
      <c r="B70" s="118">
        <v>66</v>
      </c>
      <c r="C70" s="40">
        <f t="shared" ref="C70:C105" si="5">C69/(1+discountCosts)</f>
        <v>0.14641325444882955</v>
      </c>
      <c r="D70" s="40">
        <f t="shared" ref="D70:D105" si="6">D69/(1+discountLE)</f>
        <v>0.14641325444882955</v>
      </c>
      <c r="E70" s="40">
        <f t="shared" ref="E70:E105" si="7">E69/(1+discountQALE)</f>
        <v>0.14641325444882955</v>
      </c>
    </row>
    <row r="71" spans="2:5" x14ac:dyDescent="0.3">
      <c r="B71" s="118">
        <v>67</v>
      </c>
      <c r="C71" s="40">
        <f t="shared" si="5"/>
        <v>0.14214879072701897</v>
      </c>
      <c r="D71" s="40">
        <f t="shared" si="6"/>
        <v>0.14214879072701897</v>
      </c>
      <c r="E71" s="40">
        <f t="shared" si="7"/>
        <v>0.14214879072701897</v>
      </c>
    </row>
    <row r="72" spans="2:5" x14ac:dyDescent="0.3">
      <c r="B72" s="118">
        <v>68</v>
      </c>
      <c r="C72" s="40">
        <f t="shared" si="5"/>
        <v>0.13800853468642618</v>
      </c>
      <c r="D72" s="40">
        <f t="shared" si="6"/>
        <v>0.13800853468642618</v>
      </c>
      <c r="E72" s="40">
        <f t="shared" si="7"/>
        <v>0.13800853468642618</v>
      </c>
    </row>
    <row r="73" spans="2:5" x14ac:dyDescent="0.3">
      <c r="B73" s="118">
        <v>69</v>
      </c>
      <c r="C73" s="40">
        <f t="shared" si="5"/>
        <v>0.13398886862759823</v>
      </c>
      <c r="D73" s="40">
        <f t="shared" si="6"/>
        <v>0.13398886862759823</v>
      </c>
      <c r="E73" s="40">
        <f t="shared" si="7"/>
        <v>0.13398886862759823</v>
      </c>
    </row>
    <row r="74" spans="2:5" x14ac:dyDescent="0.3">
      <c r="B74" s="118">
        <v>70</v>
      </c>
      <c r="C74" s="40">
        <f t="shared" si="5"/>
        <v>0.13008628022096916</v>
      </c>
      <c r="D74" s="40">
        <f t="shared" si="6"/>
        <v>0.13008628022096916</v>
      </c>
      <c r="E74" s="40">
        <f t="shared" si="7"/>
        <v>0.13008628022096916</v>
      </c>
    </row>
    <row r="75" spans="2:5" x14ac:dyDescent="0.3">
      <c r="B75" s="118">
        <v>71</v>
      </c>
      <c r="C75" s="40">
        <f t="shared" si="5"/>
        <v>0.12629735943783413</v>
      </c>
      <c r="D75" s="40">
        <f t="shared" si="6"/>
        <v>0.12629735943783413</v>
      </c>
      <c r="E75" s="40">
        <f t="shared" si="7"/>
        <v>0.12629735943783413</v>
      </c>
    </row>
    <row r="76" spans="2:5" x14ac:dyDescent="0.3">
      <c r="B76" s="118">
        <v>72</v>
      </c>
      <c r="C76" s="40">
        <f t="shared" si="5"/>
        <v>0.12261879557071274</v>
      </c>
      <c r="D76" s="40">
        <f t="shared" si="6"/>
        <v>0.12261879557071274</v>
      </c>
      <c r="E76" s="40">
        <f t="shared" si="7"/>
        <v>0.12261879557071274</v>
      </c>
    </row>
    <row r="77" spans="2:5" x14ac:dyDescent="0.3">
      <c r="B77" s="118">
        <v>73</v>
      </c>
      <c r="C77" s="40">
        <f t="shared" si="5"/>
        <v>0.11904737434049781</v>
      </c>
      <c r="D77" s="40">
        <f t="shared" si="6"/>
        <v>0.11904737434049781</v>
      </c>
      <c r="E77" s="40">
        <f t="shared" si="7"/>
        <v>0.11904737434049781</v>
      </c>
    </row>
    <row r="78" spans="2:5" x14ac:dyDescent="0.3">
      <c r="B78" s="118">
        <v>74</v>
      </c>
      <c r="C78" s="40">
        <f t="shared" si="5"/>
        <v>0.11557997508786194</v>
      </c>
      <c r="D78" s="40">
        <f t="shared" si="6"/>
        <v>0.11557997508786194</v>
      </c>
      <c r="E78" s="40">
        <f t="shared" si="7"/>
        <v>0.11557997508786194</v>
      </c>
    </row>
    <row r="79" spans="2:5" x14ac:dyDescent="0.3">
      <c r="B79" s="118">
        <v>75</v>
      </c>
      <c r="C79" s="40">
        <f t="shared" si="5"/>
        <v>0.1122135680464679</v>
      </c>
      <c r="D79" s="40">
        <f t="shared" si="6"/>
        <v>0.1122135680464679</v>
      </c>
      <c r="E79" s="40">
        <f t="shared" si="7"/>
        <v>0.1122135680464679</v>
      </c>
    </row>
    <row r="80" spans="2:5" x14ac:dyDescent="0.3">
      <c r="B80" s="118">
        <v>76</v>
      </c>
      <c r="C80" s="40">
        <f t="shared" si="5"/>
        <v>0.1089452116955999</v>
      </c>
      <c r="D80" s="40">
        <f t="shared" si="6"/>
        <v>0.1089452116955999</v>
      </c>
      <c r="E80" s="40">
        <f t="shared" si="7"/>
        <v>0.1089452116955999</v>
      </c>
    </row>
    <row r="81" spans="2:5" x14ac:dyDescent="0.3">
      <c r="B81" s="118">
        <v>77</v>
      </c>
      <c r="C81" s="40">
        <f t="shared" si="5"/>
        <v>0.10577205018990281</v>
      </c>
      <c r="D81" s="40">
        <f t="shared" si="6"/>
        <v>0.10577205018990281</v>
      </c>
      <c r="E81" s="40">
        <f t="shared" si="7"/>
        <v>0.10577205018990281</v>
      </c>
    </row>
    <row r="82" spans="2:5" x14ac:dyDescent="0.3">
      <c r="B82" s="118">
        <v>78</v>
      </c>
      <c r="C82" s="40">
        <f t="shared" si="5"/>
        <v>0.10269131086398331</v>
      </c>
      <c r="D82" s="40">
        <f t="shared" si="6"/>
        <v>0.10269131086398331</v>
      </c>
      <c r="E82" s="40">
        <f t="shared" si="7"/>
        <v>0.10269131086398331</v>
      </c>
    </row>
    <row r="83" spans="2:5" x14ac:dyDescent="0.3">
      <c r="B83" s="118">
        <v>79</v>
      </c>
      <c r="C83" s="40">
        <f t="shared" si="5"/>
        <v>9.9700301809692526E-2</v>
      </c>
      <c r="D83" s="40">
        <f t="shared" si="6"/>
        <v>9.9700301809692526E-2</v>
      </c>
      <c r="E83" s="40">
        <f t="shared" si="7"/>
        <v>9.9700301809692526E-2</v>
      </c>
    </row>
    <row r="84" spans="2:5" x14ac:dyDescent="0.3">
      <c r="B84" s="118">
        <v>80</v>
      </c>
      <c r="C84" s="40">
        <f t="shared" si="5"/>
        <v>9.6796409523973323E-2</v>
      </c>
      <c r="D84" s="40">
        <f t="shared" si="6"/>
        <v>9.6796409523973323E-2</v>
      </c>
      <c r="E84" s="40">
        <f t="shared" si="7"/>
        <v>9.6796409523973323E-2</v>
      </c>
    </row>
    <row r="85" spans="2:5" x14ac:dyDescent="0.3">
      <c r="B85" s="118">
        <v>81</v>
      </c>
      <c r="C85" s="40">
        <f t="shared" si="5"/>
        <v>9.3977096625216819E-2</v>
      </c>
      <c r="D85" s="40">
        <f t="shared" si="6"/>
        <v>9.3977096625216819E-2</v>
      </c>
      <c r="E85" s="40">
        <f t="shared" si="7"/>
        <v>9.3977096625216819E-2</v>
      </c>
    </row>
    <row r="86" spans="2:5" x14ac:dyDescent="0.3">
      <c r="B86" s="118">
        <v>82</v>
      </c>
      <c r="C86" s="40">
        <f t="shared" si="5"/>
        <v>9.1239899636132826E-2</v>
      </c>
      <c r="D86" s="40">
        <f t="shared" si="6"/>
        <v>9.1239899636132826E-2</v>
      </c>
      <c r="E86" s="40">
        <f t="shared" si="7"/>
        <v>9.1239899636132826E-2</v>
      </c>
    </row>
    <row r="87" spans="2:5" x14ac:dyDescent="0.3">
      <c r="B87" s="118">
        <v>83</v>
      </c>
      <c r="C87" s="40">
        <f t="shared" si="5"/>
        <v>8.8582426831196923E-2</v>
      </c>
      <c r="D87" s="40">
        <f t="shared" si="6"/>
        <v>8.8582426831196923E-2</v>
      </c>
      <c r="E87" s="40">
        <f t="shared" si="7"/>
        <v>8.8582426831196923E-2</v>
      </c>
    </row>
    <row r="88" spans="2:5" x14ac:dyDescent="0.3">
      <c r="B88" s="118">
        <v>84</v>
      </c>
      <c r="C88" s="40">
        <f t="shared" si="5"/>
        <v>8.6002356146793121E-2</v>
      </c>
      <c r="D88" s="40">
        <f t="shared" si="6"/>
        <v>8.6002356146793121E-2</v>
      </c>
      <c r="E88" s="40">
        <f t="shared" si="7"/>
        <v>8.6002356146793121E-2</v>
      </c>
    </row>
    <row r="89" spans="2:5" x14ac:dyDescent="0.3">
      <c r="B89" s="118">
        <v>85</v>
      </c>
      <c r="C89" s="40">
        <f t="shared" si="5"/>
        <v>8.3497433152226325E-2</v>
      </c>
      <c r="D89" s="40">
        <f t="shared" si="6"/>
        <v>8.3497433152226325E-2</v>
      </c>
      <c r="E89" s="40">
        <f t="shared" si="7"/>
        <v>8.3497433152226325E-2</v>
      </c>
    </row>
    <row r="90" spans="2:5" x14ac:dyDescent="0.3">
      <c r="B90" s="118">
        <v>86</v>
      </c>
      <c r="C90" s="40">
        <f t="shared" si="5"/>
        <v>8.1065469079831379E-2</v>
      </c>
      <c r="D90" s="40">
        <f t="shared" si="6"/>
        <v>8.1065469079831379E-2</v>
      </c>
      <c r="E90" s="40">
        <f t="shared" si="7"/>
        <v>8.1065469079831379E-2</v>
      </c>
    </row>
    <row r="91" spans="2:5" x14ac:dyDescent="0.3">
      <c r="B91" s="118">
        <v>87</v>
      </c>
      <c r="C91" s="40">
        <f t="shared" si="5"/>
        <v>7.870433891245765E-2</v>
      </c>
      <c r="D91" s="40">
        <f t="shared" si="6"/>
        <v>7.870433891245765E-2</v>
      </c>
      <c r="E91" s="40">
        <f t="shared" si="7"/>
        <v>7.870433891245765E-2</v>
      </c>
    </row>
    <row r="92" spans="2:5" x14ac:dyDescent="0.3">
      <c r="B92" s="118">
        <v>88</v>
      </c>
      <c r="C92" s="40">
        <f t="shared" si="5"/>
        <v>7.6411979526657917E-2</v>
      </c>
      <c r="D92" s="40">
        <f t="shared" si="6"/>
        <v>7.6411979526657917E-2</v>
      </c>
      <c r="E92" s="40">
        <f t="shared" si="7"/>
        <v>7.6411979526657917E-2</v>
      </c>
    </row>
    <row r="93" spans="2:5" x14ac:dyDescent="0.3">
      <c r="B93" s="118">
        <v>89</v>
      </c>
      <c r="C93" s="40">
        <f t="shared" si="5"/>
        <v>7.4186387889959141E-2</v>
      </c>
      <c r="D93" s="40">
        <f t="shared" si="6"/>
        <v>7.4186387889959141E-2</v>
      </c>
      <c r="E93" s="40">
        <f t="shared" si="7"/>
        <v>7.4186387889959141E-2</v>
      </c>
    </row>
    <row r="94" spans="2:5" x14ac:dyDescent="0.3">
      <c r="B94" s="118">
        <v>90</v>
      </c>
      <c r="C94" s="40">
        <f t="shared" si="5"/>
        <v>7.2025619310639943E-2</v>
      </c>
      <c r="D94" s="40">
        <f t="shared" si="6"/>
        <v>7.2025619310639943E-2</v>
      </c>
      <c r="E94" s="40">
        <f t="shared" si="7"/>
        <v>7.2025619310639943E-2</v>
      </c>
    </row>
    <row r="95" spans="2:5" x14ac:dyDescent="0.3">
      <c r="B95" s="118">
        <v>91</v>
      </c>
      <c r="C95" s="40">
        <f t="shared" si="5"/>
        <v>6.9927785738485376E-2</v>
      </c>
      <c r="D95" s="40">
        <f t="shared" si="6"/>
        <v>6.9927785738485376E-2</v>
      </c>
      <c r="E95" s="40">
        <f t="shared" si="7"/>
        <v>6.9927785738485376E-2</v>
      </c>
    </row>
    <row r="96" spans="2:5" x14ac:dyDescent="0.3">
      <c r="B96" s="118">
        <v>92</v>
      </c>
      <c r="C96" s="40">
        <f t="shared" si="5"/>
        <v>6.7891054115034349E-2</v>
      </c>
      <c r="D96" s="40">
        <f t="shared" si="6"/>
        <v>6.7891054115034349E-2</v>
      </c>
      <c r="E96" s="40">
        <f t="shared" si="7"/>
        <v>6.7891054115034349E-2</v>
      </c>
    </row>
    <row r="97" spans="2:5" x14ac:dyDescent="0.3">
      <c r="B97" s="118">
        <v>93</v>
      </c>
      <c r="C97" s="40">
        <f t="shared" si="5"/>
        <v>6.5913644771878013E-2</v>
      </c>
      <c r="D97" s="40">
        <f t="shared" si="6"/>
        <v>6.5913644771878013E-2</v>
      </c>
      <c r="E97" s="40">
        <f t="shared" si="7"/>
        <v>6.5913644771878013E-2</v>
      </c>
    </row>
    <row r="98" spans="2:5" x14ac:dyDescent="0.3">
      <c r="B98" s="118">
        <v>94</v>
      </c>
      <c r="C98" s="40">
        <f t="shared" si="5"/>
        <v>6.3993829875609726E-2</v>
      </c>
      <c r="D98" s="40">
        <f t="shared" si="6"/>
        <v>6.3993829875609726E-2</v>
      </c>
      <c r="E98" s="40">
        <f t="shared" si="7"/>
        <v>6.3993829875609726E-2</v>
      </c>
    </row>
    <row r="99" spans="2:5" x14ac:dyDescent="0.3">
      <c r="B99" s="118">
        <v>95</v>
      </c>
      <c r="C99" s="40">
        <f t="shared" si="5"/>
        <v>6.2129931918067691E-2</v>
      </c>
      <c r="D99" s="40">
        <f t="shared" si="6"/>
        <v>6.2129931918067691E-2</v>
      </c>
      <c r="E99" s="40">
        <f t="shared" si="7"/>
        <v>6.2129931918067691E-2</v>
      </c>
    </row>
    <row r="100" spans="2:5" x14ac:dyDescent="0.3">
      <c r="B100" s="118">
        <v>96</v>
      </c>
      <c r="C100" s="40">
        <f t="shared" si="5"/>
        <v>6.0320322250551152E-2</v>
      </c>
      <c r="D100" s="40">
        <f t="shared" si="6"/>
        <v>6.0320322250551152E-2</v>
      </c>
      <c r="E100" s="40">
        <f t="shared" si="7"/>
        <v>6.0320322250551152E-2</v>
      </c>
    </row>
    <row r="101" spans="2:5" x14ac:dyDescent="0.3">
      <c r="B101" s="118">
        <v>97</v>
      </c>
      <c r="C101" s="40">
        <f t="shared" si="5"/>
        <v>5.8563419660729275E-2</v>
      </c>
      <c r="D101" s="40">
        <f t="shared" si="6"/>
        <v>5.8563419660729275E-2</v>
      </c>
      <c r="E101" s="40">
        <f t="shared" si="7"/>
        <v>5.8563419660729275E-2</v>
      </c>
    </row>
    <row r="102" spans="2:5" x14ac:dyDescent="0.3">
      <c r="B102" s="118">
        <v>98</v>
      </c>
      <c r="C102" s="40">
        <f t="shared" si="5"/>
        <v>5.6857688990999293E-2</v>
      </c>
      <c r="D102" s="40">
        <f t="shared" si="6"/>
        <v>5.6857688990999293E-2</v>
      </c>
      <c r="E102" s="40">
        <f t="shared" si="7"/>
        <v>5.6857688990999293E-2</v>
      </c>
    </row>
    <row r="103" spans="2:5" x14ac:dyDescent="0.3">
      <c r="B103" s="118">
        <v>99</v>
      </c>
      <c r="C103" s="40">
        <f t="shared" si="5"/>
        <v>5.5201639797086692E-2</v>
      </c>
      <c r="D103" s="40">
        <f t="shared" si="6"/>
        <v>5.5201639797086692E-2</v>
      </c>
      <c r="E103" s="40">
        <f t="shared" si="7"/>
        <v>5.5201639797086692E-2</v>
      </c>
    </row>
    <row r="104" spans="2:5" x14ac:dyDescent="0.3">
      <c r="B104" s="118">
        <v>100</v>
      </c>
      <c r="C104" s="40">
        <f t="shared" si="5"/>
        <v>5.3593825045715235E-2</v>
      </c>
      <c r="D104" s="40">
        <f t="shared" si="6"/>
        <v>5.3593825045715235E-2</v>
      </c>
      <c r="E104" s="40">
        <f t="shared" si="7"/>
        <v>5.3593825045715235E-2</v>
      </c>
    </row>
    <row r="105" spans="2:5" x14ac:dyDescent="0.3">
      <c r="B105" s="118">
        <v>101</v>
      </c>
      <c r="C105" s="40">
        <f t="shared" si="5"/>
        <v>5.2032839850208963E-2</v>
      </c>
      <c r="D105" s="40">
        <f t="shared" si="6"/>
        <v>5.2032839850208963E-2</v>
      </c>
      <c r="E105" s="40">
        <f t="shared" si="7"/>
        <v>5.2032839850208963E-2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>
    <tabColor theme="9" tint="-0.499984740745262"/>
  </sheetPr>
  <dimension ref="AF1:AG1"/>
  <sheetViews>
    <sheetView zoomScale="70" zoomScaleNormal="70" workbookViewId="0">
      <selection activeCell="M19" sqref="M19"/>
    </sheetView>
  </sheetViews>
  <sheetFormatPr baseColWidth="10" defaultColWidth="11.5546875" defaultRowHeight="14.4" x14ac:dyDescent="0.3"/>
  <cols>
    <col min="1" max="31" width="11.5546875" style="14"/>
    <col min="32" max="32" width="11.5546875" style="73"/>
    <col min="33" max="33" width="11.5546875" style="72"/>
    <col min="34" max="16384" width="11.5546875" style="14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MC"/>
  <dimension ref="A1:AZ1011"/>
  <sheetViews>
    <sheetView tabSelected="1" workbookViewId="0">
      <pane xSplit="1" ySplit="11" topLeftCell="B12" activePane="bottomRight" state="frozen"/>
      <selection pane="topRight" activeCell="B1" sqref="B1"/>
      <selection pane="bottomLeft" activeCell="A11" sqref="A11"/>
      <selection pane="bottomRight" activeCell="O18" sqref="O18"/>
    </sheetView>
  </sheetViews>
  <sheetFormatPr baseColWidth="10" defaultColWidth="11.5546875" defaultRowHeight="14.4" x14ac:dyDescent="0.3"/>
  <cols>
    <col min="1" max="6" width="11.5546875" style="14"/>
    <col min="7" max="13" width="11.6640625" style="14" bestFit="1" customWidth="1"/>
    <col min="14" max="14" width="12" style="14" bestFit="1" customWidth="1"/>
    <col min="15" max="16" width="12" style="14" customWidth="1"/>
    <col min="17" max="17" width="11.6640625" style="14" bestFit="1" customWidth="1"/>
    <col min="18" max="18" width="11.6640625" style="14" customWidth="1"/>
    <col min="19" max="20" width="11.6640625" style="14" bestFit="1" customWidth="1"/>
    <col min="21" max="24" width="11.6640625" style="14" customWidth="1"/>
    <col min="25" max="26" width="11.6640625" style="14" bestFit="1" customWidth="1"/>
    <col min="27" max="27" width="11.6640625" style="14" customWidth="1"/>
    <col min="28" max="28" width="11.6640625" style="14" bestFit="1" customWidth="1"/>
    <col min="29" max="29" width="11.6640625" style="14" customWidth="1"/>
    <col min="30" max="33" width="11.6640625" style="14" bestFit="1" customWidth="1"/>
    <col min="34" max="34" width="11.6640625" style="14" customWidth="1"/>
    <col min="35" max="38" width="11.6640625" style="14" bestFit="1" customWidth="1"/>
    <col min="39" max="39" width="11.6640625" style="14" customWidth="1"/>
    <col min="40" max="41" width="11.6640625" style="14" bestFit="1" customWidth="1"/>
    <col min="42" max="42" width="11.6640625" style="14" customWidth="1"/>
    <col min="43" max="43" width="11.6640625" style="14" bestFit="1" customWidth="1"/>
    <col min="44" max="44" width="11.6640625" style="14" customWidth="1"/>
    <col min="45" max="45" width="11.6640625" style="14" bestFit="1" customWidth="1"/>
    <col min="46" max="47" width="11.6640625" style="14" customWidth="1"/>
    <col min="48" max="52" width="11.6640625" style="14" bestFit="1" customWidth="1"/>
    <col min="53" max="16384" width="11.5546875" style="14"/>
  </cols>
  <sheetData>
    <row r="1" spans="1:52" s="49" customFormat="1" x14ac:dyDescent="0.3">
      <c r="A1" s="50"/>
      <c r="B1" s="123" t="s">
        <v>0</v>
      </c>
      <c r="C1" s="46" t="s">
        <v>105</v>
      </c>
      <c r="D1" s="50" t="s">
        <v>107</v>
      </c>
      <c r="E1" s="82" t="s">
        <v>104</v>
      </c>
      <c r="F1" s="50" t="s">
        <v>106</v>
      </c>
      <c r="G1" s="123" t="s">
        <v>183</v>
      </c>
      <c r="H1" s="46" t="s">
        <v>184</v>
      </c>
      <c r="I1" s="82" t="s">
        <v>185</v>
      </c>
      <c r="J1" s="123" t="s">
        <v>186</v>
      </c>
      <c r="K1" s="46" t="s">
        <v>187</v>
      </c>
      <c r="L1" s="82" t="s">
        <v>188</v>
      </c>
      <c r="M1" s="50" t="s">
        <v>269</v>
      </c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</row>
    <row r="2" spans="1:52" s="114" customFormat="1" x14ac:dyDescent="0.3">
      <c r="A2" s="28" t="s">
        <v>1</v>
      </c>
      <c r="B2" s="124">
        <f t="shared" ref="B2:M2" ca="1" si="0">AVERAGE(OFFSET(B$12,0,0,nSim))</f>
        <v>0.51520554272849406</v>
      </c>
      <c r="C2" s="126">
        <f t="shared" ca="1" si="0"/>
        <v>4.6400552324080023E-5</v>
      </c>
      <c r="D2" s="113">
        <f t="shared" ca="1" si="0"/>
        <v>25832.671986696805</v>
      </c>
      <c r="E2" s="128">
        <f ca="1">AVERAGE(OFFSET(E$12,0,0,nSim))</f>
        <v>6.8184080240197173E-5</v>
      </c>
      <c r="F2" s="113">
        <f ca="1">AVERAGE(OFFSET(F$12,0,0,nSim))</f>
        <v>10067.620042486955</v>
      </c>
      <c r="G2" s="124">
        <f t="shared" ca="1" si="0"/>
        <v>0.65539027292716223</v>
      </c>
      <c r="H2" s="126">
        <f t="shared" ca="1" si="0"/>
        <v>30.95810022220444</v>
      </c>
      <c r="I2" s="128">
        <f t="shared" ca="1" si="0"/>
        <v>30.958098543677135</v>
      </c>
      <c r="J2" s="124">
        <f t="shared" ca="1" si="0"/>
        <v>0.14018473019866709</v>
      </c>
      <c r="K2" s="126">
        <f t="shared" ca="1" si="0"/>
        <v>30.958053821652076</v>
      </c>
      <c r="L2" s="128">
        <f t="shared" ca="1" si="0"/>
        <v>30.958030359596894</v>
      </c>
      <c r="M2" s="113">
        <f t="shared" ca="1" si="0"/>
        <v>11.992000000000001</v>
      </c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</row>
    <row r="3" spans="1:52" s="114" customFormat="1" x14ac:dyDescent="0.3">
      <c r="A3" s="28" t="s">
        <v>2</v>
      </c>
      <c r="B3" s="124">
        <f t="shared" ref="B3:M3" ca="1" si="1">STDEV(OFFSET(B$12,0,0,nSim))</f>
        <v>0.18755896537793268</v>
      </c>
      <c r="C3" s="126">
        <f t="shared" ca="1" si="1"/>
        <v>4.1651036086830293E-5</v>
      </c>
      <c r="D3" s="113">
        <f t="shared" ca="1" si="1"/>
        <v>33303.171611728852</v>
      </c>
      <c r="E3" s="128">
        <f ca="1">STDEV(OFFSET(E$12,0,0,nSim))</f>
        <v>4.0926075825856798E-5</v>
      </c>
      <c r="F3" s="113">
        <f ca="1">STDEV(OFFSET(F$12,0,0,nSim))</f>
        <v>6084.8455029016559</v>
      </c>
      <c r="G3" s="124">
        <f t="shared" ca="1" si="1"/>
        <v>0.18754312617501981</v>
      </c>
      <c r="H3" s="126">
        <f t="shared" ca="1" si="1"/>
        <v>3.0168422435265234E-6</v>
      </c>
      <c r="I3" s="128">
        <f t="shared" ca="1" si="1"/>
        <v>4.0717085162378692E-6</v>
      </c>
      <c r="J3" s="124">
        <f t="shared" ca="1" si="1"/>
        <v>0.1276738439748264</v>
      </c>
      <c r="K3" s="126">
        <f t="shared" ca="1" si="1"/>
        <v>4.2720910701189161E-5</v>
      </c>
      <c r="L3" s="128">
        <f t="shared" ca="1" si="1"/>
        <v>4.2088447230243163E-5</v>
      </c>
      <c r="M3" s="113">
        <f t="shared" ca="1" si="1"/>
        <v>1.9778391865487535</v>
      </c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</row>
    <row r="4" spans="1:52" s="114" customFormat="1" x14ac:dyDescent="0.3">
      <c r="A4" s="28" t="s">
        <v>270</v>
      </c>
      <c r="B4" s="124">
        <f t="shared" ref="B4:M4" ca="1" si="2">PERCENTILE(OFFSET(B$12,0,0,nSim),0.5)</f>
        <v>0.50173989313945067</v>
      </c>
      <c r="C4" s="126">
        <f t="shared" ca="1" si="2"/>
        <v>3.4212041345682564E-5</v>
      </c>
      <c r="D4" s="113">
        <f t="shared" ca="1" si="2"/>
        <v>15278.155544802963</v>
      </c>
      <c r="E4" s="128">
        <f ca="1">PERCENTILE(OFFSET(E$12,0,0,nSim),0.5)</f>
        <v>5.8147490603843721E-5</v>
      </c>
      <c r="F4" s="113">
        <f ca="1">PERCENTILE(OFFSET(F$12,0,0,nSim),0.5)</f>
        <v>9164.4751558399876</v>
      </c>
      <c r="G4" s="124">
        <f t="shared" ca="1" si="2"/>
        <v>0.63373621066766905</v>
      </c>
      <c r="H4" s="126">
        <f t="shared" ca="1" si="2"/>
        <v>30.958101195826686</v>
      </c>
      <c r="I4" s="128">
        <f t="shared" ca="1" si="2"/>
        <v>30.958099680285343</v>
      </c>
      <c r="J4" s="124">
        <f t="shared" ca="1" si="2"/>
        <v>0.10097855647445531</v>
      </c>
      <c r="K4" s="126">
        <f t="shared" ca="1" si="2"/>
        <v>30.958066083267454</v>
      </c>
      <c r="L4" s="128">
        <f t="shared" ca="1" si="2"/>
        <v>30.958040585203555</v>
      </c>
      <c r="M4" s="113">
        <f t="shared" ca="1" si="2"/>
        <v>12</v>
      </c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</row>
    <row r="5" spans="1:52" s="114" customFormat="1" x14ac:dyDescent="0.3">
      <c r="A5" s="28" t="s">
        <v>3</v>
      </c>
      <c r="B5" s="124">
        <f t="shared" ref="B5:M5" ca="1" si="3">PERCENTILE(OFFSET(B$12,0,0,nSim),0.025)</f>
        <v>0.16104425002069556</v>
      </c>
      <c r="C5" s="126">
        <f t="shared" ca="1" si="3"/>
        <v>4.7794960750913161E-6</v>
      </c>
      <c r="D5" s="113">
        <f t="shared" ca="1" si="3"/>
        <v>1973.7192530081581</v>
      </c>
      <c r="E5" s="128">
        <f ca="1">PERCENTILE(OFFSET(E$12,0,0,nSim),0.025)</f>
        <v>2.0446661846396096E-5</v>
      </c>
      <c r="F5" s="113">
        <f ca="1">PERCENTILE(OFFSET(F$12,0,0,nSim),0.025)</f>
        <v>1629.4698987334191</v>
      </c>
      <c r="G5" s="124">
        <f t="shared" ca="1" si="3"/>
        <v>0.35499359036288147</v>
      </c>
      <c r="H5" s="126">
        <f t="shared" ca="1" si="3"/>
        <v>30.958093312614579</v>
      </c>
      <c r="I5" s="128">
        <f t="shared" ca="1" si="3"/>
        <v>30.958088986828837</v>
      </c>
      <c r="J5" s="124">
        <f t="shared" ca="1" si="3"/>
        <v>1.8615516953922676E-2</v>
      </c>
      <c r="K5" s="126">
        <f t="shared" ca="1" si="3"/>
        <v>30.957933987094474</v>
      </c>
      <c r="L5" s="128">
        <f t="shared" ca="1" si="3"/>
        <v>30.957916633767983</v>
      </c>
      <c r="M5" s="113">
        <f t="shared" ca="1" si="3"/>
        <v>9</v>
      </c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</row>
    <row r="6" spans="1:52" s="114" customFormat="1" x14ac:dyDescent="0.3">
      <c r="A6" s="28" t="s">
        <v>4</v>
      </c>
      <c r="B6" s="124">
        <f t="shared" ref="B6:M6" ca="1" si="4">PERCENTILE(OFFSET(B$12,0,0,nSim),0.975)</f>
        <v>0.92971742687449421</v>
      </c>
      <c r="C6" s="126">
        <f t="shared" ca="1" si="4"/>
        <v>1.6415787258798885E-4</v>
      </c>
      <c r="D6" s="113">
        <f t="shared" ca="1" si="4"/>
        <v>115288.05397535708</v>
      </c>
      <c r="E6" s="128">
        <f ca="1">PERCENTILE(OFFSET(E$12,0,0,nSim),0.975)</f>
        <v>1.8052928108920339E-4</v>
      </c>
      <c r="F6" s="113">
        <f ca="1">PERCENTILE(OFFSET(F$12,0,0,nSim),0.975)</f>
        <v>23838.807931282736</v>
      </c>
      <c r="G6" s="124">
        <f t="shared" ca="1" si="4"/>
        <v>1.0931488775836238</v>
      </c>
      <c r="H6" s="126">
        <f t="shared" ca="1" si="4"/>
        <v>30.958101551195579</v>
      </c>
      <c r="I6" s="128">
        <f t="shared" ca="1" si="4"/>
        <v>30.958101334501873</v>
      </c>
      <c r="J6" s="124">
        <f t="shared" ca="1" si="4"/>
        <v>0.50092336003379689</v>
      </c>
      <c r="K6" s="126">
        <f t="shared" ca="1" si="4"/>
        <v>30.958096594244363</v>
      </c>
      <c r="L6" s="128">
        <f t="shared" ca="1" si="4"/>
        <v>30.958078769965308</v>
      </c>
      <c r="M6" s="113">
        <f t="shared" ca="1" si="4"/>
        <v>15</v>
      </c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</row>
    <row r="7" spans="1:52" s="114" customFormat="1" x14ac:dyDescent="0.3">
      <c r="A7" s="28" t="s">
        <v>16</v>
      </c>
      <c r="B7" s="124"/>
      <c r="C7" s="126"/>
      <c r="D7" s="113"/>
      <c r="E7" s="128"/>
      <c r="F7" s="113"/>
      <c r="G7" s="124"/>
      <c r="H7" s="126"/>
      <c r="I7" s="128"/>
      <c r="J7" s="124"/>
      <c r="K7" s="126"/>
      <c r="L7" s="128"/>
      <c r="M7" s="113">
        <f ca="1">INDEX(LINEST(OFFSET($B$12,0,0,nSim),OFFSET(M$12,0,0,nSim),TRUE,TRUE),3)</f>
        <v>1.0343508649858291E-6</v>
      </c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</row>
    <row r="8" spans="1:52" s="114" customFormat="1" x14ac:dyDescent="0.3">
      <c r="A8" s="28" t="str">
        <f>"R2 ("&amp; unitQALE&amp;")"</f>
        <v>R2 (QALY)</v>
      </c>
      <c r="B8" s="124"/>
      <c r="C8" s="126"/>
      <c r="D8" s="113"/>
      <c r="E8" s="128"/>
      <c r="F8" s="113"/>
      <c r="G8" s="124"/>
      <c r="H8" s="126"/>
      <c r="I8" s="128"/>
      <c r="J8" s="124"/>
      <c r="K8" s="126"/>
      <c r="L8" s="128"/>
      <c r="M8" s="113">
        <f ca="1">INDEX(LINEST(OFFSET($E$12,0,0,nSim),OFFSET(M$12,0,0,nSim),TRUE,TRUE),3)</f>
        <v>5.6471822259082617E-6</v>
      </c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</row>
    <row r="9" spans="1:52" s="114" customFormat="1" x14ac:dyDescent="0.3">
      <c r="A9" s="28" t="str">
        <f>"R2 ("&amp; unitLE&amp;")"</f>
        <v>R2 (LY)</v>
      </c>
      <c r="B9" s="124"/>
      <c r="C9" s="126"/>
      <c r="D9" s="113"/>
      <c r="E9" s="128"/>
      <c r="F9" s="113"/>
      <c r="G9" s="124"/>
      <c r="H9" s="126"/>
      <c r="I9" s="128"/>
      <c r="J9" s="124"/>
      <c r="K9" s="126"/>
      <c r="L9" s="128"/>
      <c r="M9" s="113">
        <f ca="1">INDEX(LINEST(OFFSET($C$12,0,0,nSim),OFFSET(M$12,0,0,nSim),TRUE,TRUE),3)</f>
        <v>7.4388561797772074E-6</v>
      </c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</row>
    <row r="10" spans="1:52" s="114" customFormat="1" x14ac:dyDescent="0.3">
      <c r="A10" s="48"/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115"/>
      <c r="AZ10" s="115"/>
    </row>
    <row r="11" spans="1:52" s="114" customFormat="1" x14ac:dyDescent="0.3">
      <c r="A11" s="51" t="s">
        <v>103</v>
      </c>
      <c r="B11" s="125" t="e">
        <f ca="1">$G11-$J11</f>
        <v>#REF!</v>
      </c>
      <c r="C11" s="127" t="e">
        <f ca="1">$H11-$K11</f>
        <v>#REF!</v>
      </c>
      <c r="D11" s="116" t="e">
        <f ca="1">$B11/$C11</f>
        <v>#REF!</v>
      </c>
      <c r="E11" s="129" t="e">
        <f ca="1">$I11-$L11</f>
        <v>#REF!</v>
      </c>
      <c r="F11" s="116" t="e">
        <f ca="1">$B11/$E11</f>
        <v>#REF!</v>
      </c>
      <c r="G11" s="125" t="e" cm="1">
        <f t="array" aca="1" ref="G11" ca="1">INDIRECT(G1)</f>
        <v>#REF!</v>
      </c>
      <c r="H11" s="127" t="e" cm="1">
        <f t="array" aca="1" ref="H11" ca="1">INDIRECT(H1)</f>
        <v>#REF!</v>
      </c>
      <c r="I11" s="129" t="e" cm="1">
        <f t="array" aca="1" ref="I11" ca="1">INDIRECT(I1)</f>
        <v>#REF!</v>
      </c>
      <c r="J11" s="125" t="e" cm="1">
        <f t="array" aca="1" ref="J11" ca="1">INDIRECT(J1)</f>
        <v>#REF!</v>
      </c>
      <c r="K11" s="127" t="e" cm="1">
        <f t="array" aca="1" ref="K11" ca="1">INDIRECT(K1)</f>
        <v>#REF!</v>
      </c>
      <c r="L11" s="129" t="e" cm="1">
        <f t="array" aca="1" ref="L11" ca="1">INDIRECT(L1)</f>
        <v>#REF!</v>
      </c>
      <c r="M11" s="116" t="e" cm="1">
        <f t="array" aca="1" ref="M11" ca="1">INDIRECT(M1)</f>
        <v>#REF!</v>
      </c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</row>
    <row r="12" spans="1:52" x14ac:dyDescent="0.3">
      <c r="A12" s="14">
        <v>1</v>
      </c>
      <c r="B12" s="14">
        <v>0.30777704850421</v>
      </c>
      <c r="C12" s="14">
        <v>9.94383410350963E-5</v>
      </c>
      <c r="D12" s="14">
        <v>3095.1546988860314</v>
      </c>
      <c r="E12" s="14">
        <v>1.0975793011880342E-4</v>
      </c>
      <c r="F12" s="14">
        <v>2804.1440665933487</v>
      </c>
      <c r="G12" s="14">
        <v>0.59923823553454969</v>
      </c>
      <c r="H12" s="14">
        <v>30.958098771414953</v>
      </c>
      <c r="I12" s="14">
        <v>30.958098269004005</v>
      </c>
      <c r="J12" s="14">
        <v>0.29146118703033969</v>
      </c>
      <c r="K12" s="14">
        <v>30.957999333073918</v>
      </c>
      <c r="L12" s="14">
        <v>30.957988511073886</v>
      </c>
      <c r="M12" s="14">
        <v>11</v>
      </c>
    </row>
    <row r="13" spans="1:52" x14ac:dyDescent="0.3">
      <c r="A13" s="14">
        <v>2</v>
      </c>
      <c r="B13" s="14">
        <v>0.55447105233393079</v>
      </c>
      <c r="C13" s="14">
        <v>4.7404845300746956E-5</v>
      </c>
      <c r="D13" s="14">
        <v>11696.505891248928</v>
      </c>
      <c r="E13" s="14">
        <v>7.5334869926280135E-5</v>
      </c>
      <c r="F13" s="14">
        <v>7360.0850824659983</v>
      </c>
      <c r="G13" s="14">
        <v>0.6491634229153771</v>
      </c>
      <c r="H13" s="14">
        <v>30.958099010388953</v>
      </c>
      <c r="I13" s="14">
        <v>30.958095883481622</v>
      </c>
      <c r="J13" s="14">
        <v>9.469237058144632E-2</v>
      </c>
      <c r="K13" s="14">
        <v>30.958051605543652</v>
      </c>
      <c r="L13" s="14">
        <v>30.958020548611696</v>
      </c>
      <c r="M13" s="14">
        <v>12</v>
      </c>
    </row>
    <row r="14" spans="1:52" x14ac:dyDescent="0.3">
      <c r="A14" s="14">
        <v>3</v>
      </c>
      <c r="B14" s="14">
        <v>0.3812620274153507</v>
      </c>
      <c r="C14" s="14">
        <v>1.0989490561996718E-5</v>
      </c>
      <c r="D14" s="14">
        <v>34693.330438247169</v>
      </c>
      <c r="E14" s="14">
        <v>2.0449315069726026E-5</v>
      </c>
      <c r="F14" s="14">
        <v>18644.244372750953</v>
      </c>
      <c r="G14" s="14">
        <v>0.44252530022313535</v>
      </c>
      <c r="H14" s="14">
        <v>30.958096488194816</v>
      </c>
      <c r="I14" s="14">
        <v>30.958090912785206</v>
      </c>
      <c r="J14" s="14">
        <v>6.1263272807784638E-2</v>
      </c>
      <c r="K14" s="14">
        <v>30.958085498704254</v>
      </c>
      <c r="L14" s="14">
        <v>30.958070463470136</v>
      </c>
      <c r="M14" s="14">
        <v>12</v>
      </c>
    </row>
    <row r="15" spans="1:52" x14ac:dyDescent="0.3">
      <c r="A15" s="14">
        <v>4</v>
      </c>
      <c r="B15" s="14">
        <v>0.75654540534544334</v>
      </c>
      <c r="C15" s="14">
        <v>9.1935887880367773E-6</v>
      </c>
      <c r="D15" s="14">
        <v>82290.542114511743</v>
      </c>
      <c r="E15" s="14">
        <v>3.3612803502336419E-5</v>
      </c>
      <c r="F15" s="14">
        <v>22507.655610840553</v>
      </c>
      <c r="G15" s="14">
        <v>0.8027354815801282</v>
      </c>
      <c r="H15" s="14">
        <v>30.958101548370145</v>
      </c>
      <c r="I15" s="14">
        <v>30.958099965030851</v>
      </c>
      <c r="J15" s="14">
        <v>4.6190076234684886E-2</v>
      </c>
      <c r="K15" s="14">
        <v>30.958092354781357</v>
      </c>
      <c r="L15" s="14">
        <v>30.958066352227348</v>
      </c>
      <c r="M15" s="14">
        <v>12</v>
      </c>
    </row>
    <row r="16" spans="1:52" x14ac:dyDescent="0.3">
      <c r="A16" s="14">
        <v>5</v>
      </c>
      <c r="B16" s="14">
        <v>0.56239970033740883</v>
      </c>
      <c r="C16" s="14">
        <v>5.0089708878431338E-6</v>
      </c>
      <c r="D16" s="14">
        <v>112278.49251477253</v>
      </c>
      <c r="E16" s="14">
        <v>2.3442394308403891E-5</v>
      </c>
      <c r="F16" s="14">
        <v>23990.710715747729</v>
      </c>
      <c r="G16" s="14">
        <v>0.58100236388809112</v>
      </c>
      <c r="H16" s="14">
        <v>30.958101549952257</v>
      </c>
      <c r="I16" s="14">
        <v>30.958100670806147</v>
      </c>
      <c r="J16" s="14">
        <v>1.8602663550682345E-2</v>
      </c>
      <c r="K16" s="14">
        <v>30.958096540981369</v>
      </c>
      <c r="L16" s="14">
        <v>30.958077228411838</v>
      </c>
      <c r="M16" s="14">
        <v>14</v>
      </c>
    </row>
    <row r="17" spans="1:13" x14ac:dyDescent="0.3">
      <c r="A17" s="14">
        <v>6</v>
      </c>
      <c r="B17" s="14">
        <v>0.58671426368644986</v>
      </c>
      <c r="C17" s="14">
        <v>1.5006695704755657E-5</v>
      </c>
      <c r="D17" s="14">
        <v>39096.832189415203</v>
      </c>
      <c r="E17" s="14">
        <v>4.1081552396349252E-5</v>
      </c>
      <c r="F17" s="14">
        <v>14281.696514920131</v>
      </c>
      <c r="G17" s="14">
        <v>0.64375826504395117</v>
      </c>
      <c r="H17" s="14">
        <v>30.958101537124946</v>
      </c>
      <c r="I17" s="14">
        <v>30.958101506939158</v>
      </c>
      <c r="J17" s="14">
        <v>5.7044001357501276E-2</v>
      </c>
      <c r="K17" s="14">
        <v>30.958086530429242</v>
      </c>
      <c r="L17" s="14">
        <v>30.958060425386762</v>
      </c>
      <c r="M17" s="14">
        <v>14</v>
      </c>
    </row>
    <row r="18" spans="1:13" x14ac:dyDescent="0.3">
      <c r="A18" s="14">
        <v>7</v>
      </c>
      <c r="B18" s="14">
        <v>0.67987857814432473</v>
      </c>
      <c r="C18" s="14">
        <v>2.8068164667161E-5</v>
      </c>
      <c r="D18" s="14">
        <v>24222.409487990659</v>
      </c>
      <c r="E18" s="14">
        <v>6.0905694201807137E-5</v>
      </c>
      <c r="F18" s="14">
        <v>11162.80812581481</v>
      </c>
      <c r="G18" s="14">
        <v>0.73822333693161934</v>
      </c>
      <c r="H18" s="14">
        <v>30.958101521580261</v>
      </c>
      <c r="I18" s="14">
        <v>30.958101204224469</v>
      </c>
      <c r="J18" s="14">
        <v>5.8344758787294608E-2</v>
      </c>
      <c r="K18" s="14">
        <v>30.958073453415594</v>
      </c>
      <c r="L18" s="14">
        <v>30.958040298530268</v>
      </c>
      <c r="M18" s="14">
        <v>15</v>
      </c>
    </row>
    <row r="19" spans="1:13" x14ac:dyDescent="0.3">
      <c r="A19" s="14">
        <v>8</v>
      </c>
      <c r="B19" s="14">
        <v>0.68705403635912776</v>
      </c>
      <c r="C19" s="14">
        <v>1.2315164018161795E-4</v>
      </c>
      <c r="D19" s="14">
        <v>5578.9272099494119</v>
      </c>
      <c r="E19" s="14">
        <v>1.5540111890288699E-4</v>
      </c>
      <c r="F19" s="14">
        <v>4421.1653121267445</v>
      </c>
      <c r="G19" s="14">
        <v>1.0087538460392844</v>
      </c>
      <c r="H19" s="14">
        <v>30.958095756793632</v>
      </c>
      <c r="I19" s="14">
        <v>30.958092547070908</v>
      </c>
      <c r="J19" s="14">
        <v>0.32169980968015671</v>
      </c>
      <c r="K19" s="14">
        <v>30.957972605153451</v>
      </c>
      <c r="L19" s="14">
        <v>30.957937145952005</v>
      </c>
      <c r="M19" s="14">
        <v>15</v>
      </c>
    </row>
    <row r="20" spans="1:13" x14ac:dyDescent="0.3">
      <c r="A20" s="14">
        <v>9</v>
      </c>
      <c r="B20" s="14">
        <v>0.34900585035560561</v>
      </c>
      <c r="C20" s="14">
        <v>4.5990439559773222E-5</v>
      </c>
      <c r="D20" s="14">
        <v>7588.6608977069436</v>
      </c>
      <c r="E20" s="14">
        <v>6.1221932387667266E-5</v>
      </c>
      <c r="F20" s="14">
        <v>5700.6670117114827</v>
      </c>
      <c r="G20" s="14">
        <v>0.49245693565344673</v>
      </c>
      <c r="H20" s="14">
        <v>30.958101551433387</v>
      </c>
      <c r="I20" s="14">
        <v>30.958100229787078</v>
      </c>
      <c r="J20" s="14">
        <v>0.14345108529784112</v>
      </c>
      <c r="K20" s="14">
        <v>30.958055560993827</v>
      </c>
      <c r="L20" s="14">
        <v>30.958039007854691</v>
      </c>
      <c r="M20" s="14">
        <v>14</v>
      </c>
    </row>
    <row r="21" spans="1:13" x14ac:dyDescent="0.3">
      <c r="A21" s="14">
        <v>10</v>
      </c>
      <c r="B21" s="14">
        <v>0.51805286598283296</v>
      </c>
      <c r="C21" s="14">
        <v>5.0186234677340735E-5</v>
      </c>
      <c r="D21" s="14">
        <v>10322.608765401874</v>
      </c>
      <c r="E21" s="14">
        <v>7.6006031008546415E-5</v>
      </c>
      <c r="F21" s="14">
        <v>6815.9441969095988</v>
      </c>
      <c r="G21" s="14">
        <v>0.63609472490252394</v>
      </c>
      <c r="H21" s="14">
        <v>30.95810134487153</v>
      </c>
      <c r="I21" s="14">
        <v>30.958100269222058</v>
      </c>
      <c r="J21" s="14">
        <v>0.11804185891969103</v>
      </c>
      <c r="K21" s="14">
        <v>30.958051158636852</v>
      </c>
      <c r="L21" s="14">
        <v>30.958024263191049</v>
      </c>
      <c r="M21" s="14">
        <v>14</v>
      </c>
    </row>
    <row r="22" spans="1:13" x14ac:dyDescent="0.3">
      <c r="A22" s="14">
        <v>11</v>
      </c>
      <c r="B22" s="14">
        <v>0.38851986155885559</v>
      </c>
      <c r="C22" s="14">
        <v>1.0057051471434875E-4</v>
      </c>
      <c r="D22" s="14">
        <v>3863.1587266145721</v>
      </c>
      <c r="E22" s="14">
        <v>1.162889497798858E-4</v>
      </c>
      <c r="F22" s="14">
        <v>3340.9869320709686</v>
      </c>
      <c r="G22" s="14">
        <v>0.5445766194850028</v>
      </c>
      <c r="H22" s="14">
        <v>30.958101445817629</v>
      </c>
      <c r="I22" s="14">
        <v>30.958101338150172</v>
      </c>
      <c r="J22" s="14">
        <v>0.1560567579261472</v>
      </c>
      <c r="K22" s="14">
        <v>30.958000875302915</v>
      </c>
      <c r="L22" s="14">
        <v>30.957985049200392</v>
      </c>
      <c r="M22" s="14">
        <v>13</v>
      </c>
    </row>
    <row r="23" spans="1:13" x14ac:dyDescent="0.3">
      <c r="A23" s="14">
        <v>12</v>
      </c>
      <c r="B23" s="14">
        <v>0.52790915683969986</v>
      </c>
      <c r="C23" s="14">
        <v>3.5904727575086781E-5</v>
      </c>
      <c r="D23" s="14">
        <v>14703.05423528684</v>
      </c>
      <c r="E23" s="14">
        <v>5.2242673241664761E-5</v>
      </c>
      <c r="F23" s="14">
        <v>10104.941498642145</v>
      </c>
      <c r="G23" s="14">
        <v>0.59202988001441414</v>
      </c>
      <c r="H23" s="14">
        <v>30.958101516276948</v>
      </c>
      <c r="I23" s="14">
        <v>30.958099645613135</v>
      </c>
      <c r="J23" s="14">
        <v>6.4120723174714303E-2</v>
      </c>
      <c r="K23" s="14">
        <v>30.958065611549372</v>
      </c>
      <c r="L23" s="14">
        <v>30.958047402939894</v>
      </c>
      <c r="M23" s="14">
        <v>11</v>
      </c>
    </row>
    <row r="24" spans="1:13" x14ac:dyDescent="0.3">
      <c r="A24" s="14">
        <v>13</v>
      </c>
      <c r="B24" s="14">
        <v>0.94815968039854925</v>
      </c>
      <c r="C24" s="14">
        <v>4.4777055482114747E-5</v>
      </c>
      <c r="D24" s="14">
        <v>21175.123513364379</v>
      </c>
      <c r="E24" s="14">
        <v>1.0264235730517157E-4</v>
      </c>
      <c r="F24" s="14">
        <v>9237.5088149965632</v>
      </c>
      <c r="G24" s="14">
        <v>1.149066612932452</v>
      </c>
      <c r="H24" s="14">
        <v>30.958101282853445</v>
      </c>
      <c r="I24" s="14">
        <v>30.95809962069135</v>
      </c>
      <c r="J24" s="14">
        <v>0.20090693253390277</v>
      </c>
      <c r="K24" s="14">
        <v>30.958056505797963</v>
      </c>
      <c r="L24" s="14">
        <v>30.957996978334045</v>
      </c>
      <c r="M24" s="14">
        <v>10</v>
      </c>
    </row>
    <row r="25" spans="1:13" x14ac:dyDescent="0.3">
      <c r="A25" s="14">
        <v>14</v>
      </c>
      <c r="B25" s="14">
        <v>0.43284431643731652</v>
      </c>
      <c r="C25" s="14">
        <v>7.9645293098451475E-6</v>
      </c>
      <c r="D25" s="14">
        <v>54346.503051004809</v>
      </c>
      <c r="E25" s="14">
        <v>2.3232630081082561E-5</v>
      </c>
      <c r="F25" s="14">
        <v>18630.878851282749</v>
      </c>
      <c r="G25" s="14">
        <v>0.49861870358555077</v>
      </c>
      <c r="H25" s="14">
        <v>30.958101518112283</v>
      </c>
      <c r="I25" s="14">
        <v>30.958100562854511</v>
      </c>
      <c r="J25" s="14">
        <v>6.5774387148234234E-2</v>
      </c>
      <c r="K25" s="14">
        <v>30.958093553582973</v>
      </c>
      <c r="L25" s="14">
        <v>30.95807733022443</v>
      </c>
      <c r="M25" s="14">
        <v>13</v>
      </c>
    </row>
    <row r="26" spans="1:13" x14ac:dyDescent="0.3">
      <c r="A26" s="14">
        <v>15</v>
      </c>
      <c r="B26" s="14">
        <v>0.35414804511941678</v>
      </c>
      <c r="C26" s="14">
        <v>4.3453302200902044E-5</v>
      </c>
      <c r="D26" s="14">
        <v>8150.0835881712355</v>
      </c>
      <c r="E26" s="14">
        <v>5.8044191863615424E-5</v>
      </c>
      <c r="F26" s="14">
        <v>6101.351982840024</v>
      </c>
      <c r="G26" s="14">
        <v>0.48169615878027677</v>
      </c>
      <c r="H26" s="14">
        <v>30.958101551454213</v>
      </c>
      <c r="I26" s="14">
        <v>30.958100545249632</v>
      </c>
      <c r="J26" s="14">
        <v>0.12754811366086</v>
      </c>
      <c r="K26" s="14">
        <v>30.958058098152012</v>
      </c>
      <c r="L26" s="14">
        <v>30.958042501057768</v>
      </c>
      <c r="M26" s="14">
        <v>11</v>
      </c>
    </row>
    <row r="27" spans="1:13" x14ac:dyDescent="0.3">
      <c r="A27" s="14">
        <v>16</v>
      </c>
      <c r="B27" s="14">
        <v>0.11159169613372233</v>
      </c>
      <c r="C27" s="14">
        <v>4.0905236335930795E-5</v>
      </c>
      <c r="D27" s="14">
        <v>2728.0540617657102</v>
      </c>
      <c r="E27" s="14">
        <v>5.22966492368937E-5</v>
      </c>
      <c r="F27" s="14">
        <v>2133.8211484302474</v>
      </c>
      <c r="G27" s="14">
        <v>0.34338669247981912</v>
      </c>
      <c r="H27" s="14">
        <v>30.958099228675518</v>
      </c>
      <c r="I27" s="14">
        <v>30.95809772179323</v>
      </c>
      <c r="J27" s="14">
        <v>0.23179499634609679</v>
      </c>
      <c r="K27" s="14">
        <v>30.958058323439182</v>
      </c>
      <c r="L27" s="14">
        <v>30.958045425143993</v>
      </c>
      <c r="M27" s="14">
        <v>14</v>
      </c>
    </row>
    <row r="28" spans="1:13" x14ac:dyDescent="0.3">
      <c r="A28" s="14">
        <v>17</v>
      </c>
      <c r="B28" s="14">
        <v>0.50064836998902518</v>
      </c>
      <c r="C28" s="14">
        <v>1.7025859744279614E-5</v>
      </c>
      <c r="D28" s="14">
        <v>29405.174100370121</v>
      </c>
      <c r="E28" s="14">
        <v>3.5603198071498809E-5</v>
      </c>
      <c r="F28" s="14">
        <v>14061.893231715212</v>
      </c>
      <c r="G28" s="14">
        <v>0.67678491457982182</v>
      </c>
      <c r="H28" s="14">
        <v>30.95810105441377</v>
      </c>
      <c r="I28" s="14">
        <v>30.958099775376514</v>
      </c>
      <c r="J28" s="14">
        <v>0.17613654459079667</v>
      </c>
      <c r="K28" s="14">
        <v>30.958084028554026</v>
      </c>
      <c r="L28" s="14">
        <v>30.958064172178442</v>
      </c>
      <c r="M28" s="14">
        <v>14</v>
      </c>
    </row>
    <row r="29" spans="1:13" x14ac:dyDescent="0.3">
      <c r="A29" s="14">
        <v>18</v>
      </c>
      <c r="B29" s="14">
        <v>0.33623510553488839</v>
      </c>
      <c r="C29" s="14">
        <v>3.5864573021626711E-5</v>
      </c>
      <c r="D29" s="14">
        <v>9375.1319814161761</v>
      </c>
      <c r="E29" s="14">
        <v>4.7839131415372549E-5</v>
      </c>
      <c r="F29" s="14">
        <v>7028.4533934251813</v>
      </c>
      <c r="G29" s="14">
        <v>0.42554650054503157</v>
      </c>
      <c r="H29" s="14">
        <v>30.958100892452968</v>
      </c>
      <c r="I29" s="14">
        <v>30.958100380608307</v>
      </c>
      <c r="J29" s="14">
        <v>8.9311395010143166E-2</v>
      </c>
      <c r="K29" s="14">
        <v>30.958065027879947</v>
      </c>
      <c r="L29" s="14">
        <v>30.958052541476892</v>
      </c>
      <c r="M29" s="14">
        <v>9</v>
      </c>
    </row>
    <row r="30" spans="1:13" x14ac:dyDescent="0.3">
      <c r="A30" s="14">
        <v>19</v>
      </c>
      <c r="B30" s="14">
        <v>0.38835401340720377</v>
      </c>
      <c r="C30" s="14">
        <v>5.7515273105934739E-5</v>
      </c>
      <c r="D30" s="14">
        <v>6752.1893305089998</v>
      </c>
      <c r="E30" s="14">
        <v>8.6238237454239197E-5</v>
      </c>
      <c r="F30" s="14">
        <v>4503.2693718175424</v>
      </c>
      <c r="G30" s="14">
        <v>0.51482390126681299</v>
      </c>
      <c r="H30" s="14">
        <v>30.95809730125</v>
      </c>
      <c r="I30" s="14">
        <v>30.958094496565003</v>
      </c>
      <c r="J30" s="14">
        <v>0.12646988785960919</v>
      </c>
      <c r="K30" s="14">
        <v>30.958039785976894</v>
      </c>
      <c r="L30" s="14">
        <v>30.958008258327549</v>
      </c>
      <c r="M30" s="14">
        <v>13</v>
      </c>
    </row>
    <row r="31" spans="1:13" x14ac:dyDescent="0.3">
      <c r="A31" s="14">
        <v>20</v>
      </c>
      <c r="B31" s="14">
        <v>0.53383646033558474</v>
      </c>
      <c r="C31" s="14">
        <v>3.3011301670882176E-5</v>
      </c>
      <c r="D31" s="14">
        <v>16171.324162187113</v>
      </c>
      <c r="E31" s="14">
        <v>7.7485046169556426E-5</v>
      </c>
      <c r="F31" s="14">
        <v>6889.541746770321</v>
      </c>
      <c r="G31" s="14">
        <v>0.710682228246444</v>
      </c>
      <c r="H31" s="14">
        <v>30.958101549309092</v>
      </c>
      <c r="I31" s="14">
        <v>30.958098983638262</v>
      </c>
      <c r="J31" s="14">
        <v>0.17684576791085926</v>
      </c>
      <c r="K31" s="14">
        <v>30.958068538007421</v>
      </c>
      <c r="L31" s="14">
        <v>30.958021498592093</v>
      </c>
      <c r="M31" s="14">
        <v>11</v>
      </c>
    </row>
    <row r="32" spans="1:13" x14ac:dyDescent="0.3">
      <c r="A32" s="14">
        <v>21</v>
      </c>
      <c r="B32" s="14">
        <v>0.47877290857562937</v>
      </c>
      <c r="C32" s="14">
        <v>5.1892527146435441E-6</v>
      </c>
      <c r="D32" s="14">
        <v>92262.399791126154</v>
      </c>
      <c r="E32" s="14">
        <v>3.1141353272090555E-5</v>
      </c>
      <c r="F32" s="14">
        <v>15374.184429059938</v>
      </c>
      <c r="G32" s="14">
        <v>0.50349020754132268</v>
      </c>
      <c r="H32" s="14">
        <v>30.958101550917704</v>
      </c>
      <c r="I32" s="14">
        <v>30.958101409147297</v>
      </c>
      <c r="J32" s="14">
        <v>2.4717298965693316E-2</v>
      </c>
      <c r="K32" s="14">
        <v>30.958096361664989</v>
      </c>
      <c r="L32" s="14">
        <v>30.958070267794024</v>
      </c>
      <c r="M32" s="14">
        <v>13</v>
      </c>
    </row>
    <row r="33" spans="1:13" x14ac:dyDescent="0.3">
      <c r="A33" s="14">
        <v>22</v>
      </c>
      <c r="B33" s="14">
        <v>0.44312781121288691</v>
      </c>
      <c r="C33" s="14">
        <v>8.7564530453221323E-6</v>
      </c>
      <c r="D33" s="14">
        <v>50605.857065563141</v>
      </c>
      <c r="E33" s="14">
        <v>3.7091715931580893E-5</v>
      </c>
      <c r="F33" s="14">
        <v>11946.81346180579</v>
      </c>
      <c r="G33" s="14">
        <v>0.48170302166011658</v>
      </c>
      <c r="H33" s="14">
        <v>30.958096181541247</v>
      </c>
      <c r="I33" s="14">
        <v>30.958076470073973</v>
      </c>
      <c r="J33" s="14">
        <v>3.8575210447229696E-2</v>
      </c>
      <c r="K33" s="14">
        <v>30.958087425088202</v>
      </c>
      <c r="L33" s="14">
        <v>30.958039378358041</v>
      </c>
      <c r="M33" s="14">
        <v>11</v>
      </c>
    </row>
    <row r="34" spans="1:13" x14ac:dyDescent="0.3">
      <c r="A34" s="14">
        <v>23</v>
      </c>
      <c r="B34" s="14">
        <v>0.45842886642395064</v>
      </c>
      <c r="C34" s="14">
        <v>4.8596935400269103E-6</v>
      </c>
      <c r="D34" s="14">
        <v>94332.875653186173</v>
      </c>
      <c r="E34" s="14">
        <v>2.5726354866861811E-5</v>
      </c>
      <c r="F34" s="14">
        <v>17819.425596684672</v>
      </c>
      <c r="G34" s="14">
        <v>0.47476958631243538</v>
      </c>
      <c r="H34" s="14">
        <v>30.958101452527004</v>
      </c>
      <c r="I34" s="14">
        <v>30.958099604983477</v>
      </c>
      <c r="J34" s="14">
        <v>1.6340719888484709E-2</v>
      </c>
      <c r="K34" s="14">
        <v>30.958096592833463</v>
      </c>
      <c r="L34" s="14">
        <v>30.95807387862861</v>
      </c>
      <c r="M34" s="14">
        <v>13</v>
      </c>
    </row>
    <row r="35" spans="1:13" x14ac:dyDescent="0.3">
      <c r="A35" s="14">
        <v>24</v>
      </c>
      <c r="B35" s="14">
        <v>0.75287404330544161</v>
      </c>
      <c r="C35" s="14">
        <v>3.2780132208642954E-5</v>
      </c>
      <c r="D35" s="14">
        <v>22967.388859613431</v>
      </c>
      <c r="E35" s="14">
        <v>5.6239524646173322E-5</v>
      </c>
      <c r="F35" s="14">
        <v>13386.920462825588</v>
      </c>
      <c r="G35" s="14">
        <v>0.86486925009357885</v>
      </c>
      <c r="H35" s="14">
        <v>30.958098248580974</v>
      </c>
      <c r="I35" s="14">
        <v>30.958093250939299</v>
      </c>
      <c r="J35" s="14">
        <v>0.11199520678813721</v>
      </c>
      <c r="K35" s="14">
        <v>30.958065468448766</v>
      </c>
      <c r="L35" s="14">
        <v>30.958037011414653</v>
      </c>
      <c r="M35" s="14">
        <v>12</v>
      </c>
    </row>
    <row r="36" spans="1:13" x14ac:dyDescent="0.3">
      <c r="A36" s="14">
        <v>25</v>
      </c>
      <c r="B36" s="14">
        <v>0.85852321521808106</v>
      </c>
      <c r="C36" s="14">
        <v>2.0340771747839881E-5</v>
      </c>
      <c r="D36" s="14">
        <v>42207.012883336312</v>
      </c>
      <c r="E36" s="14">
        <v>5.7880760856221514E-5</v>
      </c>
      <c r="F36" s="14">
        <v>14832.617998071803</v>
      </c>
      <c r="G36" s="14">
        <v>0.91937123103181528</v>
      </c>
      <c r="H36" s="14">
        <v>30.95810152128632</v>
      </c>
      <c r="I36" s="14">
        <v>30.958100323656694</v>
      </c>
      <c r="J36" s="14">
        <v>6.0848015813734224E-2</v>
      </c>
      <c r="K36" s="14">
        <v>30.958081180514572</v>
      </c>
      <c r="L36" s="14">
        <v>30.958042442895838</v>
      </c>
      <c r="M36" s="14">
        <v>11</v>
      </c>
    </row>
    <row r="37" spans="1:13" x14ac:dyDescent="0.3">
      <c r="A37" s="14">
        <v>26</v>
      </c>
      <c r="B37" s="14">
        <v>0.38879745103942737</v>
      </c>
      <c r="C37" s="14">
        <v>4.9158901369139585E-5</v>
      </c>
      <c r="D37" s="14">
        <v>7908.9938995972398</v>
      </c>
      <c r="E37" s="14">
        <v>7.8412174268294166E-5</v>
      </c>
      <c r="F37" s="14">
        <v>4958.3812037799462</v>
      </c>
      <c r="G37" s="14">
        <v>0.50413091062156656</v>
      </c>
      <c r="H37" s="14">
        <v>30.958101133453166</v>
      </c>
      <c r="I37" s="14">
        <v>30.958099338844317</v>
      </c>
      <c r="J37" s="14">
        <v>0.1153334595821392</v>
      </c>
      <c r="K37" s="14">
        <v>30.958051974551797</v>
      </c>
      <c r="L37" s="14">
        <v>30.958020926670049</v>
      </c>
      <c r="M37" s="14">
        <v>11</v>
      </c>
    </row>
    <row r="38" spans="1:13" x14ac:dyDescent="0.3">
      <c r="A38" s="14">
        <v>27</v>
      </c>
      <c r="B38" s="14">
        <v>0.51703820488653074</v>
      </c>
      <c r="C38" s="14">
        <v>9.953211570490339E-6</v>
      </c>
      <c r="D38" s="14">
        <v>51946.871743334115</v>
      </c>
      <c r="E38" s="14">
        <v>2.7717193468390633E-5</v>
      </c>
      <c r="F38" s="14">
        <v>18654.06053741241</v>
      </c>
      <c r="G38" s="14">
        <v>0.59221403532328709</v>
      </c>
      <c r="H38" s="14">
        <v>30.958101035547813</v>
      </c>
      <c r="I38" s="14">
        <v>30.958099422884512</v>
      </c>
      <c r="J38" s="14">
        <v>7.5175830436756408E-2</v>
      </c>
      <c r="K38" s="14">
        <v>30.958091082336242</v>
      </c>
      <c r="L38" s="14">
        <v>30.958071705691044</v>
      </c>
      <c r="M38" s="14">
        <v>12</v>
      </c>
    </row>
    <row r="39" spans="1:13" x14ac:dyDescent="0.3">
      <c r="A39" s="14">
        <v>28</v>
      </c>
      <c r="B39" s="14">
        <v>0.55417617844105571</v>
      </c>
      <c r="C39" s="14">
        <v>3.2726666798765791E-5</v>
      </c>
      <c r="D39" s="14">
        <v>16933.474522433036</v>
      </c>
      <c r="E39" s="14">
        <v>6.4980194920849499E-5</v>
      </c>
      <c r="F39" s="14">
        <v>8528.3859045988047</v>
      </c>
      <c r="G39" s="14">
        <v>0.68851641691912502</v>
      </c>
      <c r="H39" s="14">
        <v>30.958098687267242</v>
      </c>
      <c r="I39" s="14">
        <v>30.958094031399597</v>
      </c>
      <c r="J39" s="14">
        <v>0.13434023847806936</v>
      </c>
      <c r="K39" s="14">
        <v>30.958065960600443</v>
      </c>
      <c r="L39" s="14">
        <v>30.958029051204676</v>
      </c>
      <c r="M39" s="14">
        <v>12</v>
      </c>
    </row>
    <row r="40" spans="1:13" x14ac:dyDescent="0.3">
      <c r="A40" s="14">
        <v>29</v>
      </c>
      <c r="B40" s="14">
        <v>0.60784884047052623</v>
      </c>
      <c r="C40" s="14">
        <v>5.1504695441906279E-6</v>
      </c>
      <c r="D40" s="14">
        <v>118018.14092001331</v>
      </c>
      <c r="E40" s="14">
        <v>2.114834376598651E-5</v>
      </c>
      <c r="F40" s="14">
        <v>28742.148661690804</v>
      </c>
      <c r="G40" s="14">
        <v>0.64612680735192418</v>
      </c>
      <c r="H40" s="14">
        <v>30.958101528596401</v>
      </c>
      <c r="I40" s="14">
        <v>30.958099900320541</v>
      </c>
      <c r="J40" s="14">
        <v>3.8277966881397986E-2</v>
      </c>
      <c r="K40" s="14">
        <v>30.958096378126857</v>
      </c>
      <c r="L40" s="14">
        <v>30.958078751976775</v>
      </c>
      <c r="M40" s="14">
        <v>11</v>
      </c>
    </row>
    <row r="41" spans="1:13" x14ac:dyDescent="0.3">
      <c r="A41" s="14">
        <v>30</v>
      </c>
      <c r="B41" s="14">
        <v>0.48269174138802518</v>
      </c>
      <c r="C41" s="14">
        <v>9.181452748308061E-5</v>
      </c>
      <c r="D41" s="14">
        <v>5257.2480044290878</v>
      </c>
      <c r="E41" s="14">
        <v>1.250688105791653E-4</v>
      </c>
      <c r="F41" s="14">
        <v>3859.4093855437591</v>
      </c>
      <c r="G41" s="14">
        <v>0.67191687067422734</v>
      </c>
      <c r="H41" s="14">
        <v>30.958100992842429</v>
      </c>
      <c r="I41" s="14">
        <v>30.958099873075099</v>
      </c>
      <c r="J41" s="14">
        <v>0.18922512928620219</v>
      </c>
      <c r="K41" s="14">
        <v>30.958009178314946</v>
      </c>
      <c r="L41" s="14">
        <v>30.95797480426452</v>
      </c>
      <c r="M41" s="14">
        <v>15</v>
      </c>
    </row>
    <row r="42" spans="1:13" x14ac:dyDescent="0.3">
      <c r="A42" s="14">
        <v>31</v>
      </c>
      <c r="B42" s="14">
        <v>0.40281895692252445</v>
      </c>
      <c r="C42" s="14">
        <v>2.858553837725708E-5</v>
      </c>
      <c r="D42" s="14">
        <v>14091.70439983775</v>
      </c>
      <c r="E42" s="14">
        <v>3.5454367562692823E-5</v>
      </c>
      <c r="F42" s="14">
        <v>11361.617329944826</v>
      </c>
      <c r="G42" s="14">
        <v>0.4558806061578905</v>
      </c>
      <c r="H42" s="14">
        <v>30.958100817591109</v>
      </c>
      <c r="I42" s="14">
        <v>30.958100370388291</v>
      </c>
      <c r="J42" s="14">
        <v>5.3061649235366021E-2</v>
      </c>
      <c r="K42" s="14">
        <v>30.958072232052732</v>
      </c>
      <c r="L42" s="14">
        <v>30.958064916020728</v>
      </c>
      <c r="M42" s="14">
        <v>11</v>
      </c>
    </row>
    <row r="43" spans="1:13" x14ac:dyDescent="0.3">
      <c r="A43" s="14">
        <v>32</v>
      </c>
      <c r="B43" s="14">
        <v>0.28252097640149609</v>
      </c>
      <c r="C43" s="14">
        <v>3.1817814161172464E-6</v>
      </c>
      <c r="D43" s="14">
        <v>88793.332870194063</v>
      </c>
      <c r="E43" s="14">
        <v>1.5096815026538479E-5</v>
      </c>
      <c r="F43" s="14">
        <v>18713.945683566795</v>
      </c>
      <c r="G43" s="14">
        <v>0.2901056617490182</v>
      </c>
      <c r="H43" s="14">
        <v>30.958100943359863</v>
      </c>
      <c r="I43" s="14">
        <v>30.958098414830634</v>
      </c>
      <c r="J43" s="14">
        <v>7.5846853475220882E-3</v>
      </c>
      <c r="K43" s="14">
        <v>30.958097761578447</v>
      </c>
      <c r="L43" s="14">
        <v>30.958083318015607</v>
      </c>
      <c r="M43" s="14">
        <v>13</v>
      </c>
    </row>
    <row r="44" spans="1:13" x14ac:dyDescent="0.3">
      <c r="A44" s="14">
        <v>33</v>
      </c>
      <c r="B44" s="14">
        <v>0.53387717544111479</v>
      </c>
      <c r="C44" s="14">
        <v>1.8090862802466745E-5</v>
      </c>
      <c r="D44" s="14">
        <v>29510.874150696614</v>
      </c>
      <c r="E44" s="14">
        <v>4.0390654351796229E-5</v>
      </c>
      <c r="F44" s="14">
        <v>13217.839225656728</v>
      </c>
      <c r="G44" s="14">
        <v>0.60812172301642586</v>
      </c>
      <c r="H44" s="14">
        <v>30.958101356059192</v>
      </c>
      <c r="I44" s="14">
        <v>30.958100378443753</v>
      </c>
      <c r="J44" s="14">
        <v>7.4244547575311043E-2</v>
      </c>
      <c r="K44" s="14">
        <v>30.95808326519639</v>
      </c>
      <c r="L44" s="14">
        <v>30.958059987789401</v>
      </c>
      <c r="M44" s="14">
        <v>10</v>
      </c>
    </row>
    <row r="45" spans="1:13" x14ac:dyDescent="0.3">
      <c r="A45" s="14">
        <v>34</v>
      </c>
      <c r="B45" s="14">
        <v>0.49581085905312344</v>
      </c>
      <c r="C45" s="14">
        <v>5.8726191834779229E-5</v>
      </c>
      <c r="D45" s="14">
        <v>8442.7551585166966</v>
      </c>
      <c r="E45" s="14">
        <v>8.849439229763334E-5</v>
      </c>
      <c r="F45" s="14">
        <v>5602.7375992996476</v>
      </c>
      <c r="G45" s="14">
        <v>0.58297195401399815</v>
      </c>
      <c r="H45" s="14">
        <v>30.95810146103257</v>
      </c>
      <c r="I45" s="14">
        <v>30.958099681306141</v>
      </c>
      <c r="J45" s="14">
        <v>8.7161094960874694E-2</v>
      </c>
      <c r="K45" s="14">
        <v>30.958042734840735</v>
      </c>
      <c r="L45" s="14">
        <v>30.958011186913843</v>
      </c>
      <c r="M45" s="14">
        <v>13</v>
      </c>
    </row>
    <row r="46" spans="1:13" x14ac:dyDescent="0.3">
      <c r="A46" s="14">
        <v>35</v>
      </c>
      <c r="B46" s="14">
        <v>0.35958015947196725</v>
      </c>
      <c r="C46" s="14">
        <v>1.5681217892193899E-5</v>
      </c>
      <c r="D46" s="14">
        <v>22930.627068894057</v>
      </c>
      <c r="E46" s="14">
        <v>4.3327723513897354E-5</v>
      </c>
      <c r="F46" s="14">
        <v>8299.0780569542731</v>
      </c>
      <c r="G46" s="14">
        <v>0.40766127709551109</v>
      </c>
      <c r="H46" s="14">
        <v>30.958100939547588</v>
      </c>
      <c r="I46" s="14">
        <v>30.958098626609317</v>
      </c>
      <c r="J46" s="14">
        <v>4.8081117623543834E-2</v>
      </c>
      <c r="K46" s="14">
        <v>30.958085258329696</v>
      </c>
      <c r="L46" s="14">
        <v>30.958055298885803</v>
      </c>
      <c r="M46" s="14">
        <v>12</v>
      </c>
    </row>
    <row r="47" spans="1:13" x14ac:dyDescent="0.3">
      <c r="A47" s="14">
        <v>36</v>
      </c>
      <c r="B47" s="14">
        <v>0.26149826693152622</v>
      </c>
      <c r="C47" s="14">
        <v>5.538963375428807E-5</v>
      </c>
      <c r="D47" s="14">
        <v>4721.0687128127465</v>
      </c>
      <c r="E47" s="14">
        <v>6.9217746226257759E-5</v>
      </c>
      <c r="F47" s="14">
        <v>3777.9078515030706</v>
      </c>
      <c r="G47" s="14">
        <v>0.35718753266032444</v>
      </c>
      <c r="H47" s="14">
        <v>30.958099947483081</v>
      </c>
      <c r="I47" s="14">
        <v>30.958098493589137</v>
      </c>
      <c r="J47" s="14">
        <v>9.5689265728798184E-2</v>
      </c>
      <c r="K47" s="14">
        <v>30.958044557849327</v>
      </c>
      <c r="L47" s="14">
        <v>30.958029275842911</v>
      </c>
      <c r="M47" s="14">
        <v>9</v>
      </c>
    </row>
    <row r="48" spans="1:13" x14ac:dyDescent="0.3">
      <c r="A48" s="14">
        <v>37</v>
      </c>
      <c r="B48" s="14">
        <v>0.63563241947073146</v>
      </c>
      <c r="C48" s="14">
        <v>5.0936788444033709E-5</v>
      </c>
      <c r="D48" s="14">
        <v>12478.847585161877</v>
      </c>
      <c r="E48" s="14">
        <v>7.7635894761840518E-5</v>
      </c>
      <c r="F48" s="14">
        <v>8187.3522733347381</v>
      </c>
      <c r="G48" s="14">
        <v>0.7864611664551675</v>
      </c>
      <c r="H48" s="14">
        <v>30.958101522708461</v>
      </c>
      <c r="I48" s="14">
        <v>30.95809993589102</v>
      </c>
      <c r="J48" s="14">
        <v>0.15082874698443607</v>
      </c>
      <c r="K48" s="14">
        <v>30.958050585920017</v>
      </c>
      <c r="L48" s="14">
        <v>30.958022299996259</v>
      </c>
      <c r="M48" s="14">
        <v>12</v>
      </c>
    </row>
    <row r="49" spans="1:13" x14ac:dyDescent="0.3">
      <c r="A49" s="14">
        <v>38</v>
      </c>
      <c r="B49" s="14">
        <v>0.45897085037040153</v>
      </c>
      <c r="C49" s="14">
        <v>3.889670148637947E-5</v>
      </c>
      <c r="D49" s="14">
        <v>11799.737068479193</v>
      </c>
      <c r="E49" s="14">
        <v>6.1525656832372988E-5</v>
      </c>
      <c r="F49" s="14">
        <v>7459.8285333364311</v>
      </c>
      <c r="G49" s="14">
        <v>0.56098284863190806</v>
      </c>
      <c r="H49" s="14">
        <v>30.958100762590533</v>
      </c>
      <c r="I49" s="14">
        <v>30.958100197678792</v>
      </c>
      <c r="J49" s="14">
        <v>0.10201199826150655</v>
      </c>
      <c r="K49" s="14">
        <v>30.958061865889047</v>
      </c>
      <c r="L49" s="14">
        <v>30.95803867202196</v>
      </c>
      <c r="M49" s="14">
        <v>9</v>
      </c>
    </row>
    <row r="50" spans="1:13" x14ac:dyDescent="0.3">
      <c r="A50" s="14">
        <v>39</v>
      </c>
      <c r="B50" s="14">
        <v>0.43710404924316043</v>
      </c>
      <c r="C50" s="14">
        <v>7.0427934666383862E-6</v>
      </c>
      <c r="D50" s="14">
        <v>62064.01640396189</v>
      </c>
      <c r="E50" s="14">
        <v>4.3401337588733213E-5</v>
      </c>
      <c r="F50" s="14">
        <v>10071.211477054352</v>
      </c>
      <c r="G50" s="14">
        <v>0.44901552524236205</v>
      </c>
      <c r="H50" s="14">
        <v>30.958101282258962</v>
      </c>
      <c r="I50" s="14">
        <v>30.958099787048152</v>
      </c>
      <c r="J50" s="14">
        <v>1.1911475999201594E-2</v>
      </c>
      <c r="K50" s="14">
        <v>30.958094239465495</v>
      </c>
      <c r="L50" s="14">
        <v>30.958056385710563</v>
      </c>
      <c r="M50" s="14">
        <v>14</v>
      </c>
    </row>
    <row r="51" spans="1:13" x14ac:dyDescent="0.3">
      <c r="A51" s="14">
        <v>40</v>
      </c>
      <c r="B51" s="14">
        <v>0.79019000285309438</v>
      </c>
      <c r="C51" s="14">
        <v>2.6153056399635943E-5</v>
      </c>
      <c r="D51" s="14">
        <v>30214.059526292844</v>
      </c>
      <c r="E51" s="14">
        <v>5.1230489511056021E-5</v>
      </c>
      <c r="F51" s="14">
        <v>15424.213400938985</v>
      </c>
      <c r="G51" s="14">
        <v>0.97005986914893183</v>
      </c>
      <c r="H51" s="14">
        <v>30.958101532614432</v>
      </c>
      <c r="I51" s="14">
        <v>30.958099918955085</v>
      </c>
      <c r="J51" s="14">
        <v>0.1798698662958374</v>
      </c>
      <c r="K51" s="14">
        <v>30.958075379558032</v>
      </c>
      <c r="L51" s="14">
        <v>30.958048688465574</v>
      </c>
      <c r="M51" s="14">
        <v>15</v>
      </c>
    </row>
    <row r="52" spans="1:13" x14ac:dyDescent="0.3">
      <c r="A52" s="14">
        <v>41</v>
      </c>
      <c r="B52" s="14">
        <v>0.58317936781324886</v>
      </c>
      <c r="C52" s="14">
        <v>8.2065034977318874E-5</v>
      </c>
      <c r="D52" s="14">
        <v>7106.3074301306024</v>
      </c>
      <c r="E52" s="14">
        <v>1.0932351484527203E-4</v>
      </c>
      <c r="F52" s="14">
        <v>5334.4366821596932</v>
      </c>
      <c r="G52" s="14">
        <v>0.78324037551979597</v>
      </c>
      <c r="H52" s="14">
        <v>30.958101274116334</v>
      </c>
      <c r="I52" s="14">
        <v>30.9581008378196</v>
      </c>
      <c r="J52" s="14">
        <v>0.20006100770654706</v>
      </c>
      <c r="K52" s="14">
        <v>30.958019209081357</v>
      </c>
      <c r="L52" s="14">
        <v>30.957991514304755</v>
      </c>
      <c r="M52" s="14">
        <v>15</v>
      </c>
    </row>
    <row r="53" spans="1:13" x14ac:dyDescent="0.3">
      <c r="A53" s="14">
        <v>42</v>
      </c>
      <c r="B53" s="14">
        <v>0.55109837900306347</v>
      </c>
      <c r="C53" s="14">
        <v>5.7468083298317651E-5</v>
      </c>
      <c r="D53" s="14">
        <v>9589.6425872132149</v>
      </c>
      <c r="E53" s="14">
        <v>7.8925652449157724E-5</v>
      </c>
      <c r="F53" s="14">
        <v>6982.5001365439412</v>
      </c>
      <c r="G53" s="14">
        <v>0.59694710448429689</v>
      </c>
      <c r="H53" s="14">
        <v>30.958096913116485</v>
      </c>
      <c r="I53" s="14">
        <v>30.958092597446694</v>
      </c>
      <c r="J53" s="14">
        <v>4.5848725481233407E-2</v>
      </c>
      <c r="K53" s="14">
        <v>30.958039445033187</v>
      </c>
      <c r="L53" s="14">
        <v>30.958013671794244</v>
      </c>
      <c r="M53" s="14">
        <v>9</v>
      </c>
    </row>
    <row r="54" spans="1:13" x14ac:dyDescent="0.3">
      <c r="A54" s="14">
        <v>43</v>
      </c>
      <c r="B54" s="14">
        <v>0.40113318643145141</v>
      </c>
      <c r="C54" s="14">
        <v>8.7589402820498208E-5</v>
      </c>
      <c r="D54" s="14">
        <v>4579.6999809841809</v>
      </c>
      <c r="E54" s="14">
        <v>9.9270589142719246E-5</v>
      </c>
      <c r="F54" s="14">
        <v>4040.8059415740008</v>
      </c>
      <c r="G54" s="14">
        <v>0.60817541031058953</v>
      </c>
      <c r="H54" s="14">
        <v>30.958101508243544</v>
      </c>
      <c r="I54" s="14">
        <v>30.95810094882339</v>
      </c>
      <c r="J54" s="14">
        <v>0.20704222387913812</v>
      </c>
      <c r="K54" s="14">
        <v>30.958013918840724</v>
      </c>
      <c r="L54" s="14">
        <v>30.958001678234247</v>
      </c>
      <c r="M54" s="14">
        <v>12</v>
      </c>
    </row>
    <row r="55" spans="1:13" x14ac:dyDescent="0.3">
      <c r="A55" s="14">
        <v>44</v>
      </c>
      <c r="B55" s="14">
        <v>0.60905036689953662</v>
      </c>
      <c r="C55" s="14">
        <v>7.4234335308176469E-5</v>
      </c>
      <c r="D55" s="14">
        <v>8204.4294512926463</v>
      </c>
      <c r="E55" s="14">
        <v>1.1074449553305499E-4</v>
      </c>
      <c r="F55" s="14">
        <v>5499.5994515840057</v>
      </c>
      <c r="G55" s="14">
        <v>0.73179165702681981</v>
      </c>
      <c r="H55" s="14">
        <v>30.958101550037995</v>
      </c>
      <c r="I55" s="14">
        <v>30.958101539870786</v>
      </c>
      <c r="J55" s="14">
        <v>0.12274129012728321</v>
      </c>
      <c r="K55" s="14">
        <v>30.958027315702687</v>
      </c>
      <c r="L55" s="14">
        <v>30.957990795375252</v>
      </c>
      <c r="M55" s="14">
        <v>10</v>
      </c>
    </row>
    <row r="56" spans="1:13" x14ac:dyDescent="0.3">
      <c r="A56" s="14">
        <v>45</v>
      </c>
      <c r="B56" s="14">
        <v>0.41493127603995539</v>
      </c>
      <c r="C56" s="14">
        <v>2.1335440955283502E-5</v>
      </c>
      <c r="D56" s="14">
        <v>19447.982205270611</v>
      </c>
      <c r="E56" s="14">
        <v>3.4570474692685593E-5</v>
      </c>
      <c r="F56" s="14">
        <v>12002.475514973081</v>
      </c>
      <c r="G56" s="14">
        <v>0.47473376492132402</v>
      </c>
      <c r="H56" s="14">
        <v>30.958101464557409</v>
      </c>
      <c r="I56" s="14">
        <v>30.958100228254359</v>
      </c>
      <c r="J56" s="14">
        <v>5.9802488881368618E-2</v>
      </c>
      <c r="K56" s="14">
        <v>30.958080129116453</v>
      </c>
      <c r="L56" s="14">
        <v>30.958065657779667</v>
      </c>
      <c r="M56" s="14">
        <v>15</v>
      </c>
    </row>
    <row r="57" spans="1:13" x14ac:dyDescent="0.3">
      <c r="A57" s="14">
        <v>46</v>
      </c>
      <c r="B57" s="14">
        <v>0.27299123364234668</v>
      </c>
      <c r="C57" s="14">
        <v>2.5573485022079012E-5</v>
      </c>
      <c r="D57" s="14">
        <v>10674.77637117734</v>
      </c>
      <c r="E57" s="14">
        <v>4.1005791544534986E-5</v>
      </c>
      <c r="F57" s="14">
        <v>6657.3823686798059</v>
      </c>
      <c r="G57" s="14">
        <v>0.3972808909640384</v>
      </c>
      <c r="H57" s="14">
        <v>30.958101421828729</v>
      </c>
      <c r="I57" s="14">
        <v>30.958101225970726</v>
      </c>
      <c r="J57" s="14">
        <v>0.12428965732169173</v>
      </c>
      <c r="K57" s="14">
        <v>30.958075848343707</v>
      </c>
      <c r="L57" s="14">
        <v>30.958060220179181</v>
      </c>
      <c r="M57" s="14">
        <v>13</v>
      </c>
    </row>
    <row r="58" spans="1:13" x14ac:dyDescent="0.3">
      <c r="A58" s="14">
        <v>47</v>
      </c>
      <c r="B58" s="14">
        <v>6.2986004747965452E-2</v>
      </c>
      <c r="C58" s="14">
        <v>2.726156600374452E-5</v>
      </c>
      <c r="D58" s="14">
        <v>2310.4323771904369</v>
      </c>
      <c r="E58" s="14">
        <v>4.2212127628005192E-5</v>
      </c>
      <c r="F58" s="14">
        <v>1492.1305389538823</v>
      </c>
      <c r="G58" s="14">
        <v>0.67690700497339473</v>
      </c>
      <c r="H58" s="14">
        <v>30.958101501154285</v>
      </c>
      <c r="I58" s="14">
        <v>30.95810068120867</v>
      </c>
      <c r="J58" s="14">
        <v>0.61392100022542928</v>
      </c>
      <c r="K58" s="14">
        <v>30.958074239588282</v>
      </c>
      <c r="L58" s="14">
        <v>30.958058469081042</v>
      </c>
      <c r="M58" s="14">
        <v>9</v>
      </c>
    </row>
    <row r="59" spans="1:13" x14ac:dyDescent="0.3">
      <c r="A59" s="14">
        <v>48</v>
      </c>
      <c r="B59" s="14">
        <v>0.8389737697095565</v>
      </c>
      <c r="C59" s="14">
        <v>4.9949010808347793E-5</v>
      </c>
      <c r="D59" s="14">
        <v>16796.60429970601</v>
      </c>
      <c r="E59" s="14">
        <v>9.4501633842725141E-5</v>
      </c>
      <c r="F59" s="14">
        <v>8877.8758164734299</v>
      </c>
      <c r="G59" s="14">
        <v>0.92901690350528932</v>
      </c>
      <c r="H59" s="14">
        <v>30.958101532634466</v>
      </c>
      <c r="I59" s="14">
        <v>30.958099931612519</v>
      </c>
      <c r="J59" s="14">
        <v>9.0043133795732755E-2</v>
      </c>
      <c r="K59" s="14">
        <v>30.958051583623657</v>
      </c>
      <c r="L59" s="14">
        <v>30.958005429978677</v>
      </c>
      <c r="M59" s="14">
        <v>10</v>
      </c>
    </row>
    <row r="60" spans="1:13" x14ac:dyDescent="0.3">
      <c r="A60" s="14">
        <v>49</v>
      </c>
      <c r="B60" s="14">
        <v>0.38958282302644892</v>
      </c>
      <c r="C60" s="14">
        <v>5.1270598319774763E-5</v>
      </c>
      <c r="D60" s="14">
        <v>7598.5620568853237</v>
      </c>
      <c r="E60" s="14">
        <v>6.1965739906355566E-5</v>
      </c>
      <c r="F60" s="14">
        <v>6287.0680413918699</v>
      </c>
      <c r="G60" s="14">
        <v>0.5750511930615434</v>
      </c>
      <c r="H60" s="14">
        <v>30.958095689537373</v>
      </c>
      <c r="I60" s="14">
        <v>30.958093582297504</v>
      </c>
      <c r="J60" s="14">
        <v>0.18546837003509448</v>
      </c>
      <c r="K60" s="14">
        <v>30.958044418939053</v>
      </c>
      <c r="L60" s="14">
        <v>30.958031616557598</v>
      </c>
      <c r="M60" s="14">
        <v>13</v>
      </c>
    </row>
    <row r="61" spans="1:13" x14ac:dyDescent="0.3">
      <c r="A61" s="14">
        <v>50</v>
      </c>
      <c r="B61" s="14">
        <v>0.56189809919044742</v>
      </c>
      <c r="C61" s="14">
        <v>8.8253500116763917E-6</v>
      </c>
      <c r="D61" s="14">
        <v>63668.647526390152</v>
      </c>
      <c r="E61" s="14">
        <v>2.6511648652416397E-5</v>
      </c>
      <c r="F61" s="14">
        <v>21194.385402328924</v>
      </c>
      <c r="G61" s="14">
        <v>0.63033157489962033</v>
      </c>
      <c r="H61" s="14">
        <v>30.958101547662029</v>
      </c>
      <c r="I61" s="14">
        <v>30.958101369708018</v>
      </c>
      <c r="J61" s="14">
        <v>6.8433475709172908E-2</v>
      </c>
      <c r="K61" s="14">
        <v>30.958092722312017</v>
      </c>
      <c r="L61" s="14">
        <v>30.958074858059366</v>
      </c>
      <c r="M61" s="14">
        <v>15</v>
      </c>
    </row>
    <row r="62" spans="1:13" x14ac:dyDescent="0.3">
      <c r="A62" s="14">
        <v>51</v>
      </c>
      <c r="B62" s="14">
        <v>0.61365652494669798</v>
      </c>
      <c r="C62" s="14">
        <v>2.8545929300349826E-5</v>
      </c>
      <c r="D62" s="14">
        <v>21497.164043602454</v>
      </c>
      <c r="E62" s="14">
        <v>5.4913531570832674E-5</v>
      </c>
      <c r="F62" s="14">
        <v>11174.960112611692</v>
      </c>
      <c r="G62" s="14">
        <v>0.73058386982378731</v>
      </c>
      <c r="H62" s="14">
        <v>30.958100975762747</v>
      </c>
      <c r="I62" s="14">
        <v>30.958098339539809</v>
      </c>
      <c r="J62" s="14">
        <v>0.11692734487708929</v>
      </c>
      <c r="K62" s="14">
        <v>30.958072429833447</v>
      </c>
      <c r="L62" s="14">
        <v>30.958043426008238</v>
      </c>
      <c r="M62" s="14">
        <v>14</v>
      </c>
    </row>
    <row r="63" spans="1:13" x14ac:dyDescent="0.3">
      <c r="A63" s="14">
        <v>52</v>
      </c>
      <c r="B63" s="14">
        <v>0.4944515253828673</v>
      </c>
      <c r="C63" s="14">
        <v>7.2927114597831633E-5</v>
      </c>
      <c r="D63" s="14">
        <v>6780.0780012975993</v>
      </c>
      <c r="E63" s="14">
        <v>9.7058849704012573E-5</v>
      </c>
      <c r="F63" s="14">
        <v>5094.3476755672473</v>
      </c>
      <c r="G63" s="14">
        <v>0.78459744982446356</v>
      </c>
      <c r="H63" s="14">
        <v>30.958101301052846</v>
      </c>
      <c r="I63" s="14">
        <v>30.95809861748684</v>
      </c>
      <c r="J63" s="14">
        <v>0.29014592444159626</v>
      </c>
      <c r="K63" s="14">
        <v>30.958028373938248</v>
      </c>
      <c r="L63" s="14">
        <v>30.958001558637136</v>
      </c>
      <c r="M63" s="14">
        <v>15</v>
      </c>
    </row>
    <row r="64" spans="1:13" x14ac:dyDescent="0.3">
      <c r="A64" s="14">
        <v>53</v>
      </c>
      <c r="B64" s="14">
        <v>0.71215766715875151</v>
      </c>
      <c r="C64" s="14">
        <v>2.6574194741613155E-5</v>
      </c>
      <c r="D64" s="14">
        <v>26798.842790279065</v>
      </c>
      <c r="E64" s="14">
        <v>6.568307123089312E-5</v>
      </c>
      <c r="F64" s="14">
        <v>10842.332031876702</v>
      </c>
      <c r="G64" s="14">
        <v>0.81874142994222321</v>
      </c>
      <c r="H64" s="14">
        <v>30.958101456010795</v>
      </c>
      <c r="I64" s="14">
        <v>30.958098311036704</v>
      </c>
      <c r="J64" s="14">
        <v>0.1065837627834717</v>
      </c>
      <c r="K64" s="14">
        <v>30.958074881816053</v>
      </c>
      <c r="L64" s="14">
        <v>30.958032627965473</v>
      </c>
      <c r="M64" s="14">
        <v>13</v>
      </c>
    </row>
    <row r="65" spans="1:13" x14ac:dyDescent="0.3">
      <c r="A65" s="14">
        <v>54</v>
      </c>
      <c r="B65" s="14">
        <v>0.52598287301051849</v>
      </c>
      <c r="C65" s="14">
        <v>2.0052975461481992E-5</v>
      </c>
      <c r="D65" s="14">
        <v>26229.667214266185</v>
      </c>
      <c r="E65" s="14">
        <v>3.5933154926226507E-5</v>
      </c>
      <c r="F65" s="14">
        <v>14637.81496755298</v>
      </c>
      <c r="G65" s="14">
        <v>0.56619724532558624</v>
      </c>
      <c r="H65" s="14">
        <v>30.958101509291279</v>
      </c>
      <c r="I65" s="14">
        <v>30.958101070541545</v>
      </c>
      <c r="J65" s="14">
        <v>4.021437231506772E-2</v>
      </c>
      <c r="K65" s="14">
        <v>30.958081456315817</v>
      </c>
      <c r="L65" s="14">
        <v>30.958065137386619</v>
      </c>
      <c r="M65" s="14">
        <v>15</v>
      </c>
    </row>
    <row r="66" spans="1:13" x14ac:dyDescent="0.3">
      <c r="A66" s="14">
        <v>55</v>
      </c>
      <c r="B66" s="14">
        <v>0.52055480436057611</v>
      </c>
      <c r="C66" s="14">
        <v>5.4464110380791908E-5</v>
      </c>
      <c r="D66" s="14">
        <v>9557.7583241708908</v>
      </c>
      <c r="E66" s="14">
        <v>8.7237171712217787E-5</v>
      </c>
      <c r="F66" s="14">
        <v>5967.1215164770301</v>
      </c>
      <c r="G66" s="14">
        <v>0.59341743373009936</v>
      </c>
      <c r="H66" s="14">
        <v>30.958101101842342</v>
      </c>
      <c r="I66" s="14">
        <v>30.958100653046309</v>
      </c>
      <c r="J66" s="14">
        <v>7.2862629369523202E-2</v>
      </c>
      <c r="K66" s="14">
        <v>30.958046637731961</v>
      </c>
      <c r="L66" s="14">
        <v>30.958013415874596</v>
      </c>
      <c r="M66" s="14">
        <v>13</v>
      </c>
    </row>
    <row r="67" spans="1:13" x14ac:dyDescent="0.3">
      <c r="A67" s="14">
        <v>56</v>
      </c>
      <c r="B67" s="14">
        <v>0.41683636933757967</v>
      </c>
      <c r="C67" s="14">
        <v>6.4031422049026787E-6</v>
      </c>
      <c r="D67" s="14">
        <v>65098.721221343723</v>
      </c>
      <c r="E67" s="14">
        <v>2.8924867802260223E-5</v>
      </c>
      <c r="F67" s="14">
        <v>14411.003437844842</v>
      </c>
      <c r="G67" s="14">
        <v>0.4378121971830875</v>
      </c>
      <c r="H67" s="14">
        <v>30.958101544111937</v>
      </c>
      <c r="I67" s="14">
        <v>30.958100697257322</v>
      </c>
      <c r="J67" s="14">
        <v>2.097582784550784E-2</v>
      </c>
      <c r="K67" s="14">
        <v>30.958095140969732</v>
      </c>
      <c r="L67" s="14">
        <v>30.95807177238952</v>
      </c>
      <c r="M67" s="14">
        <v>15</v>
      </c>
    </row>
    <row r="68" spans="1:13" x14ac:dyDescent="0.3">
      <c r="A68" s="14">
        <v>57</v>
      </c>
      <c r="B68" s="14">
        <v>0.50286928713155032</v>
      </c>
      <c r="C68" s="14">
        <v>3.8605833413640767E-5</v>
      </c>
      <c r="D68" s="14">
        <v>13025.733229058314</v>
      </c>
      <c r="E68" s="14">
        <v>5.8517339631691812E-5</v>
      </c>
      <c r="F68" s="14">
        <v>8593.5090401684374</v>
      </c>
      <c r="G68" s="14">
        <v>0.56319209966641348</v>
      </c>
      <c r="H68" s="14">
        <v>30.958101305403499</v>
      </c>
      <c r="I68" s="14">
        <v>30.958100387003803</v>
      </c>
      <c r="J68" s="14">
        <v>6.0322812534863116E-2</v>
      </c>
      <c r="K68" s="14">
        <v>30.958062699570085</v>
      </c>
      <c r="L68" s="14">
        <v>30.958041869664171</v>
      </c>
      <c r="M68" s="14">
        <v>11</v>
      </c>
    </row>
    <row r="69" spans="1:13" x14ac:dyDescent="0.3">
      <c r="A69" s="14">
        <v>58</v>
      </c>
      <c r="B69" s="14">
        <v>0.73464307467347822</v>
      </c>
      <c r="C69" s="14">
        <v>8.4920958869361129E-6</v>
      </c>
      <c r="D69" s="14">
        <v>86509.041402090457</v>
      </c>
      <c r="E69" s="14">
        <v>3.9503702634391402E-5</v>
      </c>
      <c r="F69" s="14">
        <v>18596.815632008824</v>
      </c>
      <c r="G69" s="14">
        <v>0.76939056052317356</v>
      </c>
      <c r="H69" s="14">
        <v>30.958101484640721</v>
      </c>
      <c r="I69" s="14">
        <v>30.958099193389234</v>
      </c>
      <c r="J69" s="14">
        <v>3.4747485849695288E-2</v>
      </c>
      <c r="K69" s="14">
        <v>30.958092992544834</v>
      </c>
      <c r="L69" s="14">
        <v>30.9580596896866</v>
      </c>
      <c r="M69" s="14">
        <v>13</v>
      </c>
    </row>
    <row r="70" spans="1:13" x14ac:dyDescent="0.3">
      <c r="A70" s="14">
        <v>59</v>
      </c>
      <c r="B70" s="14">
        <v>0.94509526719438353</v>
      </c>
      <c r="C70" s="14">
        <v>5.3179955450843863E-5</v>
      </c>
      <c r="D70" s="14">
        <v>17771.644582665529</v>
      </c>
      <c r="E70" s="14">
        <v>8.4526061815637377E-5</v>
      </c>
      <c r="F70" s="14">
        <v>11181.110853783328</v>
      </c>
      <c r="G70" s="14">
        <v>1.0886986039844364</v>
      </c>
      <c r="H70" s="14">
        <v>30.958101542220437</v>
      </c>
      <c r="I70" s="14">
        <v>30.958100601148804</v>
      </c>
      <c r="J70" s="14">
        <v>0.14360333679005285</v>
      </c>
      <c r="K70" s="14">
        <v>30.958048362264986</v>
      </c>
      <c r="L70" s="14">
        <v>30.958016075086988</v>
      </c>
      <c r="M70" s="14">
        <v>9</v>
      </c>
    </row>
    <row r="71" spans="1:13" x14ac:dyDescent="0.3">
      <c r="A71" s="14">
        <v>60</v>
      </c>
      <c r="B71" s="14">
        <v>0.31983886780938298</v>
      </c>
      <c r="C71" s="14">
        <v>1.5767922000975432E-5</v>
      </c>
      <c r="D71" s="14">
        <v>20284.148272016893</v>
      </c>
      <c r="E71" s="14">
        <v>2.7764802474905537E-5</v>
      </c>
      <c r="F71" s="14">
        <v>11519.580162634351</v>
      </c>
      <c r="G71" s="14">
        <v>0.37088374375919253</v>
      </c>
      <c r="H71" s="14">
        <v>30.958101452579303</v>
      </c>
      <c r="I71" s="14">
        <v>30.958100632121404</v>
      </c>
      <c r="J71" s="14">
        <v>5.1044875949809526E-2</v>
      </c>
      <c r="K71" s="14">
        <v>30.958085684657302</v>
      </c>
      <c r="L71" s="14">
        <v>30.958072867318929</v>
      </c>
      <c r="M71" s="14">
        <v>14</v>
      </c>
    </row>
    <row r="72" spans="1:13" x14ac:dyDescent="0.3">
      <c r="A72" s="14">
        <v>61</v>
      </c>
      <c r="B72" s="14">
        <v>0.62765238064415518</v>
      </c>
      <c r="C72" s="14">
        <v>4.0951932341215525E-5</v>
      </c>
      <c r="D72" s="14">
        <v>15326.563235514599</v>
      </c>
      <c r="E72" s="14">
        <v>6.0480593578660091E-5</v>
      </c>
      <c r="F72" s="14">
        <v>10377.748357046803</v>
      </c>
      <c r="G72" s="14">
        <v>0.73821760238003509</v>
      </c>
      <c r="H72" s="14">
        <v>30.95810155143565</v>
      </c>
      <c r="I72" s="14">
        <v>30.958101173096306</v>
      </c>
      <c r="J72" s="14">
        <v>0.11056522173587993</v>
      </c>
      <c r="K72" s="14">
        <v>30.958060599503309</v>
      </c>
      <c r="L72" s="14">
        <v>30.958040692502728</v>
      </c>
      <c r="M72" s="14">
        <v>14</v>
      </c>
    </row>
    <row r="73" spans="1:13" x14ac:dyDescent="0.3">
      <c r="A73" s="14">
        <v>62</v>
      </c>
      <c r="B73" s="14">
        <v>0.3261942019608991</v>
      </c>
      <c r="C73" s="14">
        <v>8.1242628969135922E-5</v>
      </c>
      <c r="D73" s="14">
        <v>4015.0621182485402</v>
      </c>
      <c r="E73" s="14">
        <v>8.6282081561250834E-5</v>
      </c>
      <c r="F73" s="14">
        <v>3780.5555459314796</v>
      </c>
      <c r="G73" s="14">
        <v>0.49928090536925518</v>
      </c>
      <c r="H73" s="14">
        <v>30.958097033874349</v>
      </c>
      <c r="I73" s="14">
        <v>30.958096460541935</v>
      </c>
      <c r="J73" s="14">
        <v>0.17308670340835608</v>
      </c>
      <c r="K73" s="14">
        <v>30.95801579124538</v>
      </c>
      <c r="L73" s="14">
        <v>30.958010178460373</v>
      </c>
      <c r="M73" s="14">
        <v>15</v>
      </c>
    </row>
    <row r="74" spans="1:13" x14ac:dyDescent="0.3">
      <c r="A74" s="14">
        <v>63</v>
      </c>
      <c r="B74" s="14">
        <v>0.71560261517769208</v>
      </c>
      <c r="C74" s="14">
        <v>1.1520292773070651E-5</v>
      </c>
      <c r="D74" s="14">
        <v>62116.703913155274</v>
      </c>
      <c r="E74" s="14">
        <v>4.0468062927345727E-5</v>
      </c>
      <c r="F74" s="14">
        <v>17683.144766836213</v>
      </c>
      <c r="G74" s="14">
        <v>0.7610285817982223</v>
      </c>
      <c r="H74" s="14">
        <v>30.958101270219313</v>
      </c>
      <c r="I74" s="14">
        <v>30.95809935143582</v>
      </c>
      <c r="J74" s="14">
        <v>4.5425966620530202E-2</v>
      </c>
      <c r="K74" s="14">
        <v>30.95808974992654</v>
      </c>
      <c r="L74" s="14">
        <v>30.958058883372892</v>
      </c>
      <c r="M74" s="14">
        <v>9</v>
      </c>
    </row>
    <row r="75" spans="1:13" x14ac:dyDescent="0.3">
      <c r="A75" s="14">
        <v>64</v>
      </c>
      <c r="B75" s="14">
        <v>0.23878248663072774</v>
      </c>
      <c r="C75" s="14">
        <v>5.0046698589767402E-6</v>
      </c>
      <c r="D75" s="14">
        <v>47711.935723877985</v>
      </c>
      <c r="E75" s="14">
        <v>1.3461157259087031E-5</v>
      </c>
      <c r="F75" s="14">
        <v>17738.629898966246</v>
      </c>
      <c r="G75" s="14">
        <v>0.27313087792052548</v>
      </c>
      <c r="H75" s="14">
        <v>30.95810137086626</v>
      </c>
      <c r="I75" s="14">
        <v>30.9581003919088</v>
      </c>
      <c r="J75" s="14">
        <v>3.434839128979774E-2</v>
      </c>
      <c r="K75" s="14">
        <v>30.958096366196401</v>
      </c>
      <c r="L75" s="14">
        <v>30.958086930751541</v>
      </c>
      <c r="M75" s="14">
        <v>12</v>
      </c>
    </row>
    <row r="76" spans="1:13" x14ac:dyDescent="0.3">
      <c r="A76" s="14">
        <v>65</v>
      </c>
      <c r="B76" s="14">
        <v>0.7014736604450893</v>
      </c>
      <c r="C76" s="14">
        <v>4.5693582002570565E-6</v>
      </c>
      <c r="D76" s="14">
        <v>153516.89005375563</v>
      </c>
      <c r="E76" s="14">
        <v>3.7710198508733583E-5</v>
      </c>
      <c r="F76" s="14">
        <v>18601.69630988895</v>
      </c>
      <c r="G76" s="14">
        <v>0.73872060638989034</v>
      </c>
      <c r="H76" s="14">
        <v>30.958101243160169</v>
      </c>
      <c r="I76" s="14">
        <v>30.958097666117208</v>
      </c>
      <c r="J76" s="14">
        <v>3.7246945944801088E-2</v>
      </c>
      <c r="K76" s="14">
        <v>30.958096673801968</v>
      </c>
      <c r="L76" s="14">
        <v>30.958059955918699</v>
      </c>
      <c r="M76" s="14">
        <v>11</v>
      </c>
    </row>
    <row r="77" spans="1:13" x14ac:dyDescent="0.3">
      <c r="A77" s="14">
        <v>66</v>
      </c>
      <c r="B77" s="14">
        <v>0.56850472684851883</v>
      </c>
      <c r="C77" s="14">
        <v>9.6416824035827631E-6</v>
      </c>
      <c r="D77" s="14">
        <v>58963.228931629979</v>
      </c>
      <c r="E77" s="14">
        <v>3.2791702032852754E-5</v>
      </c>
      <c r="F77" s="14">
        <v>17336.847177952386</v>
      </c>
      <c r="G77" s="14">
        <v>0.62663268000940264</v>
      </c>
      <c r="H77" s="14">
        <v>30.958100564832399</v>
      </c>
      <c r="I77" s="14">
        <v>30.958096826553398</v>
      </c>
      <c r="J77" s="14">
        <v>5.8127953160883844E-2</v>
      </c>
      <c r="K77" s="14">
        <v>30.958090923149996</v>
      </c>
      <c r="L77" s="14">
        <v>30.958064034851365</v>
      </c>
      <c r="M77" s="14">
        <v>10</v>
      </c>
    </row>
    <row r="78" spans="1:13" x14ac:dyDescent="0.3">
      <c r="A78" s="14">
        <v>67</v>
      </c>
      <c r="B78" s="14">
        <v>0.46286973334382142</v>
      </c>
      <c r="C78" s="14">
        <v>4.8419770603658208E-5</v>
      </c>
      <c r="D78" s="14">
        <v>9559.5193362781174</v>
      </c>
      <c r="E78" s="14">
        <v>6.4913860796877998E-5</v>
      </c>
      <c r="F78" s="14">
        <v>7130.5223208366451</v>
      </c>
      <c r="G78" s="14">
        <v>0.54017036464492363</v>
      </c>
      <c r="H78" s="14">
        <v>30.95810118173743</v>
      </c>
      <c r="I78" s="14">
        <v>30.958101007105153</v>
      </c>
      <c r="J78" s="14">
        <v>7.7300631301102207E-2</v>
      </c>
      <c r="K78" s="14">
        <v>30.958052761966826</v>
      </c>
      <c r="L78" s="14">
        <v>30.958036093244356</v>
      </c>
      <c r="M78" s="14">
        <v>15</v>
      </c>
    </row>
    <row r="79" spans="1:13" x14ac:dyDescent="0.3">
      <c r="A79" s="14">
        <v>68</v>
      </c>
      <c r="B79" s="14">
        <v>0.43446441618004344</v>
      </c>
      <c r="C79" s="14">
        <v>1.3920056353100563E-4</v>
      </c>
      <c r="D79" s="14">
        <v>3121.1397796049191</v>
      </c>
      <c r="E79" s="14">
        <v>1.6244927592268255E-4</v>
      </c>
      <c r="F79" s="14">
        <v>2674.46200490808</v>
      </c>
      <c r="G79" s="14">
        <v>0.90572180821217796</v>
      </c>
      <c r="H79" s="14">
        <v>30.958097841855345</v>
      </c>
      <c r="I79" s="14">
        <v>30.958097173509703</v>
      </c>
      <c r="J79" s="14">
        <v>0.47125739203213451</v>
      </c>
      <c r="K79" s="14">
        <v>30.957958641291814</v>
      </c>
      <c r="L79" s="14">
        <v>30.95793472423378</v>
      </c>
      <c r="M79" s="14">
        <v>10</v>
      </c>
    </row>
    <row r="80" spans="1:13" x14ac:dyDescent="0.3">
      <c r="A80" s="14">
        <v>69</v>
      </c>
      <c r="B80" s="14">
        <v>0.6921438030423297</v>
      </c>
      <c r="C80" s="14">
        <v>1.6183240102662921E-5</v>
      </c>
      <c r="D80" s="14">
        <v>42769.173456707147</v>
      </c>
      <c r="E80" s="14">
        <v>4.7361264705614303E-5</v>
      </c>
      <c r="F80" s="14">
        <v>14614.132611207096</v>
      </c>
      <c r="G80" s="14">
        <v>0.80749246495025184</v>
      </c>
      <c r="H80" s="14">
        <v>30.958101534224596</v>
      </c>
      <c r="I80" s="14">
        <v>30.958100854860014</v>
      </c>
      <c r="J80" s="14">
        <v>0.11534866190792213</v>
      </c>
      <c r="K80" s="14">
        <v>30.958085350984494</v>
      </c>
      <c r="L80" s="14">
        <v>30.958053493595308</v>
      </c>
      <c r="M80" s="14">
        <v>13</v>
      </c>
    </row>
    <row r="81" spans="1:13" x14ac:dyDescent="0.3">
      <c r="A81" s="14">
        <v>70</v>
      </c>
      <c r="B81" s="14">
        <v>0.51519441373435981</v>
      </c>
      <c r="C81" s="14">
        <v>1.4506495364940974E-5</v>
      </c>
      <c r="D81" s="14">
        <v>35514.740174906197</v>
      </c>
      <c r="E81" s="14">
        <v>3.1562807350837829E-5</v>
      </c>
      <c r="F81" s="14">
        <v>16322.832376971184</v>
      </c>
      <c r="G81" s="14">
        <v>0.55339023978937596</v>
      </c>
      <c r="H81" s="14">
        <v>30.958101431628013</v>
      </c>
      <c r="I81" s="14">
        <v>30.958100120297917</v>
      </c>
      <c r="J81" s="14">
        <v>3.8195826055016195E-2</v>
      </c>
      <c r="K81" s="14">
        <v>30.958086925132648</v>
      </c>
      <c r="L81" s="14">
        <v>30.958068557490567</v>
      </c>
      <c r="M81" s="14">
        <v>9</v>
      </c>
    </row>
    <row r="82" spans="1:13" x14ac:dyDescent="0.3">
      <c r="A82" s="14">
        <v>71</v>
      </c>
      <c r="B82" s="14">
        <v>0.2793540819649068</v>
      </c>
      <c r="C82" s="14">
        <v>4.7804105314241951E-6</v>
      </c>
      <c r="D82" s="14">
        <v>58437.257664077806</v>
      </c>
      <c r="E82" s="14">
        <v>1.7052174779763618E-5</v>
      </c>
      <c r="F82" s="14">
        <v>16382.314019935191</v>
      </c>
      <c r="G82" s="14">
        <v>0.29361197271027695</v>
      </c>
      <c r="H82" s="14">
        <v>30.958101540506334</v>
      </c>
      <c r="I82" s="14">
        <v>30.958100745798038</v>
      </c>
      <c r="J82" s="14">
        <v>1.4257890745370157E-2</v>
      </c>
      <c r="K82" s="14">
        <v>30.958096760095803</v>
      </c>
      <c r="L82" s="14">
        <v>30.958083693623259</v>
      </c>
      <c r="M82" s="14">
        <v>15</v>
      </c>
    </row>
    <row r="83" spans="1:13" x14ac:dyDescent="0.3">
      <c r="A83" s="14">
        <v>72</v>
      </c>
      <c r="B83" s="14">
        <v>0.51447841198214095</v>
      </c>
      <c r="C83" s="14">
        <v>7.8609863116696488E-6</v>
      </c>
      <c r="D83" s="14">
        <v>65447.056079769121</v>
      </c>
      <c r="E83" s="14">
        <v>3.0967621871269557E-5</v>
      </c>
      <c r="F83" s="14">
        <v>16613.429798413166</v>
      </c>
      <c r="G83" s="14">
        <v>0.52914432099558051</v>
      </c>
      <c r="H83" s="14">
        <v>30.958101471754535</v>
      </c>
      <c r="I83" s="14">
        <v>30.95809986064452</v>
      </c>
      <c r="J83" s="14">
        <v>1.4665909013439582E-2</v>
      </c>
      <c r="K83" s="14">
        <v>30.958093610768223</v>
      </c>
      <c r="L83" s="14">
        <v>30.958068893022649</v>
      </c>
      <c r="M83" s="14">
        <v>15</v>
      </c>
    </row>
    <row r="84" spans="1:13" x14ac:dyDescent="0.3">
      <c r="A84" s="14">
        <v>73</v>
      </c>
      <c r="B84" s="14">
        <v>0.66559603657178368</v>
      </c>
      <c r="C84" s="14">
        <v>4.4825411773530277E-5</v>
      </c>
      <c r="D84" s="14">
        <v>14848.63184156677</v>
      </c>
      <c r="E84" s="14">
        <v>7.180852564658835E-5</v>
      </c>
      <c r="F84" s="14">
        <v>9269.0391646191165</v>
      </c>
      <c r="G84" s="14">
        <v>0.75215037564020037</v>
      </c>
      <c r="H84" s="14">
        <v>30.958101472704179</v>
      </c>
      <c r="I84" s="14">
        <v>30.958099308036232</v>
      </c>
      <c r="J84" s="14">
        <v>8.6554339068416683E-2</v>
      </c>
      <c r="K84" s="14">
        <v>30.958056647292405</v>
      </c>
      <c r="L84" s="14">
        <v>30.958027499510585</v>
      </c>
      <c r="M84" s="14">
        <v>9</v>
      </c>
    </row>
    <row r="85" spans="1:13" x14ac:dyDescent="0.3">
      <c r="A85" s="14">
        <v>74</v>
      </c>
      <c r="B85" s="14">
        <v>0.31277228870150869</v>
      </c>
      <c r="C85" s="14">
        <v>6.4508646055116969E-5</v>
      </c>
      <c r="D85" s="14">
        <v>4848.5328375094441</v>
      </c>
      <c r="E85" s="14">
        <v>8.0242133876140542E-5</v>
      </c>
      <c r="F85" s="14">
        <v>3897.8560712791491</v>
      </c>
      <c r="G85" s="14">
        <v>0.42423662078274749</v>
      </c>
      <c r="H85" s="14">
        <v>30.958101477434731</v>
      </c>
      <c r="I85" s="14">
        <v>30.958099954895587</v>
      </c>
      <c r="J85" s="14">
        <v>0.11146433208123879</v>
      </c>
      <c r="K85" s="14">
        <v>30.958036968788676</v>
      </c>
      <c r="L85" s="14">
        <v>30.958019712761711</v>
      </c>
      <c r="M85" s="14">
        <v>15</v>
      </c>
    </row>
    <row r="86" spans="1:13" x14ac:dyDescent="0.3">
      <c r="A86" s="14">
        <v>75</v>
      </c>
      <c r="B86" s="14">
        <v>0.11439698490207878</v>
      </c>
      <c r="C86" s="14">
        <v>5.316661960108604E-5</v>
      </c>
      <c r="D86" s="14">
        <v>2151.6693323820418</v>
      </c>
      <c r="E86" s="14">
        <v>6.4219666665366049E-5</v>
      </c>
      <c r="F86" s="14">
        <v>1781.338814761765</v>
      </c>
      <c r="G86" s="14">
        <v>0.61143513350122269</v>
      </c>
      <c r="H86" s="14">
        <v>30.958097071427428</v>
      </c>
      <c r="I86" s="14">
        <v>30.958095531772852</v>
      </c>
      <c r="J86" s="14">
        <v>0.49703814859914391</v>
      </c>
      <c r="K86" s="14">
        <v>30.958043904807827</v>
      </c>
      <c r="L86" s="14">
        <v>30.958031312106186</v>
      </c>
      <c r="M86" s="14">
        <v>14</v>
      </c>
    </row>
    <row r="87" spans="1:13" x14ac:dyDescent="0.3">
      <c r="A87" s="14">
        <v>76</v>
      </c>
      <c r="B87" s="14">
        <v>0.35215586744026195</v>
      </c>
      <c r="C87" s="14">
        <v>6.8517313295046733E-5</v>
      </c>
      <c r="D87" s="14">
        <v>5139.6625247668617</v>
      </c>
      <c r="E87" s="14">
        <v>9.7266703175336033E-5</v>
      </c>
      <c r="F87" s="14">
        <v>3620.5181829331118</v>
      </c>
      <c r="G87" s="14">
        <v>0.85789074128396048</v>
      </c>
      <c r="H87" s="14">
        <v>30.958101109162751</v>
      </c>
      <c r="I87" s="14">
        <v>30.958099634191818</v>
      </c>
      <c r="J87" s="14">
        <v>0.50573487384369853</v>
      </c>
      <c r="K87" s="14">
        <v>30.958032591849456</v>
      </c>
      <c r="L87" s="14">
        <v>30.958002367488643</v>
      </c>
      <c r="M87" s="14">
        <v>11</v>
      </c>
    </row>
    <row r="88" spans="1:13" x14ac:dyDescent="0.3">
      <c r="A88" s="14">
        <v>77</v>
      </c>
      <c r="B88" s="14">
        <v>0.23233567461206012</v>
      </c>
      <c r="C88" s="14">
        <v>5.9058988238547272E-5</v>
      </c>
      <c r="D88" s="14">
        <v>3933.9596146419708</v>
      </c>
      <c r="E88" s="14">
        <v>7.3206332768194216E-5</v>
      </c>
      <c r="F88" s="14">
        <v>3173.7100579501021</v>
      </c>
      <c r="G88" s="14">
        <v>0.44033752590999925</v>
      </c>
      <c r="H88" s="14">
        <v>30.95810080593418</v>
      </c>
      <c r="I88" s="14">
        <v>30.958099561608396</v>
      </c>
      <c r="J88" s="14">
        <v>0.20800185129793913</v>
      </c>
      <c r="K88" s="14">
        <v>30.958041746945941</v>
      </c>
      <c r="L88" s="14">
        <v>30.958026355275628</v>
      </c>
      <c r="M88" s="14">
        <v>12</v>
      </c>
    </row>
    <row r="89" spans="1:13" x14ac:dyDescent="0.3">
      <c r="A89" s="14">
        <v>78</v>
      </c>
      <c r="B89" s="14">
        <v>0.56009666705869132</v>
      </c>
      <c r="C89" s="14">
        <v>4.6362047356751646E-6</v>
      </c>
      <c r="D89" s="14">
        <v>120809.30394397804</v>
      </c>
      <c r="E89" s="14">
        <v>2.7172873835468181E-5</v>
      </c>
      <c r="F89" s="14">
        <v>20612.345622699977</v>
      </c>
      <c r="G89" s="14">
        <v>0.58569681695704001</v>
      </c>
      <c r="H89" s="14">
        <v>30.958101503207917</v>
      </c>
      <c r="I89" s="14">
        <v>30.958099420388692</v>
      </c>
      <c r="J89" s="14">
        <v>2.5600149898348724E-2</v>
      </c>
      <c r="K89" s="14">
        <v>30.958096867003182</v>
      </c>
      <c r="L89" s="14">
        <v>30.958072247514856</v>
      </c>
      <c r="M89" s="14">
        <v>15</v>
      </c>
    </row>
    <row r="90" spans="1:13" x14ac:dyDescent="0.3">
      <c r="A90" s="14">
        <v>79</v>
      </c>
      <c r="B90" s="14">
        <v>0.69439293149509895</v>
      </c>
      <c r="C90" s="14">
        <v>2.2223768006313094E-5</v>
      </c>
      <c r="D90" s="14">
        <v>31245.508470833709</v>
      </c>
      <c r="E90" s="14">
        <v>4.8219602621912827E-5</v>
      </c>
      <c r="F90" s="14">
        <v>14400.635711160761</v>
      </c>
      <c r="G90" s="14">
        <v>0.77047904544510326</v>
      </c>
      <c r="H90" s="14">
        <v>30.958100347377449</v>
      </c>
      <c r="I90" s="14">
        <v>30.95809729449596</v>
      </c>
      <c r="J90" s="14">
        <v>7.6086113950004294E-2</v>
      </c>
      <c r="K90" s="14">
        <v>30.958078123609443</v>
      </c>
      <c r="L90" s="14">
        <v>30.958049074893339</v>
      </c>
      <c r="M90" s="14">
        <v>15</v>
      </c>
    </row>
    <row r="91" spans="1:13" x14ac:dyDescent="0.3">
      <c r="A91" s="14">
        <v>80</v>
      </c>
      <c r="B91" s="14">
        <v>0.15821527213134973</v>
      </c>
      <c r="C91" s="14">
        <v>4.9630566941516463E-5</v>
      </c>
      <c r="D91" s="14">
        <v>3187.8594560039387</v>
      </c>
      <c r="E91" s="14">
        <v>5.6952781974928257E-5</v>
      </c>
      <c r="F91" s="14">
        <v>2778.0077925078222</v>
      </c>
      <c r="G91" s="14">
        <v>0.52914173530810904</v>
      </c>
      <c r="H91" s="14">
        <v>30.958101537561888</v>
      </c>
      <c r="I91" s="14">
        <v>30.958101269028454</v>
      </c>
      <c r="J91" s="14">
        <v>0.37092646317675931</v>
      </c>
      <c r="K91" s="14">
        <v>30.958051906994946</v>
      </c>
      <c r="L91" s="14">
        <v>30.958044316246479</v>
      </c>
      <c r="M91" s="14">
        <v>12</v>
      </c>
    </row>
    <row r="92" spans="1:13" x14ac:dyDescent="0.3">
      <c r="A92" s="14">
        <v>81</v>
      </c>
      <c r="B92" s="14">
        <v>0.57829460906368479</v>
      </c>
      <c r="C92" s="14">
        <v>2.0659195932637431E-5</v>
      </c>
      <c r="D92" s="14">
        <v>27992.116002447805</v>
      </c>
      <c r="E92" s="14">
        <v>3.7884623239392567E-5</v>
      </c>
      <c r="F92" s="14">
        <v>15264.626109898118</v>
      </c>
      <c r="G92" s="14">
        <v>0.65626803937140388</v>
      </c>
      <c r="H92" s="14">
        <v>30.958101250305248</v>
      </c>
      <c r="I92" s="14">
        <v>30.958100504514242</v>
      </c>
      <c r="J92" s="14">
        <v>7.7973430307719055E-2</v>
      </c>
      <c r="K92" s="14">
        <v>30.958080591109315</v>
      </c>
      <c r="L92" s="14">
        <v>30.958062619891002</v>
      </c>
      <c r="M92" s="14">
        <v>14</v>
      </c>
    </row>
    <row r="93" spans="1:13" x14ac:dyDescent="0.3">
      <c r="A93" s="14">
        <v>82</v>
      </c>
      <c r="B93" s="14">
        <v>0.48341897850228188</v>
      </c>
      <c r="C93" s="14">
        <v>1.1873676953655377E-5</v>
      </c>
      <c r="D93" s="14">
        <v>40713.50268237327</v>
      </c>
      <c r="E93" s="14">
        <v>2.8911718366941841E-5</v>
      </c>
      <c r="F93" s="14">
        <v>16720.520460486758</v>
      </c>
      <c r="G93" s="14">
        <v>0.51997644310865587</v>
      </c>
      <c r="H93" s="14">
        <v>30.958101536389648</v>
      </c>
      <c r="I93" s="14">
        <v>30.958100206278402</v>
      </c>
      <c r="J93" s="14">
        <v>3.6557464606373977E-2</v>
      </c>
      <c r="K93" s="14">
        <v>30.958089662712695</v>
      </c>
      <c r="L93" s="14">
        <v>30.958071294560035</v>
      </c>
      <c r="M93" s="14">
        <v>14</v>
      </c>
    </row>
    <row r="94" spans="1:13" x14ac:dyDescent="0.3">
      <c r="A94" s="14">
        <v>83</v>
      </c>
      <c r="B94" s="14">
        <v>0.66222050410090227</v>
      </c>
      <c r="C94" s="14">
        <v>1.3664648058409057E-5</v>
      </c>
      <c r="D94" s="14">
        <v>48462.316868335285</v>
      </c>
      <c r="E94" s="14">
        <v>3.5833072409729994E-5</v>
      </c>
      <c r="F94" s="14">
        <v>18480.70677637693</v>
      </c>
      <c r="G94" s="14">
        <v>0.7125937739704139</v>
      </c>
      <c r="H94" s="14">
        <v>30.958101483294833</v>
      </c>
      <c r="I94" s="14">
        <v>30.958100855067983</v>
      </c>
      <c r="J94" s="14">
        <v>5.0373269869511614E-2</v>
      </c>
      <c r="K94" s="14">
        <v>30.958087818646774</v>
      </c>
      <c r="L94" s="14">
        <v>30.958065021995573</v>
      </c>
      <c r="M94" s="14">
        <v>9</v>
      </c>
    </row>
    <row r="95" spans="1:13" x14ac:dyDescent="0.3">
      <c r="A95" s="14">
        <v>84</v>
      </c>
      <c r="B95" s="14">
        <v>0.32331612989277969</v>
      </c>
      <c r="C95" s="14">
        <v>7.9118486482343542E-6</v>
      </c>
      <c r="D95" s="14">
        <v>40864.80218057918</v>
      </c>
      <c r="E95" s="14">
        <v>2.131455886456024E-5</v>
      </c>
      <c r="F95" s="14">
        <v>15168.792933845705</v>
      </c>
      <c r="G95" s="14">
        <v>0.34045785723903743</v>
      </c>
      <c r="H95" s="14">
        <v>30.958101230558594</v>
      </c>
      <c r="I95" s="14">
        <v>30.958100494032564</v>
      </c>
      <c r="J95" s="14">
        <v>1.714172734625773E-2</v>
      </c>
      <c r="K95" s="14">
        <v>30.958093318709945</v>
      </c>
      <c r="L95" s="14">
        <v>30.9580791794737</v>
      </c>
      <c r="M95" s="14">
        <v>15</v>
      </c>
    </row>
    <row r="96" spans="1:13" x14ac:dyDescent="0.3">
      <c r="A96" s="14">
        <v>85</v>
      </c>
      <c r="B96" s="14">
        <v>0.7196641585597493</v>
      </c>
      <c r="C96" s="14">
        <v>1.6298614820442481E-5</v>
      </c>
      <c r="D96" s="14">
        <v>44154.927672572092</v>
      </c>
      <c r="E96" s="14">
        <v>4.6714079420695498E-5</v>
      </c>
      <c r="F96" s="14">
        <v>15405.722803153865</v>
      </c>
      <c r="G96" s="14">
        <v>0.77995715972483115</v>
      </c>
      <c r="H96" s="14">
        <v>30.958100508031418</v>
      </c>
      <c r="I96" s="14">
        <v>30.958096809991613</v>
      </c>
      <c r="J96" s="14">
        <v>6.0293001165081878E-2</v>
      </c>
      <c r="K96" s="14">
        <v>30.958084209416597</v>
      </c>
      <c r="L96" s="14">
        <v>30.958050095912192</v>
      </c>
      <c r="M96" s="14">
        <v>14</v>
      </c>
    </row>
    <row r="97" spans="1:13" x14ac:dyDescent="0.3">
      <c r="A97" s="14">
        <v>86</v>
      </c>
      <c r="B97" s="14">
        <v>0.45677370389637406</v>
      </c>
      <c r="C97" s="14">
        <v>1.4909343260072205E-4</v>
      </c>
      <c r="D97" s="14">
        <v>3063.6742070298401</v>
      </c>
      <c r="E97" s="14">
        <v>1.6188364884683892E-4</v>
      </c>
      <c r="F97" s="14">
        <v>2821.6172982889457</v>
      </c>
      <c r="G97" s="14">
        <v>0.65996903741120727</v>
      </c>
      <c r="H97" s="14">
        <v>30.958095672073096</v>
      </c>
      <c r="I97" s="14">
        <v>30.958094980484454</v>
      </c>
      <c r="J97" s="14">
        <v>0.20319533351483321</v>
      </c>
      <c r="K97" s="14">
        <v>30.957946578640495</v>
      </c>
      <c r="L97" s="14">
        <v>30.957933096835607</v>
      </c>
      <c r="M97" s="14">
        <v>9</v>
      </c>
    </row>
    <row r="98" spans="1:13" x14ac:dyDescent="0.3">
      <c r="A98" s="14">
        <v>87</v>
      </c>
      <c r="B98" s="14">
        <v>0.27120831070215068</v>
      </c>
      <c r="C98" s="14">
        <v>9.0569689842112666E-5</v>
      </c>
      <c r="D98" s="14">
        <v>2994.4710109412954</v>
      </c>
      <c r="E98" s="14">
        <v>9.8632297401479718E-5</v>
      </c>
      <c r="F98" s="14">
        <v>2749.6906981513939</v>
      </c>
      <c r="G98" s="14">
        <v>0.62264861699248275</v>
      </c>
      <c r="H98" s="14">
        <v>30.958100175413456</v>
      </c>
      <c r="I98" s="14">
        <v>30.958099991121891</v>
      </c>
      <c r="J98" s="14">
        <v>0.35144030629033207</v>
      </c>
      <c r="K98" s="14">
        <v>30.958009605723614</v>
      </c>
      <c r="L98" s="14">
        <v>30.95800135882449</v>
      </c>
      <c r="M98" s="14">
        <v>13</v>
      </c>
    </row>
    <row r="99" spans="1:13" x14ac:dyDescent="0.3">
      <c r="A99" s="14">
        <v>88</v>
      </c>
      <c r="B99" s="14">
        <v>0.67510779409068611</v>
      </c>
      <c r="C99" s="14">
        <v>1.9307257467460204E-5</v>
      </c>
      <c r="D99" s="14">
        <v>34966.529825817561</v>
      </c>
      <c r="E99" s="14">
        <v>5.284847557263106E-5</v>
      </c>
      <c r="F99" s="14">
        <v>12774.404309219242</v>
      </c>
      <c r="G99" s="14">
        <v>0.76117108428174185</v>
      </c>
      <c r="H99" s="14">
        <v>30.958101360376855</v>
      </c>
      <c r="I99" s="14">
        <v>30.958100134801533</v>
      </c>
      <c r="J99" s="14">
        <v>8.6063290191055769E-2</v>
      </c>
      <c r="K99" s="14">
        <v>30.958082053119387</v>
      </c>
      <c r="L99" s="14">
        <v>30.958047286325961</v>
      </c>
      <c r="M99" s="14">
        <v>15</v>
      </c>
    </row>
    <row r="100" spans="1:13" x14ac:dyDescent="0.3">
      <c r="A100" s="14">
        <v>89</v>
      </c>
      <c r="B100" s="14">
        <v>0.59335990155646468</v>
      </c>
      <c r="C100" s="14">
        <v>3.0424426853414843E-6</v>
      </c>
      <c r="D100" s="14">
        <v>195027.47066206962</v>
      </c>
      <c r="E100" s="14">
        <v>3.0529494292608206E-5</v>
      </c>
      <c r="F100" s="14">
        <v>19435.628244262429</v>
      </c>
      <c r="G100" s="14">
        <v>0.60811628089068748</v>
      </c>
      <c r="H100" s="14">
        <v>30.958101548329616</v>
      </c>
      <c r="I100" s="14">
        <v>30.958100778892526</v>
      </c>
      <c r="J100" s="14">
        <v>1.4756379334222778E-2</v>
      </c>
      <c r="K100" s="14">
        <v>30.95809850588693</v>
      </c>
      <c r="L100" s="14">
        <v>30.958070249398233</v>
      </c>
      <c r="M100" s="14">
        <v>13</v>
      </c>
    </row>
    <row r="101" spans="1:13" x14ac:dyDescent="0.3">
      <c r="A101" s="14">
        <v>90</v>
      </c>
      <c r="B101" s="14">
        <v>0.67310445410673692</v>
      </c>
      <c r="C101" s="14">
        <v>3.0598650769420033E-4</v>
      </c>
      <c r="D101" s="14">
        <v>2199.7847525336979</v>
      </c>
      <c r="E101" s="14">
        <v>3.1188078509458705E-4</v>
      </c>
      <c r="F101" s="14">
        <v>2158.2107211337116</v>
      </c>
      <c r="G101" s="14">
        <v>1.1267846496217031</v>
      </c>
      <c r="H101" s="14">
        <v>30.958100407237062</v>
      </c>
      <c r="I101" s="14">
        <v>30.958098927407161</v>
      </c>
      <c r="J101" s="14">
        <v>0.45368019551496619</v>
      </c>
      <c r="K101" s="14">
        <v>30.957794420729368</v>
      </c>
      <c r="L101" s="14">
        <v>30.957787046622066</v>
      </c>
      <c r="M101" s="14">
        <v>15</v>
      </c>
    </row>
    <row r="102" spans="1:13" x14ac:dyDescent="0.3">
      <c r="A102" s="14">
        <v>91</v>
      </c>
      <c r="B102" s="14">
        <v>0.34638835078805918</v>
      </c>
      <c r="C102" s="14">
        <v>7.3639686739568333E-5</v>
      </c>
      <c r="D102" s="14">
        <v>4703.8270547386319</v>
      </c>
      <c r="E102" s="14">
        <v>9.6352176484515439E-5</v>
      </c>
      <c r="F102" s="14">
        <v>3595.0236250628604</v>
      </c>
      <c r="G102" s="14">
        <v>0.48509561470990625</v>
      </c>
      <c r="H102" s="14">
        <v>30.958101539864774</v>
      </c>
      <c r="I102" s="14">
        <v>30.958101530259423</v>
      </c>
      <c r="J102" s="14">
        <v>0.1387072639218471</v>
      </c>
      <c r="K102" s="14">
        <v>30.958027900178035</v>
      </c>
      <c r="L102" s="14">
        <v>30.958005178082939</v>
      </c>
      <c r="M102" s="14">
        <v>14</v>
      </c>
    </row>
    <row r="103" spans="1:13" x14ac:dyDescent="0.3">
      <c r="A103" s="14">
        <v>92</v>
      </c>
      <c r="B103" s="14">
        <v>0.48581095128354912</v>
      </c>
      <c r="C103" s="14">
        <v>9.628213496881699E-5</v>
      </c>
      <c r="D103" s="14">
        <v>5045.7018993283573</v>
      </c>
      <c r="E103" s="14">
        <v>1.2143380083173838E-4</v>
      </c>
      <c r="F103" s="14">
        <v>4000.623779837877</v>
      </c>
      <c r="G103" s="14">
        <v>0.65123864056203573</v>
      </c>
      <c r="H103" s="14">
        <v>30.958098741809401</v>
      </c>
      <c r="I103" s="14">
        <v>30.958097585203269</v>
      </c>
      <c r="J103" s="14">
        <v>0.16542768927848658</v>
      </c>
      <c r="K103" s="14">
        <v>30.958002459674432</v>
      </c>
      <c r="L103" s="14">
        <v>30.957976151402438</v>
      </c>
      <c r="M103" s="14">
        <v>10</v>
      </c>
    </row>
    <row r="104" spans="1:13" x14ac:dyDescent="0.3">
      <c r="A104" s="14">
        <v>93</v>
      </c>
      <c r="B104" s="14">
        <v>0.55627567393615807</v>
      </c>
      <c r="C104" s="14">
        <v>3.4277203045718352E-5</v>
      </c>
      <c r="D104" s="14">
        <v>16228.735850886287</v>
      </c>
      <c r="E104" s="14">
        <v>5.3299691465724663E-5</v>
      </c>
      <c r="F104" s="14">
        <v>10436.752233244752</v>
      </c>
      <c r="G104" s="14">
        <v>0.74692252298266126</v>
      </c>
      <c r="H104" s="14">
        <v>30.958099806797559</v>
      </c>
      <c r="I104" s="14">
        <v>30.958098390579252</v>
      </c>
      <c r="J104" s="14">
        <v>0.1906468490465032</v>
      </c>
      <c r="K104" s="14">
        <v>30.958065529594514</v>
      </c>
      <c r="L104" s="14">
        <v>30.958045090887786</v>
      </c>
      <c r="M104" s="14">
        <v>13</v>
      </c>
    </row>
    <row r="105" spans="1:13" x14ac:dyDescent="0.3">
      <c r="A105" s="14">
        <v>94</v>
      </c>
      <c r="B105" s="14">
        <v>0.63650427577892943</v>
      </c>
      <c r="C105" s="14">
        <v>3.0489757516960481E-5</v>
      </c>
      <c r="D105" s="14">
        <v>20876.003209433933</v>
      </c>
      <c r="E105" s="14">
        <v>5.6593042526031923E-5</v>
      </c>
      <c r="F105" s="14">
        <v>11247.041109093001</v>
      </c>
      <c r="G105" s="14">
        <v>0.71801134414814882</v>
      </c>
      <c r="H105" s="14">
        <v>30.958101289850841</v>
      </c>
      <c r="I105" s="14">
        <v>30.958100202909552</v>
      </c>
      <c r="J105" s="14">
        <v>8.1507068369219379E-2</v>
      </c>
      <c r="K105" s="14">
        <v>30.958070800093324</v>
      </c>
      <c r="L105" s="14">
        <v>30.958043609867026</v>
      </c>
      <c r="M105" s="14">
        <v>12</v>
      </c>
    </row>
    <row r="106" spans="1:13" x14ac:dyDescent="0.3">
      <c r="A106" s="14">
        <v>95</v>
      </c>
      <c r="B106" s="14">
        <v>0.29918702450839374</v>
      </c>
      <c r="C106" s="14">
        <v>7.8432630807867554E-5</v>
      </c>
      <c r="D106" s="14">
        <v>3814.5733660432361</v>
      </c>
      <c r="E106" s="14">
        <v>8.7824008573988976E-5</v>
      </c>
      <c r="F106" s="14">
        <v>3406.665550415386</v>
      </c>
      <c r="G106" s="14">
        <v>0.52870888186211373</v>
      </c>
      <c r="H106" s="14">
        <v>30.9580957179619</v>
      </c>
      <c r="I106" s="14">
        <v>30.958094600483449</v>
      </c>
      <c r="J106" s="14">
        <v>0.22952185735371999</v>
      </c>
      <c r="K106" s="14">
        <v>30.958017285331092</v>
      </c>
      <c r="L106" s="14">
        <v>30.958006776474875</v>
      </c>
      <c r="M106" s="14">
        <v>13</v>
      </c>
    </row>
    <row r="107" spans="1:13" x14ac:dyDescent="0.3">
      <c r="A107" s="14">
        <v>96</v>
      </c>
      <c r="B107" s="14">
        <v>0.228086271441655</v>
      </c>
      <c r="C107" s="14">
        <v>1.0120836446247949E-4</v>
      </c>
      <c r="D107" s="14">
        <v>2253.6306426156343</v>
      </c>
      <c r="E107" s="14">
        <v>1.1035263779746174E-4</v>
      </c>
      <c r="F107" s="14">
        <v>2066.8855406997918</v>
      </c>
      <c r="G107" s="14">
        <v>0.61950713945515523</v>
      </c>
      <c r="H107" s="14">
        <v>30.958100809725849</v>
      </c>
      <c r="I107" s="14">
        <v>30.958099595187406</v>
      </c>
      <c r="J107" s="14">
        <v>0.39142086801350023</v>
      </c>
      <c r="K107" s="14">
        <v>30.957999601361387</v>
      </c>
      <c r="L107" s="14">
        <v>30.957989242549608</v>
      </c>
      <c r="M107" s="14">
        <v>10</v>
      </c>
    </row>
    <row r="108" spans="1:13" x14ac:dyDescent="0.3">
      <c r="A108" s="14">
        <v>97</v>
      </c>
      <c r="B108" s="14">
        <v>0.9347698235883386</v>
      </c>
      <c r="C108" s="14">
        <v>2.2261141946700036E-5</v>
      </c>
      <c r="D108" s="14">
        <v>41991.099370664037</v>
      </c>
      <c r="E108" s="14">
        <v>6.7579534427153476E-5</v>
      </c>
      <c r="F108" s="14">
        <v>13832.143584770656</v>
      </c>
      <c r="G108" s="14">
        <v>1.0291522607929027</v>
      </c>
      <c r="H108" s="14">
        <v>30.958100162996637</v>
      </c>
      <c r="I108" s="14">
        <v>30.958095827330673</v>
      </c>
      <c r="J108" s="14">
        <v>9.4382437204564115E-2</v>
      </c>
      <c r="K108" s="14">
        <v>30.95807790185469</v>
      </c>
      <c r="L108" s="14">
        <v>30.958028247796246</v>
      </c>
      <c r="M108" s="14">
        <v>9</v>
      </c>
    </row>
    <row r="109" spans="1:13" x14ac:dyDescent="0.3">
      <c r="A109" s="14">
        <v>98</v>
      </c>
      <c r="B109" s="14">
        <v>0.39509578100069731</v>
      </c>
      <c r="C109" s="14">
        <v>2.5018615378513687E-5</v>
      </c>
      <c r="D109" s="14">
        <v>15792.072223949321</v>
      </c>
      <c r="E109" s="14">
        <v>4.7946562229839174E-5</v>
      </c>
      <c r="F109" s="14">
        <v>8240.3359620809788</v>
      </c>
      <c r="G109" s="14">
        <v>0.46794919074775598</v>
      </c>
      <c r="H109" s="14">
        <v>30.958100779332327</v>
      </c>
      <c r="I109" s="14">
        <v>30.958099469820151</v>
      </c>
      <c r="J109" s="14">
        <v>7.2853409747058701E-2</v>
      </c>
      <c r="K109" s="14">
        <v>30.958075760716948</v>
      </c>
      <c r="L109" s="14">
        <v>30.958051523257922</v>
      </c>
      <c r="M109" s="14">
        <v>11</v>
      </c>
    </row>
    <row r="110" spans="1:13" x14ac:dyDescent="0.3">
      <c r="A110" s="14">
        <v>99</v>
      </c>
      <c r="B110" s="14">
        <v>0.28127984562434288</v>
      </c>
      <c r="C110" s="14">
        <v>3.6179774884459448E-5</v>
      </c>
      <c r="D110" s="14">
        <v>7774.505135054419</v>
      </c>
      <c r="E110" s="14">
        <v>5.6203501852536419E-5</v>
      </c>
      <c r="F110" s="14">
        <v>5004.6676159494309</v>
      </c>
      <c r="G110" s="14">
        <v>0.35106009281016681</v>
      </c>
      <c r="H110" s="14">
        <v>30.958101444729717</v>
      </c>
      <c r="I110" s="14">
        <v>30.958099702234616</v>
      </c>
      <c r="J110" s="14">
        <v>6.9780247185823915E-2</v>
      </c>
      <c r="K110" s="14">
        <v>30.958065264954833</v>
      </c>
      <c r="L110" s="14">
        <v>30.958043498732764</v>
      </c>
      <c r="M110" s="14">
        <v>11</v>
      </c>
    </row>
    <row r="111" spans="1:13" x14ac:dyDescent="0.3">
      <c r="A111" s="14">
        <v>100</v>
      </c>
      <c r="B111" s="14">
        <v>0.639324817172085</v>
      </c>
      <c r="C111" s="14">
        <v>1.2114760828296767E-5</v>
      </c>
      <c r="D111" s="14">
        <v>52772.384550819785</v>
      </c>
      <c r="E111" s="14">
        <v>3.4443757037649902E-5</v>
      </c>
      <c r="F111" s="14">
        <v>18561.413508789115</v>
      </c>
      <c r="G111" s="14">
        <v>0.67618379694161646</v>
      </c>
      <c r="H111" s="14">
        <v>30.958101521441971</v>
      </c>
      <c r="I111" s="14">
        <v>30.958099924210384</v>
      </c>
      <c r="J111" s="14">
        <v>3.6858979769531446E-2</v>
      </c>
      <c r="K111" s="14">
        <v>30.958089406681143</v>
      </c>
      <c r="L111" s="14">
        <v>30.958065480453346</v>
      </c>
      <c r="M111" s="14">
        <v>14</v>
      </c>
    </row>
    <row r="112" spans="1:13" x14ac:dyDescent="0.3">
      <c r="A112" s="14">
        <v>101</v>
      </c>
      <c r="B112" s="14">
        <v>0.58574579450376363</v>
      </c>
      <c r="C112" s="14">
        <v>1.2123980468459195E-5</v>
      </c>
      <c r="D112" s="14">
        <v>48312.993907206823</v>
      </c>
      <c r="E112" s="14">
        <v>2.4186931085523611E-5</v>
      </c>
      <c r="F112" s="14">
        <v>24217.450011851437</v>
      </c>
      <c r="G112" s="14">
        <v>0.62390776078645815</v>
      </c>
      <c r="H112" s="14">
        <v>30.958100867246426</v>
      </c>
      <c r="I112" s="14">
        <v>30.958099473195947</v>
      </c>
      <c r="J112" s="14">
        <v>3.8161966282694484E-2</v>
      </c>
      <c r="K112" s="14">
        <v>30.958088743265957</v>
      </c>
      <c r="L112" s="14">
        <v>30.958075286264862</v>
      </c>
      <c r="M112" s="14">
        <v>15</v>
      </c>
    </row>
    <row r="113" spans="1:13" x14ac:dyDescent="0.3">
      <c r="A113" s="14">
        <v>102</v>
      </c>
      <c r="B113" s="14">
        <v>0.50160782352171629</v>
      </c>
      <c r="C113" s="14">
        <v>7.493723451545975E-6</v>
      </c>
      <c r="D113" s="14">
        <v>66937.06096376339</v>
      </c>
      <c r="E113" s="14">
        <v>3.1651205052440901E-5</v>
      </c>
      <c r="F113" s="14">
        <v>15847.985019547714</v>
      </c>
      <c r="G113" s="14">
        <v>0.5351767220275947</v>
      </c>
      <c r="H113" s="14">
        <v>30.95810126291396</v>
      </c>
      <c r="I113" s="14">
        <v>30.958100302964613</v>
      </c>
      <c r="J113" s="14">
        <v>3.3568898505878422E-2</v>
      </c>
      <c r="K113" s="14">
        <v>30.958093769190508</v>
      </c>
      <c r="L113" s="14">
        <v>30.958068651759561</v>
      </c>
      <c r="M113" s="14">
        <v>13</v>
      </c>
    </row>
    <row r="114" spans="1:13" x14ac:dyDescent="0.3">
      <c r="A114" s="14">
        <v>103</v>
      </c>
      <c r="B114" s="14">
        <v>0.51578015091480889</v>
      </c>
      <c r="C114" s="14">
        <v>1.2750924437199274E-5</v>
      </c>
      <c r="D114" s="14">
        <v>40450.412317563656</v>
      </c>
      <c r="E114" s="14">
        <v>3.2004690485365472E-5</v>
      </c>
      <c r="F114" s="14">
        <v>16115.767504474245</v>
      </c>
      <c r="G114" s="14">
        <v>0.55660283803138999</v>
      </c>
      <c r="H114" s="14">
        <v>30.958101076120471</v>
      </c>
      <c r="I114" s="14">
        <v>30.958098769108396</v>
      </c>
      <c r="J114" s="14">
        <v>4.082268711658113E-2</v>
      </c>
      <c r="K114" s="14">
        <v>30.958088325196034</v>
      </c>
      <c r="L114" s="14">
        <v>30.958066764417911</v>
      </c>
      <c r="M114" s="14">
        <v>9</v>
      </c>
    </row>
    <row r="115" spans="1:13" x14ac:dyDescent="0.3">
      <c r="A115" s="14">
        <v>104</v>
      </c>
      <c r="B115" s="14">
        <v>0.42853063785900924</v>
      </c>
      <c r="C115" s="14">
        <v>1.6996585525674845E-5</v>
      </c>
      <c r="D115" s="14">
        <v>25212.748596574049</v>
      </c>
      <c r="E115" s="14">
        <v>3.4441043776922697E-5</v>
      </c>
      <c r="F115" s="14">
        <v>12442.440497292571</v>
      </c>
      <c r="G115" s="14">
        <v>0.57912048689142259</v>
      </c>
      <c r="H115" s="14">
        <v>30.958101474676575</v>
      </c>
      <c r="I115" s="14">
        <v>30.9581012540107</v>
      </c>
      <c r="J115" s="14">
        <v>0.15058984903241335</v>
      </c>
      <c r="K115" s="14">
        <v>30.958084478091049</v>
      </c>
      <c r="L115" s="14">
        <v>30.958066812966923</v>
      </c>
      <c r="M115" s="14">
        <v>13</v>
      </c>
    </row>
    <row r="116" spans="1:13" x14ac:dyDescent="0.3">
      <c r="A116" s="14">
        <v>105</v>
      </c>
      <c r="B116" s="14">
        <v>0.58438872947153309</v>
      </c>
      <c r="C116" s="14">
        <v>6.5934225116137668E-5</v>
      </c>
      <c r="D116" s="14">
        <v>8863.2076655512501</v>
      </c>
      <c r="E116" s="14">
        <v>7.923155973799112E-5</v>
      </c>
      <c r="F116" s="14">
        <v>7375.7064912521437</v>
      </c>
      <c r="G116" s="14">
        <v>0.70118966772202951</v>
      </c>
      <c r="H116" s="14">
        <v>30.958100248665055</v>
      </c>
      <c r="I116" s="14">
        <v>30.958099347073283</v>
      </c>
      <c r="J116" s="14">
        <v>0.11680093825049646</v>
      </c>
      <c r="K116" s="14">
        <v>30.958034314439939</v>
      </c>
      <c r="L116" s="14">
        <v>30.958020115513545</v>
      </c>
      <c r="M116" s="14">
        <v>15</v>
      </c>
    </row>
    <row r="117" spans="1:13" x14ac:dyDescent="0.3">
      <c r="A117" s="14">
        <v>106</v>
      </c>
      <c r="B117" s="14">
        <v>0.42219034649194354</v>
      </c>
      <c r="C117" s="14">
        <v>2.124421447646796E-5</v>
      </c>
      <c r="D117" s="14">
        <v>19873.191685180936</v>
      </c>
      <c r="E117" s="14">
        <v>4.2002472948610148E-5</v>
      </c>
      <c r="F117" s="14">
        <v>10051.559273866844</v>
      </c>
      <c r="G117" s="14">
        <v>0.48972156310508874</v>
      </c>
      <c r="H117" s="14">
        <v>30.958101061002335</v>
      </c>
      <c r="I117" s="14">
        <v>30.95809981887</v>
      </c>
      <c r="J117" s="14">
        <v>6.7531216613145192E-2</v>
      </c>
      <c r="K117" s="14">
        <v>30.958079816787858</v>
      </c>
      <c r="L117" s="14">
        <v>30.958057816397051</v>
      </c>
      <c r="M117" s="14">
        <v>9</v>
      </c>
    </row>
    <row r="118" spans="1:13" x14ac:dyDescent="0.3">
      <c r="A118" s="14">
        <v>107</v>
      </c>
      <c r="B118" s="14">
        <v>0.48864573045986642</v>
      </c>
      <c r="C118" s="14">
        <v>9.2826605651907812E-5</v>
      </c>
      <c r="D118" s="14">
        <v>5264.0697893473343</v>
      </c>
      <c r="E118" s="14">
        <v>1.1250824747577326E-4</v>
      </c>
      <c r="F118" s="14">
        <v>4343.1992002638563</v>
      </c>
      <c r="G118" s="14">
        <v>0.69277149969701823</v>
      </c>
      <c r="H118" s="14">
        <v>30.958100618755758</v>
      </c>
      <c r="I118" s="14">
        <v>30.958099584218338</v>
      </c>
      <c r="J118" s="14">
        <v>0.20412576923715181</v>
      </c>
      <c r="K118" s="14">
        <v>30.958007792150106</v>
      </c>
      <c r="L118" s="14">
        <v>30.957987075970863</v>
      </c>
      <c r="M118" s="14">
        <v>13</v>
      </c>
    </row>
    <row r="119" spans="1:13" x14ac:dyDescent="0.3">
      <c r="A119" s="14">
        <v>108</v>
      </c>
      <c r="B119" s="14">
        <v>0.48893386526376098</v>
      </c>
      <c r="C119" s="14">
        <v>1.049182529655468E-5</v>
      </c>
      <c r="D119" s="14">
        <v>46601.411236261985</v>
      </c>
      <c r="E119" s="14">
        <v>2.4759541929597617E-5</v>
      </c>
      <c r="F119" s="14">
        <v>19747.290424597406</v>
      </c>
      <c r="G119" s="14">
        <v>0.51250304670745805</v>
      </c>
      <c r="H119" s="14">
        <v>30.958101527281276</v>
      </c>
      <c r="I119" s="14">
        <v>30.9581006494913</v>
      </c>
      <c r="J119" s="14">
        <v>2.356918144369706E-2</v>
      </c>
      <c r="K119" s="14">
        <v>30.958091035455979</v>
      </c>
      <c r="L119" s="14">
        <v>30.95807588994937</v>
      </c>
      <c r="M119" s="14">
        <v>15</v>
      </c>
    </row>
    <row r="120" spans="1:13" x14ac:dyDescent="0.3">
      <c r="A120" s="14">
        <v>109</v>
      </c>
      <c r="B120" s="14">
        <v>0.96492800567221348</v>
      </c>
      <c r="C120" s="14">
        <v>3.6299180898424765E-5</v>
      </c>
      <c r="D120" s="14">
        <v>26582.638555188096</v>
      </c>
      <c r="E120" s="14">
        <v>5.8710467321532178E-5</v>
      </c>
      <c r="F120" s="14">
        <v>16435.365782181812</v>
      </c>
      <c r="G120" s="14">
        <v>1.0804547548767482</v>
      </c>
      <c r="H120" s="14">
        <v>30.958101259407112</v>
      </c>
      <c r="I120" s="14">
        <v>30.95809933475304</v>
      </c>
      <c r="J120" s="14">
        <v>0.11552674920453473</v>
      </c>
      <c r="K120" s="14">
        <v>30.958064960226213</v>
      </c>
      <c r="L120" s="14">
        <v>30.958040624285719</v>
      </c>
      <c r="M120" s="14">
        <v>15</v>
      </c>
    </row>
    <row r="121" spans="1:13" x14ac:dyDescent="0.3">
      <c r="A121" s="14">
        <v>110</v>
      </c>
      <c r="B121" s="14">
        <v>0.49080450005663734</v>
      </c>
      <c r="C121" s="14">
        <v>1.1574275742276541E-5</v>
      </c>
      <c r="D121" s="14">
        <v>42404.769938555233</v>
      </c>
      <c r="E121" s="14">
        <v>3.6362880980078671E-5</v>
      </c>
      <c r="F121" s="14">
        <v>13497.404133779268</v>
      </c>
      <c r="G121" s="14">
        <v>0.56995422933995787</v>
      </c>
      <c r="H121" s="14">
        <v>30.95810148503752</v>
      </c>
      <c r="I121" s="14">
        <v>30.958099225494284</v>
      </c>
      <c r="J121" s="14">
        <v>7.9149729283320508E-2</v>
      </c>
      <c r="K121" s="14">
        <v>30.958089910761778</v>
      </c>
      <c r="L121" s="14">
        <v>30.958062862613303</v>
      </c>
      <c r="M121" s="14">
        <v>12</v>
      </c>
    </row>
    <row r="122" spans="1:13" x14ac:dyDescent="0.3">
      <c r="A122" s="14">
        <v>111</v>
      </c>
      <c r="B122" s="14">
        <v>0.72291964249574558</v>
      </c>
      <c r="C122" s="14">
        <v>2.7358080927797346E-5</v>
      </c>
      <c r="D122" s="14">
        <v>26424.354997839731</v>
      </c>
      <c r="E122" s="14">
        <v>5.2290485417216814E-5</v>
      </c>
      <c r="F122" s="14">
        <v>13825.070406742139</v>
      </c>
      <c r="G122" s="14">
        <v>0.80261528629658663</v>
      </c>
      <c r="H122" s="14">
        <v>30.958098668457698</v>
      </c>
      <c r="I122" s="14">
        <v>30.958094490104834</v>
      </c>
      <c r="J122" s="14">
        <v>7.9695643800841071E-2</v>
      </c>
      <c r="K122" s="14">
        <v>30.95807131037677</v>
      </c>
      <c r="L122" s="14">
        <v>30.958042199619417</v>
      </c>
      <c r="M122" s="14">
        <v>10</v>
      </c>
    </row>
    <row r="123" spans="1:13" x14ac:dyDescent="0.3">
      <c r="A123" s="14">
        <v>112</v>
      </c>
      <c r="B123" s="14">
        <v>0.27278602896727705</v>
      </c>
      <c r="C123" s="14">
        <v>2.835508650989027E-5</v>
      </c>
      <c r="D123" s="14">
        <v>9620.3560822192921</v>
      </c>
      <c r="E123" s="14">
        <v>4.9683115943111034E-5</v>
      </c>
      <c r="F123" s="14">
        <v>5490.5177299996021</v>
      </c>
      <c r="G123" s="14">
        <v>0.53497886061112576</v>
      </c>
      <c r="H123" s="14">
        <v>30.958101126581894</v>
      </c>
      <c r="I123" s="14">
        <v>30.958099083696194</v>
      </c>
      <c r="J123" s="14">
        <v>0.26219283164384871</v>
      </c>
      <c r="K123" s="14">
        <v>30.958072771495385</v>
      </c>
      <c r="L123" s="14">
        <v>30.958049400580251</v>
      </c>
      <c r="M123" s="14">
        <v>9</v>
      </c>
    </row>
    <row r="124" spans="1:13" x14ac:dyDescent="0.3">
      <c r="A124" s="14">
        <v>113</v>
      </c>
      <c r="B124" s="14">
        <v>0.97540826649840384</v>
      </c>
      <c r="C124" s="14">
        <v>1.7638021585497654E-5</v>
      </c>
      <c r="D124" s="14">
        <v>55301.455538551141</v>
      </c>
      <c r="E124" s="14">
        <v>5.5524702560205696E-5</v>
      </c>
      <c r="F124" s="14">
        <v>17567.104757396297</v>
      </c>
      <c r="G124" s="14">
        <v>1.0362830252184785</v>
      </c>
      <c r="H124" s="14">
        <v>30.958101351844412</v>
      </c>
      <c r="I124" s="14">
        <v>30.958099637041322</v>
      </c>
      <c r="J124" s="14">
        <v>6.0874758720074633E-2</v>
      </c>
      <c r="K124" s="14">
        <v>30.958083713822827</v>
      </c>
      <c r="L124" s="14">
        <v>30.958044112338762</v>
      </c>
      <c r="M124" s="14">
        <v>12</v>
      </c>
    </row>
    <row r="125" spans="1:13" x14ac:dyDescent="0.3">
      <c r="A125" s="14">
        <v>114</v>
      </c>
      <c r="B125" s="14">
        <v>0.3605864125929143</v>
      </c>
      <c r="C125" s="14">
        <v>8.5652884493470083E-5</v>
      </c>
      <c r="D125" s="14">
        <v>4209.8572012528584</v>
      </c>
      <c r="E125" s="14">
        <v>1.1758717323928636E-4</v>
      </c>
      <c r="F125" s="14">
        <v>3066.5454629063306</v>
      </c>
      <c r="G125" s="14">
        <v>0.61532126626206562</v>
      </c>
      <c r="H125" s="14">
        <v>30.958097482725204</v>
      </c>
      <c r="I125" s="14">
        <v>30.958093931142006</v>
      </c>
      <c r="J125" s="14">
        <v>0.25473485366915133</v>
      </c>
      <c r="K125" s="14">
        <v>30.958011829840711</v>
      </c>
      <c r="L125" s="14">
        <v>30.957976343968767</v>
      </c>
      <c r="M125" s="14">
        <v>12</v>
      </c>
    </row>
    <row r="126" spans="1:13" x14ac:dyDescent="0.3">
      <c r="A126" s="14">
        <v>115</v>
      </c>
      <c r="B126" s="14">
        <v>0.48087081435625711</v>
      </c>
      <c r="C126" s="14">
        <v>2.1150099708933112E-5</v>
      </c>
      <c r="D126" s="14">
        <v>22736.101530204749</v>
      </c>
      <c r="E126" s="14">
        <v>4.4376759749553685E-5</v>
      </c>
      <c r="F126" s="14">
        <v>10836.095674179849</v>
      </c>
      <c r="G126" s="14">
        <v>0.52807636164255767</v>
      </c>
      <c r="H126" s="14">
        <v>30.958099831548989</v>
      </c>
      <c r="I126" s="14">
        <v>30.958096778829479</v>
      </c>
      <c r="J126" s="14">
        <v>4.7205547286300574E-2</v>
      </c>
      <c r="K126" s="14">
        <v>30.95807868144928</v>
      </c>
      <c r="L126" s="14">
        <v>30.958052402069729</v>
      </c>
      <c r="M126" s="14">
        <v>11</v>
      </c>
    </row>
    <row r="127" spans="1:13" x14ac:dyDescent="0.3">
      <c r="A127" s="14">
        <v>116</v>
      </c>
      <c r="B127" s="14">
        <v>0.56121728844717367</v>
      </c>
      <c r="C127" s="14">
        <v>3.8403075887316618E-5</v>
      </c>
      <c r="D127" s="14">
        <v>14613.862964881073</v>
      </c>
      <c r="E127" s="14">
        <v>6.4038426760504308E-5</v>
      </c>
      <c r="F127" s="14">
        <v>8763.7582126440429</v>
      </c>
      <c r="G127" s="14">
        <v>0.76966602232766612</v>
      </c>
      <c r="H127" s="14">
        <v>30.958101527272927</v>
      </c>
      <c r="I127" s="14">
        <v>30.958099427638441</v>
      </c>
      <c r="J127" s="14">
        <v>0.20844873388049248</v>
      </c>
      <c r="K127" s="14">
        <v>30.958063124197039</v>
      </c>
      <c r="L127" s="14">
        <v>30.95803538921168</v>
      </c>
      <c r="M127" s="14">
        <v>12</v>
      </c>
    </row>
    <row r="128" spans="1:13" x14ac:dyDescent="0.3">
      <c r="A128" s="14">
        <v>117</v>
      </c>
      <c r="B128" s="14">
        <v>0.34206683555214257</v>
      </c>
      <c r="C128" s="14">
        <v>8.8291083528702075E-6</v>
      </c>
      <c r="D128" s="14">
        <v>38743.078222722448</v>
      </c>
      <c r="E128" s="14">
        <v>1.7946099038823604E-5</v>
      </c>
      <c r="F128" s="14">
        <v>19060.790582517904</v>
      </c>
      <c r="G128" s="14">
        <v>0.3674332244145232</v>
      </c>
      <c r="H128" s="14">
        <v>30.958097297871522</v>
      </c>
      <c r="I128" s="14">
        <v>30.958092760878166</v>
      </c>
      <c r="J128" s="14">
        <v>2.5366388862380629E-2</v>
      </c>
      <c r="K128" s="14">
        <v>30.958088468763169</v>
      </c>
      <c r="L128" s="14">
        <v>30.958074814779128</v>
      </c>
      <c r="M128" s="14">
        <v>11</v>
      </c>
    </row>
    <row r="129" spans="1:13" x14ac:dyDescent="0.3">
      <c r="A129" s="14">
        <v>118</v>
      </c>
      <c r="B129" s="14">
        <v>0.67266649275252743</v>
      </c>
      <c r="C129" s="14">
        <v>2.438477392630034E-5</v>
      </c>
      <c r="D129" s="14">
        <v>27585.512778817239</v>
      </c>
      <c r="E129" s="14">
        <v>4.3939574005946724E-5</v>
      </c>
      <c r="F129" s="14">
        <v>15308.898822311969</v>
      </c>
      <c r="G129" s="14">
        <v>0.77686345162291426</v>
      </c>
      <c r="H129" s="14">
        <v>30.958100830597381</v>
      </c>
      <c r="I129" s="14">
        <v>30.958098091056765</v>
      </c>
      <c r="J129" s="14">
        <v>0.1041969588703868</v>
      </c>
      <c r="K129" s="14">
        <v>30.958076445823455</v>
      </c>
      <c r="L129" s="14">
        <v>30.958054151482759</v>
      </c>
      <c r="M129" s="14">
        <v>11</v>
      </c>
    </row>
    <row r="130" spans="1:13" x14ac:dyDescent="0.3">
      <c r="A130" s="14">
        <v>119</v>
      </c>
      <c r="B130" s="14">
        <v>8.3708113006347507E-2</v>
      </c>
      <c r="C130" s="14">
        <v>3.3075946276994728E-5</v>
      </c>
      <c r="D130" s="14">
        <v>2530.7851302373442</v>
      </c>
      <c r="E130" s="14">
        <v>5.1340933705290581E-5</v>
      </c>
      <c r="F130" s="14">
        <v>1630.4361250391819</v>
      </c>
      <c r="G130" s="14">
        <v>0.39645942690240299</v>
      </c>
      <c r="H130" s="14">
        <v>30.958101479481066</v>
      </c>
      <c r="I130" s="14">
        <v>30.958101401381732</v>
      </c>
      <c r="J130" s="14">
        <v>0.31275131389605548</v>
      </c>
      <c r="K130" s="14">
        <v>30.958068403534789</v>
      </c>
      <c r="L130" s="14">
        <v>30.958050060448027</v>
      </c>
      <c r="M130" s="14">
        <v>10</v>
      </c>
    </row>
    <row r="131" spans="1:13" x14ac:dyDescent="0.3">
      <c r="A131" s="14">
        <v>120</v>
      </c>
      <c r="B131" s="14">
        <v>0.44735600611499526</v>
      </c>
      <c r="C131" s="14">
        <v>7.9549273941381671E-6</v>
      </c>
      <c r="D131" s="14">
        <v>56236.340566055107</v>
      </c>
      <c r="E131" s="14">
        <v>2.3125365483878113E-5</v>
      </c>
      <c r="F131" s="14">
        <v>19344.818849538628</v>
      </c>
      <c r="G131" s="14">
        <v>0.47470818499457368</v>
      </c>
      <c r="H131" s="14">
        <v>30.958101535521919</v>
      </c>
      <c r="I131" s="14">
        <v>30.958100433702942</v>
      </c>
      <c r="J131" s="14">
        <v>2.7352178879578429E-2</v>
      </c>
      <c r="K131" s="14">
        <v>30.958093580594525</v>
      </c>
      <c r="L131" s="14">
        <v>30.958077308337458</v>
      </c>
      <c r="M131" s="14">
        <v>9</v>
      </c>
    </row>
    <row r="132" spans="1:13" x14ac:dyDescent="0.3">
      <c r="A132" s="14">
        <v>121</v>
      </c>
      <c r="B132" s="14">
        <v>0.53308634841809777</v>
      </c>
      <c r="C132" s="14">
        <v>4.9663673767241789E-5</v>
      </c>
      <c r="D132" s="14">
        <v>10733.929006470764</v>
      </c>
      <c r="E132" s="14">
        <v>6.3949663836382342E-5</v>
      </c>
      <c r="F132" s="14">
        <v>8336.0305033349287</v>
      </c>
      <c r="G132" s="14">
        <v>0.65334267368400567</v>
      </c>
      <c r="H132" s="14">
        <v>30.958098603359957</v>
      </c>
      <c r="I132" s="14">
        <v>30.958097334855125</v>
      </c>
      <c r="J132" s="14">
        <v>0.12025632526590792</v>
      </c>
      <c r="K132" s="14">
        <v>30.95804893968619</v>
      </c>
      <c r="L132" s="14">
        <v>30.958033385191289</v>
      </c>
      <c r="M132" s="14">
        <v>9</v>
      </c>
    </row>
    <row r="133" spans="1:13" x14ac:dyDescent="0.3">
      <c r="A133" s="14">
        <v>122</v>
      </c>
      <c r="B133" s="14">
        <v>0.36322176531604883</v>
      </c>
      <c r="C133" s="14">
        <v>7.476975056874835E-6</v>
      </c>
      <c r="D133" s="14">
        <v>48578.704964660574</v>
      </c>
      <c r="E133" s="14">
        <v>2.4293633526184522E-5</v>
      </c>
      <c r="F133" s="14">
        <v>14951.314916500893</v>
      </c>
      <c r="G133" s="14">
        <v>0.39471623426726787</v>
      </c>
      <c r="H133" s="14">
        <v>30.958101485347285</v>
      </c>
      <c r="I133" s="14">
        <v>30.958101329688905</v>
      </c>
      <c r="J133" s="14">
        <v>3.1494468951219039E-2</v>
      </c>
      <c r="K133" s="14">
        <v>30.958094008372228</v>
      </c>
      <c r="L133" s="14">
        <v>30.958077036055379</v>
      </c>
      <c r="M133" s="14">
        <v>14</v>
      </c>
    </row>
    <row r="134" spans="1:13" x14ac:dyDescent="0.3">
      <c r="A134" s="14">
        <v>123</v>
      </c>
      <c r="B134" s="14">
        <v>0.58158403431985684</v>
      </c>
      <c r="C134" s="14">
        <v>9.7796679874306847E-6</v>
      </c>
      <c r="D134" s="14">
        <v>59468.68902577649</v>
      </c>
      <c r="E134" s="14">
        <v>2.7190345448957487E-5</v>
      </c>
      <c r="F134" s="14">
        <v>21389.358050327952</v>
      </c>
      <c r="G134" s="14">
        <v>0.63904212128186599</v>
      </c>
      <c r="H134" s="14">
        <v>30.958101513236009</v>
      </c>
      <c r="I134" s="14">
        <v>30.958101145539395</v>
      </c>
      <c r="J134" s="14">
        <v>5.74580869620092E-2</v>
      </c>
      <c r="K134" s="14">
        <v>30.958091733568022</v>
      </c>
      <c r="L134" s="14">
        <v>30.958073955193946</v>
      </c>
      <c r="M134" s="14">
        <v>12</v>
      </c>
    </row>
    <row r="135" spans="1:13" x14ac:dyDescent="0.3">
      <c r="A135" s="14">
        <v>124</v>
      </c>
      <c r="B135" s="14">
        <v>0.51629004528499112</v>
      </c>
      <c r="C135" s="14">
        <v>3.3684909261921803E-5</v>
      </c>
      <c r="D135" s="14">
        <v>15327.042779616962</v>
      </c>
      <c r="E135" s="14">
        <v>5.517445092451112E-5</v>
      </c>
      <c r="F135" s="14">
        <v>9357.4115670198807</v>
      </c>
      <c r="G135" s="14">
        <v>0.80482750120253965</v>
      </c>
      <c r="H135" s="14">
        <v>30.958101241286194</v>
      </c>
      <c r="I135" s="14">
        <v>30.958100296006318</v>
      </c>
      <c r="J135" s="14">
        <v>0.28853745591754854</v>
      </c>
      <c r="K135" s="14">
        <v>30.958067556376932</v>
      </c>
      <c r="L135" s="14">
        <v>30.958045121555394</v>
      </c>
      <c r="M135" s="14">
        <v>10</v>
      </c>
    </row>
    <row r="136" spans="1:13" x14ac:dyDescent="0.3">
      <c r="A136" s="14">
        <v>125</v>
      </c>
      <c r="B136" s="14">
        <v>0.45778112020832917</v>
      </c>
      <c r="C136" s="14">
        <v>5.9423267515512634E-6</v>
      </c>
      <c r="D136" s="14">
        <v>77037.352429134582</v>
      </c>
      <c r="E136" s="14">
        <v>2.0343186136528857E-5</v>
      </c>
      <c r="F136" s="14">
        <v>22502.921476313051</v>
      </c>
      <c r="G136" s="14">
        <v>0.50020537984780788</v>
      </c>
      <c r="H136" s="14">
        <v>30.958100125881906</v>
      </c>
      <c r="I136" s="14">
        <v>30.958096657733826</v>
      </c>
      <c r="J136" s="14">
        <v>4.242425963947874E-2</v>
      </c>
      <c r="K136" s="14">
        <v>30.958094183555154</v>
      </c>
      <c r="L136" s="14">
        <v>30.958076314547689</v>
      </c>
      <c r="M136" s="14">
        <v>11</v>
      </c>
    </row>
    <row r="137" spans="1:13" x14ac:dyDescent="0.3">
      <c r="A137" s="14">
        <v>126</v>
      </c>
      <c r="B137" s="14">
        <v>0.37431197612299438</v>
      </c>
      <c r="C137" s="14">
        <v>2.7674361113838586E-6</v>
      </c>
      <c r="D137" s="14">
        <v>135255.86899125174</v>
      </c>
      <c r="E137" s="14">
        <v>1.5704356727042068E-5</v>
      </c>
      <c r="F137" s="14">
        <v>23834.912988091328</v>
      </c>
      <c r="G137" s="14">
        <v>0.39084631548893434</v>
      </c>
      <c r="H137" s="14">
        <v>30.958101399790813</v>
      </c>
      <c r="I137" s="14">
        <v>30.958099461360526</v>
      </c>
      <c r="J137" s="14">
        <v>1.6534339365939982E-2</v>
      </c>
      <c r="K137" s="14">
        <v>30.958098632354702</v>
      </c>
      <c r="L137" s="14">
        <v>30.958083757003799</v>
      </c>
      <c r="M137" s="14">
        <v>10</v>
      </c>
    </row>
    <row r="138" spans="1:13" x14ac:dyDescent="0.3">
      <c r="A138" s="14">
        <v>127</v>
      </c>
      <c r="B138" s="14">
        <v>0.56452393365021603</v>
      </c>
      <c r="C138" s="14">
        <v>5.0659511124706569E-5</v>
      </c>
      <c r="D138" s="14">
        <v>11143.493514190241</v>
      </c>
      <c r="E138" s="14">
        <v>8.501401179472623E-5</v>
      </c>
      <c r="F138" s="14">
        <v>6640.363414601683</v>
      </c>
      <c r="G138" s="14">
        <v>0.70289122800609261</v>
      </c>
      <c r="H138" s="14">
        <v>30.958097634267361</v>
      </c>
      <c r="I138" s="14">
        <v>30.958094447043631</v>
      </c>
      <c r="J138" s="14">
        <v>0.13836729435587661</v>
      </c>
      <c r="K138" s="14">
        <v>30.958046974756236</v>
      </c>
      <c r="L138" s="14">
        <v>30.958009433031837</v>
      </c>
      <c r="M138" s="14">
        <v>13</v>
      </c>
    </row>
    <row r="139" spans="1:13" x14ac:dyDescent="0.3">
      <c r="A139" s="14">
        <v>128</v>
      </c>
      <c r="B139" s="14">
        <v>0.42299296087386085</v>
      </c>
      <c r="C139" s="14">
        <v>3.4211243978177208E-5</v>
      </c>
      <c r="D139" s="14">
        <v>12364.15025258015</v>
      </c>
      <c r="E139" s="14">
        <v>5.4689369001437171E-5</v>
      </c>
      <c r="F139" s="14">
        <v>7734.4640941595999</v>
      </c>
      <c r="G139" s="14">
        <v>0.51931423032940927</v>
      </c>
      <c r="H139" s="14">
        <v>30.958101077447346</v>
      </c>
      <c r="I139" s="14">
        <v>30.958100604044986</v>
      </c>
      <c r="J139" s="14">
        <v>9.6321269455548447E-2</v>
      </c>
      <c r="K139" s="14">
        <v>30.958066866203367</v>
      </c>
      <c r="L139" s="14">
        <v>30.958045914675985</v>
      </c>
      <c r="M139" s="14">
        <v>12</v>
      </c>
    </row>
    <row r="140" spans="1:13" x14ac:dyDescent="0.3">
      <c r="A140" s="14">
        <v>129</v>
      </c>
      <c r="B140" s="14">
        <v>0.5883238761815649</v>
      </c>
      <c r="C140" s="14">
        <v>2.9161864020466055E-5</v>
      </c>
      <c r="D140" s="14">
        <v>20174.426290743075</v>
      </c>
      <c r="E140" s="14">
        <v>5.4333901438496923E-5</v>
      </c>
      <c r="F140" s="14">
        <v>10827.93358484511</v>
      </c>
      <c r="G140" s="14">
        <v>0.84584399372431895</v>
      </c>
      <c r="H140" s="14">
        <v>30.958100411124658</v>
      </c>
      <c r="I140" s="14">
        <v>30.958097558091207</v>
      </c>
      <c r="J140" s="14">
        <v>0.25752011754275406</v>
      </c>
      <c r="K140" s="14">
        <v>30.958071249260637</v>
      </c>
      <c r="L140" s="14">
        <v>30.958043224189769</v>
      </c>
      <c r="M140" s="14">
        <v>13</v>
      </c>
    </row>
    <row r="141" spans="1:13" x14ac:dyDescent="0.3">
      <c r="A141" s="14">
        <v>130</v>
      </c>
      <c r="B141" s="14">
        <v>0.79321239889814299</v>
      </c>
      <c r="C141" s="14">
        <v>4.3772544032094629E-5</v>
      </c>
      <c r="D141" s="14">
        <v>18121.231389168261</v>
      </c>
      <c r="E141" s="14">
        <v>7.4236629064472481E-5</v>
      </c>
      <c r="F141" s="14">
        <v>10684.919410999382</v>
      </c>
      <c r="G141" s="14">
        <v>0.97737352314909987</v>
      </c>
      <c r="H141" s="14">
        <v>30.958101551454217</v>
      </c>
      <c r="I141" s="14">
        <v>30.958101231227751</v>
      </c>
      <c r="J141" s="14">
        <v>0.18416112425095688</v>
      </c>
      <c r="K141" s="14">
        <v>30.958057778910185</v>
      </c>
      <c r="L141" s="14">
        <v>30.958026994598686</v>
      </c>
      <c r="M141" s="14">
        <v>9</v>
      </c>
    </row>
    <row r="142" spans="1:13" x14ac:dyDescent="0.3">
      <c r="A142" s="14">
        <v>131</v>
      </c>
      <c r="B142" s="14">
        <v>0.39617431046721918</v>
      </c>
      <c r="C142" s="14">
        <v>6.6438662795320624E-5</v>
      </c>
      <c r="D142" s="14">
        <v>5963.0084923250797</v>
      </c>
      <c r="E142" s="14">
        <v>8.4017065052677253E-5</v>
      </c>
      <c r="F142" s="14">
        <v>4715.4028793891421</v>
      </c>
      <c r="G142" s="14">
        <v>0.53102359518056363</v>
      </c>
      <c r="H142" s="14">
        <v>30.958099795543244</v>
      </c>
      <c r="I142" s="14">
        <v>30.958098696108419</v>
      </c>
      <c r="J142" s="14">
        <v>0.13484928471334448</v>
      </c>
      <c r="K142" s="14">
        <v>30.958033356880449</v>
      </c>
      <c r="L142" s="14">
        <v>30.958014679043366</v>
      </c>
      <c r="M142" s="14">
        <v>13</v>
      </c>
    </row>
    <row r="143" spans="1:13" x14ac:dyDescent="0.3">
      <c r="A143" s="14">
        <v>132</v>
      </c>
      <c r="B143" s="14">
        <v>0.79006452662437998</v>
      </c>
      <c r="C143" s="14">
        <v>1.2622521378347074E-5</v>
      </c>
      <c r="D143" s="14">
        <v>62591.656844382334</v>
      </c>
      <c r="E143" s="14">
        <v>4.1612694513304405E-5</v>
      </c>
      <c r="F143" s="14">
        <v>18986.141990199183</v>
      </c>
      <c r="G143" s="14">
        <v>0.82721123872015578</v>
      </c>
      <c r="H143" s="14">
        <v>30.958100293937413</v>
      </c>
      <c r="I143" s="14">
        <v>30.95809530289948</v>
      </c>
      <c r="J143" s="14">
        <v>3.7146712095775768E-2</v>
      </c>
      <c r="K143" s="14">
        <v>30.958087671416035</v>
      </c>
      <c r="L143" s="14">
        <v>30.958053690204967</v>
      </c>
      <c r="M143" s="14">
        <v>14</v>
      </c>
    </row>
    <row r="144" spans="1:13" x14ac:dyDescent="0.3">
      <c r="A144" s="14">
        <v>133</v>
      </c>
      <c r="B144" s="14">
        <v>0.72616436104070092</v>
      </c>
      <c r="C144" s="14">
        <v>5.0308140448152017E-5</v>
      </c>
      <c r="D144" s="14">
        <v>14434.331195149061</v>
      </c>
      <c r="E144" s="14">
        <v>7.6669295694387074E-5</v>
      </c>
      <c r="F144" s="14">
        <v>9471.3842675075357</v>
      </c>
      <c r="G144" s="14">
        <v>0.82348845371666901</v>
      </c>
      <c r="H144" s="14">
        <v>30.958094799864988</v>
      </c>
      <c r="I144" s="14">
        <v>30.958088418016931</v>
      </c>
      <c r="J144" s="14">
        <v>9.7324092675968144E-2</v>
      </c>
      <c r="K144" s="14">
        <v>30.958044491724539</v>
      </c>
      <c r="L144" s="14">
        <v>30.958011748721237</v>
      </c>
      <c r="M144" s="14">
        <v>9</v>
      </c>
    </row>
    <row r="145" spans="1:13" x14ac:dyDescent="0.3">
      <c r="A145" s="14">
        <v>134</v>
      </c>
      <c r="B145" s="14">
        <v>0.56166081242935662</v>
      </c>
      <c r="C145" s="14">
        <v>7.7394182113721399E-5</v>
      </c>
      <c r="D145" s="14">
        <v>7257.1451379131304</v>
      </c>
      <c r="E145" s="14">
        <v>9.9717896834050634E-5</v>
      </c>
      <c r="F145" s="14">
        <v>5632.4975782839265</v>
      </c>
      <c r="G145" s="14">
        <v>0.88505469387427593</v>
      </c>
      <c r="H145" s="14">
        <v>30.958098897203254</v>
      </c>
      <c r="I145" s="14">
        <v>30.958096708305437</v>
      </c>
      <c r="J145" s="14">
        <v>0.32339388144491932</v>
      </c>
      <c r="K145" s="14">
        <v>30.95802150302114</v>
      </c>
      <c r="L145" s="14">
        <v>30.957996990408603</v>
      </c>
      <c r="M145" s="14">
        <v>10</v>
      </c>
    </row>
    <row r="146" spans="1:13" x14ac:dyDescent="0.3">
      <c r="A146" s="14">
        <v>135</v>
      </c>
      <c r="B146" s="14">
        <v>0.51174631579005081</v>
      </c>
      <c r="C146" s="14">
        <v>4.1227964768353331E-5</v>
      </c>
      <c r="D146" s="14">
        <v>12412.601947862056</v>
      </c>
      <c r="E146" s="14">
        <v>6.6720575539136462E-5</v>
      </c>
      <c r="F146" s="14">
        <v>7669.9925271159336</v>
      </c>
      <c r="G146" s="14">
        <v>0.60432059086102696</v>
      </c>
      <c r="H146" s="14">
        <v>30.958101383426285</v>
      </c>
      <c r="I146" s="14">
        <v>30.958099371889951</v>
      </c>
      <c r="J146" s="14">
        <v>9.2574275070976195E-2</v>
      </c>
      <c r="K146" s="14">
        <v>30.958060155461517</v>
      </c>
      <c r="L146" s="14">
        <v>30.958032651314412</v>
      </c>
      <c r="M146" s="14">
        <v>14</v>
      </c>
    </row>
    <row r="147" spans="1:13" x14ac:dyDescent="0.3">
      <c r="A147" s="14">
        <v>136</v>
      </c>
      <c r="B147" s="14">
        <v>0.38331894099853075</v>
      </c>
      <c r="C147" s="14">
        <v>8.7137590291774814E-5</v>
      </c>
      <c r="D147" s="14">
        <v>4399.00781872681</v>
      </c>
      <c r="E147" s="14">
        <v>9.6998517935986683E-5</v>
      </c>
      <c r="F147" s="14">
        <v>3951.8020394033106</v>
      </c>
      <c r="G147" s="14">
        <v>0.57954175565698129</v>
      </c>
      <c r="H147" s="14">
        <v>30.958100206293949</v>
      </c>
      <c r="I147" s="14">
        <v>30.958099211843919</v>
      </c>
      <c r="J147" s="14">
        <v>0.19622281465845054</v>
      </c>
      <c r="K147" s="14">
        <v>30.958013068703657</v>
      </c>
      <c r="L147" s="14">
        <v>30.958002213325983</v>
      </c>
      <c r="M147" s="14">
        <v>12</v>
      </c>
    </row>
    <row r="148" spans="1:13" x14ac:dyDescent="0.3">
      <c r="A148" s="14">
        <v>137</v>
      </c>
      <c r="B148" s="14">
        <v>0.37862057180252118</v>
      </c>
      <c r="C148" s="14">
        <v>1.2129717065079149E-4</v>
      </c>
      <c r="D148" s="14">
        <v>3121.4295417701946</v>
      </c>
      <c r="E148" s="14">
        <v>1.2975416604632528E-4</v>
      </c>
      <c r="F148" s="14">
        <v>2917.9839333046521</v>
      </c>
      <c r="G148" s="14">
        <v>0.62459406766018688</v>
      </c>
      <c r="H148" s="14">
        <v>30.958101463389106</v>
      </c>
      <c r="I148" s="14">
        <v>30.958100433566287</v>
      </c>
      <c r="J148" s="14">
        <v>0.24597349585766567</v>
      </c>
      <c r="K148" s="14">
        <v>30.957980166218455</v>
      </c>
      <c r="L148" s="14">
        <v>30.95797067940024</v>
      </c>
      <c r="M148" s="14">
        <v>12</v>
      </c>
    </row>
    <row r="149" spans="1:13" x14ac:dyDescent="0.3">
      <c r="A149" s="14">
        <v>138</v>
      </c>
      <c r="B149" s="14">
        <v>0.2945643478261139</v>
      </c>
      <c r="C149" s="14">
        <v>2.726275076625484E-5</v>
      </c>
      <c r="D149" s="14">
        <v>10804.645149407241</v>
      </c>
      <c r="E149" s="14">
        <v>3.8705367721547645E-5</v>
      </c>
      <c r="F149" s="14">
        <v>7610.4262836424914</v>
      </c>
      <c r="G149" s="14">
        <v>0.35753627748894679</v>
      </c>
      <c r="H149" s="14">
        <v>30.958101550919043</v>
      </c>
      <c r="I149" s="14">
        <v>30.958101145536208</v>
      </c>
      <c r="J149" s="14">
        <v>6.2971929662832868E-2</v>
      </c>
      <c r="K149" s="14">
        <v>30.958074288168277</v>
      </c>
      <c r="L149" s="14">
        <v>30.958062440168487</v>
      </c>
      <c r="M149" s="14">
        <v>10</v>
      </c>
    </row>
    <row r="150" spans="1:13" x14ac:dyDescent="0.3">
      <c r="A150" s="14">
        <v>139</v>
      </c>
      <c r="B150" s="14">
        <v>0.40903032174984444</v>
      </c>
      <c r="C150" s="14">
        <v>8.2760072217524794E-5</v>
      </c>
      <c r="D150" s="14">
        <v>4942.3630355802243</v>
      </c>
      <c r="E150" s="14">
        <v>1.0304637568836483E-4</v>
      </c>
      <c r="F150" s="14">
        <v>3969.3809609262062</v>
      </c>
      <c r="G150" s="14">
        <v>0.60360648499983349</v>
      </c>
      <c r="H150" s="14">
        <v>30.958101408451846</v>
      </c>
      <c r="I150" s="14">
        <v>30.95809903290969</v>
      </c>
      <c r="J150" s="14">
        <v>0.19457616324998905</v>
      </c>
      <c r="K150" s="14">
        <v>30.958018648379628</v>
      </c>
      <c r="L150" s="14">
        <v>30.957995986534002</v>
      </c>
      <c r="M150" s="14">
        <v>10</v>
      </c>
    </row>
    <row r="151" spans="1:13" x14ac:dyDescent="0.3">
      <c r="A151" s="14">
        <v>140</v>
      </c>
      <c r="B151" s="14">
        <v>0.61282160767350025</v>
      </c>
      <c r="C151" s="14">
        <v>4.218432328073618E-5</v>
      </c>
      <c r="D151" s="14">
        <v>14527.235712546095</v>
      </c>
      <c r="E151" s="14">
        <v>6.9076807776013993E-5</v>
      </c>
      <c r="F151" s="14">
        <v>8871.5971018900273</v>
      </c>
      <c r="G151" s="14">
        <v>0.90973977953535168</v>
      </c>
      <c r="H151" s="14">
        <v>30.958100690567711</v>
      </c>
      <c r="I151" s="14">
        <v>30.958099108325534</v>
      </c>
      <c r="J151" s="14">
        <v>0.29691817186185143</v>
      </c>
      <c r="K151" s="14">
        <v>30.958058506244431</v>
      </c>
      <c r="L151" s="14">
        <v>30.958030031517758</v>
      </c>
      <c r="M151" s="14">
        <v>9</v>
      </c>
    </row>
    <row r="152" spans="1:13" x14ac:dyDescent="0.3">
      <c r="A152" s="14">
        <v>141</v>
      </c>
      <c r="B152" s="14">
        <v>0.36770051972098228</v>
      </c>
      <c r="C152" s="14">
        <v>4.0400576004628874E-6</v>
      </c>
      <c r="D152" s="14">
        <v>91013.682497708243</v>
      </c>
      <c r="E152" s="14">
        <v>1.0604232141275816E-5</v>
      </c>
      <c r="F152" s="14">
        <v>34674.884029532717</v>
      </c>
      <c r="G152" s="14">
        <v>0.38282304122146549</v>
      </c>
      <c r="H152" s="14">
        <v>30.958098764877072</v>
      </c>
      <c r="I152" s="14">
        <v>30.958093783179642</v>
      </c>
      <c r="J152" s="14">
        <v>1.5122521500483231E-2</v>
      </c>
      <c r="K152" s="14">
        <v>30.958094724819471</v>
      </c>
      <c r="L152" s="14">
        <v>30.958083178947501</v>
      </c>
      <c r="M152" s="14">
        <v>15</v>
      </c>
    </row>
    <row r="153" spans="1:13" x14ac:dyDescent="0.3">
      <c r="A153" s="14">
        <v>142</v>
      </c>
      <c r="B153" s="14">
        <v>0.46783141615715285</v>
      </c>
      <c r="C153" s="14">
        <v>3.1672859755360605E-5</v>
      </c>
      <c r="D153" s="14">
        <v>14770.734937440335</v>
      </c>
      <c r="E153" s="14">
        <v>5.2927100050226272E-5</v>
      </c>
      <c r="F153" s="14">
        <v>8839.1658661289675</v>
      </c>
      <c r="G153" s="14">
        <v>0.49777602099828377</v>
      </c>
      <c r="H153" s="14">
        <v>30.958101474782289</v>
      </c>
      <c r="I153" s="14">
        <v>30.958099737195059</v>
      </c>
      <c r="J153" s="14">
        <v>2.9944604841130956E-2</v>
      </c>
      <c r="K153" s="14">
        <v>30.958069801922534</v>
      </c>
      <c r="L153" s="14">
        <v>30.958046810095009</v>
      </c>
      <c r="M153" s="14">
        <v>14</v>
      </c>
    </row>
    <row r="154" spans="1:13" x14ac:dyDescent="0.3">
      <c r="A154" s="14">
        <v>143</v>
      </c>
      <c r="B154" s="14">
        <v>0.35551508757590938</v>
      </c>
      <c r="C154" s="14">
        <v>7.2219569972276076E-5</v>
      </c>
      <c r="D154" s="14">
        <v>4922.6973756889702</v>
      </c>
      <c r="E154" s="14">
        <v>8.872692670536253E-5</v>
      </c>
      <c r="F154" s="14">
        <v>4006.8455065109624</v>
      </c>
      <c r="G154" s="14">
        <v>0.48694176208988038</v>
      </c>
      <c r="H154" s="14">
        <v>30.958100938529324</v>
      </c>
      <c r="I154" s="14">
        <v>30.958099658495165</v>
      </c>
      <c r="J154" s="14">
        <v>0.131426674513971</v>
      </c>
      <c r="K154" s="14">
        <v>30.958028718959351</v>
      </c>
      <c r="L154" s="14">
        <v>30.95801093156846</v>
      </c>
      <c r="M154" s="14">
        <v>10</v>
      </c>
    </row>
    <row r="155" spans="1:13" x14ac:dyDescent="0.3">
      <c r="A155" s="14">
        <v>144</v>
      </c>
      <c r="B155" s="14">
        <v>0.40486318535142962</v>
      </c>
      <c r="C155" s="14">
        <v>1.7886760620200448E-5</v>
      </c>
      <c r="D155" s="14">
        <v>22634.796425586228</v>
      </c>
      <c r="E155" s="14">
        <v>2.6935998434396424E-5</v>
      </c>
      <c r="F155" s="14">
        <v>15030.561660355314</v>
      </c>
      <c r="G155" s="14">
        <v>0.47197660244826833</v>
      </c>
      <c r="H155" s="14">
        <v>30.958099957873042</v>
      </c>
      <c r="I155" s="14">
        <v>30.958098829132997</v>
      </c>
      <c r="J155" s="14">
        <v>6.7113417096838685E-2</v>
      </c>
      <c r="K155" s="14">
        <v>30.958082071112422</v>
      </c>
      <c r="L155" s="14">
        <v>30.958071893134562</v>
      </c>
      <c r="M155" s="14">
        <v>10</v>
      </c>
    </row>
    <row r="156" spans="1:13" x14ac:dyDescent="0.3">
      <c r="A156" s="14">
        <v>145</v>
      </c>
      <c r="B156" s="14">
        <v>0.47198352265248822</v>
      </c>
      <c r="C156" s="14">
        <v>5.0688870196324842E-5</v>
      </c>
      <c r="D156" s="14">
        <v>9311.3837579025185</v>
      </c>
      <c r="E156" s="14">
        <v>8.8726995386423368E-5</v>
      </c>
      <c r="F156" s="14">
        <v>5319.503050868655</v>
      </c>
      <c r="G156" s="14">
        <v>0.6046832620230097</v>
      </c>
      <c r="H156" s="14">
        <v>30.958101272432156</v>
      </c>
      <c r="I156" s="14">
        <v>30.958098599355267</v>
      </c>
      <c r="J156" s="14">
        <v>0.13269973937052151</v>
      </c>
      <c r="K156" s="14">
        <v>30.95805058356196</v>
      </c>
      <c r="L156" s="14">
        <v>30.958009872359881</v>
      </c>
      <c r="M156" s="14">
        <v>15</v>
      </c>
    </row>
    <row r="157" spans="1:13" x14ac:dyDescent="0.3">
      <c r="A157" s="14">
        <v>146</v>
      </c>
      <c r="B157" s="14">
        <v>0.52913707867297</v>
      </c>
      <c r="C157" s="14">
        <v>2.4895245829270607E-5</v>
      </c>
      <c r="D157" s="14">
        <v>21254.543228925926</v>
      </c>
      <c r="E157" s="14">
        <v>3.7678005575969564E-5</v>
      </c>
      <c r="F157" s="14">
        <v>14043.659439618674</v>
      </c>
      <c r="G157" s="14">
        <v>0.61917287896799711</v>
      </c>
      <c r="H157" s="14">
        <v>30.958101007747839</v>
      </c>
      <c r="I157" s="14">
        <v>30.958099495929627</v>
      </c>
      <c r="J157" s="14">
        <v>9.0035800295027085E-2</v>
      </c>
      <c r="K157" s="14">
        <v>30.95807611250201</v>
      </c>
      <c r="L157" s="14">
        <v>30.958061817924051</v>
      </c>
      <c r="M157" s="14">
        <v>11</v>
      </c>
    </row>
    <row r="158" spans="1:13" x14ac:dyDescent="0.3">
      <c r="A158" s="14">
        <v>147</v>
      </c>
      <c r="B158" s="14">
        <v>0.41004032838741356</v>
      </c>
      <c r="C158" s="14">
        <v>2.3498775185260001E-5</v>
      </c>
      <c r="D158" s="14">
        <v>17449.434072828535</v>
      </c>
      <c r="E158" s="14">
        <v>5.4178085456157987E-5</v>
      </c>
      <c r="F158" s="14">
        <v>7568.3798151048832</v>
      </c>
      <c r="G158" s="14">
        <v>0.47224441539750606</v>
      </c>
      <c r="H158" s="14">
        <v>30.958101521278852</v>
      </c>
      <c r="I158" s="14">
        <v>30.958099096048034</v>
      </c>
      <c r="J158" s="14">
        <v>6.2204087010092494E-2</v>
      </c>
      <c r="K158" s="14">
        <v>30.958078022503667</v>
      </c>
      <c r="L158" s="14">
        <v>30.958044917962578</v>
      </c>
      <c r="M158" s="14">
        <v>11</v>
      </c>
    </row>
    <row r="159" spans="1:13" x14ac:dyDescent="0.3">
      <c r="A159" s="14">
        <v>148</v>
      </c>
      <c r="B159" s="14">
        <v>0.51059641690758073</v>
      </c>
      <c r="C159" s="14">
        <v>4.7068721983123396E-5</v>
      </c>
      <c r="D159" s="14">
        <v>10847.892090434414</v>
      </c>
      <c r="E159" s="14">
        <v>6.4688250088096311E-5</v>
      </c>
      <c r="F159" s="14">
        <v>7893.1864165782836</v>
      </c>
      <c r="G159" s="14">
        <v>0.59786182699671286</v>
      </c>
      <c r="H159" s="14">
        <v>30.958101551117323</v>
      </c>
      <c r="I159" s="14">
        <v>30.958100760987822</v>
      </c>
      <c r="J159" s="14">
        <v>8.7265410089132175E-2</v>
      </c>
      <c r="K159" s="14">
        <v>30.95805448239534</v>
      </c>
      <c r="L159" s="14">
        <v>30.958036072737734</v>
      </c>
      <c r="M159" s="14">
        <v>14</v>
      </c>
    </row>
    <row r="160" spans="1:13" x14ac:dyDescent="0.3">
      <c r="A160" s="14">
        <v>149</v>
      </c>
      <c r="B160" s="14">
        <v>0.44072314626813924</v>
      </c>
      <c r="C160" s="14">
        <v>4.687838635319963E-5</v>
      </c>
      <c r="D160" s="14">
        <v>9401.414608164263</v>
      </c>
      <c r="E160" s="14">
        <v>7.0442640822676594E-5</v>
      </c>
      <c r="F160" s="14">
        <v>6256.4824532566863</v>
      </c>
      <c r="G160" s="14">
        <v>0.62752399503200662</v>
      </c>
      <c r="H160" s="14">
        <v>30.958099308934042</v>
      </c>
      <c r="I160" s="14">
        <v>30.958097664770147</v>
      </c>
      <c r="J160" s="14">
        <v>0.18680084876386735</v>
      </c>
      <c r="K160" s="14">
        <v>30.958052430547689</v>
      </c>
      <c r="L160" s="14">
        <v>30.958027222129324</v>
      </c>
      <c r="M160" s="14">
        <v>15</v>
      </c>
    </row>
    <row r="161" spans="1:13" x14ac:dyDescent="0.3">
      <c r="A161" s="14">
        <v>150</v>
      </c>
      <c r="B161" s="14">
        <v>0.56970150925835161</v>
      </c>
      <c r="C161" s="14">
        <v>2.5886944349906571E-5</v>
      </c>
      <c r="D161" s="14">
        <v>22007.290685136722</v>
      </c>
      <c r="E161" s="14">
        <v>4.8145150035594497E-5</v>
      </c>
      <c r="F161" s="14">
        <v>11832.998938359564</v>
      </c>
      <c r="G161" s="14">
        <v>0.71147487429167333</v>
      </c>
      <c r="H161" s="14">
        <v>30.958100752110109</v>
      </c>
      <c r="I161" s="14">
        <v>30.958097991255617</v>
      </c>
      <c r="J161" s="14">
        <v>0.14177336503332169</v>
      </c>
      <c r="K161" s="14">
        <v>30.958074865165759</v>
      </c>
      <c r="L161" s="14">
        <v>30.958049846105581</v>
      </c>
      <c r="M161" s="14">
        <v>15</v>
      </c>
    </row>
    <row r="162" spans="1:13" x14ac:dyDescent="0.3">
      <c r="A162" s="14">
        <v>151</v>
      </c>
      <c r="B162" s="14">
        <v>0.66294944017010249</v>
      </c>
      <c r="C162" s="14">
        <v>3.2629107600712359E-5</v>
      </c>
      <c r="D162" s="14">
        <v>20317.731280999818</v>
      </c>
      <c r="E162" s="14">
        <v>6.3404780210163381E-5</v>
      </c>
      <c r="F162" s="14">
        <v>10455.827430876196</v>
      </c>
      <c r="G162" s="14">
        <v>0.95840077515810695</v>
      </c>
      <c r="H162" s="14">
        <v>30.958100599223521</v>
      </c>
      <c r="I162" s="14">
        <v>30.95809940313093</v>
      </c>
      <c r="J162" s="14">
        <v>0.29545133498800447</v>
      </c>
      <c r="K162" s="14">
        <v>30.95806797011592</v>
      </c>
      <c r="L162" s="14">
        <v>30.95803599835072</v>
      </c>
      <c r="M162" s="14">
        <v>13</v>
      </c>
    </row>
    <row r="163" spans="1:13" x14ac:dyDescent="0.3">
      <c r="A163" s="14">
        <v>152</v>
      </c>
      <c r="B163" s="14">
        <v>0.22276072365089339</v>
      </c>
      <c r="C163" s="14">
        <v>3.0793888697644434E-5</v>
      </c>
      <c r="D163" s="14">
        <v>7233.926375395823</v>
      </c>
      <c r="E163" s="14">
        <v>4.4165281302355197E-5</v>
      </c>
      <c r="F163" s="14">
        <v>5043.7972335300001</v>
      </c>
      <c r="G163" s="14">
        <v>0.48455534630386793</v>
      </c>
      <c r="H163" s="14">
        <v>30.958101539838797</v>
      </c>
      <c r="I163" s="14">
        <v>30.958100285283951</v>
      </c>
      <c r="J163" s="14">
        <v>0.26179462265297454</v>
      </c>
      <c r="K163" s="14">
        <v>30.958070745950099</v>
      </c>
      <c r="L163" s="14">
        <v>30.958056120002649</v>
      </c>
      <c r="M163" s="14">
        <v>10</v>
      </c>
    </row>
    <row r="164" spans="1:13" x14ac:dyDescent="0.3">
      <c r="A164" s="14">
        <v>153</v>
      </c>
      <c r="B164" s="14">
        <v>0.2778048547846344</v>
      </c>
      <c r="C164" s="14">
        <v>4.7117248481498564E-5</v>
      </c>
      <c r="D164" s="14">
        <v>5896.0330608804434</v>
      </c>
      <c r="E164" s="14">
        <v>6.343224596250252E-5</v>
      </c>
      <c r="F164" s="14">
        <v>4379.5525535838124</v>
      </c>
      <c r="G164" s="14">
        <v>0.34242257075512084</v>
      </c>
      <c r="H164" s="14">
        <v>30.95809921457349</v>
      </c>
      <c r="I164" s="14">
        <v>30.958098361828903</v>
      </c>
      <c r="J164" s="14">
        <v>6.4617715970486433E-2</v>
      </c>
      <c r="K164" s="14">
        <v>30.958052097325009</v>
      </c>
      <c r="L164" s="14">
        <v>30.95803492958294</v>
      </c>
      <c r="M164" s="14">
        <v>13</v>
      </c>
    </row>
    <row r="165" spans="1:13" x14ac:dyDescent="0.3">
      <c r="A165" s="14">
        <v>154</v>
      </c>
      <c r="B165" s="14">
        <v>0.30119909517714394</v>
      </c>
      <c r="C165" s="14">
        <v>2.9047349485722407E-5</v>
      </c>
      <c r="D165" s="14">
        <v>10369.245404824003</v>
      </c>
      <c r="E165" s="14">
        <v>5.017807635354643E-5</v>
      </c>
      <c r="F165" s="14">
        <v>6002.6034687927231</v>
      </c>
      <c r="G165" s="14">
        <v>0.36625244962691139</v>
      </c>
      <c r="H165" s="14">
        <v>30.958101549786747</v>
      </c>
      <c r="I165" s="14">
        <v>30.958099590211784</v>
      </c>
      <c r="J165" s="14">
        <v>6.5053354449767425E-2</v>
      </c>
      <c r="K165" s="14">
        <v>30.958072502437261</v>
      </c>
      <c r="L165" s="14">
        <v>30.958049412135431</v>
      </c>
      <c r="M165" s="14">
        <v>11</v>
      </c>
    </row>
    <row r="166" spans="1:13" x14ac:dyDescent="0.3">
      <c r="A166" s="14">
        <v>155</v>
      </c>
      <c r="B166" s="14">
        <v>0.39986402967189572</v>
      </c>
      <c r="C166" s="14">
        <v>5.9526893991801444E-5</v>
      </c>
      <c r="D166" s="14">
        <v>6717.3676107973724</v>
      </c>
      <c r="E166" s="14">
        <v>7.2286572965651885E-5</v>
      </c>
      <c r="F166" s="14">
        <v>5531.6501151866405</v>
      </c>
      <c r="G166" s="14">
        <v>0.55590112528810787</v>
      </c>
      <c r="H166" s="14">
        <v>30.958101426213382</v>
      </c>
      <c r="I166" s="14">
        <v>30.958100126689139</v>
      </c>
      <c r="J166" s="14">
        <v>0.15603709561621215</v>
      </c>
      <c r="K166" s="14">
        <v>30.95804189931939</v>
      </c>
      <c r="L166" s="14">
        <v>30.958027840116173</v>
      </c>
      <c r="M166" s="14">
        <v>13</v>
      </c>
    </row>
    <row r="167" spans="1:13" x14ac:dyDescent="0.3">
      <c r="A167" s="14">
        <v>156</v>
      </c>
      <c r="B167" s="14">
        <v>0.16553735799502134</v>
      </c>
      <c r="C167" s="14">
        <v>6.7262971811032912E-5</v>
      </c>
      <c r="D167" s="14">
        <v>2461.0473420662752</v>
      </c>
      <c r="E167" s="14">
        <v>7.878737522304391E-5</v>
      </c>
      <c r="F167" s="14">
        <v>2101.0645109878542</v>
      </c>
      <c r="G167" s="14">
        <v>0.6663373458798465</v>
      </c>
      <c r="H167" s="14">
        <v>30.958100774655229</v>
      </c>
      <c r="I167" s="14">
        <v>30.958099564893036</v>
      </c>
      <c r="J167" s="14">
        <v>0.50079998788482516</v>
      </c>
      <c r="K167" s="14">
        <v>30.958033511683418</v>
      </c>
      <c r="L167" s="14">
        <v>30.958020777517813</v>
      </c>
      <c r="M167" s="14">
        <v>10</v>
      </c>
    </row>
    <row r="168" spans="1:13" x14ac:dyDescent="0.3">
      <c r="A168" s="14">
        <v>157</v>
      </c>
      <c r="B168" s="14">
        <v>0.75375292567157637</v>
      </c>
      <c r="C168" s="14">
        <v>3.0094981283923516E-5</v>
      </c>
      <c r="D168" s="14">
        <v>25045.801443120512</v>
      </c>
      <c r="E168" s="14">
        <v>5.9162984481275771E-5</v>
      </c>
      <c r="F168" s="14">
        <v>12740.278947728342</v>
      </c>
      <c r="G168" s="14">
        <v>0.82481521369738986</v>
      </c>
      <c r="H168" s="14">
        <v>30.958101466473988</v>
      </c>
      <c r="I168" s="14">
        <v>30.958099108334771</v>
      </c>
      <c r="J168" s="14">
        <v>7.1062288025813533E-2</v>
      </c>
      <c r="K168" s="14">
        <v>30.958071371492704</v>
      </c>
      <c r="L168" s="14">
        <v>30.95803994535029</v>
      </c>
      <c r="M168" s="14">
        <v>11</v>
      </c>
    </row>
    <row r="169" spans="1:13" x14ac:dyDescent="0.3">
      <c r="A169" s="14">
        <v>158</v>
      </c>
      <c r="B169" s="14">
        <v>0.3293933684198424</v>
      </c>
      <c r="C169" s="14">
        <v>1.6008869039296769E-5</v>
      </c>
      <c r="D169" s="14">
        <v>20575.680119019318</v>
      </c>
      <c r="E169" s="14">
        <v>3.4620570616539226E-5</v>
      </c>
      <c r="F169" s="14">
        <v>9514.3829969827784</v>
      </c>
      <c r="G169" s="14">
        <v>0.3645039791509066</v>
      </c>
      <c r="H169" s="14">
        <v>30.958098806546872</v>
      </c>
      <c r="I169" s="14">
        <v>30.958095365505979</v>
      </c>
      <c r="J169" s="14">
        <v>3.5110610731064217E-2</v>
      </c>
      <c r="K169" s="14">
        <v>30.958082797677832</v>
      </c>
      <c r="L169" s="14">
        <v>30.958060744935363</v>
      </c>
      <c r="M169" s="14">
        <v>12</v>
      </c>
    </row>
    <row r="170" spans="1:13" x14ac:dyDescent="0.3">
      <c r="A170" s="14">
        <v>159</v>
      </c>
      <c r="B170" s="14">
        <v>0.90558809868341894</v>
      </c>
      <c r="C170" s="14">
        <v>1.7604228712997383E-5</v>
      </c>
      <c r="D170" s="14">
        <v>51441.509505884453</v>
      </c>
      <c r="E170" s="14">
        <v>4.1786444700875336E-5</v>
      </c>
      <c r="F170" s="14">
        <v>21671.814990865896</v>
      </c>
      <c r="G170" s="14">
        <v>1.08570583921736</v>
      </c>
      <c r="H170" s="14">
        <v>30.958101510977016</v>
      </c>
      <c r="I170" s="14">
        <v>30.958100055545547</v>
      </c>
      <c r="J170" s="14">
        <v>0.180117740533941</v>
      </c>
      <c r="K170" s="14">
        <v>30.958083906748303</v>
      </c>
      <c r="L170" s="14">
        <v>30.958058269100846</v>
      </c>
      <c r="M170" s="14">
        <v>10</v>
      </c>
    </row>
    <row r="171" spans="1:13" x14ac:dyDescent="0.3">
      <c r="A171" s="14">
        <v>160</v>
      </c>
      <c r="B171" s="14">
        <v>0.33821061985774259</v>
      </c>
      <c r="C171" s="14">
        <v>2.0027289806989756E-5</v>
      </c>
      <c r="D171" s="14">
        <v>16887.48817824083</v>
      </c>
      <c r="E171" s="14">
        <v>3.8277054279944878E-5</v>
      </c>
      <c r="F171" s="14">
        <v>8835.8580935771442</v>
      </c>
      <c r="G171" s="14">
        <v>0.39130429908805009</v>
      </c>
      <c r="H171" s="14">
        <v>30.958099767770417</v>
      </c>
      <c r="I171" s="14">
        <v>30.958098075873846</v>
      </c>
      <c r="J171" s="14">
        <v>5.3093679230307472E-2</v>
      </c>
      <c r="K171" s="14">
        <v>30.95807974048061</v>
      </c>
      <c r="L171" s="14">
        <v>30.958059798819566</v>
      </c>
      <c r="M171" s="14">
        <v>9</v>
      </c>
    </row>
    <row r="172" spans="1:13" x14ac:dyDescent="0.3">
      <c r="A172" s="14">
        <v>161</v>
      </c>
      <c r="B172" s="14">
        <v>0.31944337158329572</v>
      </c>
      <c r="C172" s="14">
        <v>1.3889536803901592E-4</v>
      </c>
      <c r="D172" s="14">
        <v>2299.8849860390133</v>
      </c>
      <c r="E172" s="14">
        <v>1.5064721804947112E-4</v>
      </c>
      <c r="F172" s="14">
        <v>2120.4730875175774</v>
      </c>
      <c r="G172" s="14">
        <v>0.56241023542631374</v>
      </c>
      <c r="H172" s="14">
        <v>30.958099930325019</v>
      </c>
      <c r="I172" s="14">
        <v>30.958099654873848</v>
      </c>
      <c r="J172" s="14">
        <v>0.24296686384301805</v>
      </c>
      <c r="K172" s="14">
        <v>30.95796103495698</v>
      </c>
      <c r="L172" s="14">
        <v>30.957949007655799</v>
      </c>
      <c r="M172" s="14">
        <v>13</v>
      </c>
    </row>
    <row r="173" spans="1:13" x14ac:dyDescent="0.3">
      <c r="A173" s="14">
        <v>162</v>
      </c>
      <c r="B173" s="14">
        <v>0.57503719813389342</v>
      </c>
      <c r="C173" s="14">
        <v>1.5915712996417142E-5</v>
      </c>
      <c r="D173" s="14">
        <v>36130.156296695139</v>
      </c>
      <c r="E173" s="14">
        <v>3.3440535226247903E-5</v>
      </c>
      <c r="F173" s="14">
        <v>17195.813232156026</v>
      </c>
      <c r="G173" s="14">
        <v>0.63205556049845257</v>
      </c>
      <c r="H173" s="14">
        <v>30.958100686916023</v>
      </c>
      <c r="I173" s="14">
        <v>30.958098463901567</v>
      </c>
      <c r="J173" s="14">
        <v>5.7018362364559164E-2</v>
      </c>
      <c r="K173" s="14">
        <v>30.958084771203026</v>
      </c>
      <c r="L173" s="14">
        <v>30.958065023366341</v>
      </c>
      <c r="M173" s="14">
        <v>10</v>
      </c>
    </row>
    <row r="174" spans="1:13" x14ac:dyDescent="0.3">
      <c r="A174" s="14">
        <v>163</v>
      </c>
      <c r="B174" s="14">
        <v>0.52858835779974267</v>
      </c>
      <c r="C174" s="14">
        <v>4.1015423473567125E-5</v>
      </c>
      <c r="D174" s="14">
        <v>12887.550902415958</v>
      </c>
      <c r="E174" s="14">
        <v>6.1304177329191134E-5</v>
      </c>
      <c r="F174" s="14">
        <v>8622.387263453993</v>
      </c>
      <c r="G174" s="14">
        <v>0.69488414176079649</v>
      </c>
      <c r="H174" s="14">
        <v>30.958097181002788</v>
      </c>
      <c r="I174" s="14">
        <v>30.958094614981277</v>
      </c>
      <c r="J174" s="14">
        <v>0.16629578396105382</v>
      </c>
      <c r="K174" s="14">
        <v>30.958056165579315</v>
      </c>
      <c r="L174" s="14">
        <v>30.958033310803948</v>
      </c>
      <c r="M174" s="14">
        <v>10</v>
      </c>
    </row>
    <row r="175" spans="1:13" x14ac:dyDescent="0.3">
      <c r="A175" s="14">
        <v>164</v>
      </c>
      <c r="B175" s="14">
        <v>0.81831622842425289</v>
      </c>
      <c r="C175" s="14">
        <v>1.2435489590956195E-5</v>
      </c>
      <c r="D175" s="14">
        <v>65804.906388195581</v>
      </c>
      <c r="E175" s="14">
        <v>4.9619986814519734E-5</v>
      </c>
      <c r="F175" s="14">
        <v>16491.665575872306</v>
      </c>
      <c r="G175" s="14">
        <v>0.84022301253114384</v>
      </c>
      <c r="H175" s="14">
        <v>30.958101378520325</v>
      </c>
      <c r="I175" s="14">
        <v>30.958100258627493</v>
      </c>
      <c r="J175" s="14">
        <v>2.1906784106890974E-2</v>
      </c>
      <c r="K175" s="14">
        <v>30.958088943030734</v>
      </c>
      <c r="L175" s="14">
        <v>30.958050638640678</v>
      </c>
      <c r="M175" s="14">
        <v>9</v>
      </c>
    </row>
    <row r="176" spans="1:13" x14ac:dyDescent="0.3">
      <c r="A176" s="14">
        <v>165</v>
      </c>
      <c r="B176" s="14">
        <v>0.66053565218437671</v>
      </c>
      <c r="C176" s="14">
        <v>4.1402457309658303E-5</v>
      </c>
      <c r="D176" s="14">
        <v>15954.020488302947</v>
      </c>
      <c r="E176" s="14">
        <v>5.9064350011794886E-5</v>
      </c>
      <c r="F176" s="14">
        <v>11183.322123285378</v>
      </c>
      <c r="G176" s="14">
        <v>0.75570799147330114</v>
      </c>
      <c r="H176" s="14">
        <v>30.958100696887733</v>
      </c>
      <c r="I176" s="14">
        <v>30.958098715090586</v>
      </c>
      <c r="J176" s="14">
        <v>9.5172339288924435E-2</v>
      </c>
      <c r="K176" s="14">
        <v>30.958059294430424</v>
      </c>
      <c r="L176" s="14">
        <v>30.958039650740574</v>
      </c>
      <c r="M176" s="14">
        <v>13</v>
      </c>
    </row>
    <row r="177" spans="1:13" x14ac:dyDescent="0.3">
      <c r="A177" s="14">
        <v>166</v>
      </c>
      <c r="B177" s="14">
        <v>0.42102934245703211</v>
      </c>
      <c r="C177" s="14">
        <v>3.8409644588455194E-5</v>
      </c>
      <c r="D177" s="14">
        <v>10961.552676891499</v>
      </c>
      <c r="E177" s="14">
        <v>5.0754832042088083E-5</v>
      </c>
      <c r="F177" s="14">
        <v>8295.3548562213055</v>
      </c>
      <c r="G177" s="14">
        <v>0.5399974449954148</v>
      </c>
      <c r="H177" s="14">
        <v>30.958101155726439</v>
      </c>
      <c r="I177" s="14">
        <v>30.95809960087135</v>
      </c>
      <c r="J177" s="14">
        <v>0.11896810253838268</v>
      </c>
      <c r="K177" s="14">
        <v>30.95806274608185</v>
      </c>
      <c r="L177" s="14">
        <v>30.958048846039308</v>
      </c>
      <c r="M177" s="14">
        <v>11</v>
      </c>
    </row>
    <row r="178" spans="1:13" x14ac:dyDescent="0.3">
      <c r="A178" s="14">
        <v>167</v>
      </c>
      <c r="B178" s="14">
        <v>0.63734065864056244</v>
      </c>
      <c r="C178" s="14">
        <v>1.5256924733364485E-5</v>
      </c>
      <c r="D178" s="14">
        <v>41773.861363214244</v>
      </c>
      <c r="E178" s="14">
        <v>4.3492981607329284E-5</v>
      </c>
      <c r="F178" s="14">
        <v>14653.873684602944</v>
      </c>
      <c r="G178" s="14">
        <v>0.68301660320454927</v>
      </c>
      <c r="H178" s="14">
        <v>30.95810152043633</v>
      </c>
      <c r="I178" s="14">
        <v>30.95810057642878</v>
      </c>
      <c r="J178" s="14">
        <v>4.5675944563986846E-2</v>
      </c>
      <c r="K178" s="14">
        <v>30.958086263511596</v>
      </c>
      <c r="L178" s="14">
        <v>30.958057083447173</v>
      </c>
      <c r="M178" s="14">
        <v>10</v>
      </c>
    </row>
    <row r="179" spans="1:13" x14ac:dyDescent="0.3">
      <c r="A179" s="14">
        <v>168</v>
      </c>
      <c r="B179" s="14">
        <v>0.74575548111884904</v>
      </c>
      <c r="C179" s="14">
        <v>3.0128418355701569E-5</v>
      </c>
      <c r="D179" s="14">
        <v>24752.55993574985</v>
      </c>
      <c r="E179" s="14">
        <v>5.1531157161832652E-5</v>
      </c>
      <c r="F179" s="14">
        <v>14471.933529006881</v>
      </c>
      <c r="G179" s="14">
        <v>0.89203482245891308</v>
      </c>
      <c r="H179" s="14">
        <v>30.958100907403882</v>
      </c>
      <c r="I179" s="14">
        <v>30.95809919292196</v>
      </c>
      <c r="J179" s="14">
        <v>0.14627934134006401</v>
      </c>
      <c r="K179" s="14">
        <v>30.958070778985526</v>
      </c>
      <c r="L179" s="14">
        <v>30.958047661764798</v>
      </c>
      <c r="M179" s="14">
        <v>10</v>
      </c>
    </row>
    <row r="180" spans="1:13" x14ac:dyDescent="0.3">
      <c r="A180" s="14">
        <v>169</v>
      </c>
      <c r="B180" s="14">
        <v>0.55230061124366503</v>
      </c>
      <c r="C180" s="14">
        <v>3.7918843879936048E-5</v>
      </c>
      <c r="D180" s="14">
        <v>14565.333610709138</v>
      </c>
      <c r="E180" s="14">
        <v>5.440030246361971E-5</v>
      </c>
      <c r="F180" s="14">
        <v>10152.528317522076</v>
      </c>
      <c r="G180" s="14">
        <v>0.60251830173480336</v>
      </c>
      <c r="H180" s="14">
        <v>30.958100618376342</v>
      </c>
      <c r="I180" s="14">
        <v>30.95809942425463</v>
      </c>
      <c r="J180" s="14">
        <v>5.0217690491138278E-2</v>
      </c>
      <c r="K180" s="14">
        <v>30.958062699532462</v>
      </c>
      <c r="L180" s="14">
        <v>30.958045023952167</v>
      </c>
      <c r="M180" s="14">
        <v>15</v>
      </c>
    </row>
    <row r="181" spans="1:13" x14ac:dyDescent="0.3">
      <c r="A181" s="14">
        <v>170</v>
      </c>
      <c r="B181" s="14">
        <v>0.56486455507355127</v>
      </c>
      <c r="C181" s="14">
        <v>2.7720479423010147E-5</v>
      </c>
      <c r="D181" s="14">
        <v>20377.156774737086</v>
      </c>
      <c r="E181" s="14">
        <v>5.2156024068494844E-5</v>
      </c>
      <c r="F181" s="14">
        <v>10830.28404028138</v>
      </c>
      <c r="G181" s="14">
        <v>0.64133257612734884</v>
      </c>
      <c r="H181" s="14">
        <v>30.958100890060098</v>
      </c>
      <c r="I181" s="14">
        <v>30.958098572990835</v>
      </c>
      <c r="J181" s="14">
        <v>7.6468021053797602E-2</v>
      </c>
      <c r="K181" s="14">
        <v>30.958073169580675</v>
      </c>
      <c r="L181" s="14">
        <v>30.958046416966766</v>
      </c>
      <c r="M181" s="14">
        <v>15</v>
      </c>
    </row>
    <row r="182" spans="1:13" x14ac:dyDescent="0.3">
      <c r="A182" s="14">
        <v>171</v>
      </c>
      <c r="B182" s="14">
        <v>0.58012515422772271</v>
      </c>
      <c r="C182" s="14">
        <v>9.3793988980905851E-5</v>
      </c>
      <c r="D182" s="14">
        <v>6185.0994987090471</v>
      </c>
      <c r="E182" s="14">
        <v>1.0851351625973393E-4</v>
      </c>
      <c r="F182" s="14">
        <v>5346.1096296903388</v>
      </c>
      <c r="G182" s="14">
        <v>0.7209505309919999</v>
      </c>
      <c r="H182" s="14">
        <v>30.958093773470221</v>
      </c>
      <c r="I182" s="14">
        <v>30.95809135222655</v>
      </c>
      <c r="J182" s="14">
        <v>0.14082537676427723</v>
      </c>
      <c r="K182" s="14">
        <v>30.95799997948124</v>
      </c>
      <c r="L182" s="14">
        <v>30.95798283871029</v>
      </c>
      <c r="M182" s="14">
        <v>15</v>
      </c>
    </row>
    <row r="183" spans="1:13" x14ac:dyDescent="0.3">
      <c r="A183" s="14">
        <v>172</v>
      </c>
      <c r="B183" s="14">
        <v>0.61392718134055857</v>
      </c>
      <c r="C183" s="14">
        <v>5.0083533498224142E-5</v>
      </c>
      <c r="D183" s="14">
        <v>12258.064446717346</v>
      </c>
      <c r="E183" s="14">
        <v>8.3147292812668638E-5</v>
      </c>
      <c r="F183" s="14">
        <v>7383.6099838360378</v>
      </c>
      <c r="G183" s="14">
        <v>0.83216458894537781</v>
      </c>
      <c r="H183" s="14">
        <v>30.958100779724976</v>
      </c>
      <c r="I183" s="14">
        <v>30.958098608095199</v>
      </c>
      <c r="J183" s="14">
        <v>0.21823740760481922</v>
      </c>
      <c r="K183" s="14">
        <v>30.958050696191478</v>
      </c>
      <c r="L183" s="14">
        <v>30.958015460802386</v>
      </c>
      <c r="M183" s="14">
        <v>14</v>
      </c>
    </row>
    <row r="184" spans="1:13" x14ac:dyDescent="0.3">
      <c r="A184" s="14">
        <v>173</v>
      </c>
      <c r="B184" s="14">
        <v>0.41773408922593042</v>
      </c>
      <c r="C184" s="14">
        <v>7.5519219741693178E-5</v>
      </c>
      <c r="D184" s="14">
        <v>5531.4937131865636</v>
      </c>
      <c r="E184" s="14">
        <v>1.0506273839538949E-4</v>
      </c>
      <c r="F184" s="14">
        <v>3976.0441770882112</v>
      </c>
      <c r="G184" s="14">
        <v>0.71117676807315533</v>
      </c>
      <c r="H184" s="14">
        <v>30.958101358555961</v>
      </c>
      <c r="I184" s="14">
        <v>30.958098145560118</v>
      </c>
      <c r="J184" s="14">
        <v>0.29344267884722491</v>
      </c>
      <c r="K184" s="14">
        <v>30.958025839336219</v>
      </c>
      <c r="L184" s="14">
        <v>30.957993082821723</v>
      </c>
      <c r="M184" s="14">
        <v>12</v>
      </c>
    </row>
    <row r="185" spans="1:13" x14ac:dyDescent="0.3">
      <c r="A185" s="14">
        <v>174</v>
      </c>
      <c r="B185" s="14">
        <v>0.6263052903512899</v>
      </c>
      <c r="C185" s="14">
        <v>5.0153722867207762E-5</v>
      </c>
      <c r="D185" s="14">
        <v>12487.712866491711</v>
      </c>
      <c r="E185" s="14">
        <v>6.8505655903550178E-5</v>
      </c>
      <c r="F185" s="14">
        <v>9142.388056733178</v>
      </c>
      <c r="G185" s="14">
        <v>0.69555229782992278</v>
      </c>
      <c r="H185" s="14">
        <v>30.958101516809808</v>
      </c>
      <c r="I185" s="14">
        <v>30.958101304227977</v>
      </c>
      <c r="J185" s="14">
        <v>6.9247007478632924E-2</v>
      </c>
      <c r="K185" s="14">
        <v>30.958051363086941</v>
      </c>
      <c r="L185" s="14">
        <v>30.958032798572074</v>
      </c>
      <c r="M185" s="14">
        <v>15</v>
      </c>
    </row>
    <row r="186" spans="1:13" x14ac:dyDescent="0.3">
      <c r="A186" s="14">
        <v>175</v>
      </c>
      <c r="B186" s="14">
        <v>0.34512662917857817</v>
      </c>
      <c r="C186" s="14">
        <v>7.1356015492796132E-5</v>
      </c>
      <c r="D186" s="14">
        <v>4836.685832232617</v>
      </c>
      <c r="E186" s="14">
        <v>8.38420188102873E-5</v>
      </c>
      <c r="F186" s="14">
        <v>4116.3921632124584</v>
      </c>
      <c r="G186" s="14">
        <v>0.44985268485504482</v>
      </c>
      <c r="H186" s="14">
        <v>30.9580711586493</v>
      </c>
      <c r="I186" s="14">
        <v>30.958065288105516</v>
      </c>
      <c r="J186" s="14">
        <v>0.10472605567646662</v>
      </c>
      <c r="K186" s="14">
        <v>30.957999802633807</v>
      </c>
      <c r="L186" s="14">
        <v>30.957981446086706</v>
      </c>
      <c r="M186" s="14">
        <v>9</v>
      </c>
    </row>
    <row r="187" spans="1:13" x14ac:dyDescent="0.3">
      <c r="A187" s="14">
        <v>176</v>
      </c>
      <c r="B187" s="14">
        <v>0.85075638294211586</v>
      </c>
      <c r="C187" s="14">
        <v>2.9425578286890186E-5</v>
      </c>
      <c r="D187" s="14">
        <v>28912.138094534868</v>
      </c>
      <c r="E187" s="14">
        <v>8.1263009480636583E-5</v>
      </c>
      <c r="F187" s="14">
        <v>10469.171501023904</v>
      </c>
      <c r="G187" s="14">
        <v>0.94165951232274869</v>
      </c>
      <c r="H187" s="14">
        <v>30.958099136754246</v>
      </c>
      <c r="I187" s="14">
        <v>30.958093845132218</v>
      </c>
      <c r="J187" s="14">
        <v>9.0903129380632802E-2</v>
      </c>
      <c r="K187" s="14">
        <v>30.958069711175959</v>
      </c>
      <c r="L187" s="14">
        <v>30.958012582122738</v>
      </c>
      <c r="M187" s="14">
        <v>10</v>
      </c>
    </row>
    <row r="188" spans="1:13" x14ac:dyDescent="0.3">
      <c r="A188" s="14">
        <v>177</v>
      </c>
      <c r="B188" s="14">
        <v>0.26149086463299631</v>
      </c>
      <c r="C188" s="14">
        <v>1.1630518618233054E-4</v>
      </c>
      <c r="D188" s="14">
        <v>2248.3164613404215</v>
      </c>
      <c r="E188" s="14">
        <v>1.3636753590517969E-4</v>
      </c>
      <c r="F188" s="14">
        <v>1917.5448386397368</v>
      </c>
      <c r="G188" s="14">
        <v>0.64320793651167718</v>
      </c>
      <c r="H188" s="14">
        <v>30.95810086693832</v>
      </c>
      <c r="I188" s="14">
        <v>30.958099631331056</v>
      </c>
      <c r="J188" s="14">
        <v>0.38171707187868087</v>
      </c>
      <c r="K188" s="14">
        <v>30.957984561752138</v>
      </c>
      <c r="L188" s="14">
        <v>30.957963263795151</v>
      </c>
      <c r="M188" s="14">
        <v>10</v>
      </c>
    </row>
    <row r="189" spans="1:13" x14ac:dyDescent="0.3">
      <c r="A189" s="14">
        <v>178</v>
      </c>
      <c r="B189" s="14">
        <v>0.70044020465490608</v>
      </c>
      <c r="C189" s="14">
        <v>2.7225880739223385E-5</v>
      </c>
      <c r="D189" s="14">
        <v>25726.998930315818</v>
      </c>
      <c r="E189" s="14">
        <v>4.7952994872701993E-5</v>
      </c>
      <c r="F189" s="14">
        <v>14606.808323741274</v>
      </c>
      <c r="G189" s="14">
        <v>0.77734049075427158</v>
      </c>
      <c r="H189" s="14">
        <v>30.958101529189587</v>
      </c>
      <c r="I189" s="14">
        <v>30.958100807841053</v>
      </c>
      <c r="J189" s="14">
        <v>7.6900286099365445E-2</v>
      </c>
      <c r="K189" s="14">
        <v>30.958074303308848</v>
      </c>
      <c r="L189" s="14">
        <v>30.95805285484618</v>
      </c>
      <c r="M189" s="14">
        <v>11</v>
      </c>
    </row>
    <row r="190" spans="1:13" x14ac:dyDescent="0.3">
      <c r="A190" s="14">
        <v>179</v>
      </c>
      <c r="B190" s="14">
        <v>0.55425116127136231</v>
      </c>
      <c r="C190" s="14">
        <v>1.1347234070768764E-4</v>
      </c>
      <c r="D190" s="14">
        <v>4884.4604580701343</v>
      </c>
      <c r="E190" s="14">
        <v>1.3959394926033042E-4</v>
      </c>
      <c r="F190" s="14">
        <v>3970.4526178117699</v>
      </c>
      <c r="G190" s="14">
        <v>0.94501341404681793</v>
      </c>
      <c r="H190" s="14">
        <v>30.95810066503125</v>
      </c>
      <c r="I190" s="14">
        <v>30.958098244056956</v>
      </c>
      <c r="J190" s="14">
        <v>0.39076225277545568</v>
      </c>
      <c r="K190" s="14">
        <v>30.957987192690542</v>
      </c>
      <c r="L190" s="14">
        <v>30.957958650107695</v>
      </c>
      <c r="M190" s="14">
        <v>13</v>
      </c>
    </row>
    <row r="191" spans="1:13" x14ac:dyDescent="0.3">
      <c r="A191" s="14">
        <v>180</v>
      </c>
      <c r="B191" s="14">
        <v>0.6536074943204796</v>
      </c>
      <c r="C191" s="14">
        <v>1.6591662642895244E-5</v>
      </c>
      <c r="D191" s="14">
        <v>39393.730959227432</v>
      </c>
      <c r="E191" s="14">
        <v>3.8147689110701322E-5</v>
      </c>
      <c r="F191" s="14">
        <v>17133.60650559374</v>
      </c>
      <c r="G191" s="14">
        <v>0.72949254180084933</v>
      </c>
      <c r="H191" s="14">
        <v>30.958101224076238</v>
      </c>
      <c r="I191" s="14">
        <v>30.958100677921216</v>
      </c>
      <c r="J191" s="14">
        <v>7.5885047480369755E-2</v>
      </c>
      <c r="K191" s="14">
        <v>30.958084632413595</v>
      </c>
      <c r="L191" s="14">
        <v>30.958062530232105</v>
      </c>
      <c r="M191" s="14">
        <v>11</v>
      </c>
    </row>
    <row r="192" spans="1:13" x14ac:dyDescent="0.3">
      <c r="A192" s="14">
        <v>181</v>
      </c>
      <c r="B192" s="14">
        <v>0.40171578193671398</v>
      </c>
      <c r="C192" s="14">
        <v>6.6426237289363144E-5</v>
      </c>
      <c r="D192" s="14">
        <v>6047.5468478935036</v>
      </c>
      <c r="E192" s="14">
        <v>9.2798234533120194E-5</v>
      </c>
      <c r="F192" s="14">
        <v>4328.9162122296566</v>
      </c>
      <c r="G192" s="14">
        <v>0.60021589751268656</v>
      </c>
      <c r="H192" s="14">
        <v>30.958097764217442</v>
      </c>
      <c r="I192" s="14">
        <v>30.958094153865456</v>
      </c>
      <c r="J192" s="14">
        <v>0.19850011557597258</v>
      </c>
      <c r="K192" s="14">
        <v>30.958031337980152</v>
      </c>
      <c r="L192" s="14">
        <v>30.958001355630923</v>
      </c>
      <c r="M192" s="14">
        <v>11</v>
      </c>
    </row>
    <row r="193" spans="1:13" x14ac:dyDescent="0.3">
      <c r="A193" s="14">
        <v>182</v>
      </c>
      <c r="B193" s="14">
        <v>0.40864407321706869</v>
      </c>
      <c r="C193" s="14">
        <v>7.7730273275733452E-6</v>
      </c>
      <c r="D193" s="14">
        <v>52572.061823001844</v>
      </c>
      <c r="E193" s="14">
        <v>1.9694451783180966E-5</v>
      </c>
      <c r="F193" s="14">
        <v>20749.197678406574</v>
      </c>
      <c r="G193" s="14">
        <v>0.44828358777562627</v>
      </c>
      <c r="H193" s="14">
        <v>30.958101207797739</v>
      </c>
      <c r="I193" s="14">
        <v>30.958099876140327</v>
      </c>
      <c r="J193" s="14">
        <v>3.9639514558557569E-2</v>
      </c>
      <c r="K193" s="14">
        <v>30.958093434770412</v>
      </c>
      <c r="L193" s="14">
        <v>30.958080181688544</v>
      </c>
      <c r="M193" s="14">
        <v>11</v>
      </c>
    </row>
    <row r="194" spans="1:13" x14ac:dyDescent="0.3">
      <c r="A194" s="14">
        <v>183</v>
      </c>
      <c r="B194" s="14">
        <v>0.70022921301379415</v>
      </c>
      <c r="C194" s="14">
        <v>6.0109644408612439E-6</v>
      </c>
      <c r="D194" s="14">
        <v>116491.99057871421</v>
      </c>
      <c r="E194" s="14">
        <v>2.8180592273940874E-5</v>
      </c>
      <c r="F194" s="14">
        <v>24847.923926045703</v>
      </c>
      <c r="G194" s="14">
        <v>0.73843586011601747</v>
      </c>
      <c r="H194" s="14">
        <v>30.958101521806071</v>
      </c>
      <c r="I194" s="14">
        <v>30.958101075291829</v>
      </c>
      <c r="J194" s="14">
        <v>3.8206647102223296E-2</v>
      </c>
      <c r="K194" s="14">
        <v>30.95809551084163</v>
      </c>
      <c r="L194" s="14">
        <v>30.958072894699555</v>
      </c>
      <c r="M194" s="14">
        <v>11</v>
      </c>
    </row>
    <row r="195" spans="1:13" x14ac:dyDescent="0.3">
      <c r="A195" s="14">
        <v>184</v>
      </c>
      <c r="B195" s="14">
        <v>0.47317911485474284</v>
      </c>
      <c r="C195" s="14">
        <v>1.9268099062941246E-5</v>
      </c>
      <c r="D195" s="14">
        <v>24557.643870786327</v>
      </c>
      <c r="E195" s="14">
        <v>3.4857868833171324E-5</v>
      </c>
      <c r="F195" s="14">
        <v>13574.527952909668</v>
      </c>
      <c r="G195" s="14">
        <v>0.55829805267412569</v>
      </c>
      <c r="H195" s="14">
        <v>30.958101481503991</v>
      </c>
      <c r="I195" s="14">
        <v>30.95810022905356</v>
      </c>
      <c r="J195" s="14">
        <v>8.5118937819382845E-2</v>
      </c>
      <c r="K195" s="14">
        <v>30.958082213404928</v>
      </c>
      <c r="L195" s="14">
        <v>30.958065371184727</v>
      </c>
      <c r="M195" s="14">
        <v>14</v>
      </c>
    </row>
    <row r="196" spans="1:13" x14ac:dyDescent="0.3">
      <c r="A196" s="14">
        <v>185</v>
      </c>
      <c r="B196" s="14">
        <v>0.41085598866947548</v>
      </c>
      <c r="C196" s="14">
        <v>2.9015831167100714E-5</v>
      </c>
      <c r="D196" s="14">
        <v>14159.71806230111</v>
      </c>
      <c r="E196" s="14">
        <v>4.1665290446246672E-5</v>
      </c>
      <c r="F196" s="14">
        <v>9860.8694255841092</v>
      </c>
      <c r="G196" s="14">
        <v>0.44705575454042978</v>
      </c>
      <c r="H196" s="14">
        <v>30.958101339172014</v>
      </c>
      <c r="I196" s="14">
        <v>30.958100131869596</v>
      </c>
      <c r="J196" s="14">
        <v>3.6199765870954304E-2</v>
      </c>
      <c r="K196" s="14">
        <v>30.958072323340847</v>
      </c>
      <c r="L196" s="14">
        <v>30.95805846657915</v>
      </c>
      <c r="M196" s="14">
        <v>12</v>
      </c>
    </row>
    <row r="197" spans="1:13" x14ac:dyDescent="0.3">
      <c r="A197" s="14">
        <v>186</v>
      </c>
      <c r="B197" s="14">
        <v>0.52661258790005128</v>
      </c>
      <c r="C197" s="14">
        <v>4.2570311698852947E-5</v>
      </c>
      <c r="D197" s="14">
        <v>12370.418887824137</v>
      </c>
      <c r="E197" s="14">
        <v>6.9597941831034404E-5</v>
      </c>
      <c r="F197" s="14">
        <v>7566.4965665009013</v>
      </c>
      <c r="G197" s="14">
        <v>0.59707351424409227</v>
      </c>
      <c r="H197" s="14">
        <v>30.958101359819672</v>
      </c>
      <c r="I197" s="14">
        <v>30.958101198351958</v>
      </c>
      <c r="J197" s="14">
        <v>7.0460926344040997E-2</v>
      </c>
      <c r="K197" s="14">
        <v>30.958058789507973</v>
      </c>
      <c r="L197" s="14">
        <v>30.958031600410127</v>
      </c>
      <c r="M197" s="14">
        <v>14</v>
      </c>
    </row>
    <row r="198" spans="1:13" x14ac:dyDescent="0.3">
      <c r="A198" s="14">
        <v>187</v>
      </c>
      <c r="B198" s="14">
        <v>0.93837869063545531</v>
      </c>
      <c r="C198" s="14">
        <v>5.5011537867244442E-6</v>
      </c>
      <c r="D198" s="14">
        <v>170578.52352718805</v>
      </c>
      <c r="E198" s="14">
        <v>2.8808447844141938E-5</v>
      </c>
      <c r="F198" s="14">
        <v>32573.03884305833</v>
      </c>
      <c r="G198" s="14">
        <v>0.9596875182015655</v>
      </c>
      <c r="H198" s="14">
        <v>30.958101361141928</v>
      </c>
      <c r="I198" s="14">
        <v>30.958099759225625</v>
      </c>
      <c r="J198" s="14">
        <v>2.1308827566110217E-2</v>
      </c>
      <c r="K198" s="14">
        <v>30.958095859988141</v>
      </c>
      <c r="L198" s="14">
        <v>30.958070950777781</v>
      </c>
      <c r="M198" s="14">
        <v>12</v>
      </c>
    </row>
    <row r="199" spans="1:13" x14ac:dyDescent="0.3">
      <c r="A199" s="14">
        <v>188</v>
      </c>
      <c r="B199" s="14">
        <v>0.33965709883865436</v>
      </c>
      <c r="C199" s="14">
        <v>1.5207444164389017E-5</v>
      </c>
      <c r="D199" s="14">
        <v>22334.923289346869</v>
      </c>
      <c r="E199" s="14">
        <v>2.3853499481418794E-5</v>
      </c>
      <c r="F199" s="14">
        <v>14239.298477074095</v>
      </c>
      <c r="G199" s="14">
        <v>0.39347140221287025</v>
      </c>
      <c r="H199" s="14">
        <v>30.95809081089963</v>
      </c>
      <c r="I199" s="14">
        <v>30.958083529088377</v>
      </c>
      <c r="J199" s="14">
        <v>5.3814303374215861E-2</v>
      </c>
      <c r="K199" s="14">
        <v>30.958075603455466</v>
      </c>
      <c r="L199" s="14">
        <v>30.958059675588895</v>
      </c>
      <c r="M199" s="14">
        <v>12</v>
      </c>
    </row>
    <row r="200" spans="1:13" x14ac:dyDescent="0.3">
      <c r="A200" s="14">
        <v>189</v>
      </c>
      <c r="B200" s="14">
        <v>0.39506037003081113</v>
      </c>
      <c r="C200" s="14">
        <v>4.5791217868185186E-5</v>
      </c>
      <c r="D200" s="14">
        <v>8627.4265770356615</v>
      </c>
      <c r="E200" s="14">
        <v>5.9196542533612728E-5</v>
      </c>
      <c r="F200" s="14">
        <v>6673.7068268216781</v>
      </c>
      <c r="G200" s="14">
        <v>0.46482712642170937</v>
      </c>
      <c r="H200" s="14">
        <v>30.958101273802942</v>
      </c>
      <c r="I200" s="14">
        <v>30.958099991250283</v>
      </c>
      <c r="J200" s="14">
        <v>6.9766756390898244E-2</v>
      </c>
      <c r="K200" s="14">
        <v>30.958055482585074</v>
      </c>
      <c r="L200" s="14">
        <v>30.958040794707749</v>
      </c>
      <c r="M200" s="14">
        <v>10</v>
      </c>
    </row>
    <row r="201" spans="1:13" x14ac:dyDescent="0.3">
      <c r="A201" s="14">
        <v>190</v>
      </c>
      <c r="B201" s="14">
        <v>0.58419976928657924</v>
      </c>
      <c r="C201" s="14">
        <v>1.3776028609413515E-5</v>
      </c>
      <c r="D201" s="14">
        <v>42406.979968623215</v>
      </c>
      <c r="E201" s="14">
        <v>3.5070679253124126E-5</v>
      </c>
      <c r="F201" s="14">
        <v>16657.783131888962</v>
      </c>
      <c r="G201" s="14">
        <v>0.61367081764315423</v>
      </c>
      <c r="H201" s="14">
        <v>30.958101207975421</v>
      </c>
      <c r="I201" s="14">
        <v>30.958100142729812</v>
      </c>
      <c r="J201" s="14">
        <v>2.9471048356575012E-2</v>
      </c>
      <c r="K201" s="14">
        <v>30.958087431946812</v>
      </c>
      <c r="L201" s="14">
        <v>30.958065072050559</v>
      </c>
      <c r="M201" s="14">
        <v>15</v>
      </c>
    </row>
    <row r="202" spans="1:13" x14ac:dyDescent="0.3">
      <c r="A202" s="14">
        <v>191</v>
      </c>
      <c r="B202" s="14">
        <v>0.5310533136021971</v>
      </c>
      <c r="C202" s="14">
        <v>3.257865561678841E-5</v>
      </c>
      <c r="D202" s="14">
        <v>16300.651563060052</v>
      </c>
      <c r="E202" s="14">
        <v>5.9842601331183687E-5</v>
      </c>
      <c r="F202" s="14">
        <v>8874.1682645648598</v>
      </c>
      <c r="G202" s="14">
        <v>0.57198467433709599</v>
      </c>
      <c r="H202" s="14">
        <v>30.958100690027283</v>
      </c>
      <c r="I202" s="14">
        <v>30.958098491292102</v>
      </c>
      <c r="J202" s="14">
        <v>4.0931360734898947E-2</v>
      </c>
      <c r="K202" s="14">
        <v>30.958068111371666</v>
      </c>
      <c r="L202" s="14">
        <v>30.958038648690771</v>
      </c>
      <c r="M202" s="14">
        <v>14</v>
      </c>
    </row>
    <row r="203" spans="1:13" x14ac:dyDescent="0.3">
      <c r="A203" s="14">
        <v>192</v>
      </c>
      <c r="B203" s="14">
        <v>0.48200493791321752</v>
      </c>
      <c r="C203" s="14">
        <v>2.2726441113007922E-5</v>
      </c>
      <c r="D203" s="14">
        <v>21208.993327042859</v>
      </c>
      <c r="E203" s="14">
        <v>4.5713095595090181E-5</v>
      </c>
      <c r="F203" s="14">
        <v>10544.132521294123</v>
      </c>
      <c r="G203" s="14">
        <v>0.64795477084656583</v>
      </c>
      <c r="H203" s="14">
        <v>30.958100804525881</v>
      </c>
      <c r="I203" s="14">
        <v>30.958098354613682</v>
      </c>
      <c r="J203" s="14">
        <v>0.16594983293334833</v>
      </c>
      <c r="K203" s="14">
        <v>30.958078078084768</v>
      </c>
      <c r="L203" s="14">
        <v>30.958052641518087</v>
      </c>
      <c r="M203" s="14">
        <v>12</v>
      </c>
    </row>
    <row r="204" spans="1:13" x14ac:dyDescent="0.3">
      <c r="A204" s="14">
        <v>193</v>
      </c>
      <c r="B204" s="14">
        <v>0.87574481286642136</v>
      </c>
      <c r="C204" s="14">
        <v>1.3538206278695952E-4</v>
      </c>
      <c r="D204" s="14">
        <v>6468.6916038834079</v>
      </c>
      <c r="E204" s="14">
        <v>1.6827002984598494E-4</v>
      </c>
      <c r="F204" s="14">
        <v>5204.4016018062021</v>
      </c>
      <c r="G204" s="14">
        <v>1.1290154405234549</v>
      </c>
      <c r="H204" s="14">
        <v>30.958101548016739</v>
      </c>
      <c r="I204" s="14">
        <v>30.95809848319697</v>
      </c>
      <c r="J204" s="14">
        <v>0.25327062765703362</v>
      </c>
      <c r="K204" s="14">
        <v>30.957966165953952</v>
      </c>
      <c r="L204" s="14">
        <v>30.957930213167124</v>
      </c>
      <c r="M204" s="14">
        <v>10</v>
      </c>
    </row>
    <row r="205" spans="1:13" x14ac:dyDescent="0.3">
      <c r="A205" s="14">
        <v>194</v>
      </c>
      <c r="B205" s="14">
        <v>0.73599991872987736</v>
      </c>
      <c r="C205" s="14">
        <v>1.2531489552713992E-5</v>
      </c>
      <c r="D205" s="14">
        <v>58732.037850239365</v>
      </c>
      <c r="E205" s="14">
        <v>4.9562401510883092E-5</v>
      </c>
      <c r="F205" s="14">
        <v>14849.964817953058</v>
      </c>
      <c r="G205" s="14">
        <v>0.79523987970681698</v>
      </c>
      <c r="H205" s="14">
        <v>30.958101278586224</v>
      </c>
      <c r="I205" s="14">
        <v>30.958099316508441</v>
      </c>
      <c r="J205" s="14">
        <v>5.9239960976939579E-2</v>
      </c>
      <c r="K205" s="14">
        <v>30.958088747096671</v>
      </c>
      <c r="L205" s="14">
        <v>30.958049754106931</v>
      </c>
      <c r="M205" s="14">
        <v>10</v>
      </c>
    </row>
    <row r="206" spans="1:13" x14ac:dyDescent="0.3">
      <c r="A206" s="14">
        <v>195</v>
      </c>
      <c r="B206" s="14">
        <v>0.74223149783294928</v>
      </c>
      <c r="C206" s="14">
        <v>1.0770412682603592E-5</v>
      </c>
      <c r="D206" s="14">
        <v>68913.932985298161</v>
      </c>
      <c r="E206" s="14">
        <v>3.4784538915033636E-5</v>
      </c>
      <c r="F206" s="14">
        <v>21337.971437423941</v>
      </c>
      <c r="G206" s="14">
        <v>0.79597837056219278</v>
      </c>
      <c r="H206" s="14">
        <v>30.958101463066072</v>
      </c>
      <c r="I206" s="14">
        <v>30.958101001268524</v>
      </c>
      <c r="J206" s="14">
        <v>5.3746872729243486E-2</v>
      </c>
      <c r="K206" s="14">
        <v>30.958090692653389</v>
      </c>
      <c r="L206" s="14">
        <v>30.958066216729609</v>
      </c>
      <c r="M206" s="14">
        <v>11</v>
      </c>
    </row>
    <row r="207" spans="1:13" x14ac:dyDescent="0.3">
      <c r="A207" s="14">
        <v>196</v>
      </c>
      <c r="B207" s="14">
        <v>0.48914576708091106</v>
      </c>
      <c r="C207" s="14">
        <v>7.0427660926242197E-5</v>
      </c>
      <c r="D207" s="14">
        <v>6945.3643731429029</v>
      </c>
      <c r="E207" s="14">
        <v>8.3481027893128612E-5</v>
      </c>
      <c r="F207" s="14">
        <v>5859.364449933576</v>
      </c>
      <c r="G207" s="14">
        <v>0.62209519630727228</v>
      </c>
      <c r="H207" s="14">
        <v>30.958100973346721</v>
      </c>
      <c r="I207" s="14">
        <v>30.95810082182199</v>
      </c>
      <c r="J207" s="14">
        <v>0.13294942922636124</v>
      </c>
      <c r="K207" s="14">
        <v>30.958030545685794</v>
      </c>
      <c r="L207" s="14">
        <v>30.958017340794097</v>
      </c>
      <c r="M207" s="14">
        <v>9</v>
      </c>
    </row>
    <row r="208" spans="1:13" x14ac:dyDescent="0.3">
      <c r="A208" s="14">
        <v>197</v>
      </c>
      <c r="B208" s="14">
        <v>0.52126041301764836</v>
      </c>
      <c r="C208" s="14">
        <v>3.8172580218542862E-5</v>
      </c>
      <c r="D208" s="14">
        <v>13655.362305439308</v>
      </c>
      <c r="E208" s="14">
        <v>4.8799162428281306E-5</v>
      </c>
      <c r="F208" s="14">
        <v>10681.749175177534</v>
      </c>
      <c r="G208" s="14">
        <v>0.64817012567809873</v>
      </c>
      <c r="H208" s="14">
        <v>30.958101524664535</v>
      </c>
      <c r="I208" s="14">
        <v>30.95810072743998</v>
      </c>
      <c r="J208" s="14">
        <v>0.12690971266045031</v>
      </c>
      <c r="K208" s="14">
        <v>30.958063352084316</v>
      </c>
      <c r="L208" s="14">
        <v>30.958051928277552</v>
      </c>
      <c r="M208" s="14">
        <v>10</v>
      </c>
    </row>
    <row r="209" spans="1:13" x14ac:dyDescent="0.3">
      <c r="A209" s="14">
        <v>198</v>
      </c>
      <c r="B209" s="14">
        <v>0.5085473592361911</v>
      </c>
      <c r="C209" s="14">
        <v>5.8665920263933913E-6</v>
      </c>
      <c r="D209" s="14">
        <v>86685.311838333349</v>
      </c>
      <c r="E209" s="14">
        <v>2.4128378868226719E-5</v>
      </c>
      <c r="F209" s="14">
        <v>21076.731346666147</v>
      </c>
      <c r="G209" s="14">
        <v>0.56760559164499114</v>
      </c>
      <c r="H209" s="14">
        <v>30.958101399414275</v>
      </c>
      <c r="I209" s="14">
        <v>30.958099493918688</v>
      </c>
      <c r="J209" s="14">
        <v>5.9058232408800052E-2</v>
      </c>
      <c r="K209" s="14">
        <v>30.958095532822249</v>
      </c>
      <c r="L209" s="14">
        <v>30.95807536553982</v>
      </c>
      <c r="M209" s="14">
        <v>10</v>
      </c>
    </row>
    <row r="210" spans="1:13" x14ac:dyDescent="0.3">
      <c r="A210" s="14">
        <v>199</v>
      </c>
      <c r="B210" s="14">
        <v>0.57861416764407425</v>
      </c>
      <c r="C210" s="14">
        <v>2.0992626708959961E-5</v>
      </c>
      <c r="D210" s="14">
        <v>27562.733128442342</v>
      </c>
      <c r="E210" s="14">
        <v>5.148001966404081E-5</v>
      </c>
      <c r="F210" s="14">
        <v>11239.587152843314</v>
      </c>
      <c r="G210" s="14">
        <v>0.61761221222308826</v>
      </c>
      <c r="H210" s="14">
        <v>30.958101433721346</v>
      </c>
      <c r="I210" s="14">
        <v>30.958099584965357</v>
      </c>
      <c r="J210" s="14">
        <v>3.8998044579013971E-2</v>
      </c>
      <c r="K210" s="14">
        <v>30.958080441094637</v>
      </c>
      <c r="L210" s="14">
        <v>30.958048104945693</v>
      </c>
      <c r="M210" s="14">
        <v>14</v>
      </c>
    </row>
    <row r="211" spans="1:13" x14ac:dyDescent="0.3">
      <c r="A211" s="14">
        <v>200</v>
      </c>
      <c r="B211" s="14">
        <v>0.63204777004806056</v>
      </c>
      <c r="C211" s="14">
        <v>4.0978917500211764E-5</v>
      </c>
      <c r="D211" s="14">
        <v>15423.730264343716</v>
      </c>
      <c r="E211" s="14">
        <v>6.4429580877600756E-5</v>
      </c>
      <c r="F211" s="14">
        <v>9809.9003817638513</v>
      </c>
      <c r="G211" s="14">
        <v>0.69393929961516665</v>
      </c>
      <c r="H211" s="14">
        <v>30.958100337078118</v>
      </c>
      <c r="I211" s="14">
        <v>30.958098427264986</v>
      </c>
      <c r="J211" s="14">
        <v>6.1891529567106043E-2</v>
      </c>
      <c r="K211" s="14">
        <v>30.958059358160618</v>
      </c>
      <c r="L211" s="14">
        <v>30.958033997684108</v>
      </c>
      <c r="M211" s="14">
        <v>9</v>
      </c>
    </row>
    <row r="212" spans="1:13" x14ac:dyDescent="0.3">
      <c r="A212" s="14">
        <v>201</v>
      </c>
      <c r="B212" s="14">
        <v>0.44760249902268162</v>
      </c>
      <c r="C212" s="14">
        <v>1.6437387954937321E-4</v>
      </c>
      <c r="D212" s="14">
        <v>2723.0755899281103</v>
      </c>
      <c r="E212" s="14">
        <v>1.7613562899754243E-4</v>
      </c>
      <c r="F212" s="14">
        <v>2541.2376903535337</v>
      </c>
      <c r="G212" s="14">
        <v>0.58148408308362898</v>
      </c>
      <c r="H212" s="14">
        <v>30.958100121630839</v>
      </c>
      <c r="I212" s="14">
        <v>30.958099438767242</v>
      </c>
      <c r="J212" s="14">
        <v>0.13388158406094736</v>
      </c>
      <c r="K212" s="14">
        <v>30.957935747751289</v>
      </c>
      <c r="L212" s="14">
        <v>30.957923303138244</v>
      </c>
      <c r="M212" s="14">
        <v>15</v>
      </c>
    </row>
    <row r="213" spans="1:13" x14ac:dyDescent="0.3">
      <c r="A213" s="14">
        <v>202</v>
      </c>
      <c r="B213" s="14">
        <v>0.45768360226744331</v>
      </c>
      <c r="C213" s="14">
        <v>7.1287468550451649E-5</v>
      </c>
      <c r="D213" s="14">
        <v>6420.2532587271062</v>
      </c>
      <c r="E213" s="14">
        <v>9.8348388824831545E-5</v>
      </c>
      <c r="F213" s="14">
        <v>4653.6970024249631</v>
      </c>
      <c r="G213" s="14">
        <v>0.64758434622805849</v>
      </c>
      <c r="H213" s="14">
        <v>30.958101502451534</v>
      </c>
      <c r="I213" s="14">
        <v>30.958100634359528</v>
      </c>
      <c r="J213" s="14">
        <v>0.18990074396061518</v>
      </c>
      <c r="K213" s="14">
        <v>30.958030214982983</v>
      </c>
      <c r="L213" s="14">
        <v>30.958002285970704</v>
      </c>
      <c r="M213" s="14">
        <v>9</v>
      </c>
    </row>
    <row r="214" spans="1:13" x14ac:dyDescent="0.3">
      <c r="A214" s="14">
        <v>203</v>
      </c>
      <c r="B214" s="14">
        <v>0.43673993224774516</v>
      </c>
      <c r="C214" s="14">
        <v>1.604150608258692E-5</v>
      </c>
      <c r="D214" s="14">
        <v>27225.618966153499</v>
      </c>
      <c r="E214" s="14">
        <v>3.6212806190150104E-5</v>
      </c>
      <c r="F214" s="14">
        <v>12060.372508953436</v>
      </c>
      <c r="G214" s="14">
        <v>0.51347696070498461</v>
      </c>
      <c r="H214" s="14">
        <v>30.958100884088761</v>
      </c>
      <c r="I214" s="14">
        <v>30.958098900145139</v>
      </c>
      <c r="J214" s="14">
        <v>7.6737028457239467E-2</v>
      </c>
      <c r="K214" s="14">
        <v>30.958084842582679</v>
      </c>
      <c r="L214" s="14">
        <v>30.958062687338948</v>
      </c>
      <c r="M214" s="14">
        <v>12</v>
      </c>
    </row>
    <row r="215" spans="1:13" x14ac:dyDescent="0.3">
      <c r="A215" s="14">
        <v>204</v>
      </c>
      <c r="B215" s="14">
        <v>0.95632559004294548</v>
      </c>
      <c r="C215" s="14">
        <v>3.9367221749131431E-5</v>
      </c>
      <c r="D215" s="14">
        <v>24292.432829960755</v>
      </c>
      <c r="E215" s="14">
        <v>8.2462456333587397E-5</v>
      </c>
      <c r="F215" s="14">
        <v>11597.102882483856</v>
      </c>
      <c r="G215" s="14">
        <v>1.0311213895531608</v>
      </c>
      <c r="H215" s="14">
        <v>30.958101522757321</v>
      </c>
      <c r="I215" s="14">
        <v>30.958098869463498</v>
      </c>
      <c r="J215" s="14">
        <v>7.4795799510215311E-2</v>
      </c>
      <c r="K215" s="14">
        <v>30.958062155535572</v>
      </c>
      <c r="L215" s="14">
        <v>30.958016407007165</v>
      </c>
      <c r="M215" s="14">
        <v>9</v>
      </c>
    </row>
    <row r="216" spans="1:13" x14ac:dyDescent="0.3">
      <c r="A216" s="14">
        <v>205</v>
      </c>
      <c r="B216" s="14">
        <v>0.85701464497061708</v>
      </c>
      <c r="C216" s="14">
        <v>1.6308750840465791E-5</v>
      </c>
      <c r="D216" s="14">
        <v>52549.373851746212</v>
      </c>
      <c r="E216" s="14">
        <v>5.2853473860636768E-5</v>
      </c>
      <c r="F216" s="14">
        <v>16214.916113752148</v>
      </c>
      <c r="G216" s="14">
        <v>0.91983176553082036</v>
      </c>
      <c r="H216" s="14">
        <v>30.958101212843076</v>
      </c>
      <c r="I216" s="14">
        <v>30.958098935930828</v>
      </c>
      <c r="J216" s="14">
        <v>6.2817120560203277E-2</v>
      </c>
      <c r="K216" s="14">
        <v>30.958084904092235</v>
      </c>
      <c r="L216" s="14">
        <v>30.958046082456967</v>
      </c>
      <c r="M216" s="14">
        <v>13</v>
      </c>
    </row>
    <row r="217" spans="1:13" x14ac:dyDescent="0.3">
      <c r="A217" s="14">
        <v>206</v>
      </c>
      <c r="B217" s="14">
        <v>0.52063020858062448</v>
      </c>
      <c r="C217" s="14">
        <v>3.0062335842018229E-5</v>
      </c>
      <c r="D217" s="14">
        <v>17318.355144344368</v>
      </c>
      <c r="E217" s="14">
        <v>6.0819107300602582E-5</v>
      </c>
      <c r="F217" s="14">
        <v>8560.306648490814</v>
      </c>
      <c r="G217" s="14">
        <v>0.61537678244089267</v>
      </c>
      <c r="H217" s="14">
        <v>30.958097978381648</v>
      </c>
      <c r="I217" s="14">
        <v>30.958094173106836</v>
      </c>
      <c r="J217" s="14">
        <v>9.4746573860268177E-2</v>
      </c>
      <c r="K217" s="14">
        <v>30.958067916045806</v>
      </c>
      <c r="L217" s="14">
        <v>30.958033353999536</v>
      </c>
      <c r="M217" s="14">
        <v>10</v>
      </c>
    </row>
    <row r="218" spans="1:13" x14ac:dyDescent="0.3">
      <c r="A218" s="14">
        <v>207</v>
      </c>
      <c r="B218" s="14">
        <v>0.36470924322434417</v>
      </c>
      <c r="C218" s="14">
        <v>1.3473233813954266E-5</v>
      </c>
      <c r="D218" s="14">
        <v>27069.169010235226</v>
      </c>
      <c r="E218" s="14">
        <v>2.4749295100434665E-5</v>
      </c>
      <c r="F218" s="14">
        <v>14736.146696070502</v>
      </c>
      <c r="G218" s="14">
        <v>0.40544767644636881</v>
      </c>
      <c r="H218" s="14">
        <v>30.958101482414509</v>
      </c>
      <c r="I218" s="14">
        <v>30.958100468027613</v>
      </c>
      <c r="J218" s="14">
        <v>4.0738433222024618E-2</v>
      </c>
      <c r="K218" s="14">
        <v>30.958088009180695</v>
      </c>
      <c r="L218" s="14">
        <v>30.958075718732513</v>
      </c>
      <c r="M218" s="14">
        <v>10</v>
      </c>
    </row>
    <row r="219" spans="1:13" x14ac:dyDescent="0.3">
      <c r="A219" s="14">
        <v>208</v>
      </c>
      <c r="B219" s="14">
        <v>0.52122277917504833</v>
      </c>
      <c r="C219" s="14">
        <v>5.0736199380452263E-5</v>
      </c>
      <c r="D219" s="14">
        <v>10273.19321391397</v>
      </c>
      <c r="E219" s="14">
        <v>7.8037202644765102E-5</v>
      </c>
      <c r="F219" s="14">
        <v>6679.1576518666134</v>
      </c>
      <c r="G219" s="14">
        <v>0.63489990441817656</v>
      </c>
      <c r="H219" s="14">
        <v>30.958101512199235</v>
      </c>
      <c r="I219" s="14">
        <v>30.958099459804629</v>
      </c>
      <c r="J219" s="14">
        <v>0.11367712524312817</v>
      </c>
      <c r="K219" s="14">
        <v>30.958050775999855</v>
      </c>
      <c r="L219" s="14">
        <v>30.958021422601984</v>
      </c>
      <c r="M219" s="14">
        <v>12</v>
      </c>
    </row>
    <row r="220" spans="1:13" x14ac:dyDescent="0.3">
      <c r="A220" s="14">
        <v>209</v>
      </c>
      <c r="B220" s="14">
        <v>0.46777048989311337</v>
      </c>
      <c r="C220" s="14">
        <v>7.2680824775517294E-5</v>
      </c>
      <c r="D220" s="14">
        <v>6435.9546185376112</v>
      </c>
      <c r="E220" s="14">
        <v>8.361827921277154E-5</v>
      </c>
      <c r="F220" s="14">
        <v>5594.1176295059167</v>
      </c>
      <c r="G220" s="14">
        <v>0.7882688858284721</v>
      </c>
      <c r="H220" s="14">
        <v>30.958099504333639</v>
      </c>
      <c r="I220" s="14">
        <v>30.958098190235049</v>
      </c>
      <c r="J220" s="14">
        <v>0.32049839593535873</v>
      </c>
      <c r="K220" s="14">
        <v>30.958026823508863</v>
      </c>
      <c r="L220" s="14">
        <v>30.958014571955836</v>
      </c>
      <c r="M220" s="14">
        <v>10</v>
      </c>
    </row>
    <row r="221" spans="1:13" x14ac:dyDescent="0.3">
      <c r="A221" s="14">
        <v>210</v>
      </c>
      <c r="B221" s="14">
        <v>0.69105558057604155</v>
      </c>
      <c r="C221" s="14">
        <v>2.9073116170508229E-5</v>
      </c>
      <c r="D221" s="14">
        <v>23769.573805681292</v>
      </c>
      <c r="E221" s="14">
        <v>5.9184284523894348E-5</v>
      </c>
      <c r="F221" s="14">
        <v>11676.335806628584</v>
      </c>
      <c r="G221" s="14">
        <v>0.80993405600611967</v>
      </c>
      <c r="H221" s="14">
        <v>30.9581008736032</v>
      </c>
      <c r="I221" s="14">
        <v>30.958098535474118</v>
      </c>
      <c r="J221" s="14">
        <v>0.11887847543007814</v>
      </c>
      <c r="K221" s="14">
        <v>30.95807180048703</v>
      </c>
      <c r="L221" s="14">
        <v>30.958039351189594</v>
      </c>
      <c r="M221" s="14">
        <v>12</v>
      </c>
    </row>
    <row r="222" spans="1:13" x14ac:dyDescent="0.3">
      <c r="A222" s="14">
        <v>211</v>
      </c>
      <c r="B222" s="14">
        <v>0.59489177952393879</v>
      </c>
      <c r="C222" s="14">
        <v>1.5732255064904166E-5</v>
      </c>
      <c r="D222" s="14">
        <v>37813.509701545292</v>
      </c>
      <c r="E222" s="14">
        <v>3.0425089423857798E-5</v>
      </c>
      <c r="F222" s="14">
        <v>19552.671521729535</v>
      </c>
      <c r="G222" s="14">
        <v>0.64175344310188176</v>
      </c>
      <c r="H222" s="14">
        <v>30.95810147932972</v>
      </c>
      <c r="I222" s="14">
        <v>30.958100780427099</v>
      </c>
      <c r="J222" s="14">
        <v>4.686166357794299E-2</v>
      </c>
      <c r="K222" s="14">
        <v>30.958085747074655</v>
      </c>
      <c r="L222" s="14">
        <v>30.958070355337675</v>
      </c>
      <c r="M222" s="14">
        <v>10</v>
      </c>
    </row>
    <row r="223" spans="1:13" x14ac:dyDescent="0.3">
      <c r="A223" s="14">
        <v>212</v>
      </c>
      <c r="B223" s="14">
        <v>0.3639444582027358</v>
      </c>
      <c r="C223" s="14">
        <v>9.104664943393459E-5</v>
      </c>
      <c r="D223" s="14">
        <v>3997.3404893589382</v>
      </c>
      <c r="E223" s="14">
        <v>1.0481533490391826E-4</v>
      </c>
      <c r="F223" s="14">
        <v>3472.2443861516554</v>
      </c>
      <c r="G223" s="14">
        <v>0.54023220961753293</v>
      </c>
      <c r="H223" s="14">
        <v>30.958101463223674</v>
      </c>
      <c r="I223" s="14">
        <v>30.958100625108955</v>
      </c>
      <c r="J223" s="14">
        <v>0.17628775141479716</v>
      </c>
      <c r="K223" s="14">
        <v>30.95801041657424</v>
      </c>
      <c r="L223" s="14">
        <v>30.957995809774051</v>
      </c>
      <c r="M223" s="14">
        <v>11</v>
      </c>
    </row>
    <row r="224" spans="1:13" x14ac:dyDescent="0.3">
      <c r="A224" s="14">
        <v>213</v>
      </c>
      <c r="B224" s="14">
        <v>0.45767667752599706</v>
      </c>
      <c r="C224" s="14">
        <v>8.7860765987102241E-6</v>
      </c>
      <c r="D224" s="14">
        <v>52091.132188988988</v>
      </c>
      <c r="E224" s="14">
        <v>3.6109169478493186E-5</v>
      </c>
      <c r="F224" s="14">
        <v>12674.804880200629</v>
      </c>
      <c r="G224" s="14">
        <v>0.50607245733990314</v>
      </c>
      <c r="H224" s="14">
        <v>30.958101549577986</v>
      </c>
      <c r="I224" s="14">
        <v>30.958099871157692</v>
      </c>
      <c r="J224" s="14">
        <v>4.8395779813906095E-2</v>
      </c>
      <c r="K224" s="14">
        <v>30.958092763501387</v>
      </c>
      <c r="L224" s="14">
        <v>30.958063761988214</v>
      </c>
      <c r="M224" s="14">
        <v>12</v>
      </c>
    </row>
    <row r="225" spans="1:13" x14ac:dyDescent="0.3">
      <c r="A225" s="14">
        <v>214</v>
      </c>
      <c r="B225" s="14">
        <v>0.60152214071391963</v>
      </c>
      <c r="C225" s="14">
        <v>6.682937389257404E-6</v>
      </c>
      <c r="D225" s="14">
        <v>90008.645252437374</v>
      </c>
      <c r="E225" s="14">
        <v>2.930760694752621E-5</v>
      </c>
      <c r="F225" s="14">
        <v>20524.437283157054</v>
      </c>
      <c r="G225" s="14">
        <v>0.6432632562182119</v>
      </c>
      <c r="H225" s="14">
        <v>30.95810122499504</v>
      </c>
      <c r="I225" s="14">
        <v>30.958099087344273</v>
      </c>
      <c r="J225" s="14">
        <v>4.174111550429227E-2</v>
      </c>
      <c r="K225" s="14">
        <v>30.958094542057651</v>
      </c>
      <c r="L225" s="14">
        <v>30.958069779737325</v>
      </c>
      <c r="M225" s="14">
        <v>14</v>
      </c>
    </row>
    <row r="226" spans="1:13" x14ac:dyDescent="0.3">
      <c r="A226" s="14">
        <v>215</v>
      </c>
      <c r="B226" s="14">
        <v>0.45331924598435053</v>
      </c>
      <c r="C226" s="14">
        <v>1.2727134022583186E-4</v>
      </c>
      <c r="D226" s="14">
        <v>3561.8328932497698</v>
      </c>
      <c r="E226" s="14">
        <v>1.4065211908587116E-4</v>
      </c>
      <c r="F226" s="14">
        <v>3222.9819851316233</v>
      </c>
      <c r="G226" s="14">
        <v>0.64286568531961552</v>
      </c>
      <c r="H226" s="14">
        <v>30.958101523723638</v>
      </c>
      <c r="I226" s="14">
        <v>30.958100782915668</v>
      </c>
      <c r="J226" s="14">
        <v>0.18954643933526499</v>
      </c>
      <c r="K226" s="14">
        <v>30.957974252383412</v>
      </c>
      <c r="L226" s="14">
        <v>30.957960130796582</v>
      </c>
      <c r="M226" s="14">
        <v>10</v>
      </c>
    </row>
    <row r="227" spans="1:13" x14ac:dyDescent="0.3">
      <c r="A227" s="14">
        <v>216</v>
      </c>
      <c r="B227" s="14">
        <v>0.52530589997483967</v>
      </c>
      <c r="C227" s="14">
        <v>8.5551232018588053E-6</v>
      </c>
      <c r="D227" s="14">
        <v>61402.49387182459</v>
      </c>
      <c r="E227" s="14">
        <v>2.2974997186508972E-5</v>
      </c>
      <c r="F227" s="14">
        <v>22864.242189474644</v>
      </c>
      <c r="G227" s="14">
        <v>0.54746362530371284</v>
      </c>
      <c r="H227" s="14">
        <v>30.958101028485437</v>
      </c>
      <c r="I227" s="14">
        <v>30.958099478663531</v>
      </c>
      <c r="J227" s="14">
        <v>2.2157725328873196E-2</v>
      </c>
      <c r="K227" s="14">
        <v>30.958092473362235</v>
      </c>
      <c r="L227" s="14">
        <v>30.958076503666344</v>
      </c>
      <c r="M227" s="14">
        <v>15</v>
      </c>
    </row>
    <row r="228" spans="1:13" x14ac:dyDescent="0.3">
      <c r="A228" s="14">
        <v>217</v>
      </c>
      <c r="B228" s="14">
        <v>0.51385198886852013</v>
      </c>
      <c r="C228" s="14">
        <v>1.6597476447088866E-4</v>
      </c>
      <c r="D228" s="14">
        <v>3095.9645612791205</v>
      </c>
      <c r="E228" s="14">
        <v>1.8377343065623108E-4</v>
      </c>
      <c r="F228" s="14">
        <v>2796.1168653902869</v>
      </c>
      <c r="G228" s="14">
        <v>0.72098140459234694</v>
      </c>
      <c r="H228" s="14">
        <v>30.958093233711853</v>
      </c>
      <c r="I228" s="14">
        <v>30.958090801903904</v>
      </c>
      <c r="J228" s="14">
        <v>0.20712941572382679</v>
      </c>
      <c r="K228" s="14">
        <v>30.957927258947382</v>
      </c>
      <c r="L228" s="14">
        <v>30.957907028473247</v>
      </c>
      <c r="M228" s="14">
        <v>13</v>
      </c>
    </row>
    <row r="229" spans="1:13" x14ac:dyDescent="0.3">
      <c r="A229" s="14">
        <v>218</v>
      </c>
      <c r="B229" s="14">
        <v>0.3866674041511225</v>
      </c>
      <c r="C229" s="14">
        <v>6.295399983358152E-5</v>
      </c>
      <c r="D229" s="14">
        <v>6142.0625404783686</v>
      </c>
      <c r="E229" s="14">
        <v>8.1365344922090799E-5</v>
      </c>
      <c r="F229" s="14">
        <v>4752.2370183690055</v>
      </c>
      <c r="G229" s="14">
        <v>0.59485969681598827</v>
      </c>
      <c r="H229" s="14">
        <v>30.958100724249107</v>
      </c>
      <c r="I229" s="14">
        <v>30.958098884428111</v>
      </c>
      <c r="J229" s="14">
        <v>0.20819229266486577</v>
      </c>
      <c r="K229" s="14">
        <v>30.958037770249273</v>
      </c>
      <c r="L229" s="14">
        <v>30.958017519083189</v>
      </c>
      <c r="M229" s="14">
        <v>12</v>
      </c>
    </row>
    <row r="230" spans="1:13" x14ac:dyDescent="0.3">
      <c r="A230" s="14">
        <v>219</v>
      </c>
      <c r="B230" s="14">
        <v>0.46057919049348917</v>
      </c>
      <c r="C230" s="14">
        <v>1.7887530322724388E-5</v>
      </c>
      <c r="D230" s="14">
        <v>25748.61829351409</v>
      </c>
      <c r="E230" s="14">
        <v>3.7284567795836665E-5</v>
      </c>
      <c r="F230" s="14">
        <v>12353.078437586693</v>
      </c>
      <c r="G230" s="14">
        <v>0.5137361118128364</v>
      </c>
      <c r="H230" s="14">
        <v>30.958101230529991</v>
      </c>
      <c r="I230" s="14">
        <v>30.958100119441326</v>
      </c>
      <c r="J230" s="14">
        <v>5.3156921319347246E-2</v>
      </c>
      <c r="K230" s="14">
        <v>30.958083342999668</v>
      </c>
      <c r="L230" s="14">
        <v>30.95806283487353</v>
      </c>
      <c r="M230" s="14">
        <v>15</v>
      </c>
    </row>
    <row r="231" spans="1:13" x14ac:dyDescent="0.3">
      <c r="A231" s="14">
        <v>220</v>
      </c>
      <c r="B231" s="14">
        <v>0.94041129189584205</v>
      </c>
      <c r="C231" s="14">
        <v>7.4224430441915956E-6</v>
      </c>
      <c r="D231" s="14">
        <v>126698.35070432199</v>
      </c>
      <c r="E231" s="14">
        <v>3.285016804355223E-5</v>
      </c>
      <c r="F231" s="14">
        <v>28627.290145032432</v>
      </c>
      <c r="G231" s="14">
        <v>0.97332133684919864</v>
      </c>
      <c r="H231" s="14">
        <v>30.958101525893387</v>
      </c>
      <c r="I231" s="14">
        <v>30.958100449159851</v>
      </c>
      <c r="J231" s="14">
        <v>3.2910044953356629E-2</v>
      </c>
      <c r="K231" s="14">
        <v>30.958094103450343</v>
      </c>
      <c r="L231" s="14">
        <v>30.958067598991807</v>
      </c>
      <c r="M231" s="14">
        <v>11</v>
      </c>
    </row>
    <row r="232" spans="1:13" x14ac:dyDescent="0.3">
      <c r="A232" s="14">
        <v>221</v>
      </c>
      <c r="B232" s="14">
        <v>0.8420798335271632</v>
      </c>
      <c r="C232" s="14">
        <v>3.1901120685517981E-5</v>
      </c>
      <c r="D232" s="14">
        <v>26396.559601413584</v>
      </c>
      <c r="E232" s="14">
        <v>6.08161942921015E-5</v>
      </c>
      <c r="F232" s="14">
        <v>13846.309249188391</v>
      </c>
      <c r="G232" s="14">
        <v>0.9116480425458261</v>
      </c>
      <c r="H232" s="14">
        <v>30.958100746093564</v>
      </c>
      <c r="I232" s="14">
        <v>30.958099022847389</v>
      </c>
      <c r="J232" s="14">
        <v>6.9568209018662855E-2</v>
      </c>
      <c r="K232" s="14">
        <v>30.958068844972878</v>
      </c>
      <c r="L232" s="14">
        <v>30.958038206653097</v>
      </c>
      <c r="M232" s="14">
        <v>14</v>
      </c>
    </row>
    <row r="233" spans="1:13" x14ac:dyDescent="0.3">
      <c r="A233" s="14">
        <v>222</v>
      </c>
      <c r="B233" s="14">
        <v>0.72582588397154524</v>
      </c>
      <c r="C233" s="14">
        <v>2.7025605174202383E-5</v>
      </c>
      <c r="D233" s="14">
        <v>26856.970613349709</v>
      </c>
      <c r="E233" s="14">
        <v>5.0863119117394717E-5</v>
      </c>
      <c r="F233" s="14">
        <v>14270.180369715461</v>
      </c>
      <c r="G233" s="14">
        <v>0.77803924575452255</v>
      </c>
      <c r="H233" s="14">
        <v>30.958101526077904</v>
      </c>
      <c r="I233" s="14">
        <v>30.958100830185867</v>
      </c>
      <c r="J233" s="14">
        <v>5.2213361782977273E-2</v>
      </c>
      <c r="K233" s="14">
        <v>30.95807450047273</v>
      </c>
      <c r="L233" s="14">
        <v>30.958049967066749</v>
      </c>
      <c r="M233" s="14">
        <v>12</v>
      </c>
    </row>
    <row r="234" spans="1:13" x14ac:dyDescent="0.3">
      <c r="A234" s="14">
        <v>223</v>
      </c>
      <c r="B234" s="14">
        <v>0.67647090004156407</v>
      </c>
      <c r="C234" s="14">
        <v>8.6727710737477537E-6</v>
      </c>
      <c r="D234" s="14">
        <v>77999.395382315968</v>
      </c>
      <c r="E234" s="14">
        <v>2.7163190775780777E-5</v>
      </c>
      <c r="F234" s="14">
        <v>24903.955710708276</v>
      </c>
      <c r="G234" s="14">
        <v>0.73946407872082487</v>
      </c>
      <c r="H234" s="14">
        <v>30.958101538044804</v>
      </c>
      <c r="I234" s="14">
        <v>30.958101498054315</v>
      </c>
      <c r="J234" s="14">
        <v>6.2993178679260839E-2</v>
      </c>
      <c r="K234" s="14">
        <v>30.958092865273731</v>
      </c>
      <c r="L234" s="14">
        <v>30.958074334863539</v>
      </c>
      <c r="M234" s="14">
        <v>11</v>
      </c>
    </row>
    <row r="235" spans="1:13" x14ac:dyDescent="0.3">
      <c r="A235" s="14">
        <v>224</v>
      </c>
      <c r="B235" s="14">
        <v>0.45205465328743666</v>
      </c>
      <c r="C235" s="14">
        <v>6.7908264185234657E-6</v>
      </c>
      <c r="D235" s="14">
        <v>66568.430030012052</v>
      </c>
      <c r="E235" s="14">
        <v>2.0305677331577954E-5</v>
      </c>
      <c r="F235" s="14">
        <v>22262.475952202454</v>
      </c>
      <c r="G235" s="14">
        <v>0.48622128354342492</v>
      </c>
      <c r="H235" s="14">
        <v>30.958101064810617</v>
      </c>
      <c r="I235" s="14">
        <v>30.958098967981652</v>
      </c>
      <c r="J235" s="14">
        <v>3.4166630255988234E-2</v>
      </c>
      <c r="K235" s="14">
        <v>30.958094273984198</v>
      </c>
      <c r="L235" s="14">
        <v>30.95807866230432</v>
      </c>
      <c r="M235" s="14">
        <v>11</v>
      </c>
    </row>
    <row r="236" spans="1:13" x14ac:dyDescent="0.3">
      <c r="A236" s="14">
        <v>225</v>
      </c>
      <c r="B236" s="14">
        <v>0.48457123690750004</v>
      </c>
      <c r="C236" s="14">
        <v>1.8090954643668056E-5</v>
      </c>
      <c r="D236" s="14">
        <v>26785.277308574918</v>
      </c>
      <c r="E236" s="14">
        <v>4.2820548063815522E-5</v>
      </c>
      <c r="F236" s="14">
        <v>11316.324961215883</v>
      </c>
      <c r="G236" s="14">
        <v>0.61655998810827517</v>
      </c>
      <c r="H236" s="14">
        <v>30.95810152773107</v>
      </c>
      <c r="I236" s="14">
        <v>30.958100373832067</v>
      </c>
      <c r="J236" s="14">
        <v>0.13198875120077511</v>
      </c>
      <c r="K236" s="14">
        <v>30.958083436776427</v>
      </c>
      <c r="L236" s="14">
        <v>30.958057553284004</v>
      </c>
      <c r="M236" s="14">
        <v>9</v>
      </c>
    </row>
    <row r="237" spans="1:13" x14ac:dyDescent="0.3">
      <c r="A237" s="14">
        <v>226</v>
      </c>
      <c r="B237" s="14">
        <v>0.59687271715954837</v>
      </c>
      <c r="C237" s="14">
        <v>2.9036706845175786E-5</v>
      </c>
      <c r="D237" s="14">
        <v>20555.799262708537</v>
      </c>
      <c r="E237" s="14">
        <v>6.1417549051867582E-5</v>
      </c>
      <c r="F237" s="14">
        <v>9718.2763945120132</v>
      </c>
      <c r="G237" s="14">
        <v>0.6610685465272842</v>
      </c>
      <c r="H237" s="14">
        <v>30.958100217509077</v>
      </c>
      <c r="I237" s="14">
        <v>30.958095999551315</v>
      </c>
      <c r="J237" s="14">
        <v>6.4195829367735796E-2</v>
      </c>
      <c r="K237" s="14">
        <v>30.958071180802232</v>
      </c>
      <c r="L237" s="14">
        <v>30.958034582002263</v>
      </c>
      <c r="M237" s="14">
        <v>12</v>
      </c>
    </row>
    <row r="238" spans="1:13" x14ac:dyDescent="0.3">
      <c r="A238" s="14">
        <v>227</v>
      </c>
      <c r="B238" s="14">
        <v>0.32225610832942203</v>
      </c>
      <c r="C238" s="14">
        <v>2.4608391843372601E-5</v>
      </c>
      <c r="D238" s="14">
        <v>13095.374552734551</v>
      </c>
      <c r="E238" s="14">
        <v>4.433270765602515E-5</v>
      </c>
      <c r="F238" s="14">
        <v>7269.0373624320009</v>
      </c>
      <c r="G238" s="14">
        <v>0.35952668854818415</v>
      </c>
      <c r="H238" s="14">
        <v>30.958101399551634</v>
      </c>
      <c r="I238" s="14">
        <v>30.958100639188626</v>
      </c>
      <c r="J238" s="14">
        <v>3.7270580218762117E-2</v>
      </c>
      <c r="K238" s="14">
        <v>30.95807679115979</v>
      </c>
      <c r="L238" s="14">
        <v>30.95805630648097</v>
      </c>
      <c r="M238" s="14">
        <v>13</v>
      </c>
    </row>
    <row r="239" spans="1:13" x14ac:dyDescent="0.3">
      <c r="A239" s="14">
        <v>228</v>
      </c>
      <c r="B239" s="14">
        <v>0.50991101213692347</v>
      </c>
      <c r="C239" s="14">
        <v>3.5192476719458909E-5</v>
      </c>
      <c r="D239" s="14">
        <v>14489.205070780919</v>
      </c>
      <c r="E239" s="14">
        <v>5.4987322343436063E-5</v>
      </c>
      <c r="F239" s="14">
        <v>9273.2468213701359</v>
      </c>
      <c r="G239" s="14">
        <v>0.7207899301553542</v>
      </c>
      <c r="H239" s="14">
        <v>30.958098978441065</v>
      </c>
      <c r="I239" s="14">
        <v>30.958096923985426</v>
      </c>
      <c r="J239" s="14">
        <v>0.21087891801843078</v>
      </c>
      <c r="K239" s="14">
        <v>30.958063785964345</v>
      </c>
      <c r="L239" s="14">
        <v>30.958041936663083</v>
      </c>
      <c r="M239" s="14">
        <v>11</v>
      </c>
    </row>
    <row r="240" spans="1:13" x14ac:dyDescent="0.3">
      <c r="A240" s="14">
        <v>229</v>
      </c>
      <c r="B240" s="14">
        <v>0.73712078939501946</v>
      </c>
      <c r="C240" s="14">
        <v>2.6037467655726232E-5</v>
      </c>
      <c r="D240" s="14">
        <v>28310.003074853932</v>
      </c>
      <c r="E240" s="14">
        <v>5.9585706711828834E-5</v>
      </c>
      <c r="F240" s="14">
        <v>12370.765240058616</v>
      </c>
      <c r="G240" s="14">
        <v>0.92662015758451122</v>
      </c>
      <c r="H240" s="14">
        <v>30.958101392805403</v>
      </c>
      <c r="I240" s="14">
        <v>30.958099757267682</v>
      </c>
      <c r="J240" s="14">
        <v>0.18949936818949173</v>
      </c>
      <c r="K240" s="14">
        <v>30.958075355337748</v>
      </c>
      <c r="L240" s="14">
        <v>30.95804017156097</v>
      </c>
      <c r="M240" s="14">
        <v>15</v>
      </c>
    </row>
    <row r="241" spans="1:13" x14ac:dyDescent="0.3">
      <c r="A241" s="14">
        <v>230</v>
      </c>
      <c r="B241" s="14">
        <v>0.35655913967175973</v>
      </c>
      <c r="C241" s="14">
        <v>1.6502066436885343E-5</v>
      </c>
      <c r="D241" s="14">
        <v>21606.938805844362</v>
      </c>
      <c r="E241" s="14">
        <v>2.7608236695897403E-5</v>
      </c>
      <c r="F241" s="14">
        <v>12914.955185267032</v>
      </c>
      <c r="G241" s="14">
        <v>0.38463006449414561</v>
      </c>
      <c r="H241" s="14">
        <v>30.958100012233803</v>
      </c>
      <c r="I241" s="14">
        <v>30.958098583150374</v>
      </c>
      <c r="J241" s="14">
        <v>2.8070924822385882E-2</v>
      </c>
      <c r="K241" s="14">
        <v>30.958083510167366</v>
      </c>
      <c r="L241" s="14">
        <v>30.958070974913678</v>
      </c>
      <c r="M241" s="14">
        <v>12</v>
      </c>
    </row>
    <row r="242" spans="1:13" x14ac:dyDescent="0.3">
      <c r="A242" s="14">
        <v>231</v>
      </c>
      <c r="B242" s="14">
        <v>0.2947189437578539</v>
      </c>
      <c r="C242" s="14">
        <v>4.3215856134537489E-5</v>
      </c>
      <c r="D242" s="14">
        <v>6819.6946704086877</v>
      </c>
      <c r="E242" s="14">
        <v>6.4448609823131164E-5</v>
      </c>
      <c r="F242" s="14">
        <v>4572.9294172001937</v>
      </c>
      <c r="G242" s="14">
        <v>0.67630038333200659</v>
      </c>
      <c r="H242" s="14">
        <v>30.95810142043084</v>
      </c>
      <c r="I242" s="14">
        <v>30.958099696167185</v>
      </c>
      <c r="J242" s="14">
        <v>0.38158143957415269</v>
      </c>
      <c r="K242" s="14">
        <v>30.958058204574705</v>
      </c>
      <c r="L242" s="14">
        <v>30.958035247557362</v>
      </c>
      <c r="M242" s="14">
        <v>10</v>
      </c>
    </row>
    <row r="243" spans="1:13" x14ac:dyDescent="0.3">
      <c r="A243" s="14">
        <v>232</v>
      </c>
      <c r="B243" s="14">
        <v>0.46258830823126629</v>
      </c>
      <c r="C243" s="14">
        <v>2.1045306144884535E-5</v>
      </c>
      <c r="D243" s="14">
        <v>21980.592966746044</v>
      </c>
      <c r="E243" s="14">
        <v>4.1560954137764838E-5</v>
      </c>
      <c r="F243" s="14">
        <v>11130.35823715438</v>
      </c>
      <c r="G243" s="14">
        <v>0.51461013529356769</v>
      </c>
      <c r="H243" s="14">
        <v>30.95810154871144</v>
      </c>
      <c r="I243" s="14">
        <v>30.95809992765744</v>
      </c>
      <c r="J243" s="14">
        <v>5.2021827062301421E-2</v>
      </c>
      <c r="K243" s="14">
        <v>30.958080503405295</v>
      </c>
      <c r="L243" s="14">
        <v>30.958058366703302</v>
      </c>
      <c r="M243" s="14">
        <v>14</v>
      </c>
    </row>
    <row r="244" spans="1:13" x14ac:dyDescent="0.3">
      <c r="A244" s="14">
        <v>233</v>
      </c>
      <c r="B244" s="14">
        <v>0.74186094839143324</v>
      </c>
      <c r="C244" s="14">
        <v>1.0335919437665098E-5</v>
      </c>
      <c r="D244" s="14">
        <v>71775.03200034819</v>
      </c>
      <c r="E244" s="14">
        <v>3.879678834195488E-5</v>
      </c>
      <c r="F244" s="14">
        <v>19121.710329542515</v>
      </c>
      <c r="G244" s="14">
        <v>0.82649636957675376</v>
      </c>
      <c r="H244" s="14">
        <v>30.958101364002186</v>
      </c>
      <c r="I244" s="14">
        <v>30.958099133402008</v>
      </c>
      <c r="J244" s="14">
        <v>8.4635421185320484E-2</v>
      </c>
      <c r="K244" s="14">
        <v>30.958091028082748</v>
      </c>
      <c r="L244" s="14">
        <v>30.958060336613666</v>
      </c>
      <c r="M244" s="14">
        <v>12</v>
      </c>
    </row>
    <row r="245" spans="1:13" x14ac:dyDescent="0.3">
      <c r="A245" s="14">
        <v>234</v>
      </c>
      <c r="B245" s="14">
        <v>0.83920354941785902</v>
      </c>
      <c r="C245" s="14">
        <v>1.6051151515839024E-4</v>
      </c>
      <c r="D245" s="14">
        <v>5228.3074431746918</v>
      </c>
      <c r="E245" s="14">
        <v>1.9249583438707418E-4</v>
      </c>
      <c r="F245" s="14">
        <v>4359.5932976418235</v>
      </c>
      <c r="G245" s="14">
        <v>1.2236910526333122</v>
      </c>
      <c r="H245" s="14">
        <v>30.958070662861886</v>
      </c>
      <c r="I245" s="14">
        <v>30.958063827713438</v>
      </c>
      <c r="J245" s="14">
        <v>0.38448750321545322</v>
      </c>
      <c r="K245" s="14">
        <v>30.957910151346727</v>
      </c>
      <c r="L245" s="14">
        <v>30.957871331879051</v>
      </c>
      <c r="M245" s="14">
        <v>12</v>
      </c>
    </row>
    <row r="246" spans="1:13" x14ac:dyDescent="0.3">
      <c r="A246" s="14">
        <v>235</v>
      </c>
      <c r="B246" s="14">
        <v>0.6522499531784528</v>
      </c>
      <c r="C246" s="14">
        <v>3.8873562054675403E-5</v>
      </c>
      <c r="D246" s="14">
        <v>16778.754472282926</v>
      </c>
      <c r="E246" s="14">
        <v>7.3109222391565254E-5</v>
      </c>
      <c r="F246" s="14">
        <v>8921.5824193160079</v>
      </c>
      <c r="G246" s="14">
        <v>0.76004033232841406</v>
      </c>
      <c r="H246" s="14">
        <v>30.95810133341293</v>
      </c>
      <c r="I246" s="14">
        <v>30.958100745227878</v>
      </c>
      <c r="J246" s="14">
        <v>0.1077903791499613</v>
      </c>
      <c r="K246" s="14">
        <v>30.958062459850876</v>
      </c>
      <c r="L246" s="14">
        <v>30.958027636005486</v>
      </c>
      <c r="M246" s="14">
        <v>12</v>
      </c>
    </row>
    <row r="247" spans="1:13" x14ac:dyDescent="0.3">
      <c r="A247" s="14">
        <v>236</v>
      </c>
      <c r="B247" s="14">
        <v>0.68231881031579178</v>
      </c>
      <c r="C247" s="14">
        <v>3.8594867049823733E-5</v>
      </c>
      <c r="D247" s="14">
        <v>17679.004035302358</v>
      </c>
      <c r="E247" s="14">
        <v>6.3070117771957257E-5</v>
      </c>
      <c r="F247" s="14">
        <v>10818.416619782654</v>
      </c>
      <c r="G247" s="14">
        <v>0.82873780122299978</v>
      </c>
      <c r="H247" s="14">
        <v>30.958101550583891</v>
      </c>
      <c r="I247" s="14">
        <v>30.958100337889775</v>
      </c>
      <c r="J247" s="14">
        <v>0.14641899090720806</v>
      </c>
      <c r="K247" s="14">
        <v>30.958062955716841</v>
      </c>
      <c r="L247" s="14">
        <v>30.958037267772003</v>
      </c>
      <c r="M247" s="14">
        <v>14</v>
      </c>
    </row>
    <row r="248" spans="1:13" x14ac:dyDescent="0.3">
      <c r="A248" s="14">
        <v>237</v>
      </c>
      <c r="B248" s="14">
        <v>0.49434800747695917</v>
      </c>
      <c r="C248" s="14">
        <v>3.2804555878840347E-5</v>
      </c>
      <c r="D248" s="14">
        <v>15069.492460217223</v>
      </c>
      <c r="E248" s="14">
        <v>6.3367307951978091E-5</v>
      </c>
      <c r="F248" s="14">
        <v>7801.3099097028544</v>
      </c>
      <c r="G248" s="14">
        <v>0.61813854090194731</v>
      </c>
      <c r="H248" s="14">
        <v>30.958101512961417</v>
      </c>
      <c r="I248" s="14">
        <v>30.958100383399536</v>
      </c>
      <c r="J248" s="14">
        <v>0.12379053342498815</v>
      </c>
      <c r="K248" s="14">
        <v>30.958068708405538</v>
      </c>
      <c r="L248" s="14">
        <v>30.958037016091584</v>
      </c>
      <c r="M248" s="14">
        <v>11</v>
      </c>
    </row>
    <row r="249" spans="1:13" x14ac:dyDescent="0.3">
      <c r="A249" s="14">
        <v>238</v>
      </c>
      <c r="B249" s="14">
        <v>0.65809737655417966</v>
      </c>
      <c r="C249" s="14">
        <v>2.5517420077392217E-5</v>
      </c>
      <c r="D249" s="14">
        <v>25790.121985617079</v>
      </c>
      <c r="E249" s="14">
        <v>4.3490633984788474E-5</v>
      </c>
      <c r="F249" s="14">
        <v>15131.933390172226</v>
      </c>
      <c r="G249" s="14">
        <v>0.70339041244134204</v>
      </c>
      <c r="H249" s="14">
        <v>30.958101551316396</v>
      </c>
      <c r="I249" s="14">
        <v>30.958101352718614</v>
      </c>
      <c r="J249" s="14">
        <v>4.5293035887162408E-2</v>
      </c>
      <c r="K249" s="14">
        <v>30.958076033896319</v>
      </c>
      <c r="L249" s="14">
        <v>30.95805786208463</v>
      </c>
      <c r="M249" s="14">
        <v>14</v>
      </c>
    </row>
    <row r="250" spans="1:13" x14ac:dyDescent="0.3">
      <c r="A250" s="14">
        <v>239</v>
      </c>
      <c r="B250" s="14">
        <v>0.88620066089022898</v>
      </c>
      <c r="C250" s="14">
        <v>2.3696273899531661E-5</v>
      </c>
      <c r="D250" s="14">
        <v>37398.312690323182</v>
      </c>
      <c r="E250" s="14">
        <v>5.2801123992196608E-5</v>
      </c>
      <c r="F250" s="14">
        <v>16783.746138078408</v>
      </c>
      <c r="G250" s="14">
        <v>1.1015093536002714</v>
      </c>
      <c r="H250" s="14">
        <v>30.958101401077094</v>
      </c>
      <c r="I250" s="14">
        <v>30.958099673564021</v>
      </c>
      <c r="J250" s="14">
        <v>0.21530869271004235</v>
      </c>
      <c r="K250" s="14">
        <v>30.958077704803195</v>
      </c>
      <c r="L250" s="14">
        <v>30.958046872440029</v>
      </c>
      <c r="M250" s="14">
        <v>15</v>
      </c>
    </row>
    <row r="251" spans="1:13" x14ac:dyDescent="0.3">
      <c r="A251" s="14">
        <v>240</v>
      </c>
      <c r="B251" s="14">
        <v>0.40788435835001019</v>
      </c>
      <c r="C251" s="14">
        <v>3.9231768532488331E-5</v>
      </c>
      <c r="D251" s="14">
        <v>10396.787440572196</v>
      </c>
      <c r="E251" s="14">
        <v>5.5845560147815831E-5</v>
      </c>
      <c r="F251" s="14">
        <v>7303.7920520520183</v>
      </c>
      <c r="G251" s="14">
        <v>0.59129879170383803</v>
      </c>
      <c r="H251" s="14">
        <v>30.958101445237745</v>
      </c>
      <c r="I251" s="14">
        <v>30.958100968031054</v>
      </c>
      <c r="J251" s="14">
        <v>0.18341443335382784</v>
      </c>
      <c r="K251" s="14">
        <v>30.958062213469212</v>
      </c>
      <c r="L251" s="14">
        <v>30.958045122470907</v>
      </c>
      <c r="M251" s="14">
        <v>11</v>
      </c>
    </row>
    <row r="252" spans="1:13" x14ac:dyDescent="0.3">
      <c r="A252" s="14">
        <v>241</v>
      </c>
      <c r="B252" s="14">
        <v>0.37623513178527207</v>
      </c>
      <c r="C252" s="14">
        <v>4.9673893425250526E-5</v>
      </c>
      <c r="D252" s="14">
        <v>7574.1019244129157</v>
      </c>
      <c r="E252" s="14">
        <v>6.6070629060277497E-5</v>
      </c>
      <c r="F252" s="14">
        <v>5694.4384689000854</v>
      </c>
      <c r="G252" s="14">
        <v>0.4835020962383394</v>
      </c>
      <c r="H252" s="14">
        <v>30.958101468121495</v>
      </c>
      <c r="I252" s="14">
        <v>30.95810026706442</v>
      </c>
      <c r="J252" s="14">
        <v>0.10726696445306733</v>
      </c>
      <c r="K252" s="14">
        <v>30.958051794228069</v>
      </c>
      <c r="L252" s="14">
        <v>30.95803419643536</v>
      </c>
      <c r="M252" s="14">
        <v>9</v>
      </c>
    </row>
    <row r="253" spans="1:13" x14ac:dyDescent="0.3">
      <c r="A253" s="14">
        <v>242</v>
      </c>
      <c r="B253" s="14">
        <v>0.63986812918248537</v>
      </c>
      <c r="C253" s="14">
        <v>7.532174909385958E-5</v>
      </c>
      <c r="D253" s="14">
        <v>8495.131046215296</v>
      </c>
      <c r="E253" s="14">
        <v>1.1173284953969187E-4</v>
      </c>
      <c r="F253" s="14">
        <v>5726.7681959116171</v>
      </c>
      <c r="G253" s="14">
        <v>1.1107822227305602</v>
      </c>
      <c r="H253" s="14">
        <v>30.95809675809123</v>
      </c>
      <c r="I253" s="14">
        <v>30.958091222121872</v>
      </c>
      <c r="J253" s="14">
        <v>0.47091409354807479</v>
      </c>
      <c r="K253" s="14">
        <v>30.958021436342136</v>
      </c>
      <c r="L253" s="14">
        <v>30.957979489272333</v>
      </c>
      <c r="M253" s="14">
        <v>9</v>
      </c>
    </row>
    <row r="254" spans="1:13" x14ac:dyDescent="0.3">
      <c r="A254" s="14">
        <v>243</v>
      </c>
      <c r="B254" s="14">
        <v>0.52035062312996361</v>
      </c>
      <c r="C254" s="14">
        <v>3.1951479325442733E-5</v>
      </c>
      <c r="D254" s="14">
        <v>16285.650433581401</v>
      </c>
      <c r="E254" s="14">
        <v>5.4187706250985457E-5</v>
      </c>
      <c r="F254" s="14">
        <v>9602.7431151969176</v>
      </c>
      <c r="G254" s="14">
        <v>0.75447756412567002</v>
      </c>
      <c r="H254" s="14">
        <v>30.958100509637895</v>
      </c>
      <c r="I254" s="14">
        <v>30.958098249943902</v>
      </c>
      <c r="J254" s="14">
        <v>0.23412694099570641</v>
      </c>
      <c r="K254" s="14">
        <v>30.958068558158569</v>
      </c>
      <c r="L254" s="14">
        <v>30.958044062237651</v>
      </c>
      <c r="M254" s="14">
        <v>11</v>
      </c>
    </row>
    <row r="255" spans="1:13" x14ac:dyDescent="0.3">
      <c r="A255" s="14">
        <v>244</v>
      </c>
      <c r="B255" s="14">
        <v>0.45040076760446546</v>
      </c>
      <c r="C255" s="14">
        <v>1.4577519991121335E-5</v>
      </c>
      <c r="D255" s="14">
        <v>30896.940486364558</v>
      </c>
      <c r="E255" s="14">
        <v>4.1363239393632512E-5</v>
      </c>
      <c r="F255" s="14">
        <v>10888.914268010656</v>
      </c>
      <c r="G255" s="14">
        <v>0.4766672014813273</v>
      </c>
      <c r="H255" s="14">
        <v>30.958101461808866</v>
      </c>
      <c r="I255" s="14">
        <v>30.958099875444599</v>
      </c>
      <c r="J255" s="14">
        <v>2.6266433876861856E-2</v>
      </c>
      <c r="K255" s="14">
        <v>30.958086884288875</v>
      </c>
      <c r="L255" s="14">
        <v>30.958058512205206</v>
      </c>
      <c r="M255" s="14">
        <v>12</v>
      </c>
    </row>
    <row r="256" spans="1:13" x14ac:dyDescent="0.3">
      <c r="A256" s="14">
        <v>245</v>
      </c>
      <c r="B256" s="14">
        <v>0.35970776757380274</v>
      </c>
      <c r="C256" s="14">
        <v>2.7070881277069248E-5</v>
      </c>
      <c r="D256" s="14">
        <v>13287.626800627952</v>
      </c>
      <c r="E256" s="14">
        <v>4.6824198136619088E-5</v>
      </c>
      <c r="F256" s="14">
        <v>7682.0913520885597</v>
      </c>
      <c r="G256" s="14">
        <v>0.42893826012246666</v>
      </c>
      <c r="H256" s="14">
        <v>30.958101147715958</v>
      </c>
      <c r="I256" s="14">
        <v>30.958099295758171</v>
      </c>
      <c r="J256" s="14">
        <v>6.9230492548663897E-2</v>
      </c>
      <c r="K256" s="14">
        <v>30.958074076834681</v>
      </c>
      <c r="L256" s="14">
        <v>30.958052471560034</v>
      </c>
      <c r="M256" s="14">
        <v>12</v>
      </c>
    </row>
    <row r="257" spans="1:13" x14ac:dyDescent="0.3">
      <c r="A257" s="14">
        <v>246</v>
      </c>
      <c r="B257" s="14">
        <v>0.53543970550179598</v>
      </c>
      <c r="C257" s="14">
        <v>5.1968722267758949E-5</v>
      </c>
      <c r="D257" s="14">
        <v>10303.114683925551</v>
      </c>
      <c r="E257" s="14">
        <v>6.1379745925904672E-5</v>
      </c>
      <c r="F257" s="14">
        <v>8723.3939701894287</v>
      </c>
      <c r="G257" s="14">
        <v>0.75643913028798482</v>
      </c>
      <c r="H257" s="14">
        <v>30.958099515382106</v>
      </c>
      <c r="I257" s="14">
        <v>30.958098293489503</v>
      </c>
      <c r="J257" s="14">
        <v>0.22099942478618886</v>
      </c>
      <c r="K257" s="14">
        <v>30.958047546659838</v>
      </c>
      <c r="L257" s="14">
        <v>30.958036913743577</v>
      </c>
      <c r="M257" s="14">
        <v>13</v>
      </c>
    </row>
    <row r="258" spans="1:13" x14ac:dyDescent="0.3">
      <c r="A258" s="14">
        <v>247</v>
      </c>
      <c r="B258" s="14">
        <v>0.69451861571528251</v>
      </c>
      <c r="C258" s="14">
        <v>3.5916208389608073E-5</v>
      </c>
      <c r="D258" s="14">
        <v>19337.191949143307</v>
      </c>
      <c r="E258" s="14">
        <v>6.494770811826811E-5</v>
      </c>
      <c r="F258" s="14">
        <v>10693.504602973548</v>
      </c>
      <c r="G258" s="14">
        <v>0.75814464817718008</v>
      </c>
      <c r="H258" s="14">
        <v>30.958100794524359</v>
      </c>
      <c r="I258" s="14">
        <v>30.958097563812309</v>
      </c>
      <c r="J258" s="14">
        <v>6.3626032461897519E-2</v>
      </c>
      <c r="K258" s="14">
        <v>30.95806487831597</v>
      </c>
      <c r="L258" s="14">
        <v>30.958032616104191</v>
      </c>
      <c r="M258" s="14">
        <v>11</v>
      </c>
    </row>
    <row r="259" spans="1:13" x14ac:dyDescent="0.3">
      <c r="A259" s="14">
        <v>248</v>
      </c>
      <c r="B259" s="14">
        <v>0.87598914068962541</v>
      </c>
      <c r="C259" s="14">
        <v>2.5952462216594085E-5</v>
      </c>
      <c r="D259" s="14">
        <v>33753.604316183737</v>
      </c>
      <c r="E259" s="14">
        <v>7.6708909261924418E-5</v>
      </c>
      <c r="F259" s="14">
        <v>11419.653194370674</v>
      </c>
      <c r="G259" s="14">
        <v>0.96460485666722318</v>
      </c>
      <c r="H259" s="14">
        <v>30.958101544992516</v>
      </c>
      <c r="I259" s="14">
        <v>30.958099685658112</v>
      </c>
      <c r="J259" s="14">
        <v>8.861571597759775E-2</v>
      </c>
      <c r="K259" s="14">
        <v>30.9580755925303</v>
      </c>
      <c r="L259" s="14">
        <v>30.95802297674885</v>
      </c>
      <c r="M259" s="14">
        <v>11</v>
      </c>
    </row>
    <row r="260" spans="1:13" x14ac:dyDescent="0.3">
      <c r="A260" s="14">
        <v>249</v>
      </c>
      <c r="B260" s="14">
        <v>0.52529900616201164</v>
      </c>
      <c r="C260" s="14">
        <v>1.0628784533395219E-5</v>
      </c>
      <c r="D260" s="14">
        <v>49422.302664198622</v>
      </c>
      <c r="E260" s="14">
        <v>2.8944293063659643E-5</v>
      </c>
      <c r="F260" s="14">
        <v>18148.621042727729</v>
      </c>
      <c r="G260" s="14">
        <v>0.55686494008052145</v>
      </c>
      <c r="H260" s="14">
        <v>30.95810152662483</v>
      </c>
      <c r="I260" s="14">
        <v>30.958101075081611</v>
      </c>
      <c r="J260" s="14">
        <v>3.1565933918509828E-2</v>
      </c>
      <c r="K260" s="14">
        <v>30.958090897840297</v>
      </c>
      <c r="L260" s="14">
        <v>30.958072130788548</v>
      </c>
      <c r="M260" s="14">
        <v>10</v>
      </c>
    </row>
    <row r="261" spans="1:13" x14ac:dyDescent="0.3">
      <c r="A261" s="14">
        <v>250</v>
      </c>
      <c r="B261" s="14">
        <v>0.2536724352310995</v>
      </c>
      <c r="C261" s="14">
        <v>3.012463379192809E-5</v>
      </c>
      <c r="D261" s="14">
        <v>8420.7641156146146</v>
      </c>
      <c r="E261" s="14">
        <v>4.4143583281197607E-5</v>
      </c>
      <c r="F261" s="14">
        <v>5746.5302174313529</v>
      </c>
      <c r="G261" s="14">
        <v>0.33129329386714934</v>
      </c>
      <c r="H261" s="14">
        <v>30.958100764780095</v>
      </c>
      <c r="I261" s="14">
        <v>30.958100065836604</v>
      </c>
      <c r="J261" s="14">
        <v>7.7620858636049839E-2</v>
      </c>
      <c r="K261" s="14">
        <v>30.958070640146303</v>
      </c>
      <c r="L261" s="14">
        <v>30.958055922253322</v>
      </c>
      <c r="M261" s="14">
        <v>13</v>
      </c>
    </row>
    <row r="262" spans="1:13" x14ac:dyDescent="0.3">
      <c r="A262" s="14">
        <v>251</v>
      </c>
      <c r="B262" s="14">
        <v>0.40837943298782875</v>
      </c>
      <c r="C262" s="14">
        <v>3.8354873069579298E-5</v>
      </c>
      <c r="D262" s="14">
        <v>10647.393676599857</v>
      </c>
      <c r="E262" s="14">
        <v>6.1552758893412829E-5</v>
      </c>
      <c r="F262" s="14">
        <v>6634.6243503884953</v>
      </c>
      <c r="G262" s="14">
        <v>0.54475470720123131</v>
      </c>
      <c r="H262" s="14">
        <v>30.958101547625322</v>
      </c>
      <c r="I262" s="14">
        <v>30.958099362682159</v>
      </c>
      <c r="J262" s="14">
        <v>0.13637527421340259</v>
      </c>
      <c r="K262" s="14">
        <v>30.958063192752252</v>
      </c>
      <c r="L262" s="14">
        <v>30.958037809923265</v>
      </c>
      <c r="M262" s="14">
        <v>12</v>
      </c>
    </row>
    <row r="263" spans="1:13" x14ac:dyDescent="0.3">
      <c r="A263" s="14">
        <v>252</v>
      </c>
      <c r="B263" s="14">
        <v>0.39874307633717743</v>
      </c>
      <c r="C263" s="14">
        <v>2.6069304063014442E-5</v>
      </c>
      <c r="D263" s="14">
        <v>15295.501382520222</v>
      </c>
      <c r="E263" s="14">
        <v>4.4826347050275217E-5</v>
      </c>
      <c r="F263" s="14">
        <v>8895.2837466315304</v>
      </c>
      <c r="G263" s="14">
        <v>0.49166778452223159</v>
      </c>
      <c r="H263" s="14">
        <v>30.95810149160684</v>
      </c>
      <c r="I263" s="14">
        <v>30.958099430977633</v>
      </c>
      <c r="J263" s="14">
        <v>9.2924708185054133E-2</v>
      </c>
      <c r="K263" s="14">
        <v>30.958075422302777</v>
      </c>
      <c r="L263" s="14">
        <v>30.958054604630583</v>
      </c>
      <c r="M263" s="14">
        <v>13</v>
      </c>
    </row>
    <row r="264" spans="1:13" x14ac:dyDescent="0.3">
      <c r="A264" s="14">
        <v>253</v>
      </c>
      <c r="B264" s="14">
        <v>0.3895868141249057</v>
      </c>
      <c r="C264" s="14">
        <v>1.6123383339916586E-4</v>
      </c>
      <c r="D264" s="14">
        <v>2416.2845099663878</v>
      </c>
      <c r="E264" s="14">
        <v>1.7892192276036667E-4</v>
      </c>
      <c r="F264" s="14">
        <v>2177.4124048883955</v>
      </c>
      <c r="G264" s="14">
        <v>0.86928079956757698</v>
      </c>
      <c r="H264" s="14">
        <v>30.95809837411166</v>
      </c>
      <c r="I264" s="14">
        <v>30.958097630111933</v>
      </c>
      <c r="J264" s="14">
        <v>0.47969398544267128</v>
      </c>
      <c r="K264" s="14">
        <v>30.957937140278261</v>
      </c>
      <c r="L264" s="14">
        <v>30.957918708189172</v>
      </c>
      <c r="M264" s="14">
        <v>10</v>
      </c>
    </row>
    <row r="265" spans="1:13" x14ac:dyDescent="0.3">
      <c r="A265" s="14">
        <v>254</v>
      </c>
      <c r="B265" s="14">
        <v>0.37429265250502036</v>
      </c>
      <c r="C265" s="14">
        <v>6.4997797750265818E-5</v>
      </c>
      <c r="D265" s="14">
        <v>5758.5436039406368</v>
      </c>
      <c r="E265" s="14">
        <v>7.3494924343719958E-5</v>
      </c>
      <c r="F265" s="14">
        <v>5092.7687299130221</v>
      </c>
      <c r="G265" s="14">
        <v>0.56402040055365366</v>
      </c>
      <c r="H265" s="14">
        <v>30.95810069368008</v>
      </c>
      <c r="I265" s="14">
        <v>30.958099913921597</v>
      </c>
      <c r="J265" s="14">
        <v>0.18972774804863329</v>
      </c>
      <c r="K265" s="14">
        <v>30.95803569588233</v>
      </c>
      <c r="L265" s="14">
        <v>30.958026418997253</v>
      </c>
      <c r="M265" s="14">
        <v>12</v>
      </c>
    </row>
    <row r="266" spans="1:13" x14ac:dyDescent="0.3">
      <c r="A266" s="14">
        <v>255</v>
      </c>
      <c r="B266" s="14">
        <v>0.86389328093776263</v>
      </c>
      <c r="C266" s="14">
        <v>4.8480992429489334E-5</v>
      </c>
      <c r="D266" s="14">
        <v>17819.21610194361</v>
      </c>
      <c r="E266" s="14">
        <v>8.87128801707604E-5</v>
      </c>
      <c r="F266" s="14">
        <v>9738.0817675503695</v>
      </c>
      <c r="G266" s="14">
        <v>0.93772409382673971</v>
      </c>
      <c r="H266" s="14">
        <v>30.9581013538848</v>
      </c>
      <c r="I266" s="14">
        <v>30.958099781400012</v>
      </c>
      <c r="J266" s="14">
        <v>7.3830812888977027E-2</v>
      </c>
      <c r="K266" s="14">
        <v>30.95805287289237</v>
      </c>
      <c r="L266" s="14">
        <v>30.958011068519841</v>
      </c>
      <c r="M266" s="14">
        <v>10</v>
      </c>
    </row>
    <row r="267" spans="1:13" x14ac:dyDescent="0.3">
      <c r="A267" s="14">
        <v>256</v>
      </c>
      <c r="B267" s="14">
        <v>0.11375369060171103</v>
      </c>
      <c r="C267" s="14">
        <v>5.5323037749133164E-5</v>
      </c>
      <c r="D267" s="14">
        <v>2056.1721703991825</v>
      </c>
      <c r="E267" s="14">
        <v>7.1462881276573853E-5</v>
      </c>
      <c r="F267" s="14">
        <v>1591.7870728086705</v>
      </c>
      <c r="G267" s="14">
        <v>0.87811699260257681</v>
      </c>
      <c r="H267" s="14">
        <v>30.95810151629053</v>
      </c>
      <c r="I267" s="14">
        <v>30.958100098864165</v>
      </c>
      <c r="J267" s="14">
        <v>0.76436330200086577</v>
      </c>
      <c r="K267" s="14">
        <v>30.95804619325278</v>
      </c>
      <c r="L267" s="14">
        <v>30.958028635982888</v>
      </c>
      <c r="M267" s="14">
        <v>12</v>
      </c>
    </row>
    <row r="268" spans="1:13" x14ac:dyDescent="0.3">
      <c r="A268" s="14">
        <v>257</v>
      </c>
      <c r="B268" s="14">
        <v>0.38387609717035109</v>
      </c>
      <c r="C268" s="14">
        <v>4.1002256885747101E-5</v>
      </c>
      <c r="D268" s="14">
        <v>9362.316280297031</v>
      </c>
      <c r="E268" s="14">
        <v>6.2032865361771883E-5</v>
      </c>
      <c r="F268" s="14">
        <v>6188.2696362905235</v>
      </c>
      <c r="G268" s="14">
        <v>0.59547611753021568</v>
      </c>
      <c r="H268" s="14">
        <v>30.958101545529079</v>
      </c>
      <c r="I268" s="14">
        <v>30.958100674286467</v>
      </c>
      <c r="J268" s="14">
        <v>0.21160002035986461</v>
      </c>
      <c r="K268" s="14">
        <v>30.958060543272193</v>
      </c>
      <c r="L268" s="14">
        <v>30.958038641421105</v>
      </c>
      <c r="M268" s="14">
        <v>10</v>
      </c>
    </row>
    <row r="269" spans="1:13" x14ac:dyDescent="0.3">
      <c r="A269" s="14">
        <v>258</v>
      </c>
      <c r="B269" s="14">
        <v>0.12234263662119083</v>
      </c>
      <c r="C269" s="14">
        <v>8.5100810725435849E-5</v>
      </c>
      <c r="D269" s="14">
        <v>1437.6201070035604</v>
      </c>
      <c r="E269" s="14">
        <v>9.4907117873077596E-5</v>
      </c>
      <c r="F269" s="14">
        <v>1289.0775672358279</v>
      </c>
      <c r="G269" s="14">
        <v>0.55401716413077362</v>
      </c>
      <c r="H269" s="14">
        <v>30.958101099969479</v>
      </c>
      <c r="I269" s="14">
        <v>30.958100687184636</v>
      </c>
      <c r="J269" s="14">
        <v>0.43167452750958279</v>
      </c>
      <c r="K269" s="14">
        <v>30.958015999158754</v>
      </c>
      <c r="L269" s="14">
        <v>30.958005780066763</v>
      </c>
      <c r="M269" s="14">
        <v>11</v>
      </c>
    </row>
    <row r="270" spans="1:13" x14ac:dyDescent="0.3">
      <c r="A270" s="14">
        <v>259</v>
      </c>
      <c r="B270" s="14">
        <v>0.29976654561202731</v>
      </c>
      <c r="C270" s="14">
        <v>1.19545616620087E-4</v>
      </c>
      <c r="D270" s="14">
        <v>2507.5494533996839</v>
      </c>
      <c r="E270" s="14">
        <v>1.3456875841910687E-4</v>
      </c>
      <c r="F270" s="14">
        <v>2227.6087639779003</v>
      </c>
      <c r="G270" s="14">
        <v>0.5778267124454568</v>
      </c>
      <c r="H270" s="14">
        <v>30.958101517524394</v>
      </c>
      <c r="I270" s="14">
        <v>30.958100726910949</v>
      </c>
      <c r="J270" s="14">
        <v>0.27806016683342949</v>
      </c>
      <c r="K270" s="14">
        <v>30.957981971907774</v>
      </c>
      <c r="L270" s="14">
        <v>30.95796615815253</v>
      </c>
      <c r="M270" s="14">
        <v>15</v>
      </c>
    </row>
    <row r="271" spans="1:13" x14ac:dyDescent="0.3">
      <c r="A271" s="14">
        <v>260</v>
      </c>
      <c r="B271" s="14">
        <v>0.5323459570990331</v>
      </c>
      <c r="C271" s="14">
        <v>2.9731746955974359E-5</v>
      </c>
      <c r="D271" s="14">
        <v>17904.967302705449</v>
      </c>
      <c r="E271" s="14">
        <v>5.3923452597359756E-5</v>
      </c>
      <c r="F271" s="14">
        <v>9872.2528224221733</v>
      </c>
      <c r="G271" s="14">
        <v>0.59744909901051235</v>
      </c>
      <c r="H271" s="14">
        <v>30.958101165734526</v>
      </c>
      <c r="I271" s="14">
        <v>30.958100605930685</v>
      </c>
      <c r="J271" s="14">
        <v>6.5103141911479215E-2</v>
      </c>
      <c r="K271" s="14">
        <v>30.95807143398757</v>
      </c>
      <c r="L271" s="14">
        <v>30.958046682478088</v>
      </c>
      <c r="M271" s="14">
        <v>11</v>
      </c>
    </row>
    <row r="272" spans="1:13" x14ac:dyDescent="0.3">
      <c r="A272" s="14">
        <v>261</v>
      </c>
      <c r="B272" s="14">
        <v>0.43490297808429279</v>
      </c>
      <c r="C272" s="14">
        <v>9.6563358130907773E-5</v>
      </c>
      <c r="D272" s="14">
        <v>4503.8095868073387</v>
      </c>
      <c r="E272" s="14">
        <v>1.1285961491935836E-4</v>
      </c>
      <c r="F272" s="14">
        <v>3853.4862837786945</v>
      </c>
      <c r="G272" s="14">
        <v>0.56906573861139798</v>
      </c>
      <c r="H272" s="14">
        <v>30.958101551454209</v>
      </c>
      <c r="I272" s="14">
        <v>30.958101242938564</v>
      </c>
      <c r="J272" s="14">
        <v>0.13416276052710518</v>
      </c>
      <c r="K272" s="14">
        <v>30.958004988096079</v>
      </c>
      <c r="L272" s="14">
        <v>30.957988383323645</v>
      </c>
      <c r="M272" s="14">
        <v>9</v>
      </c>
    </row>
    <row r="273" spans="1:13" x14ac:dyDescent="0.3">
      <c r="A273" s="14">
        <v>262</v>
      </c>
      <c r="B273" s="14">
        <v>0.47305554813801692</v>
      </c>
      <c r="C273" s="14">
        <v>2.5709156830089341E-6</v>
      </c>
      <c r="D273" s="14">
        <v>184002.7470618425</v>
      </c>
      <c r="E273" s="14">
        <v>2.1839904963627532E-5</v>
      </c>
      <c r="F273" s="14">
        <v>21660.146824166586</v>
      </c>
      <c r="G273" s="14">
        <v>0.48326650220621781</v>
      </c>
      <c r="H273" s="14">
        <v>30.958101540749563</v>
      </c>
      <c r="I273" s="14">
        <v>30.958100618100719</v>
      </c>
      <c r="J273" s="14">
        <v>1.0210954068200892E-2</v>
      </c>
      <c r="K273" s="14">
        <v>30.95809896983388</v>
      </c>
      <c r="L273" s="14">
        <v>30.958078778195755</v>
      </c>
      <c r="M273" s="14">
        <v>11</v>
      </c>
    </row>
    <row r="274" spans="1:13" x14ac:dyDescent="0.3">
      <c r="A274" s="14">
        <v>263</v>
      </c>
      <c r="B274" s="14">
        <v>0.35784165812255875</v>
      </c>
      <c r="C274" s="14">
        <v>4.334168458797194E-5</v>
      </c>
      <c r="D274" s="14">
        <v>8256.2932549665111</v>
      </c>
      <c r="E274" s="14">
        <v>6.9642218807786094E-5</v>
      </c>
      <c r="F274" s="14">
        <v>5138.2862902488623</v>
      </c>
      <c r="G274" s="14">
        <v>0.48630762700601959</v>
      </c>
      <c r="H274" s="14">
        <v>30.958101503886557</v>
      </c>
      <c r="I274" s="14">
        <v>30.958100364042732</v>
      </c>
      <c r="J274" s="14">
        <v>0.12846596888346082</v>
      </c>
      <c r="K274" s="14">
        <v>30.958058162201969</v>
      </c>
      <c r="L274" s="14">
        <v>30.958030721823924</v>
      </c>
      <c r="M274" s="14">
        <v>9</v>
      </c>
    </row>
    <row r="275" spans="1:13" x14ac:dyDescent="0.3">
      <c r="A275" s="14">
        <v>264</v>
      </c>
      <c r="B275" s="14">
        <v>0.50920881821598218</v>
      </c>
      <c r="C275" s="14">
        <v>3.2877395671704335E-5</v>
      </c>
      <c r="D275" s="14">
        <v>15488.112966752675</v>
      </c>
      <c r="E275" s="14">
        <v>5.4367279748390729E-5</v>
      </c>
      <c r="F275" s="14">
        <v>9366.0896879994216</v>
      </c>
      <c r="G275" s="14">
        <v>0.58427678385236081</v>
      </c>
      <c r="H275" s="14">
        <v>30.958101550244894</v>
      </c>
      <c r="I275" s="14">
        <v>30.958100905950396</v>
      </c>
      <c r="J275" s="14">
        <v>7.5067965636378589E-2</v>
      </c>
      <c r="K275" s="14">
        <v>30.958068672849222</v>
      </c>
      <c r="L275" s="14">
        <v>30.958046538670647</v>
      </c>
      <c r="M275" s="14">
        <v>9</v>
      </c>
    </row>
    <row r="276" spans="1:13" x14ac:dyDescent="0.3">
      <c r="A276" s="14">
        <v>265</v>
      </c>
      <c r="B276" s="14">
        <v>0.44246570029023874</v>
      </c>
      <c r="C276" s="14">
        <v>1.5759851489605126E-5</v>
      </c>
      <c r="D276" s="14">
        <v>28075.499352394279</v>
      </c>
      <c r="E276" s="14">
        <v>3.6734745950894876E-5</v>
      </c>
      <c r="F276" s="14">
        <v>12044.882544763048</v>
      </c>
      <c r="G276" s="14">
        <v>0.48546435705309732</v>
      </c>
      <c r="H276" s="14">
        <v>30.958101533534542</v>
      </c>
      <c r="I276" s="14">
        <v>30.958100537068571</v>
      </c>
      <c r="J276" s="14">
        <v>4.2998656762858564E-2</v>
      </c>
      <c r="K276" s="14">
        <v>30.958085773683052</v>
      </c>
      <c r="L276" s="14">
        <v>30.95806380232262</v>
      </c>
      <c r="M276" s="14">
        <v>14</v>
      </c>
    </row>
    <row r="277" spans="1:13" x14ac:dyDescent="0.3">
      <c r="A277" s="14">
        <v>266</v>
      </c>
      <c r="B277" s="14">
        <v>0.2976585041033275</v>
      </c>
      <c r="C277" s="14">
        <v>7.0397305044878067E-5</v>
      </c>
      <c r="D277" s="14">
        <v>4228.2656120652791</v>
      </c>
      <c r="E277" s="14">
        <v>8.1521905844539333E-5</v>
      </c>
      <c r="F277" s="14">
        <v>3651.270183390418</v>
      </c>
      <c r="G277" s="14">
        <v>0.5666186538514133</v>
      </c>
      <c r="H277" s="14">
        <v>30.958100898469894</v>
      </c>
      <c r="I277" s="14">
        <v>30.958100087141776</v>
      </c>
      <c r="J277" s="14">
        <v>0.2689601497480858</v>
      </c>
      <c r="K277" s="14">
        <v>30.958030501164849</v>
      </c>
      <c r="L277" s="14">
        <v>30.958018565235932</v>
      </c>
      <c r="M277" s="14">
        <v>11</v>
      </c>
    </row>
    <row r="278" spans="1:13" x14ac:dyDescent="0.3">
      <c r="A278" s="14">
        <v>267</v>
      </c>
      <c r="B278" s="14">
        <v>0.33746420657413717</v>
      </c>
      <c r="C278" s="14">
        <v>6.1250783488731031E-5</v>
      </c>
      <c r="D278" s="14">
        <v>5509.5492229291094</v>
      </c>
      <c r="E278" s="14">
        <v>7.2541945499438043E-5</v>
      </c>
      <c r="F278" s="14">
        <v>4651.9872640685026</v>
      </c>
      <c r="G278" s="14">
        <v>0.45221127976154418</v>
      </c>
      <c r="H278" s="14">
        <v>30.958100163398885</v>
      </c>
      <c r="I278" s="14">
        <v>30.958098698471606</v>
      </c>
      <c r="J278" s="14">
        <v>0.11474707318740703</v>
      </c>
      <c r="K278" s="14">
        <v>30.958038912615397</v>
      </c>
      <c r="L278" s="14">
        <v>30.958026156526106</v>
      </c>
      <c r="M278" s="14">
        <v>11</v>
      </c>
    </row>
    <row r="279" spans="1:13" x14ac:dyDescent="0.3">
      <c r="A279" s="14">
        <v>268</v>
      </c>
      <c r="B279" s="14">
        <v>0.44537168126893267</v>
      </c>
      <c r="C279" s="14">
        <v>2.6819297726632385E-5</v>
      </c>
      <c r="D279" s="14">
        <v>16606.38864628677</v>
      </c>
      <c r="E279" s="14">
        <v>4.5742699498418915E-5</v>
      </c>
      <c r="F279" s="14">
        <v>9736.453820009614</v>
      </c>
      <c r="G279" s="14">
        <v>0.52735786578722199</v>
      </c>
      <c r="H279" s="14">
        <v>30.958100811625169</v>
      </c>
      <c r="I279" s="14">
        <v>30.958099801996056</v>
      </c>
      <c r="J279" s="14">
        <v>8.198618451828929E-2</v>
      </c>
      <c r="K279" s="14">
        <v>30.958073992327442</v>
      </c>
      <c r="L279" s="14">
        <v>30.958054059296558</v>
      </c>
      <c r="M279" s="14">
        <v>10</v>
      </c>
    </row>
    <row r="280" spans="1:13" x14ac:dyDescent="0.3">
      <c r="A280" s="14">
        <v>269</v>
      </c>
      <c r="B280" s="14">
        <v>0.7835489891666072</v>
      </c>
      <c r="C280" s="14">
        <v>2.0592314460543548E-4</v>
      </c>
      <c r="D280" s="14">
        <v>3805.0554767311228</v>
      </c>
      <c r="E280" s="14">
        <v>2.2256001206599763E-4</v>
      </c>
      <c r="F280" s="14">
        <v>3520.618919333338</v>
      </c>
      <c r="G280" s="14">
        <v>1.2446748208710965</v>
      </c>
      <c r="H280" s="14">
        <v>30.958101501210901</v>
      </c>
      <c r="I280" s="14">
        <v>30.958100854596765</v>
      </c>
      <c r="J280" s="14">
        <v>0.46112583170448934</v>
      </c>
      <c r="K280" s="14">
        <v>30.957895578066296</v>
      </c>
      <c r="L280" s="14">
        <v>30.957878294584699</v>
      </c>
      <c r="M280" s="14">
        <v>15</v>
      </c>
    </row>
    <row r="281" spans="1:13" x14ac:dyDescent="0.3">
      <c r="A281" s="14">
        <v>270</v>
      </c>
      <c r="B281" s="14">
        <v>0.12060975442534694</v>
      </c>
      <c r="C281" s="14">
        <v>8.0174736993399165E-5</v>
      </c>
      <c r="D281" s="14">
        <v>1504.336140638376</v>
      </c>
      <c r="E281" s="14">
        <v>9.6344851129970266E-5</v>
      </c>
      <c r="F281" s="14">
        <v>1251.8546970677555</v>
      </c>
      <c r="G281" s="14">
        <v>0.71526901626921846</v>
      </c>
      <c r="H281" s="14">
        <v>30.958100726383218</v>
      </c>
      <c r="I281" s="14">
        <v>30.958100066855362</v>
      </c>
      <c r="J281" s="14">
        <v>0.59465926184387152</v>
      </c>
      <c r="K281" s="14">
        <v>30.958020551646225</v>
      </c>
      <c r="L281" s="14">
        <v>30.958003722004232</v>
      </c>
      <c r="M281" s="14">
        <v>11</v>
      </c>
    </row>
    <row r="282" spans="1:13" x14ac:dyDescent="0.3">
      <c r="A282" s="14">
        <v>271</v>
      </c>
      <c r="B282" s="14">
        <v>0.3534591083117079</v>
      </c>
      <c r="C282" s="14">
        <v>2.7618369720983083E-5</v>
      </c>
      <c r="D282" s="14">
        <v>12797.971490806969</v>
      </c>
      <c r="E282" s="14">
        <v>6.0267572408179149E-5</v>
      </c>
      <c r="F282" s="14">
        <v>5864.830690670703</v>
      </c>
      <c r="G282" s="14">
        <v>0.41863229861836815</v>
      </c>
      <c r="H282" s="14">
        <v>30.958100861945866</v>
      </c>
      <c r="I282" s="14">
        <v>30.958099185652028</v>
      </c>
      <c r="J282" s="14">
        <v>6.5173190306660231E-2</v>
      </c>
      <c r="K282" s="14">
        <v>30.958073243576145</v>
      </c>
      <c r="L282" s="14">
        <v>30.95803891807962</v>
      </c>
      <c r="M282" s="14">
        <v>12</v>
      </c>
    </row>
    <row r="283" spans="1:13" x14ac:dyDescent="0.3">
      <c r="A283" s="14">
        <v>272</v>
      </c>
      <c r="B283" s="14">
        <v>0.38785276097549187</v>
      </c>
      <c r="C283" s="14">
        <v>2.430583098345096E-6</v>
      </c>
      <c r="D283" s="14">
        <v>159571.8991214775</v>
      </c>
      <c r="E283" s="14">
        <v>2.152145923162152E-5</v>
      </c>
      <c r="F283" s="14">
        <v>18021.675798154945</v>
      </c>
      <c r="G283" s="14">
        <v>0.4064686075038566</v>
      </c>
      <c r="H283" s="14">
        <v>30.9581015191063</v>
      </c>
      <c r="I283" s="14">
        <v>30.958099737058934</v>
      </c>
      <c r="J283" s="14">
        <v>1.8615846528364736E-2</v>
      </c>
      <c r="K283" s="14">
        <v>30.958099088523202</v>
      </c>
      <c r="L283" s="14">
        <v>30.958078215599702</v>
      </c>
      <c r="M283" s="14">
        <v>10</v>
      </c>
    </row>
    <row r="284" spans="1:13" x14ac:dyDescent="0.3">
      <c r="A284" s="14">
        <v>273</v>
      </c>
      <c r="B284" s="14">
        <v>1.1278625893197816</v>
      </c>
      <c r="C284" s="14">
        <v>3.8141749769238231E-5</v>
      </c>
      <c r="D284" s="14">
        <v>29570.289673218296</v>
      </c>
      <c r="E284" s="14">
        <v>8.2346139741673596E-5</v>
      </c>
      <c r="F284" s="14">
        <v>13696.605485794191</v>
      </c>
      <c r="G284" s="14">
        <v>1.2034067266358619</v>
      </c>
      <c r="H284" s="14">
        <v>30.958101087133528</v>
      </c>
      <c r="I284" s="14">
        <v>30.958099838803733</v>
      </c>
      <c r="J284" s="14">
        <v>7.5544137316080423E-2</v>
      </c>
      <c r="K284" s="14">
        <v>30.958062945383759</v>
      </c>
      <c r="L284" s="14">
        <v>30.958017492663991</v>
      </c>
      <c r="M284" s="14">
        <v>14</v>
      </c>
    </row>
    <row r="285" spans="1:13" x14ac:dyDescent="0.3">
      <c r="A285" s="14">
        <v>274</v>
      </c>
      <c r="B285" s="14">
        <v>0.45323379883333514</v>
      </c>
      <c r="C285" s="14">
        <v>1.8876391408895188E-4</v>
      </c>
      <c r="D285" s="14">
        <v>2401.0616701863696</v>
      </c>
      <c r="E285" s="14">
        <v>1.9930535011880579E-4</v>
      </c>
      <c r="F285" s="14">
        <v>2274.0673974038468</v>
      </c>
      <c r="G285" s="14">
        <v>0.78382590804416219</v>
      </c>
      <c r="H285" s="14">
        <v>30.95810114807308</v>
      </c>
      <c r="I285" s="14">
        <v>30.958100074505026</v>
      </c>
      <c r="J285" s="14">
        <v>0.33059210921082705</v>
      </c>
      <c r="K285" s="14">
        <v>30.957912384158991</v>
      </c>
      <c r="L285" s="14">
        <v>30.957900769154907</v>
      </c>
      <c r="M285" s="14">
        <v>12</v>
      </c>
    </row>
    <row r="286" spans="1:13" x14ac:dyDescent="0.3">
      <c r="A286" s="14">
        <v>275</v>
      </c>
      <c r="B286" s="14">
        <v>0.95700973246313525</v>
      </c>
      <c r="C286" s="14">
        <v>6.9088962487029448E-5</v>
      </c>
      <c r="D286" s="14">
        <v>13851.846923346133</v>
      </c>
      <c r="E286" s="14">
        <v>1.0226539851743155E-4</v>
      </c>
      <c r="F286" s="14">
        <v>9358.0990866623288</v>
      </c>
      <c r="G286" s="14">
        <v>1.1656689838968974</v>
      </c>
      <c r="H286" s="14">
        <v>30.958097200421111</v>
      </c>
      <c r="I286" s="14">
        <v>30.958094601257777</v>
      </c>
      <c r="J286" s="14">
        <v>0.20865925143376218</v>
      </c>
      <c r="K286" s="14">
        <v>30.958028111458624</v>
      </c>
      <c r="L286" s="14">
        <v>30.957992335859259</v>
      </c>
      <c r="M286" s="14">
        <v>11</v>
      </c>
    </row>
    <row r="287" spans="1:13" x14ac:dyDescent="0.3">
      <c r="A287" s="14">
        <v>276</v>
      </c>
      <c r="B287" s="14">
        <v>0.52472794196164774</v>
      </c>
      <c r="C287" s="14">
        <v>3.7448678085638676E-5</v>
      </c>
      <c r="D287" s="14">
        <v>14011.921616076415</v>
      </c>
      <c r="E287" s="14">
        <v>5.2438735668403069E-5</v>
      </c>
      <c r="F287" s="14">
        <v>10006.494917798376</v>
      </c>
      <c r="G287" s="14">
        <v>0.66941116557249003</v>
      </c>
      <c r="H287" s="14">
        <v>30.958101043289428</v>
      </c>
      <c r="I287" s="14">
        <v>30.958099579133286</v>
      </c>
      <c r="J287" s="14">
        <v>0.14468322361084227</v>
      </c>
      <c r="K287" s="14">
        <v>30.958063594611342</v>
      </c>
      <c r="L287" s="14">
        <v>30.958047140397618</v>
      </c>
      <c r="M287" s="14">
        <v>13</v>
      </c>
    </row>
    <row r="288" spans="1:13" x14ac:dyDescent="0.3">
      <c r="A288" s="14">
        <v>277</v>
      </c>
      <c r="B288" s="14">
        <v>0.60050738027141226</v>
      </c>
      <c r="C288" s="14">
        <v>1.997295318290071E-5</v>
      </c>
      <c r="D288" s="14">
        <v>30066.028532301374</v>
      </c>
      <c r="E288" s="14">
        <v>6.8053627060749022E-5</v>
      </c>
      <c r="F288" s="14">
        <v>8824.0319613730644</v>
      </c>
      <c r="G288" s="14">
        <v>0.63377518667776434</v>
      </c>
      <c r="H288" s="14">
        <v>30.958101464416728</v>
      </c>
      <c r="I288" s="14">
        <v>30.958098729135386</v>
      </c>
      <c r="J288" s="14">
        <v>3.3267806406352025E-2</v>
      </c>
      <c r="K288" s="14">
        <v>30.958081491463545</v>
      </c>
      <c r="L288" s="14">
        <v>30.958030675508326</v>
      </c>
      <c r="M288" s="14">
        <v>9</v>
      </c>
    </row>
    <row r="289" spans="1:13" x14ac:dyDescent="0.3">
      <c r="A289" s="14">
        <v>278</v>
      </c>
      <c r="B289" s="14">
        <v>0.9714933559206721</v>
      </c>
      <c r="C289" s="14">
        <v>7.4551830344660175E-5</v>
      </c>
      <c r="D289" s="14">
        <v>13031.113406999752</v>
      </c>
      <c r="E289" s="14">
        <v>1.0454029370521312E-4</v>
      </c>
      <c r="F289" s="14">
        <v>9293.0038886262155</v>
      </c>
      <c r="G289" s="14">
        <v>1.1004513985177458</v>
      </c>
      <c r="H289" s="14">
        <v>30.958101293475917</v>
      </c>
      <c r="I289" s="14">
        <v>30.958100246011767</v>
      </c>
      <c r="J289" s="14">
        <v>0.12895804259707366</v>
      </c>
      <c r="K289" s="14">
        <v>30.958026741645572</v>
      </c>
      <c r="L289" s="14">
        <v>30.957995705718062</v>
      </c>
      <c r="M289" s="14">
        <v>9</v>
      </c>
    </row>
    <row r="290" spans="1:13" x14ac:dyDescent="0.3">
      <c r="A290" s="14">
        <v>279</v>
      </c>
      <c r="B290" s="14">
        <v>0.57097613488548138</v>
      </c>
      <c r="C290" s="14">
        <v>6.3266724374955174E-6</v>
      </c>
      <c r="D290" s="14">
        <v>90249.043320394907</v>
      </c>
      <c r="E290" s="14">
        <v>3.5132842207019621E-5</v>
      </c>
      <c r="F290" s="14">
        <v>16251.919828205617</v>
      </c>
      <c r="G290" s="14">
        <v>0.63703982857438712</v>
      </c>
      <c r="H290" s="14">
        <v>30.958101538535612</v>
      </c>
      <c r="I290" s="14">
        <v>30.958101376125619</v>
      </c>
      <c r="J290" s="14">
        <v>6.6063693688905717E-2</v>
      </c>
      <c r="K290" s="14">
        <v>30.958095211863174</v>
      </c>
      <c r="L290" s="14">
        <v>30.958066243283412</v>
      </c>
      <c r="M290" s="14">
        <v>15</v>
      </c>
    </row>
    <row r="291" spans="1:13" x14ac:dyDescent="0.3">
      <c r="A291" s="14">
        <v>280</v>
      </c>
      <c r="B291" s="14">
        <v>0.37458700039710602</v>
      </c>
      <c r="C291" s="14">
        <v>2.9676574811787759E-5</v>
      </c>
      <c r="D291" s="14">
        <v>12622.312472809943</v>
      </c>
      <c r="E291" s="14">
        <v>4.6101666853815004E-5</v>
      </c>
      <c r="F291" s="14">
        <v>8125.2376749173482</v>
      </c>
      <c r="G291" s="14">
        <v>0.59025924562101995</v>
      </c>
      <c r="H291" s="14">
        <v>30.958100414608534</v>
      </c>
      <c r="I291" s="14">
        <v>30.958098400686229</v>
      </c>
      <c r="J291" s="14">
        <v>0.21567224522391393</v>
      </c>
      <c r="K291" s="14">
        <v>30.958070738033722</v>
      </c>
      <c r="L291" s="14">
        <v>30.958052299019375</v>
      </c>
      <c r="M291" s="14">
        <v>15</v>
      </c>
    </row>
    <row r="292" spans="1:13" x14ac:dyDescent="0.3">
      <c r="A292" s="14">
        <v>281</v>
      </c>
      <c r="B292" s="14">
        <v>0.667155986285494</v>
      </c>
      <c r="C292" s="14">
        <v>1.7873376656041273E-5</v>
      </c>
      <c r="D292" s="14">
        <v>37326.801707610888</v>
      </c>
      <c r="E292" s="14">
        <v>3.674746050208455E-5</v>
      </c>
      <c r="F292" s="14">
        <v>18155.158946225649</v>
      </c>
      <c r="G292" s="14">
        <v>0.87996546965826516</v>
      </c>
      <c r="H292" s="14">
        <v>30.958101532805671</v>
      </c>
      <c r="I292" s="14">
        <v>30.95810109892335</v>
      </c>
      <c r="J292" s="14">
        <v>0.2128094833727712</v>
      </c>
      <c r="K292" s="14">
        <v>30.958083659429015</v>
      </c>
      <c r="L292" s="14">
        <v>30.958064351462848</v>
      </c>
      <c r="M292" s="14">
        <v>11</v>
      </c>
    </row>
    <row r="293" spans="1:13" x14ac:dyDescent="0.3">
      <c r="A293" s="14">
        <v>282</v>
      </c>
      <c r="B293" s="14">
        <v>0.60277013710062821</v>
      </c>
      <c r="C293" s="14">
        <v>1.7585676225451152E-5</v>
      </c>
      <c r="D293" s="14">
        <v>34276.198957209243</v>
      </c>
      <c r="E293" s="14">
        <v>4.5632913526105767E-5</v>
      </c>
      <c r="F293" s="14">
        <v>13209.109182910144</v>
      </c>
      <c r="G293" s="14">
        <v>0.73117437056136059</v>
      </c>
      <c r="H293" s="14">
        <v>30.958101468601598</v>
      </c>
      <c r="I293" s="14">
        <v>30.958099567641781</v>
      </c>
      <c r="J293" s="14">
        <v>0.12840423346073243</v>
      </c>
      <c r="K293" s="14">
        <v>30.958083882925372</v>
      </c>
      <c r="L293" s="14">
        <v>30.958053934728255</v>
      </c>
      <c r="M293" s="14">
        <v>10</v>
      </c>
    </row>
    <row r="294" spans="1:13" x14ac:dyDescent="0.3">
      <c r="A294" s="14">
        <v>283</v>
      </c>
      <c r="B294" s="14">
        <v>0.50056406189844127</v>
      </c>
      <c r="C294" s="14">
        <v>5.0435619328936809E-5</v>
      </c>
      <c r="D294" s="14">
        <v>9924.8124353109488</v>
      </c>
      <c r="E294" s="14">
        <v>6.9208673600940074E-5</v>
      </c>
      <c r="F294" s="14">
        <v>7232.6781580111374</v>
      </c>
      <c r="G294" s="14">
        <v>0.69984404520160437</v>
      </c>
      <c r="H294" s="14">
        <v>30.958101458552616</v>
      </c>
      <c r="I294" s="14">
        <v>30.958099684234568</v>
      </c>
      <c r="J294" s="14">
        <v>0.1992799833031631</v>
      </c>
      <c r="K294" s="14">
        <v>30.958051022933287</v>
      </c>
      <c r="L294" s="14">
        <v>30.958030475560967</v>
      </c>
      <c r="M294" s="14">
        <v>11</v>
      </c>
    </row>
    <row r="295" spans="1:13" x14ac:dyDescent="0.3">
      <c r="A295" s="14">
        <v>284</v>
      </c>
      <c r="B295" s="14">
        <v>0.50124002439795723</v>
      </c>
      <c r="C295" s="14">
        <v>1.3459005777249899E-4</v>
      </c>
      <c r="D295" s="14">
        <v>3724.198003133456</v>
      </c>
      <c r="E295" s="14">
        <v>1.5090002882800491E-4</v>
      </c>
      <c r="F295" s="14">
        <v>3321.6695072289754</v>
      </c>
      <c r="G295" s="14">
        <v>0.68464735152766365</v>
      </c>
      <c r="H295" s="14">
        <v>30.958100900855893</v>
      </c>
      <c r="I295" s="14">
        <v>30.958100280251603</v>
      </c>
      <c r="J295" s="14">
        <v>0.18340732712970642</v>
      </c>
      <c r="K295" s="14">
        <v>30.95796631079812</v>
      </c>
      <c r="L295" s="14">
        <v>30.957949380222775</v>
      </c>
      <c r="M295" s="14">
        <v>10</v>
      </c>
    </row>
    <row r="296" spans="1:13" x14ac:dyDescent="0.3">
      <c r="A296" s="14">
        <v>285</v>
      </c>
      <c r="B296" s="14">
        <v>0.42102687184022675</v>
      </c>
      <c r="C296" s="14">
        <v>5.4873112610209773E-5</v>
      </c>
      <c r="D296" s="14">
        <v>7672.7353673370781</v>
      </c>
      <c r="E296" s="14">
        <v>6.7024159900341829E-5</v>
      </c>
      <c r="F296" s="14">
        <v>6281.7180023778183</v>
      </c>
      <c r="G296" s="14">
        <v>0.65070494543328039</v>
      </c>
      <c r="H296" s="14">
        <v>30.958099652708736</v>
      </c>
      <c r="I296" s="14">
        <v>30.958098935810568</v>
      </c>
      <c r="J296" s="14">
        <v>0.22967807359305364</v>
      </c>
      <c r="K296" s="14">
        <v>30.958044779596126</v>
      </c>
      <c r="L296" s="14">
        <v>30.958031911650668</v>
      </c>
      <c r="M296" s="14">
        <v>9</v>
      </c>
    </row>
    <row r="297" spans="1:13" x14ac:dyDescent="0.3">
      <c r="A297" s="14">
        <v>286</v>
      </c>
      <c r="B297" s="14">
        <v>0.59617754489179031</v>
      </c>
      <c r="C297" s="14">
        <v>1.3082188820234819E-4</v>
      </c>
      <c r="D297" s="14">
        <v>4557.1696990770788</v>
      </c>
      <c r="E297" s="14">
        <v>1.5872472084765832E-4</v>
      </c>
      <c r="F297" s="14">
        <v>3756.0472099616595</v>
      </c>
      <c r="G297" s="14">
        <v>0.83377005262802673</v>
      </c>
      <c r="H297" s="14">
        <v>30.95809966870339</v>
      </c>
      <c r="I297" s="14">
        <v>30.958096443412938</v>
      </c>
      <c r="J297" s="14">
        <v>0.23759250773623644</v>
      </c>
      <c r="K297" s="14">
        <v>30.957968846815188</v>
      </c>
      <c r="L297" s="14">
        <v>30.95793771869209</v>
      </c>
      <c r="M297" s="14">
        <v>15</v>
      </c>
    </row>
    <row r="298" spans="1:13" x14ac:dyDescent="0.3">
      <c r="A298" s="14">
        <v>287</v>
      </c>
      <c r="B298" s="14">
        <v>0.81284483994880408</v>
      </c>
      <c r="C298" s="14">
        <v>1.2326725972400254E-5</v>
      </c>
      <c r="D298" s="14">
        <v>65941.66543239278</v>
      </c>
      <c r="E298" s="14">
        <v>4.9910652322182614E-5</v>
      </c>
      <c r="F298" s="14">
        <v>16285.999123027652</v>
      </c>
      <c r="G298" s="14">
        <v>0.87029983968718927</v>
      </c>
      <c r="H298" s="14">
        <v>30.958101383663308</v>
      </c>
      <c r="I298" s="14">
        <v>30.958099653564059</v>
      </c>
      <c r="J298" s="14">
        <v>5.7454999738385158E-2</v>
      </c>
      <c r="K298" s="14">
        <v>30.958089056937336</v>
      </c>
      <c r="L298" s="14">
        <v>30.958049742911737</v>
      </c>
      <c r="M298" s="14">
        <v>14</v>
      </c>
    </row>
    <row r="299" spans="1:13" x14ac:dyDescent="0.3">
      <c r="A299" s="14">
        <v>288</v>
      </c>
      <c r="B299" s="14">
        <v>0.63824189863374359</v>
      </c>
      <c r="C299" s="14">
        <v>1.4221477933773485E-4</v>
      </c>
      <c r="D299" s="14">
        <v>4487.8732126569794</v>
      </c>
      <c r="E299" s="14">
        <v>1.578005820483952E-4</v>
      </c>
      <c r="F299" s="14">
        <v>4044.610548001679</v>
      </c>
      <c r="G299" s="14">
        <v>1.0010848933116403</v>
      </c>
      <c r="H299" s="14">
        <v>30.958095994357947</v>
      </c>
      <c r="I299" s="14">
        <v>30.958094192435929</v>
      </c>
      <c r="J299" s="14">
        <v>0.36284299467789671</v>
      </c>
      <c r="K299" s="14">
        <v>30.957953779578609</v>
      </c>
      <c r="L299" s="14">
        <v>30.957936391853881</v>
      </c>
      <c r="M299" s="14">
        <v>15</v>
      </c>
    </row>
    <row r="300" spans="1:13" x14ac:dyDescent="0.3">
      <c r="A300" s="14">
        <v>289</v>
      </c>
      <c r="B300" s="14">
        <v>0.39001844513037881</v>
      </c>
      <c r="C300" s="14">
        <v>8.6381687864900414E-6</v>
      </c>
      <c r="D300" s="14">
        <v>45150.593229940292</v>
      </c>
      <c r="E300" s="14">
        <v>2.8599758163494471E-5</v>
      </c>
      <c r="F300" s="14">
        <v>13637.123884082672</v>
      </c>
      <c r="G300" s="14">
        <v>0.47688772807806523</v>
      </c>
      <c r="H300" s="14">
        <v>30.958101319696578</v>
      </c>
      <c r="I300" s="14">
        <v>30.95810045277539</v>
      </c>
      <c r="J300" s="14">
        <v>8.6869282947686408E-2</v>
      </c>
      <c r="K300" s="14">
        <v>30.958092681527791</v>
      </c>
      <c r="L300" s="14">
        <v>30.958071853017227</v>
      </c>
      <c r="M300" s="14">
        <v>14</v>
      </c>
    </row>
    <row r="301" spans="1:13" x14ac:dyDescent="0.3">
      <c r="A301" s="14">
        <v>290</v>
      </c>
      <c r="B301" s="14">
        <v>0.77187832166681614</v>
      </c>
      <c r="C301" s="14">
        <v>6.0978842089554064E-5</v>
      </c>
      <c r="D301" s="14">
        <v>12658.133464279772</v>
      </c>
      <c r="E301" s="14">
        <v>8.1377493060585948E-5</v>
      </c>
      <c r="F301" s="14">
        <v>9485.1572914902754</v>
      </c>
      <c r="G301" s="14">
        <v>0.89295027236901126</v>
      </c>
      <c r="H301" s="14">
        <v>30.958099265024554</v>
      </c>
      <c r="I301" s="14">
        <v>30.95809670661485</v>
      </c>
      <c r="J301" s="14">
        <v>0.12107195070219512</v>
      </c>
      <c r="K301" s="14">
        <v>30.958038286182465</v>
      </c>
      <c r="L301" s="14">
        <v>30.958015329121789</v>
      </c>
      <c r="M301" s="14">
        <v>9</v>
      </c>
    </row>
    <row r="302" spans="1:13" x14ac:dyDescent="0.3">
      <c r="A302" s="14">
        <v>291</v>
      </c>
      <c r="B302" s="14">
        <v>0.47774078971616674</v>
      </c>
      <c r="C302" s="14">
        <v>4.5635362738494223E-5</v>
      </c>
      <c r="D302" s="14">
        <v>10468.653277805199</v>
      </c>
      <c r="E302" s="14">
        <v>6.8671255903041128E-5</v>
      </c>
      <c r="F302" s="14">
        <v>6956.9251855638458</v>
      </c>
      <c r="G302" s="14">
        <v>0.60507814622632072</v>
      </c>
      <c r="H302" s="14">
        <v>30.958097184860385</v>
      </c>
      <c r="I302" s="14">
        <v>30.958093928133124</v>
      </c>
      <c r="J302" s="14">
        <v>0.12733735651015396</v>
      </c>
      <c r="K302" s="14">
        <v>30.958051549497647</v>
      </c>
      <c r="L302" s="14">
        <v>30.958025256877221</v>
      </c>
      <c r="M302" s="14">
        <v>13</v>
      </c>
    </row>
    <row r="303" spans="1:13" x14ac:dyDescent="0.3">
      <c r="A303" s="14">
        <v>292</v>
      </c>
      <c r="B303" s="14">
        <v>0.77927460627905987</v>
      </c>
      <c r="C303" s="14">
        <v>5.1357252878858617E-5</v>
      </c>
      <c r="D303" s="14">
        <v>15173.603777390726</v>
      </c>
      <c r="E303" s="14">
        <v>8.3895889254392841E-5</v>
      </c>
      <c r="F303" s="14">
        <v>9288.5910526093685</v>
      </c>
      <c r="G303" s="14">
        <v>0.94174530605135853</v>
      </c>
      <c r="H303" s="14">
        <v>30.958101387426581</v>
      </c>
      <c r="I303" s="14">
        <v>30.958097856171079</v>
      </c>
      <c r="J303" s="14">
        <v>0.16247069977229861</v>
      </c>
      <c r="K303" s="14">
        <v>30.958050030173702</v>
      </c>
      <c r="L303" s="14">
        <v>30.958013960281825</v>
      </c>
      <c r="M303" s="14">
        <v>13</v>
      </c>
    </row>
    <row r="304" spans="1:13" x14ac:dyDescent="0.3">
      <c r="A304" s="14">
        <v>293</v>
      </c>
      <c r="B304" s="14">
        <v>0.29758989645493877</v>
      </c>
      <c r="C304" s="14">
        <v>1.3849436766477652E-4</v>
      </c>
      <c r="D304" s="14">
        <v>2148.7508948757436</v>
      </c>
      <c r="E304" s="14">
        <v>1.5171887083909041E-4</v>
      </c>
      <c r="F304" s="14">
        <v>1961.4560457054538</v>
      </c>
      <c r="G304" s="14">
        <v>0.65741454680142486</v>
      </c>
      <c r="H304" s="14">
        <v>30.958101480184602</v>
      </c>
      <c r="I304" s="14">
        <v>30.95809955258056</v>
      </c>
      <c r="J304" s="14">
        <v>0.35982465034648609</v>
      </c>
      <c r="K304" s="14">
        <v>30.957962985816938</v>
      </c>
      <c r="L304" s="14">
        <v>30.957947833709721</v>
      </c>
      <c r="M304" s="14">
        <v>10</v>
      </c>
    </row>
    <row r="305" spans="1:13" x14ac:dyDescent="0.3">
      <c r="A305" s="14">
        <v>294</v>
      </c>
      <c r="B305" s="14">
        <v>0.30385837571721225</v>
      </c>
      <c r="C305" s="14">
        <v>8.5773202805228266E-5</v>
      </c>
      <c r="D305" s="14">
        <v>3542.5793345645093</v>
      </c>
      <c r="E305" s="14">
        <v>1.0524652906340748E-4</v>
      </c>
      <c r="F305" s="14">
        <v>2887.1106574369578</v>
      </c>
      <c r="G305" s="14">
        <v>0.52447601435540547</v>
      </c>
      <c r="H305" s="14">
        <v>30.958101464675515</v>
      </c>
      <c r="I305" s="14">
        <v>30.95810040643757</v>
      </c>
      <c r="J305" s="14">
        <v>0.22061763863819323</v>
      </c>
      <c r="K305" s="14">
        <v>30.95801569147271</v>
      </c>
      <c r="L305" s="14">
        <v>30.957995159908506</v>
      </c>
      <c r="M305" s="14">
        <v>10</v>
      </c>
    </row>
    <row r="306" spans="1:13" x14ac:dyDescent="0.3">
      <c r="A306" s="14">
        <v>295</v>
      </c>
      <c r="B306" s="14">
        <v>0.4189119553622096</v>
      </c>
      <c r="C306" s="14">
        <v>1.9985013506484961E-4</v>
      </c>
      <c r="D306" s="14">
        <v>2096.1304590876375</v>
      </c>
      <c r="E306" s="14">
        <v>2.1008831610558332E-4</v>
      </c>
      <c r="F306" s="14">
        <v>1993.9802609093147</v>
      </c>
      <c r="G306" s="14">
        <v>0.69775595506229871</v>
      </c>
      <c r="H306" s="14">
        <v>30.958098794245064</v>
      </c>
      <c r="I306" s="14">
        <v>30.958098552879012</v>
      </c>
      <c r="J306" s="14">
        <v>0.27884399970008911</v>
      </c>
      <c r="K306" s="14">
        <v>30.957898944109999</v>
      </c>
      <c r="L306" s="14">
        <v>30.957888464562906</v>
      </c>
      <c r="M306" s="14">
        <v>10</v>
      </c>
    </row>
    <row r="307" spans="1:13" x14ac:dyDescent="0.3">
      <c r="A307" s="14">
        <v>296</v>
      </c>
      <c r="B307" s="14">
        <v>0.45975821831881197</v>
      </c>
      <c r="C307" s="14">
        <v>1.438456213520567E-5</v>
      </c>
      <c r="D307" s="14">
        <v>31961.919591112975</v>
      </c>
      <c r="E307" s="14">
        <v>3.0235483698959342E-5</v>
      </c>
      <c r="F307" s="14">
        <v>15205.915767593166</v>
      </c>
      <c r="G307" s="14">
        <v>0.50011681682722975</v>
      </c>
      <c r="H307" s="14">
        <v>30.958101294931474</v>
      </c>
      <c r="I307" s="14">
        <v>30.958100565250867</v>
      </c>
      <c r="J307" s="14">
        <v>4.0358598508417776E-2</v>
      </c>
      <c r="K307" s="14">
        <v>30.958086910369339</v>
      </c>
      <c r="L307" s="14">
        <v>30.958070329767168</v>
      </c>
      <c r="M307" s="14">
        <v>9</v>
      </c>
    </row>
    <row r="308" spans="1:13" x14ac:dyDescent="0.3">
      <c r="A308" s="14">
        <v>297</v>
      </c>
      <c r="B308" s="14">
        <v>0.54563897713584086</v>
      </c>
      <c r="C308" s="14">
        <v>6.1488417490096481E-5</v>
      </c>
      <c r="D308" s="14">
        <v>8873.8497331423951</v>
      </c>
      <c r="E308" s="14">
        <v>9.3713440520559743E-5</v>
      </c>
      <c r="F308" s="14">
        <v>5822.4196455164129</v>
      </c>
      <c r="G308" s="14">
        <v>0.69014922417491498</v>
      </c>
      <c r="H308" s="14">
        <v>30.958101170328742</v>
      </c>
      <c r="I308" s="14">
        <v>30.958098365062519</v>
      </c>
      <c r="J308" s="14">
        <v>0.14451024703907414</v>
      </c>
      <c r="K308" s="14">
        <v>30.958039681911252</v>
      </c>
      <c r="L308" s="14">
        <v>30.958004651621998</v>
      </c>
      <c r="M308" s="14">
        <v>10</v>
      </c>
    </row>
    <row r="309" spans="1:13" x14ac:dyDescent="0.3">
      <c r="A309" s="14">
        <v>298</v>
      </c>
      <c r="B309" s="14">
        <v>0.56553011642252304</v>
      </c>
      <c r="C309" s="14">
        <v>3.4689197374149217E-5</v>
      </c>
      <c r="D309" s="14">
        <v>16302.773175258373</v>
      </c>
      <c r="E309" s="14">
        <v>5.4193622901266281E-5</v>
      </c>
      <c r="F309" s="14">
        <v>10435.362800026218</v>
      </c>
      <c r="G309" s="14">
        <v>0.70954916454136496</v>
      </c>
      <c r="H309" s="14">
        <v>30.958099514405937</v>
      </c>
      <c r="I309" s="14">
        <v>30.95809773942922</v>
      </c>
      <c r="J309" s="14">
        <v>0.14401904811884197</v>
      </c>
      <c r="K309" s="14">
        <v>30.958064825208563</v>
      </c>
      <c r="L309" s="14">
        <v>30.958043545806319</v>
      </c>
      <c r="M309" s="14">
        <v>10</v>
      </c>
    </row>
    <row r="310" spans="1:13" x14ac:dyDescent="0.3">
      <c r="A310" s="14">
        <v>299</v>
      </c>
      <c r="B310" s="14">
        <v>0.65847051407370993</v>
      </c>
      <c r="C310" s="14">
        <v>2.1304500950947158E-5</v>
      </c>
      <c r="D310" s="14">
        <v>30907.577492184137</v>
      </c>
      <c r="E310" s="14">
        <v>3.6362728028649371E-5</v>
      </c>
      <c r="F310" s="14">
        <v>18108.391470379116</v>
      </c>
      <c r="G310" s="14">
        <v>0.72760686797650809</v>
      </c>
      <c r="H310" s="14">
        <v>30.958100344411456</v>
      </c>
      <c r="I310" s="14">
        <v>30.958097929522754</v>
      </c>
      <c r="J310" s="14">
        <v>6.9136353902798209E-2</v>
      </c>
      <c r="K310" s="14">
        <v>30.958079039910505</v>
      </c>
      <c r="L310" s="14">
        <v>30.958061566794726</v>
      </c>
      <c r="M310" s="14">
        <v>13</v>
      </c>
    </row>
    <row r="311" spans="1:13" x14ac:dyDescent="0.3">
      <c r="A311" s="14">
        <v>300</v>
      </c>
      <c r="B311" s="14">
        <v>0.38695230806623193</v>
      </c>
      <c r="C311" s="14">
        <v>3.4281360274945882E-5</v>
      </c>
      <c r="D311" s="14">
        <v>11287.542412633822</v>
      </c>
      <c r="E311" s="14">
        <v>5.2293192979391279E-5</v>
      </c>
      <c r="F311" s="14">
        <v>7399.6687909022812</v>
      </c>
      <c r="G311" s="14">
        <v>0.47366302229846846</v>
      </c>
      <c r="H311" s="14">
        <v>30.958100850163483</v>
      </c>
      <c r="I311" s="14">
        <v>30.958099864187655</v>
      </c>
      <c r="J311" s="14">
        <v>8.671071423223653E-2</v>
      </c>
      <c r="K311" s="14">
        <v>30.958066568803208</v>
      </c>
      <c r="L311" s="14">
        <v>30.958047570994676</v>
      </c>
      <c r="M311" s="14">
        <v>15</v>
      </c>
    </row>
    <row r="312" spans="1:13" x14ac:dyDescent="0.3">
      <c r="A312" s="14">
        <v>301</v>
      </c>
      <c r="B312" s="14">
        <v>0.29950848551973486</v>
      </c>
      <c r="C312" s="14">
        <v>1.4625258505773786E-4</v>
      </c>
      <c r="D312" s="14">
        <v>2047.885070896315</v>
      </c>
      <c r="E312" s="14">
        <v>1.7296985125270226E-4</v>
      </c>
      <c r="F312" s="14">
        <v>1731.5646822298793</v>
      </c>
      <c r="G312" s="14">
        <v>0.48757692982858697</v>
      </c>
      <c r="H312" s="14">
        <v>30.958095697261637</v>
      </c>
      <c r="I312" s="14">
        <v>30.958093665479041</v>
      </c>
      <c r="J312" s="14">
        <v>0.18806844430885211</v>
      </c>
      <c r="K312" s="14">
        <v>30.957949444676579</v>
      </c>
      <c r="L312" s="14">
        <v>30.957920695627788</v>
      </c>
      <c r="M312" s="14">
        <v>13</v>
      </c>
    </row>
    <row r="313" spans="1:13" x14ac:dyDescent="0.3">
      <c r="A313" s="14">
        <v>302</v>
      </c>
      <c r="B313" s="14">
        <v>0.50385007463970588</v>
      </c>
      <c r="C313" s="14">
        <v>6.2992096601988123E-5</v>
      </c>
      <c r="D313" s="14">
        <v>7998.6236658108573</v>
      </c>
      <c r="E313" s="14">
        <v>7.9017199766440172E-5</v>
      </c>
      <c r="F313" s="14">
        <v>6376.4607721988496</v>
      </c>
      <c r="G313" s="14">
        <v>0.75700579640881627</v>
      </c>
      <c r="H313" s="14">
        <v>30.958101444318714</v>
      </c>
      <c r="I313" s="14">
        <v>30.958099595785782</v>
      </c>
      <c r="J313" s="14">
        <v>0.25315572176911033</v>
      </c>
      <c r="K313" s="14">
        <v>30.958038452222112</v>
      </c>
      <c r="L313" s="14">
        <v>30.958020578586016</v>
      </c>
      <c r="M313" s="14">
        <v>10</v>
      </c>
    </row>
    <row r="314" spans="1:13" x14ac:dyDescent="0.3">
      <c r="A314" s="14">
        <v>303</v>
      </c>
      <c r="B314" s="14">
        <v>0.43732531704988747</v>
      </c>
      <c r="C314" s="14">
        <v>7.6727992201597317E-5</v>
      </c>
      <c r="D314" s="14">
        <v>5699.6840983515694</v>
      </c>
      <c r="E314" s="14">
        <v>9.8819283948614611E-5</v>
      </c>
      <c r="F314" s="14">
        <v>4425.505828167039</v>
      </c>
      <c r="G314" s="14">
        <v>0.55954235820335252</v>
      </c>
      <c r="H314" s="14">
        <v>30.958093313223909</v>
      </c>
      <c r="I314" s="14">
        <v>30.958090408392579</v>
      </c>
      <c r="J314" s="14">
        <v>0.12221704115346504</v>
      </c>
      <c r="K314" s="14">
        <v>30.958016585231707</v>
      </c>
      <c r="L314" s="14">
        <v>30.95799158910863</v>
      </c>
      <c r="M314" s="14">
        <v>10</v>
      </c>
    </row>
    <row r="315" spans="1:13" x14ac:dyDescent="0.3">
      <c r="A315" s="14">
        <v>304</v>
      </c>
      <c r="B315" s="14">
        <v>0.19562888648807658</v>
      </c>
      <c r="C315" s="14">
        <v>1.1242651426712769E-4</v>
      </c>
      <c r="D315" s="14">
        <v>1740.0600540123335</v>
      </c>
      <c r="E315" s="14">
        <v>1.2513688262316691E-4</v>
      </c>
      <c r="F315" s="14">
        <v>1563.3191620825889</v>
      </c>
      <c r="G315" s="14">
        <v>0.57081259886459701</v>
      </c>
      <c r="H315" s="14">
        <v>30.958095473869346</v>
      </c>
      <c r="I315" s="14">
        <v>30.958093283219156</v>
      </c>
      <c r="J315" s="14">
        <v>0.37518371237652043</v>
      </c>
      <c r="K315" s="14">
        <v>30.957983047355079</v>
      </c>
      <c r="L315" s="14">
        <v>30.957968146336533</v>
      </c>
      <c r="M315" s="14">
        <v>9</v>
      </c>
    </row>
    <row r="316" spans="1:13" x14ac:dyDescent="0.3">
      <c r="A316" s="14">
        <v>305</v>
      </c>
      <c r="B316" s="14">
        <v>0.48050849467359319</v>
      </c>
      <c r="C316" s="14">
        <v>6.8989129982099939E-5</v>
      </c>
      <c r="D316" s="14">
        <v>6964.9884669985968</v>
      </c>
      <c r="E316" s="14">
        <v>8.8620397782790405E-5</v>
      </c>
      <c r="F316" s="14">
        <v>5422.0981477799833</v>
      </c>
      <c r="G316" s="14">
        <v>0.81359590858337461</v>
      </c>
      <c r="H316" s="14">
        <v>30.958099927716006</v>
      </c>
      <c r="I316" s="14">
        <v>30.958097638883537</v>
      </c>
      <c r="J316" s="14">
        <v>0.33308741390978142</v>
      </c>
      <c r="K316" s="14">
        <v>30.958030938586024</v>
      </c>
      <c r="L316" s="14">
        <v>30.958009018485754</v>
      </c>
      <c r="M316" s="14">
        <v>12</v>
      </c>
    </row>
    <row r="317" spans="1:13" x14ac:dyDescent="0.3">
      <c r="A317" s="14">
        <v>306</v>
      </c>
      <c r="B317" s="14">
        <v>0.9024691629221071</v>
      </c>
      <c r="C317" s="14">
        <v>4.2840688422529638E-5</v>
      </c>
      <c r="D317" s="14">
        <v>21065.701699777179</v>
      </c>
      <c r="E317" s="14">
        <v>6.3394272718397815E-5</v>
      </c>
      <c r="F317" s="14">
        <v>14235.815385578186</v>
      </c>
      <c r="G317" s="14">
        <v>1.0059685348602851</v>
      </c>
      <c r="H317" s="14">
        <v>30.958101551454209</v>
      </c>
      <c r="I317" s="14">
        <v>30.95809984520448</v>
      </c>
      <c r="J317" s="14">
        <v>0.10349937193817806</v>
      </c>
      <c r="K317" s="14">
        <v>30.958058710765787</v>
      </c>
      <c r="L317" s="14">
        <v>30.958036450931761</v>
      </c>
      <c r="M317" s="14">
        <v>11</v>
      </c>
    </row>
    <row r="318" spans="1:13" x14ac:dyDescent="0.3">
      <c r="A318" s="14">
        <v>307</v>
      </c>
      <c r="B318" s="14">
        <v>0.5088454774591844</v>
      </c>
      <c r="C318" s="14">
        <v>6.6087472774256639E-6</v>
      </c>
      <c r="D318" s="14">
        <v>76995.753672910505</v>
      </c>
      <c r="E318" s="14">
        <v>3.4429864246732222E-5</v>
      </c>
      <c r="F318" s="14">
        <v>14779.189189149345</v>
      </c>
      <c r="G318" s="14">
        <v>0.54012351302031514</v>
      </c>
      <c r="H318" s="14">
        <v>30.95810154122627</v>
      </c>
      <c r="I318" s="14">
        <v>30.958100701285769</v>
      </c>
      <c r="J318" s="14">
        <v>3.1278035561130735E-2</v>
      </c>
      <c r="K318" s="14">
        <v>30.958094932478993</v>
      </c>
      <c r="L318" s="14">
        <v>30.958066271421522</v>
      </c>
      <c r="M318" s="14">
        <v>9</v>
      </c>
    </row>
    <row r="319" spans="1:13" x14ac:dyDescent="0.3">
      <c r="A319" s="14">
        <v>308</v>
      </c>
      <c r="B319" s="14">
        <v>0.56321225631997573</v>
      </c>
      <c r="C319" s="14">
        <v>8.7351624742382228E-6</v>
      </c>
      <c r="D319" s="14">
        <v>64476.448833207585</v>
      </c>
      <c r="E319" s="14">
        <v>2.6043342163717398E-5</v>
      </c>
      <c r="F319" s="14">
        <v>21625.959248218987</v>
      </c>
      <c r="G319" s="14">
        <v>0.68500201332114452</v>
      </c>
      <c r="H319" s="14">
        <v>30.958101501713621</v>
      </c>
      <c r="I319" s="14">
        <v>30.958100456227172</v>
      </c>
      <c r="J319" s="14">
        <v>0.12178975700116879</v>
      </c>
      <c r="K319" s="14">
        <v>30.958092766551147</v>
      </c>
      <c r="L319" s="14">
        <v>30.958074412885008</v>
      </c>
      <c r="M319" s="14">
        <v>14</v>
      </c>
    </row>
    <row r="320" spans="1:13" x14ac:dyDescent="0.3">
      <c r="A320" s="14">
        <v>309</v>
      </c>
      <c r="B320" s="14">
        <v>0.29149309751269681</v>
      </c>
      <c r="C320" s="14">
        <v>7.1234235921480149E-5</v>
      </c>
      <c r="D320" s="14">
        <v>4092.036557168984</v>
      </c>
      <c r="E320" s="14">
        <v>8.426511945813786E-5</v>
      </c>
      <c r="F320" s="14">
        <v>3459.2379312712883</v>
      </c>
      <c r="G320" s="14">
        <v>0.52422844785437928</v>
      </c>
      <c r="H320" s="14">
        <v>30.958099803044394</v>
      </c>
      <c r="I320" s="14">
        <v>30.958099155031956</v>
      </c>
      <c r="J320" s="14">
        <v>0.2327353503416825</v>
      </c>
      <c r="K320" s="14">
        <v>30.958028568808473</v>
      </c>
      <c r="L320" s="14">
        <v>30.958014889912498</v>
      </c>
      <c r="M320" s="14">
        <v>14</v>
      </c>
    </row>
    <row r="321" spans="1:13" x14ac:dyDescent="0.3">
      <c r="A321" s="14">
        <v>310</v>
      </c>
      <c r="B321" s="14">
        <v>0.59263183492388249</v>
      </c>
      <c r="C321" s="14">
        <v>2.1516134850685376E-5</v>
      </c>
      <c r="D321" s="14">
        <v>27543.601071314384</v>
      </c>
      <c r="E321" s="14">
        <v>6.1616753605164831E-5</v>
      </c>
      <c r="F321" s="14">
        <v>9618.030815473001</v>
      </c>
      <c r="G321" s="14">
        <v>0.72084229752824203</v>
      </c>
      <c r="H321" s="14">
        <v>30.958101372205743</v>
      </c>
      <c r="I321" s="14">
        <v>30.958099415389231</v>
      </c>
      <c r="J321" s="14">
        <v>0.1282104626043595</v>
      </c>
      <c r="K321" s="14">
        <v>30.958079856070892</v>
      </c>
      <c r="L321" s="14">
        <v>30.958037798635626</v>
      </c>
      <c r="M321" s="14">
        <v>15</v>
      </c>
    </row>
    <row r="322" spans="1:13" x14ac:dyDescent="0.3">
      <c r="A322" s="14">
        <v>311</v>
      </c>
      <c r="B322" s="14">
        <v>0.67210044359645382</v>
      </c>
      <c r="C322" s="14">
        <v>1.5339783875134572E-5</v>
      </c>
      <c r="D322" s="14">
        <v>43814.205536879359</v>
      </c>
      <c r="E322" s="14">
        <v>4.6257004797212176E-5</v>
      </c>
      <c r="F322" s="14">
        <v>14529.700886231183</v>
      </c>
      <c r="G322" s="14">
        <v>0.75120066586990109</v>
      </c>
      <c r="H322" s="14">
        <v>30.958101084856391</v>
      </c>
      <c r="I322" s="14">
        <v>30.958097726939041</v>
      </c>
      <c r="J322" s="14">
        <v>7.9100222273447221E-2</v>
      </c>
      <c r="K322" s="14">
        <v>30.958085745072516</v>
      </c>
      <c r="L322" s="14">
        <v>30.958051469934244</v>
      </c>
      <c r="M322" s="14">
        <v>13</v>
      </c>
    </row>
    <row r="323" spans="1:13" x14ac:dyDescent="0.3">
      <c r="A323" s="14">
        <v>312</v>
      </c>
      <c r="B323" s="14">
        <v>0.29950897540542598</v>
      </c>
      <c r="C323" s="14">
        <v>5.7699197999028229E-5</v>
      </c>
      <c r="D323" s="14">
        <v>5190.8689512542323</v>
      </c>
      <c r="E323" s="14">
        <v>7.4903016408001122E-5</v>
      </c>
      <c r="F323" s="14">
        <v>3998.6236839112462</v>
      </c>
      <c r="G323" s="14">
        <v>0.5449320424009273</v>
      </c>
      <c r="H323" s="14">
        <v>30.958101550932227</v>
      </c>
      <c r="I323" s="14">
        <v>30.958099737607704</v>
      </c>
      <c r="J323" s="14">
        <v>0.24542306699550134</v>
      </c>
      <c r="K323" s="14">
        <v>30.958043851734228</v>
      </c>
      <c r="L323" s="14">
        <v>30.958024834591296</v>
      </c>
      <c r="M323" s="14">
        <v>12</v>
      </c>
    </row>
    <row r="324" spans="1:13" x14ac:dyDescent="0.3">
      <c r="A324" s="14">
        <v>313</v>
      </c>
      <c r="B324" s="14">
        <v>0.40718885381641984</v>
      </c>
      <c r="C324" s="14">
        <v>2.1929522844743587E-5</v>
      </c>
      <c r="D324" s="14">
        <v>18568.067198690613</v>
      </c>
      <c r="E324" s="14">
        <v>3.5050439535666555E-5</v>
      </c>
      <c r="F324" s="14">
        <v>11617.225324723058</v>
      </c>
      <c r="G324" s="14">
        <v>0.46104071446584144</v>
      </c>
      <c r="H324" s="14">
        <v>30.958100243549595</v>
      </c>
      <c r="I324" s="14">
        <v>30.958098659113205</v>
      </c>
      <c r="J324" s="14">
        <v>5.3851860649421587E-2</v>
      </c>
      <c r="K324" s="14">
        <v>30.95807831402675</v>
      </c>
      <c r="L324" s="14">
        <v>30.958063608673669</v>
      </c>
      <c r="M324" s="14">
        <v>9</v>
      </c>
    </row>
    <row r="325" spans="1:13" x14ac:dyDescent="0.3">
      <c r="A325" s="14">
        <v>314</v>
      </c>
      <c r="B325" s="14">
        <v>0.71483949479245545</v>
      </c>
      <c r="C325" s="14">
        <v>4.3470951428759008E-5</v>
      </c>
      <c r="D325" s="14">
        <v>16444.072910710212</v>
      </c>
      <c r="E325" s="14">
        <v>6.6655813203198022E-5</v>
      </c>
      <c r="F325" s="14">
        <v>10724.338365106898</v>
      </c>
      <c r="G325" s="14">
        <v>0.813793886096428</v>
      </c>
      <c r="H325" s="14">
        <v>30.958101115074935</v>
      </c>
      <c r="I325" s="14">
        <v>30.958100732334088</v>
      </c>
      <c r="J325" s="14">
        <v>9.8954391303972516E-2</v>
      </c>
      <c r="K325" s="14">
        <v>30.958057644123507</v>
      </c>
      <c r="L325" s="14">
        <v>30.958034076520885</v>
      </c>
      <c r="M325" s="14">
        <v>15</v>
      </c>
    </row>
    <row r="326" spans="1:13" x14ac:dyDescent="0.3">
      <c r="A326" s="14">
        <v>315</v>
      </c>
      <c r="B326" s="14">
        <v>0.49418312438377154</v>
      </c>
      <c r="C326" s="14">
        <v>1.4275632675975203E-5</v>
      </c>
      <c r="D326" s="14">
        <v>34617.248538164189</v>
      </c>
      <c r="E326" s="14">
        <v>2.8464192133981214E-5</v>
      </c>
      <c r="F326" s="14">
        <v>17361.572113399427</v>
      </c>
      <c r="G326" s="14">
        <v>0.57768858456539984</v>
      </c>
      <c r="H326" s="14">
        <v>30.958099843502989</v>
      </c>
      <c r="I326" s="14">
        <v>30.958097879791666</v>
      </c>
      <c r="J326" s="14">
        <v>8.3505460181628272E-2</v>
      </c>
      <c r="K326" s="14">
        <v>30.958085567870313</v>
      </c>
      <c r="L326" s="14">
        <v>30.958069415599532</v>
      </c>
      <c r="M326" s="14">
        <v>10</v>
      </c>
    </row>
    <row r="327" spans="1:13" x14ac:dyDescent="0.3">
      <c r="A327" s="14">
        <v>316</v>
      </c>
      <c r="B327" s="14">
        <v>0.59167956094335317</v>
      </c>
      <c r="C327" s="14">
        <v>9.9222270293353176E-6</v>
      </c>
      <c r="D327" s="14">
        <v>59631.729771354498</v>
      </c>
      <c r="E327" s="14">
        <v>3.33843787529986E-5</v>
      </c>
      <c r="F327" s="14">
        <v>17723.246112231704</v>
      </c>
      <c r="G327" s="14">
        <v>0.64348415052724728</v>
      </c>
      <c r="H327" s="14">
        <v>30.958101357657036</v>
      </c>
      <c r="I327" s="14">
        <v>30.958100666061171</v>
      </c>
      <c r="J327" s="14">
        <v>5.1804589583894167E-2</v>
      </c>
      <c r="K327" s="14">
        <v>30.958091435430006</v>
      </c>
      <c r="L327" s="14">
        <v>30.958067281682418</v>
      </c>
      <c r="M327" s="14">
        <v>15</v>
      </c>
    </row>
    <row r="328" spans="1:13" x14ac:dyDescent="0.3">
      <c r="A328" s="14">
        <v>317</v>
      </c>
      <c r="B328" s="14">
        <v>0.6289974459249702</v>
      </c>
      <c r="C328" s="14">
        <v>4.3137754495603531E-5</v>
      </c>
      <c r="D328" s="14">
        <v>14581.135556999743</v>
      </c>
      <c r="E328" s="14">
        <v>6.1907057414600786E-5</v>
      </c>
      <c r="F328" s="14">
        <v>10160.351213472813</v>
      </c>
      <c r="G328" s="14">
        <v>0.82990507553633908</v>
      </c>
      <c r="H328" s="14">
        <v>30.958100448666332</v>
      </c>
      <c r="I328" s="14">
        <v>30.958099676821242</v>
      </c>
      <c r="J328" s="14">
        <v>0.20090762961136885</v>
      </c>
      <c r="K328" s="14">
        <v>30.958057310911837</v>
      </c>
      <c r="L328" s="14">
        <v>30.958037769763827</v>
      </c>
      <c r="M328" s="14">
        <v>11</v>
      </c>
    </row>
    <row r="329" spans="1:13" x14ac:dyDescent="0.3">
      <c r="A329" s="14">
        <v>318</v>
      </c>
      <c r="B329" s="14">
        <v>0.87382982915653373</v>
      </c>
      <c r="C329" s="14">
        <v>4.3556915777287486E-5</v>
      </c>
      <c r="D329" s="14">
        <v>20061.793025579362</v>
      </c>
      <c r="E329" s="14">
        <v>7.2182855888058839E-5</v>
      </c>
      <c r="F329" s="14">
        <v>12105.780775862746</v>
      </c>
      <c r="G329" s="14">
        <v>1.0023892326795105</v>
      </c>
      <c r="H329" s="14">
        <v>30.958101070079479</v>
      </c>
      <c r="I329" s="14">
        <v>30.95809999189802</v>
      </c>
      <c r="J329" s="14">
        <v>0.12855940352297682</v>
      </c>
      <c r="K329" s="14">
        <v>30.958057513163702</v>
      </c>
      <c r="L329" s="14">
        <v>30.958027809042132</v>
      </c>
      <c r="M329" s="14">
        <v>14</v>
      </c>
    </row>
    <row r="330" spans="1:13" x14ac:dyDescent="0.3">
      <c r="A330" s="14">
        <v>319</v>
      </c>
      <c r="B330" s="14">
        <v>0.5395959735453526</v>
      </c>
      <c r="C330" s="14">
        <v>2.6009559412898398E-6</v>
      </c>
      <c r="D330" s="14">
        <v>207460.63590672036</v>
      </c>
      <c r="E330" s="14">
        <v>2.7094766497981482E-5</v>
      </c>
      <c r="F330" s="14">
        <v>19915.136511161727</v>
      </c>
      <c r="G330" s="14">
        <v>0.55096366244452144</v>
      </c>
      <c r="H330" s="14">
        <v>30.958101505349145</v>
      </c>
      <c r="I330" s="14">
        <v>30.958100584564075</v>
      </c>
      <c r="J330" s="14">
        <v>1.1367688899168843E-2</v>
      </c>
      <c r="K330" s="14">
        <v>30.958098904393204</v>
      </c>
      <c r="L330" s="14">
        <v>30.958073489797577</v>
      </c>
      <c r="M330" s="14">
        <v>14</v>
      </c>
    </row>
    <row r="331" spans="1:13" x14ac:dyDescent="0.3">
      <c r="A331" s="14">
        <v>320</v>
      </c>
      <c r="B331" s="14">
        <v>0.52295386656219778</v>
      </c>
      <c r="C331" s="14">
        <v>2.5718654839579358E-5</v>
      </c>
      <c r="D331" s="14">
        <v>20333.639913289921</v>
      </c>
      <c r="E331" s="14">
        <v>4.9100910256782981E-5</v>
      </c>
      <c r="F331" s="14">
        <v>10650.5941300743</v>
      </c>
      <c r="G331" s="14">
        <v>0.5584870954521175</v>
      </c>
      <c r="H331" s="14">
        <v>30.958101532274444</v>
      </c>
      <c r="I331" s="14">
        <v>30.958100857096486</v>
      </c>
      <c r="J331" s="14">
        <v>3.5533228889919756E-2</v>
      </c>
      <c r="K331" s="14">
        <v>30.958075813619605</v>
      </c>
      <c r="L331" s="14">
        <v>30.958051756186229</v>
      </c>
      <c r="M331" s="14">
        <v>10</v>
      </c>
    </row>
    <row r="332" spans="1:13" x14ac:dyDescent="0.3">
      <c r="A332" s="14">
        <v>321</v>
      </c>
      <c r="B332" s="14">
        <v>0.37563837242264481</v>
      </c>
      <c r="C332" s="14">
        <v>8.4379551104518669E-5</v>
      </c>
      <c r="D332" s="14">
        <v>4451.7702157167405</v>
      </c>
      <c r="E332" s="14">
        <v>1.1101080481523695E-4</v>
      </c>
      <c r="F332" s="14">
        <v>3383.8000998897901</v>
      </c>
      <c r="G332" s="14">
        <v>0.77715948941328672</v>
      </c>
      <c r="H332" s="14">
        <v>30.958100092586577</v>
      </c>
      <c r="I332" s="14">
        <v>30.958097284871158</v>
      </c>
      <c r="J332" s="14">
        <v>0.40152111699064191</v>
      </c>
      <c r="K332" s="14">
        <v>30.958015713035472</v>
      </c>
      <c r="L332" s="14">
        <v>30.957986274066343</v>
      </c>
      <c r="M332" s="14">
        <v>11</v>
      </c>
    </row>
    <row r="333" spans="1:13" x14ac:dyDescent="0.3">
      <c r="A333" s="14">
        <v>322</v>
      </c>
      <c r="B333" s="14">
        <v>0.43727707910736013</v>
      </c>
      <c r="C333" s="14">
        <v>5.4958860740583759E-5</v>
      </c>
      <c r="D333" s="14">
        <v>7956.4436601295438</v>
      </c>
      <c r="E333" s="14">
        <v>6.8984636367730445E-5</v>
      </c>
      <c r="F333" s="14">
        <v>6338.7603694307372</v>
      </c>
      <c r="G333" s="14">
        <v>0.57703687565515871</v>
      </c>
      <c r="H333" s="14">
        <v>30.958101551454217</v>
      </c>
      <c r="I333" s="14">
        <v>30.958101302667284</v>
      </c>
      <c r="J333" s="14">
        <v>0.13975979654779858</v>
      </c>
      <c r="K333" s="14">
        <v>30.958046592593476</v>
      </c>
      <c r="L333" s="14">
        <v>30.958032318030916</v>
      </c>
      <c r="M333" s="14">
        <v>10</v>
      </c>
    </row>
    <row r="334" spans="1:13" x14ac:dyDescent="0.3">
      <c r="A334" s="14">
        <v>323</v>
      </c>
      <c r="B334" s="14">
        <v>0.10752162423131773</v>
      </c>
      <c r="C334" s="14">
        <v>3.3624786688335462E-5</v>
      </c>
      <c r="D334" s="14">
        <v>3197.689407755181</v>
      </c>
      <c r="E334" s="14">
        <v>5.2257340648509398E-5</v>
      </c>
      <c r="F334" s="14">
        <v>2057.5410630733022</v>
      </c>
      <c r="G334" s="14">
        <v>0.73274566223674364</v>
      </c>
      <c r="H334" s="14">
        <v>30.958101171353718</v>
      </c>
      <c r="I334" s="14">
        <v>30.958100666893472</v>
      </c>
      <c r="J334" s="14">
        <v>0.62522403800542592</v>
      </c>
      <c r="K334" s="14">
        <v>30.95806754656703</v>
      </c>
      <c r="L334" s="14">
        <v>30.958048409552823</v>
      </c>
      <c r="M334" s="14">
        <v>13</v>
      </c>
    </row>
    <row r="335" spans="1:13" x14ac:dyDescent="0.3">
      <c r="A335" s="14">
        <v>324</v>
      </c>
      <c r="B335" s="14">
        <v>0.41168656751636068</v>
      </c>
      <c r="C335" s="14">
        <v>4.5376378409400786E-5</v>
      </c>
      <c r="D335" s="14">
        <v>9072.7065920066925</v>
      </c>
      <c r="E335" s="14">
        <v>6.4778356446026919E-5</v>
      </c>
      <c r="F335" s="14">
        <v>6355.31047873029</v>
      </c>
      <c r="G335" s="14">
        <v>0.48519638870644399</v>
      </c>
      <c r="H335" s="14">
        <v>30.95810149758567</v>
      </c>
      <c r="I335" s="14">
        <v>30.958100463129675</v>
      </c>
      <c r="J335" s="14">
        <v>7.3509821190083327E-2</v>
      </c>
      <c r="K335" s="14">
        <v>30.95805612120726</v>
      </c>
      <c r="L335" s="14">
        <v>30.958035684773229</v>
      </c>
      <c r="M335" s="14">
        <v>15</v>
      </c>
    </row>
    <row r="336" spans="1:13" x14ac:dyDescent="0.3">
      <c r="A336" s="14">
        <v>325</v>
      </c>
      <c r="B336" s="14">
        <v>0.33174307169500017</v>
      </c>
      <c r="C336" s="14">
        <v>4.0746673441560688E-5</v>
      </c>
      <c r="D336" s="14">
        <v>8141.5989006020236</v>
      </c>
      <c r="E336" s="14">
        <v>6.5731697024062896E-5</v>
      </c>
      <c r="F336" s="14">
        <v>5046.9269274085</v>
      </c>
      <c r="G336" s="14">
        <v>0.90779534869540657</v>
      </c>
      <c r="H336" s="14">
        <v>30.958101492272288</v>
      </c>
      <c r="I336" s="14">
        <v>30.958099829106381</v>
      </c>
      <c r="J336" s="14">
        <v>0.5760522770004064</v>
      </c>
      <c r="K336" s="14">
        <v>30.958060745598846</v>
      </c>
      <c r="L336" s="14">
        <v>30.958034097409357</v>
      </c>
      <c r="M336" s="14">
        <v>12</v>
      </c>
    </row>
    <row r="337" spans="1:13" x14ac:dyDescent="0.3">
      <c r="A337" s="14">
        <v>326</v>
      </c>
      <c r="B337" s="14">
        <v>0.63477511525770092</v>
      </c>
      <c r="C337" s="14">
        <v>3.6831333748210682E-5</v>
      </c>
      <c r="D337" s="14">
        <v>17234.649160337267</v>
      </c>
      <c r="E337" s="14">
        <v>5.6092085156222993E-5</v>
      </c>
      <c r="F337" s="14">
        <v>11316.661049233207</v>
      </c>
      <c r="G337" s="14">
        <v>0.71324527377225111</v>
      </c>
      <c r="H337" s="14">
        <v>30.958097982957838</v>
      </c>
      <c r="I337" s="14">
        <v>30.958095995837112</v>
      </c>
      <c r="J337" s="14">
        <v>7.847015851455022E-2</v>
      </c>
      <c r="K337" s="14">
        <v>30.95806115162409</v>
      </c>
      <c r="L337" s="14">
        <v>30.958039903751956</v>
      </c>
      <c r="M337" s="14">
        <v>15</v>
      </c>
    </row>
    <row r="338" spans="1:13" x14ac:dyDescent="0.3">
      <c r="A338" s="14">
        <v>327</v>
      </c>
      <c r="B338" s="14">
        <v>0.61814356118539193</v>
      </c>
      <c r="C338" s="14">
        <v>3.4070084478088347E-5</v>
      </c>
      <c r="D338" s="14">
        <v>18143.294055608858</v>
      </c>
      <c r="E338" s="14">
        <v>6.2865032848691271E-5</v>
      </c>
      <c r="F338" s="14">
        <v>9832.8678626986584</v>
      </c>
      <c r="G338" s="14">
        <v>0.67681539796035173</v>
      </c>
      <c r="H338" s="14">
        <v>30.958101440518433</v>
      </c>
      <c r="I338" s="14">
        <v>30.958101250064413</v>
      </c>
      <c r="J338" s="14">
        <v>5.8671836774959796E-2</v>
      </c>
      <c r="K338" s="14">
        <v>30.958067370433955</v>
      </c>
      <c r="L338" s="14">
        <v>30.958038385031564</v>
      </c>
      <c r="M338" s="14">
        <v>9</v>
      </c>
    </row>
    <row r="339" spans="1:13" x14ac:dyDescent="0.3">
      <c r="A339" s="14">
        <v>328</v>
      </c>
      <c r="B339" s="14">
        <v>0.64825559504921881</v>
      </c>
      <c r="C339" s="14">
        <v>8.9839172169092762E-5</v>
      </c>
      <c r="D339" s="14">
        <v>7215.7342882578032</v>
      </c>
      <c r="E339" s="14">
        <v>1.2936037086319629E-4</v>
      </c>
      <c r="F339" s="14">
        <v>5011.2379140809262</v>
      </c>
      <c r="G339" s="14">
        <v>0.8160225340236531</v>
      </c>
      <c r="H339" s="14">
        <v>30.958101497895004</v>
      </c>
      <c r="I339" s="14">
        <v>30.958101089003797</v>
      </c>
      <c r="J339" s="14">
        <v>0.16776693897443423</v>
      </c>
      <c r="K339" s="14">
        <v>30.958011658722835</v>
      </c>
      <c r="L339" s="14">
        <v>30.957971728632934</v>
      </c>
      <c r="M339" s="14">
        <v>15</v>
      </c>
    </row>
    <row r="340" spans="1:13" x14ac:dyDescent="0.3">
      <c r="A340" s="14">
        <v>329</v>
      </c>
      <c r="B340" s="14">
        <v>0.53015465033407994</v>
      </c>
      <c r="C340" s="14">
        <v>4.2133784535991481E-5</v>
      </c>
      <c r="D340" s="14">
        <v>12582.649675848885</v>
      </c>
      <c r="E340" s="14">
        <v>6.465886906781293E-5</v>
      </c>
      <c r="F340" s="14">
        <v>8199.2564667047354</v>
      </c>
      <c r="G340" s="14">
        <v>0.67496887140598671</v>
      </c>
      <c r="H340" s="14">
        <v>30.958101157590463</v>
      </c>
      <c r="I340" s="14">
        <v>30.958100764861396</v>
      </c>
      <c r="J340" s="14">
        <v>0.14481422107190672</v>
      </c>
      <c r="K340" s="14">
        <v>30.958059023805927</v>
      </c>
      <c r="L340" s="14">
        <v>30.958036105992328</v>
      </c>
      <c r="M340" s="14">
        <v>15</v>
      </c>
    </row>
    <row r="341" spans="1:13" x14ac:dyDescent="0.3">
      <c r="A341" s="14">
        <v>330</v>
      </c>
      <c r="B341" s="14">
        <v>0.64772305336203484</v>
      </c>
      <c r="C341" s="14">
        <v>1.3856266235734438E-5</v>
      </c>
      <c r="D341" s="14">
        <v>46745.857963640876</v>
      </c>
      <c r="E341" s="14">
        <v>3.9437604037573237E-5</v>
      </c>
      <c r="F341" s="14">
        <v>16423.996060839094</v>
      </c>
      <c r="G341" s="14">
        <v>0.71794065861023304</v>
      </c>
      <c r="H341" s="14">
        <v>30.95810117522797</v>
      </c>
      <c r="I341" s="14">
        <v>30.958098916364133</v>
      </c>
      <c r="J341" s="14">
        <v>7.0217605248198214E-2</v>
      </c>
      <c r="K341" s="14">
        <v>30.958087318961734</v>
      </c>
      <c r="L341" s="14">
        <v>30.958059478760095</v>
      </c>
      <c r="M341" s="14">
        <v>12</v>
      </c>
    </row>
    <row r="342" spans="1:13" x14ac:dyDescent="0.3">
      <c r="A342" s="14">
        <v>331</v>
      </c>
      <c r="B342" s="14">
        <v>0.72194171479411506</v>
      </c>
      <c r="C342" s="14">
        <v>1.9336779065071141E-5</v>
      </c>
      <c r="D342" s="14">
        <v>37335.158682046975</v>
      </c>
      <c r="E342" s="14">
        <v>5.0566884358005382E-5</v>
      </c>
      <c r="F342" s="14">
        <v>14276.966515929362</v>
      </c>
      <c r="G342" s="14">
        <v>0.75778011205212104</v>
      </c>
      <c r="H342" s="14">
        <v>30.958101194679955</v>
      </c>
      <c r="I342" s="14">
        <v>30.958100475521437</v>
      </c>
      <c r="J342" s="14">
        <v>3.5838397258005951E-2</v>
      </c>
      <c r="K342" s="14">
        <v>30.95808185790089</v>
      </c>
      <c r="L342" s="14">
        <v>30.958049908637079</v>
      </c>
      <c r="M342" s="14">
        <v>15</v>
      </c>
    </row>
    <row r="343" spans="1:13" x14ac:dyDescent="0.3">
      <c r="A343" s="14">
        <v>332</v>
      </c>
      <c r="B343" s="14">
        <v>0.64979428219865953</v>
      </c>
      <c r="C343" s="14">
        <v>3.0657609769946248E-5</v>
      </c>
      <c r="D343" s="14">
        <v>21195.20364029341</v>
      </c>
      <c r="E343" s="14">
        <v>5.338165842161402E-5</v>
      </c>
      <c r="F343" s="14">
        <v>12172.61324229598</v>
      </c>
      <c r="G343" s="14">
        <v>0.73388102821018686</v>
      </c>
      <c r="H343" s="14">
        <v>30.958101432213152</v>
      </c>
      <c r="I343" s="14">
        <v>30.958099694388235</v>
      </c>
      <c r="J343" s="14">
        <v>8.4086746011527311E-2</v>
      </c>
      <c r="K343" s="14">
        <v>30.958070774603382</v>
      </c>
      <c r="L343" s="14">
        <v>30.958046312729813</v>
      </c>
      <c r="M343" s="14">
        <v>12</v>
      </c>
    </row>
    <row r="344" spans="1:13" x14ac:dyDescent="0.3">
      <c r="A344" s="14">
        <v>333</v>
      </c>
      <c r="B344" s="14">
        <v>0.93950767123837475</v>
      </c>
      <c r="C344" s="14">
        <v>3.4056022148121201E-5</v>
      </c>
      <c r="D344" s="14">
        <v>27587.122980838365</v>
      </c>
      <c r="E344" s="14">
        <v>6.0049764993408417E-5</v>
      </c>
      <c r="F344" s="14">
        <v>15645.484563370119</v>
      </c>
      <c r="G344" s="14">
        <v>1.0154789690951951</v>
      </c>
      <c r="H344" s="14">
        <v>30.958101550479025</v>
      </c>
      <c r="I344" s="14">
        <v>30.958098862420563</v>
      </c>
      <c r="J344" s="14">
        <v>7.5971297856820288E-2</v>
      </c>
      <c r="K344" s="14">
        <v>30.958067494456877</v>
      </c>
      <c r="L344" s="14">
        <v>30.95803881265557</v>
      </c>
      <c r="M344" s="14">
        <v>12</v>
      </c>
    </row>
    <row r="345" spans="1:13" x14ac:dyDescent="0.3">
      <c r="A345" s="14">
        <v>334</v>
      </c>
      <c r="B345" s="14">
        <v>0.55021596016738927</v>
      </c>
      <c r="C345" s="14">
        <v>7.9984857979553681E-5</v>
      </c>
      <c r="D345" s="14">
        <v>6879.0015268644911</v>
      </c>
      <c r="E345" s="14">
        <v>1.0398027293234691E-4</v>
      </c>
      <c r="F345" s="14">
        <v>5291.5417958690923</v>
      </c>
      <c r="G345" s="14">
        <v>0.8919878680927964</v>
      </c>
      <c r="H345" s="14">
        <v>30.958076403911861</v>
      </c>
      <c r="I345" s="14">
        <v>30.958065117847212</v>
      </c>
      <c r="J345" s="14">
        <v>0.34177190792540707</v>
      </c>
      <c r="K345" s="14">
        <v>30.957996419053881</v>
      </c>
      <c r="L345" s="14">
        <v>30.95796113757428</v>
      </c>
      <c r="M345" s="14">
        <v>12</v>
      </c>
    </row>
    <row r="346" spans="1:13" x14ac:dyDescent="0.3">
      <c r="A346" s="14">
        <v>335</v>
      </c>
      <c r="B346" s="14">
        <v>0.30907167384972767</v>
      </c>
      <c r="C346" s="14">
        <v>1.5177646620401219E-5</v>
      </c>
      <c r="D346" s="14">
        <v>20363.609825668573</v>
      </c>
      <c r="E346" s="14">
        <v>2.9608290642357815E-5</v>
      </c>
      <c r="F346" s="14">
        <v>10438.686838866939</v>
      </c>
      <c r="G346" s="14">
        <v>0.47604317234061877</v>
      </c>
      <c r="H346" s="14">
        <v>30.958101469520265</v>
      </c>
      <c r="I346" s="14">
        <v>30.958100484919232</v>
      </c>
      <c r="J346" s="14">
        <v>0.16697149849089113</v>
      </c>
      <c r="K346" s="14">
        <v>30.958086291873645</v>
      </c>
      <c r="L346" s="14">
        <v>30.958070876628589</v>
      </c>
      <c r="M346" s="14">
        <v>15</v>
      </c>
    </row>
    <row r="347" spans="1:13" x14ac:dyDescent="0.3">
      <c r="A347" s="14">
        <v>336</v>
      </c>
      <c r="B347" s="14">
        <v>0.84740469425100595</v>
      </c>
      <c r="C347" s="14">
        <v>3.3108723172858845E-5</v>
      </c>
      <c r="D347" s="14">
        <v>25594.605078146687</v>
      </c>
      <c r="E347" s="14">
        <v>5.2506756592407555E-5</v>
      </c>
      <c r="F347" s="14">
        <v>16138.964758938093</v>
      </c>
      <c r="G347" s="14">
        <v>0.91760667476780688</v>
      </c>
      <c r="H347" s="14">
        <v>30.958101153309627</v>
      </c>
      <c r="I347" s="14">
        <v>30.958100715555631</v>
      </c>
      <c r="J347" s="14">
        <v>7.0201980516800933E-2</v>
      </c>
      <c r="K347" s="14">
        <v>30.958068044586454</v>
      </c>
      <c r="L347" s="14">
        <v>30.958048208799038</v>
      </c>
      <c r="M347" s="14">
        <v>12</v>
      </c>
    </row>
    <row r="348" spans="1:13" x14ac:dyDescent="0.3">
      <c r="A348" s="14">
        <v>337</v>
      </c>
      <c r="B348" s="14">
        <v>0.36498272111050523</v>
      </c>
      <c r="C348" s="14">
        <v>3.734041666803023E-5</v>
      </c>
      <c r="D348" s="14">
        <v>9774.4683557051121</v>
      </c>
      <c r="E348" s="14">
        <v>4.3308009864517771E-5</v>
      </c>
      <c r="F348" s="14">
        <v>8427.6031674578371</v>
      </c>
      <c r="G348" s="14">
        <v>0.4456019370880368</v>
      </c>
      <c r="H348" s="14">
        <v>30.958096133945837</v>
      </c>
      <c r="I348" s="14">
        <v>30.958094583050418</v>
      </c>
      <c r="J348" s="14">
        <v>8.061921597753155E-2</v>
      </c>
      <c r="K348" s="14">
        <v>30.958058793529169</v>
      </c>
      <c r="L348" s="14">
        <v>30.958051275040553</v>
      </c>
      <c r="M348" s="14">
        <v>9</v>
      </c>
    </row>
    <row r="349" spans="1:13" x14ac:dyDescent="0.3">
      <c r="A349" s="14">
        <v>338</v>
      </c>
      <c r="B349" s="14">
        <v>0.75788257823021798</v>
      </c>
      <c r="C349" s="14">
        <v>6.3918364574533371E-6</v>
      </c>
      <c r="D349" s="14">
        <v>118570.39573446421</v>
      </c>
      <c r="E349" s="14">
        <v>3.4180036958986193E-5</v>
      </c>
      <c r="F349" s="14">
        <v>22173.252157088871</v>
      </c>
      <c r="G349" s="14">
        <v>0.79032025343708212</v>
      </c>
      <c r="H349" s="14">
        <v>30.958101551063116</v>
      </c>
      <c r="I349" s="14">
        <v>30.958100198309133</v>
      </c>
      <c r="J349" s="14">
        <v>3.2437675206864178E-2</v>
      </c>
      <c r="K349" s="14">
        <v>30.958095159226659</v>
      </c>
      <c r="L349" s="14">
        <v>30.958066018272174</v>
      </c>
      <c r="M349" s="14">
        <v>11</v>
      </c>
    </row>
    <row r="350" spans="1:13" x14ac:dyDescent="0.3">
      <c r="A350" s="14">
        <v>339</v>
      </c>
      <c r="B350" s="14">
        <v>0.90073607910198261</v>
      </c>
      <c r="C350" s="14">
        <v>1.2635882704614687E-5</v>
      </c>
      <c r="D350" s="14">
        <v>71283.985468860774</v>
      </c>
      <c r="E350" s="14">
        <v>3.0696377461225666E-5</v>
      </c>
      <c r="F350" s="14">
        <v>29343.399892699177</v>
      </c>
      <c r="G350" s="14">
        <v>0.96524055239328899</v>
      </c>
      <c r="H350" s="14">
        <v>30.958101391273726</v>
      </c>
      <c r="I350" s="14">
        <v>30.958100441410249</v>
      </c>
      <c r="J350" s="14">
        <v>6.4504473291306402E-2</v>
      </c>
      <c r="K350" s="14">
        <v>30.958088755391021</v>
      </c>
      <c r="L350" s="14">
        <v>30.958069745032788</v>
      </c>
      <c r="M350" s="14">
        <v>12</v>
      </c>
    </row>
    <row r="351" spans="1:13" x14ac:dyDescent="0.3">
      <c r="A351" s="14">
        <v>340</v>
      </c>
      <c r="B351" s="14">
        <v>0.34802481674827074</v>
      </c>
      <c r="C351" s="14">
        <v>6.2823862702288125E-5</v>
      </c>
      <c r="D351" s="14">
        <v>5539.6914767482967</v>
      </c>
      <c r="E351" s="14">
        <v>8.7141778447374918E-5</v>
      </c>
      <c r="F351" s="14">
        <v>3993.7768421658225</v>
      </c>
      <c r="G351" s="14">
        <v>0.49715860926890532</v>
      </c>
      <c r="H351" s="14">
        <v>30.958097332617104</v>
      </c>
      <c r="I351" s="14">
        <v>30.958094082144004</v>
      </c>
      <c r="J351" s="14">
        <v>0.14913379252063458</v>
      </c>
      <c r="K351" s="14">
        <v>30.958034508754402</v>
      </c>
      <c r="L351" s="14">
        <v>30.958006940365557</v>
      </c>
      <c r="M351" s="14">
        <v>11</v>
      </c>
    </row>
    <row r="352" spans="1:13" x14ac:dyDescent="0.3">
      <c r="A352" s="14">
        <v>341</v>
      </c>
      <c r="B352" s="14">
        <v>0.57949712084766025</v>
      </c>
      <c r="C352" s="14">
        <v>1.2392908476854814E-4</v>
      </c>
      <c r="D352" s="14">
        <v>4676.0380900894897</v>
      </c>
      <c r="E352" s="14">
        <v>1.4212879434438719E-4</v>
      </c>
      <c r="F352" s="14">
        <v>4077.2675482175805</v>
      </c>
      <c r="G352" s="14">
        <v>0.75096278013908102</v>
      </c>
      <c r="H352" s="14">
        <v>30.958101001419291</v>
      </c>
      <c r="I352" s="14">
        <v>30.958098779583512</v>
      </c>
      <c r="J352" s="14">
        <v>0.1714656592914208</v>
      </c>
      <c r="K352" s="14">
        <v>30.957977072334522</v>
      </c>
      <c r="L352" s="14">
        <v>30.957956650789168</v>
      </c>
      <c r="M352" s="14">
        <v>11</v>
      </c>
    </row>
    <row r="353" spans="1:13" x14ac:dyDescent="0.3">
      <c r="A353" s="14">
        <v>342</v>
      </c>
      <c r="B353" s="14">
        <v>0.7376754317290859</v>
      </c>
      <c r="C353" s="14">
        <v>9.5470420085064234E-6</v>
      </c>
      <c r="D353" s="14">
        <v>77267.433313042551</v>
      </c>
      <c r="E353" s="14">
        <v>3.8901225302367948E-5</v>
      </c>
      <c r="F353" s="14">
        <v>18962.781403293819</v>
      </c>
      <c r="G353" s="14">
        <v>0.75359862585024917</v>
      </c>
      <c r="H353" s="14">
        <v>30.958101481698822</v>
      </c>
      <c r="I353" s="14">
        <v>30.958100149840959</v>
      </c>
      <c r="J353" s="14">
        <v>1.592319412116322E-2</v>
      </c>
      <c r="K353" s="14">
        <v>30.958091934656814</v>
      </c>
      <c r="L353" s="14">
        <v>30.958061248615657</v>
      </c>
      <c r="M353" s="14">
        <v>10</v>
      </c>
    </row>
    <row r="354" spans="1:13" x14ac:dyDescent="0.3">
      <c r="A354" s="14">
        <v>343</v>
      </c>
      <c r="B354" s="14">
        <v>0.76675324227747832</v>
      </c>
      <c r="C354" s="14">
        <v>4.2016365856767379E-5</v>
      </c>
      <c r="D354" s="14">
        <v>18248.918644970836</v>
      </c>
      <c r="E354" s="14">
        <v>7.4589404277958238E-5</v>
      </c>
      <c r="F354" s="14">
        <v>10279.653654561496</v>
      </c>
      <c r="G354" s="14">
        <v>0.92362644539559646</v>
      </c>
      <c r="H354" s="14">
        <v>30.958101001187924</v>
      </c>
      <c r="I354" s="14">
        <v>30.958099897168999</v>
      </c>
      <c r="J354" s="14">
        <v>0.15687320311811817</v>
      </c>
      <c r="K354" s="14">
        <v>30.958058984822067</v>
      </c>
      <c r="L354" s="14">
        <v>30.958025307764721</v>
      </c>
      <c r="M354" s="14">
        <v>13</v>
      </c>
    </row>
    <row r="355" spans="1:13" x14ac:dyDescent="0.3">
      <c r="A355" s="14">
        <v>344</v>
      </c>
      <c r="B355" s="14">
        <v>0.54259627094852669</v>
      </c>
      <c r="C355" s="14">
        <v>3.3868562614003395E-5</v>
      </c>
      <c r="D355" s="14">
        <v>16020.646554518475</v>
      </c>
      <c r="E355" s="14">
        <v>6.3169794380257827E-5</v>
      </c>
      <c r="F355" s="14">
        <v>8589.4892689108055</v>
      </c>
      <c r="G355" s="14">
        <v>0.75151874547897846</v>
      </c>
      <c r="H355" s="14">
        <v>30.958101517979831</v>
      </c>
      <c r="I355" s="14">
        <v>30.958098801528429</v>
      </c>
      <c r="J355" s="14">
        <v>0.20892247453045176</v>
      </c>
      <c r="K355" s="14">
        <v>30.958067649417217</v>
      </c>
      <c r="L355" s="14">
        <v>30.958035631734049</v>
      </c>
      <c r="M355" s="14">
        <v>15</v>
      </c>
    </row>
    <row r="356" spans="1:13" x14ac:dyDescent="0.3">
      <c r="A356" s="14">
        <v>345</v>
      </c>
      <c r="B356" s="14">
        <v>0.68783220676043666</v>
      </c>
      <c r="C356" s="14">
        <v>7.0183784046662367E-6</v>
      </c>
      <c r="D356" s="14">
        <v>98004.434514833905</v>
      </c>
      <c r="E356" s="14">
        <v>3.7780850796309551E-5</v>
      </c>
      <c r="F356" s="14">
        <v>18205.8421730308</v>
      </c>
      <c r="G356" s="14">
        <v>0.72063639971113602</v>
      </c>
      <c r="H356" s="14">
        <v>30.958101480567581</v>
      </c>
      <c r="I356" s="14">
        <v>30.958100783815578</v>
      </c>
      <c r="J356" s="14">
        <v>3.2804192950699348E-2</v>
      </c>
      <c r="K356" s="14">
        <v>30.958094462189177</v>
      </c>
      <c r="L356" s="14">
        <v>30.958063002964781</v>
      </c>
      <c r="M356" s="14">
        <v>13</v>
      </c>
    </row>
    <row r="357" spans="1:13" x14ac:dyDescent="0.3">
      <c r="A357" s="14">
        <v>346</v>
      </c>
      <c r="B357" s="14">
        <v>0.36726075281453946</v>
      </c>
      <c r="C357" s="14">
        <v>1.7430286901642944E-4</v>
      </c>
      <c r="D357" s="14">
        <v>2107.0264355770428</v>
      </c>
      <c r="E357" s="14">
        <v>1.8364956727268122E-4</v>
      </c>
      <c r="F357" s="14">
        <v>1999.7910056016303</v>
      </c>
      <c r="G357" s="14">
        <v>0.52744298859008154</v>
      </c>
      <c r="H357" s="14">
        <v>30.95808999238788</v>
      </c>
      <c r="I357" s="14">
        <v>30.958087618414332</v>
      </c>
      <c r="J357" s="14">
        <v>0.16018223577554208</v>
      </c>
      <c r="K357" s="14">
        <v>30.957915689518863</v>
      </c>
      <c r="L357" s="14">
        <v>30.957903968847059</v>
      </c>
      <c r="M357" s="14">
        <v>10</v>
      </c>
    </row>
    <row r="358" spans="1:13" x14ac:dyDescent="0.3">
      <c r="A358" s="14">
        <v>347</v>
      </c>
      <c r="B358" s="14">
        <v>0.30449926378899367</v>
      </c>
      <c r="C358" s="14">
        <v>1.8229453370821602E-5</v>
      </c>
      <c r="D358" s="14">
        <v>16703.696901651521</v>
      </c>
      <c r="E358" s="14">
        <v>2.9918091097869137E-5</v>
      </c>
      <c r="F358" s="14">
        <v>10177.76377486467</v>
      </c>
      <c r="G358" s="14">
        <v>0.39024551112853856</v>
      </c>
      <c r="H358" s="14">
        <v>30.958101073257531</v>
      </c>
      <c r="I358" s="14">
        <v>30.958100219358467</v>
      </c>
      <c r="J358" s="14">
        <v>8.5746247339544876E-2</v>
      </c>
      <c r="K358" s="14">
        <v>30.95808284380416</v>
      </c>
      <c r="L358" s="14">
        <v>30.958070301267369</v>
      </c>
      <c r="M358" s="14">
        <v>10</v>
      </c>
    </row>
    <row r="359" spans="1:13" x14ac:dyDescent="0.3">
      <c r="A359" s="14">
        <v>348</v>
      </c>
      <c r="B359" s="14">
        <v>0.83961078148915891</v>
      </c>
      <c r="C359" s="14">
        <v>4.0760410200846309E-5</v>
      </c>
      <c r="D359" s="14">
        <v>20598.683314323614</v>
      </c>
      <c r="E359" s="14">
        <v>6.6497517767771797E-5</v>
      </c>
      <c r="F359" s="14">
        <v>12626.197332978925</v>
      </c>
      <c r="G359" s="14">
        <v>0.89800780054376661</v>
      </c>
      <c r="H359" s="14">
        <v>30.958100346821677</v>
      </c>
      <c r="I359" s="14">
        <v>30.958099108041175</v>
      </c>
      <c r="J359" s="14">
        <v>5.8397019054607743E-2</v>
      </c>
      <c r="K359" s="14">
        <v>30.958059586411476</v>
      </c>
      <c r="L359" s="14">
        <v>30.958032610523407</v>
      </c>
      <c r="M359" s="14">
        <v>9</v>
      </c>
    </row>
    <row r="360" spans="1:13" x14ac:dyDescent="0.3">
      <c r="A360" s="14">
        <v>349</v>
      </c>
      <c r="B360" s="14">
        <v>0.49907127174564314</v>
      </c>
      <c r="C360" s="14">
        <v>3.8756456174127152E-5</v>
      </c>
      <c r="D360" s="14">
        <v>12877.113157699148</v>
      </c>
      <c r="E360" s="14">
        <v>6.5612893966005004E-5</v>
      </c>
      <c r="F360" s="14">
        <v>7606.2987254337422</v>
      </c>
      <c r="G360" s="14">
        <v>0.59712148955702971</v>
      </c>
      <c r="H360" s="14">
        <v>30.958101090592621</v>
      </c>
      <c r="I360" s="14">
        <v>30.958100160606818</v>
      </c>
      <c r="J360" s="14">
        <v>9.805021781138655E-2</v>
      </c>
      <c r="K360" s="14">
        <v>30.958062334136446</v>
      </c>
      <c r="L360" s="14">
        <v>30.958034547712852</v>
      </c>
      <c r="M360" s="14">
        <v>14</v>
      </c>
    </row>
    <row r="361" spans="1:13" x14ac:dyDescent="0.3">
      <c r="A361" s="14">
        <v>350</v>
      </c>
      <c r="B361" s="14">
        <v>0.39517639261994458</v>
      </c>
      <c r="C361" s="14">
        <v>1.4065850384525902E-4</v>
      </c>
      <c r="D361" s="14">
        <v>2809.4738804749786</v>
      </c>
      <c r="E361" s="14">
        <v>1.574228424594537E-4</v>
      </c>
      <c r="F361" s="14">
        <v>2510.2862230538581</v>
      </c>
      <c r="G361" s="14">
        <v>0.75627585452673252</v>
      </c>
      <c r="H361" s="14">
        <v>30.958100404558557</v>
      </c>
      <c r="I361" s="14">
        <v>30.958099834994037</v>
      </c>
      <c r="J361" s="14">
        <v>0.36109946190678793</v>
      </c>
      <c r="K361" s="14">
        <v>30.957959746054712</v>
      </c>
      <c r="L361" s="14">
        <v>30.957942412151578</v>
      </c>
      <c r="M361" s="14">
        <v>12</v>
      </c>
    </row>
    <row r="362" spans="1:13" x14ac:dyDescent="0.3">
      <c r="A362" s="14">
        <v>351</v>
      </c>
      <c r="B362" s="14">
        <v>0.74423305329219458</v>
      </c>
      <c r="C362" s="14">
        <v>2.5916546945836672E-5</v>
      </c>
      <c r="D362" s="14">
        <v>28716.520563004666</v>
      </c>
      <c r="E362" s="14">
        <v>4.0349779503401351E-5</v>
      </c>
      <c r="F362" s="14">
        <v>18444.538296162391</v>
      </c>
      <c r="G362" s="14">
        <v>0.85041644142424833</v>
      </c>
      <c r="H362" s="14">
        <v>30.958101364034455</v>
      </c>
      <c r="I362" s="14">
        <v>30.958101023373324</v>
      </c>
      <c r="J362" s="14">
        <v>0.1061833881320537</v>
      </c>
      <c r="K362" s="14">
        <v>30.958075447487509</v>
      </c>
      <c r="L362" s="14">
        <v>30.95806067359382</v>
      </c>
      <c r="M362" s="14">
        <v>11</v>
      </c>
    </row>
    <row r="363" spans="1:13" x14ac:dyDescent="0.3">
      <c r="A363" s="14">
        <v>352</v>
      </c>
      <c r="B363" s="14">
        <v>0.56407960520502876</v>
      </c>
      <c r="C363" s="14">
        <v>1.2098551122718959E-4</v>
      </c>
      <c r="D363" s="14">
        <v>4662.3732005875154</v>
      </c>
      <c r="E363" s="14">
        <v>1.3539926493422172E-4</v>
      </c>
      <c r="F363" s="14">
        <v>4166.0462889445089</v>
      </c>
      <c r="G363" s="14">
        <v>0.70655990588155926</v>
      </c>
      <c r="H363" s="14">
        <v>30.958101551448031</v>
      </c>
      <c r="I363" s="14">
        <v>30.958100240547122</v>
      </c>
      <c r="J363" s="14">
        <v>0.14248030067653056</v>
      </c>
      <c r="K363" s="14">
        <v>30.957980565936804</v>
      </c>
      <c r="L363" s="14">
        <v>30.957964841282188</v>
      </c>
      <c r="M363" s="14">
        <v>9</v>
      </c>
    </row>
    <row r="364" spans="1:13" x14ac:dyDescent="0.3">
      <c r="A364" s="14">
        <v>353</v>
      </c>
      <c r="B364" s="14">
        <v>0.57131104449945491</v>
      </c>
      <c r="C364" s="14">
        <v>9.7938401957264887E-6</v>
      </c>
      <c r="D364" s="14">
        <v>58333.711096158651</v>
      </c>
      <c r="E364" s="14">
        <v>3.1265201251073904E-5</v>
      </c>
      <c r="F364" s="14">
        <v>18273.064673774694</v>
      </c>
      <c r="G364" s="14">
        <v>0.60603902788795583</v>
      </c>
      <c r="H364" s="14">
        <v>30.958101441890538</v>
      </c>
      <c r="I364" s="14">
        <v>30.958100356859759</v>
      </c>
      <c r="J364" s="14">
        <v>3.4727983388500916E-2</v>
      </c>
      <c r="K364" s="14">
        <v>30.958091648050342</v>
      </c>
      <c r="L364" s="14">
        <v>30.958069091658508</v>
      </c>
      <c r="M364" s="14">
        <v>11</v>
      </c>
    </row>
    <row r="365" spans="1:13" x14ac:dyDescent="0.3">
      <c r="A365" s="14">
        <v>354</v>
      </c>
      <c r="B365" s="14">
        <v>0.50312317123451233</v>
      </c>
      <c r="C365" s="14">
        <v>2.1881623869290934E-5</v>
      </c>
      <c r="D365" s="14">
        <v>22992.954007431072</v>
      </c>
      <c r="E365" s="14">
        <v>4.3717616666327785E-5</v>
      </c>
      <c r="F365" s="14">
        <v>11508.476664557706</v>
      </c>
      <c r="G365" s="14">
        <v>0.63917498042268606</v>
      </c>
      <c r="H365" s="14">
        <v>30.958101229715737</v>
      </c>
      <c r="I365" s="14">
        <v>30.958099472764449</v>
      </c>
      <c r="J365" s="14">
        <v>0.13605180918817367</v>
      </c>
      <c r="K365" s="14">
        <v>30.958079348091868</v>
      </c>
      <c r="L365" s="14">
        <v>30.958055755147782</v>
      </c>
      <c r="M365" s="14">
        <v>11</v>
      </c>
    </row>
    <row r="366" spans="1:13" x14ac:dyDescent="0.3">
      <c r="A366" s="14">
        <v>355</v>
      </c>
      <c r="B366" s="14">
        <v>0.34076119840143992</v>
      </c>
      <c r="C366" s="14">
        <v>2.0600516584678985E-4</v>
      </c>
      <c r="D366" s="14">
        <v>1654.1390940403446</v>
      </c>
      <c r="E366" s="14">
        <v>2.2618955831177345E-4</v>
      </c>
      <c r="F366" s="14">
        <v>1506.5293064136235</v>
      </c>
      <c r="G366" s="14">
        <v>0.55564088000265222</v>
      </c>
      <c r="H366" s="14">
        <v>30.958095990374588</v>
      </c>
      <c r="I366" s="14">
        <v>30.958094912627679</v>
      </c>
      <c r="J366" s="14">
        <v>0.21487968160121229</v>
      </c>
      <c r="K366" s="14">
        <v>30.957889985208741</v>
      </c>
      <c r="L366" s="14">
        <v>30.957868723069367</v>
      </c>
      <c r="M366" s="14">
        <v>14</v>
      </c>
    </row>
    <row r="367" spans="1:13" x14ac:dyDescent="0.3">
      <c r="A367" s="14">
        <v>356</v>
      </c>
      <c r="B367" s="14">
        <v>0.6311768468862281</v>
      </c>
      <c r="C367" s="14">
        <v>3.9906699353053909E-5</v>
      </c>
      <c r="D367" s="14">
        <v>15816.312977984397</v>
      </c>
      <c r="E367" s="14">
        <v>6.0200249688335816E-5</v>
      </c>
      <c r="F367" s="14">
        <v>10484.621744160684</v>
      </c>
      <c r="G367" s="14">
        <v>0.73734900961911831</v>
      </c>
      <c r="H367" s="14">
        <v>30.958101499108253</v>
      </c>
      <c r="I367" s="14">
        <v>30.958100292926648</v>
      </c>
      <c r="J367" s="14">
        <v>0.10617216273289018</v>
      </c>
      <c r="K367" s="14">
        <v>30.9580615924089</v>
      </c>
      <c r="L367" s="14">
        <v>30.95804009267696</v>
      </c>
      <c r="M367" s="14">
        <v>14</v>
      </c>
    </row>
    <row r="368" spans="1:13" x14ac:dyDescent="0.3">
      <c r="A368" s="14">
        <v>357</v>
      </c>
      <c r="B368" s="14">
        <v>0.39474723910614173</v>
      </c>
      <c r="C368" s="14">
        <v>4.1454068064439298E-5</v>
      </c>
      <c r="D368" s="14">
        <v>9522.5211309181323</v>
      </c>
      <c r="E368" s="14">
        <v>5.0813229009349925E-5</v>
      </c>
      <c r="F368" s="14">
        <v>7768.5918962856304</v>
      </c>
      <c r="G368" s="14">
        <v>0.55884903105891826</v>
      </c>
      <c r="H368" s="14">
        <v>30.958100092169524</v>
      </c>
      <c r="I368" s="14">
        <v>30.958099722911808</v>
      </c>
      <c r="J368" s="14">
        <v>0.16410179195277655</v>
      </c>
      <c r="K368" s="14">
        <v>30.958058638101459</v>
      </c>
      <c r="L368" s="14">
        <v>30.958048909682798</v>
      </c>
      <c r="M368" s="14">
        <v>11</v>
      </c>
    </row>
    <row r="369" spans="1:13" x14ac:dyDescent="0.3">
      <c r="A369" s="14">
        <v>358</v>
      </c>
      <c r="B369" s="14">
        <v>0.35143067121518246</v>
      </c>
      <c r="C369" s="14">
        <v>4.9469301064419824E-5</v>
      </c>
      <c r="D369" s="14">
        <v>7104.0152913731899</v>
      </c>
      <c r="E369" s="14">
        <v>6.2574100763157503E-5</v>
      </c>
      <c r="F369" s="14">
        <v>5616.2320661282038</v>
      </c>
      <c r="G369" s="14">
        <v>0.53471054600056223</v>
      </c>
      <c r="H369" s="14">
        <v>30.958100903248948</v>
      </c>
      <c r="I369" s="14">
        <v>30.958100251727007</v>
      </c>
      <c r="J369" s="14">
        <v>0.18327987478537977</v>
      </c>
      <c r="K369" s="14">
        <v>30.958051433947883</v>
      </c>
      <c r="L369" s="14">
        <v>30.958037677626244</v>
      </c>
      <c r="M369" s="14">
        <v>14</v>
      </c>
    </row>
    <row r="370" spans="1:13" x14ac:dyDescent="0.3">
      <c r="A370" s="14">
        <v>359</v>
      </c>
      <c r="B370" s="14">
        <v>0.56695476834962122</v>
      </c>
      <c r="C370" s="14">
        <v>3.0243779711724983E-5</v>
      </c>
      <c r="D370" s="14">
        <v>18746.161152927019</v>
      </c>
      <c r="E370" s="14">
        <v>5.1294851449057433E-5</v>
      </c>
      <c r="F370" s="14">
        <v>11052.859153178018</v>
      </c>
      <c r="G370" s="14">
        <v>0.63757245752753855</v>
      </c>
      <c r="H370" s="14">
        <v>30.958101523612278</v>
      </c>
      <c r="I370" s="14">
        <v>30.958100801574634</v>
      </c>
      <c r="J370" s="14">
        <v>7.0617689177917387E-2</v>
      </c>
      <c r="K370" s="14">
        <v>30.958071279832566</v>
      </c>
      <c r="L370" s="14">
        <v>30.958049506723185</v>
      </c>
      <c r="M370" s="14">
        <v>13</v>
      </c>
    </row>
    <row r="371" spans="1:13" x14ac:dyDescent="0.3">
      <c r="A371" s="14">
        <v>360</v>
      </c>
      <c r="B371" s="14">
        <v>0.76605890117523345</v>
      </c>
      <c r="C371" s="14">
        <v>2.3617974939327269E-5</v>
      </c>
      <c r="D371" s="14">
        <v>32435.418495581391</v>
      </c>
      <c r="E371" s="14">
        <v>4.1558409559883103E-5</v>
      </c>
      <c r="F371" s="14">
        <v>18433.306502535663</v>
      </c>
      <c r="G371" s="14">
        <v>0.86093508464622404</v>
      </c>
      <c r="H371" s="14">
        <v>30.958101549312026</v>
      </c>
      <c r="I371" s="14">
        <v>30.958100168632335</v>
      </c>
      <c r="J371" s="14">
        <v>9.4876183470990527E-2</v>
      </c>
      <c r="K371" s="14">
        <v>30.958077931337087</v>
      </c>
      <c r="L371" s="14">
        <v>30.958058610222775</v>
      </c>
      <c r="M371" s="14">
        <v>15</v>
      </c>
    </row>
    <row r="372" spans="1:13" x14ac:dyDescent="0.3">
      <c r="A372" s="14">
        <v>361</v>
      </c>
      <c r="B372" s="14">
        <v>0.55215575161249886</v>
      </c>
      <c r="C372" s="14">
        <v>2.0475038940759305E-5</v>
      </c>
      <c r="D372" s="14">
        <v>26967.262587878744</v>
      </c>
      <c r="E372" s="14">
        <v>4.2081511114844261E-5</v>
      </c>
      <c r="F372" s="14">
        <v>13121.100858417743</v>
      </c>
      <c r="G372" s="14">
        <v>0.6883245958292955</v>
      </c>
      <c r="H372" s="14">
        <v>30.958100375575921</v>
      </c>
      <c r="I372" s="14">
        <v>30.958098821107292</v>
      </c>
      <c r="J372" s="14">
        <v>0.13616884421679668</v>
      </c>
      <c r="K372" s="14">
        <v>30.95807990053698</v>
      </c>
      <c r="L372" s="14">
        <v>30.958056739596177</v>
      </c>
      <c r="M372" s="14">
        <v>12</v>
      </c>
    </row>
    <row r="373" spans="1:13" x14ac:dyDescent="0.3">
      <c r="A373" s="14">
        <v>362</v>
      </c>
      <c r="B373" s="14">
        <v>0.54646331893675149</v>
      </c>
      <c r="C373" s="14">
        <v>2.8249344516950714E-5</v>
      </c>
      <c r="D373" s="14">
        <v>19344.283142883265</v>
      </c>
      <c r="E373" s="14">
        <v>5.6790112605398235E-5</v>
      </c>
      <c r="F373" s="14">
        <v>9622.5081068919535</v>
      </c>
      <c r="G373" s="14">
        <v>0.60878501835507493</v>
      </c>
      <c r="H373" s="14">
        <v>30.958101309038003</v>
      </c>
      <c r="I373" s="14">
        <v>30.958100688632317</v>
      </c>
      <c r="J373" s="14">
        <v>6.2321699418323426E-2</v>
      </c>
      <c r="K373" s="14">
        <v>30.958073059693486</v>
      </c>
      <c r="L373" s="14">
        <v>30.958043898519712</v>
      </c>
      <c r="M373" s="14">
        <v>10</v>
      </c>
    </row>
    <row r="374" spans="1:13" x14ac:dyDescent="0.3">
      <c r="A374" s="14">
        <v>363</v>
      </c>
      <c r="B374" s="14">
        <v>0.70696766006552125</v>
      </c>
      <c r="C374" s="14">
        <v>2.0385913138909473E-5</v>
      </c>
      <c r="D374" s="14">
        <v>34679.22458259527</v>
      </c>
      <c r="E374" s="14">
        <v>4.6341977348873797E-5</v>
      </c>
      <c r="F374" s="14">
        <v>15255.448742363644</v>
      </c>
      <c r="G374" s="14">
        <v>0.79261275092678329</v>
      </c>
      <c r="H374" s="14">
        <v>30.958101432254637</v>
      </c>
      <c r="I374" s="14">
        <v>30.958100331463964</v>
      </c>
      <c r="J374" s="14">
        <v>8.5645090861262083E-2</v>
      </c>
      <c r="K374" s="14">
        <v>30.958081046341498</v>
      </c>
      <c r="L374" s="14">
        <v>30.958053989486615</v>
      </c>
      <c r="M374" s="14">
        <v>9</v>
      </c>
    </row>
    <row r="375" spans="1:13" x14ac:dyDescent="0.3">
      <c r="A375" s="14">
        <v>364</v>
      </c>
      <c r="B375" s="14">
        <v>0.26452773420894116</v>
      </c>
      <c r="C375" s="14">
        <v>1.8194339165944484E-5</v>
      </c>
      <c r="D375" s="14">
        <v>14539.013030166809</v>
      </c>
      <c r="E375" s="14">
        <v>3.7580937917169877E-5</v>
      </c>
      <c r="F375" s="14">
        <v>7038.8805833418128</v>
      </c>
      <c r="G375" s="14">
        <v>0.29709878754245583</v>
      </c>
      <c r="H375" s="14">
        <v>30.9581001094522</v>
      </c>
      <c r="I375" s="14">
        <v>30.958096836263415</v>
      </c>
      <c r="J375" s="14">
        <v>3.2571053333514656E-2</v>
      </c>
      <c r="K375" s="14">
        <v>30.958081915113034</v>
      </c>
      <c r="L375" s="14">
        <v>30.958059255325498</v>
      </c>
      <c r="M375" s="14">
        <v>15</v>
      </c>
    </row>
    <row r="376" spans="1:13" x14ac:dyDescent="0.3">
      <c r="A376" s="14">
        <v>365</v>
      </c>
      <c r="B376" s="14">
        <v>0.25239744824709864</v>
      </c>
      <c r="C376" s="14">
        <v>7.1029349658857655E-5</v>
      </c>
      <c r="D376" s="14">
        <v>3553.4247386372294</v>
      </c>
      <c r="E376" s="14">
        <v>8.5725042993090028E-5</v>
      </c>
      <c r="F376" s="14">
        <v>2944.267385989453</v>
      </c>
      <c r="G376" s="14">
        <v>0.42250842609451528</v>
      </c>
      <c r="H376" s="14">
        <v>30.958100863742285</v>
      </c>
      <c r="I376" s="14">
        <v>30.958100625176215</v>
      </c>
      <c r="J376" s="14">
        <v>0.17011097784741663</v>
      </c>
      <c r="K376" s="14">
        <v>30.958029834392626</v>
      </c>
      <c r="L376" s="14">
        <v>30.958014900133222</v>
      </c>
      <c r="M376" s="14">
        <v>13</v>
      </c>
    </row>
    <row r="377" spans="1:13" x14ac:dyDescent="0.3">
      <c r="A377" s="14">
        <v>366</v>
      </c>
      <c r="B377" s="14">
        <v>0.63823713905087087</v>
      </c>
      <c r="C377" s="14">
        <v>5.7794342360750761E-5</v>
      </c>
      <c r="D377" s="14">
        <v>11043.245981881955</v>
      </c>
      <c r="E377" s="14">
        <v>8.9804871215903859E-5</v>
      </c>
      <c r="F377" s="14">
        <v>7106.9322900809775</v>
      </c>
      <c r="G377" s="14">
        <v>1.0945482304091623</v>
      </c>
      <c r="H377" s="14">
        <v>30.958077886089555</v>
      </c>
      <c r="I377" s="14">
        <v>30.958063636653744</v>
      </c>
      <c r="J377" s="14">
        <v>0.4563110913582914</v>
      </c>
      <c r="K377" s="14">
        <v>30.958020091747194</v>
      </c>
      <c r="L377" s="14">
        <v>30.957973831782528</v>
      </c>
      <c r="M377" s="14">
        <v>9</v>
      </c>
    </row>
    <row r="378" spans="1:13" x14ac:dyDescent="0.3">
      <c r="A378" s="14">
        <v>367</v>
      </c>
      <c r="B378" s="14">
        <v>0.30434953754036365</v>
      </c>
      <c r="C378" s="14">
        <v>7.4441396332503018E-5</v>
      </c>
      <c r="D378" s="14">
        <v>4088.4447704465861</v>
      </c>
      <c r="E378" s="14">
        <v>8.1930156337506332E-5</v>
      </c>
      <c r="F378" s="14">
        <v>3714.7437664663316</v>
      </c>
      <c r="G378" s="14">
        <v>0.43938588714334265</v>
      </c>
      <c r="H378" s="14">
        <v>30.958101503780206</v>
      </c>
      <c r="I378" s="14">
        <v>30.958101031203583</v>
      </c>
      <c r="J378" s="14">
        <v>0.13503634960297897</v>
      </c>
      <c r="K378" s="14">
        <v>30.958027062383874</v>
      </c>
      <c r="L378" s="14">
        <v>30.958019101047245</v>
      </c>
      <c r="M378" s="14">
        <v>11</v>
      </c>
    </row>
    <row r="379" spans="1:13" x14ac:dyDescent="0.3">
      <c r="A379" s="14">
        <v>368</v>
      </c>
      <c r="B379" s="14">
        <v>0.62350656385501624</v>
      </c>
      <c r="C379" s="14">
        <v>4.8844995085062237E-5</v>
      </c>
      <c r="D379" s="14">
        <v>12765.004127223197</v>
      </c>
      <c r="E379" s="14">
        <v>7.278677239952458E-5</v>
      </c>
      <c r="F379" s="14">
        <v>8566.2070634566116</v>
      </c>
      <c r="G379" s="14">
        <v>0.71905909049740147</v>
      </c>
      <c r="H379" s="14">
        <v>30.958094103350085</v>
      </c>
      <c r="I379" s="14">
        <v>30.958088535545478</v>
      </c>
      <c r="J379" s="14">
        <v>9.5552526642385269E-2</v>
      </c>
      <c r="K379" s="14">
        <v>30.958045258355</v>
      </c>
      <c r="L379" s="14">
        <v>30.958015748773079</v>
      </c>
      <c r="M379" s="14">
        <v>12</v>
      </c>
    </row>
    <row r="380" spans="1:13" x14ac:dyDescent="0.3">
      <c r="A380" s="14">
        <v>369</v>
      </c>
      <c r="B380" s="14">
        <v>0.33418909593936114</v>
      </c>
      <c r="C380" s="14">
        <v>9.8746278244021823E-5</v>
      </c>
      <c r="D380" s="14">
        <v>3384.3209271494056</v>
      </c>
      <c r="E380" s="14">
        <v>1.1311952237491596E-4</v>
      </c>
      <c r="F380" s="14">
        <v>2954.3008043452182</v>
      </c>
      <c r="G380" s="14">
        <v>0.68468401075783136</v>
      </c>
      <c r="H380" s="14">
        <v>30.958101448690957</v>
      </c>
      <c r="I380" s="14">
        <v>30.958100805775306</v>
      </c>
      <c r="J380" s="14">
        <v>0.35049491481847023</v>
      </c>
      <c r="K380" s="14">
        <v>30.958002702412713</v>
      </c>
      <c r="L380" s="14">
        <v>30.957987686252931</v>
      </c>
      <c r="M380" s="14">
        <v>10</v>
      </c>
    </row>
    <row r="381" spans="1:13" x14ac:dyDescent="0.3">
      <c r="A381" s="14">
        <v>370</v>
      </c>
      <c r="B381" s="14">
        <v>0.50111679579689594</v>
      </c>
      <c r="C381" s="14">
        <v>3.5316598417267642E-5</v>
      </c>
      <c r="D381" s="14">
        <v>14189.27128474187</v>
      </c>
      <c r="E381" s="14">
        <v>5.9623676584408258E-5</v>
      </c>
      <c r="F381" s="14">
        <v>8404.6611095421649</v>
      </c>
      <c r="G381" s="14">
        <v>0.72156309599655222</v>
      </c>
      <c r="H381" s="14">
        <v>30.958101543503751</v>
      </c>
      <c r="I381" s="14">
        <v>30.958101034090539</v>
      </c>
      <c r="J381" s="14">
        <v>0.2204463001996563</v>
      </c>
      <c r="K381" s="14">
        <v>30.958066226905334</v>
      </c>
      <c r="L381" s="14">
        <v>30.958041410413955</v>
      </c>
      <c r="M381" s="14">
        <v>14</v>
      </c>
    </row>
    <row r="382" spans="1:13" x14ac:dyDescent="0.3">
      <c r="A382" s="14">
        <v>371</v>
      </c>
      <c r="B382" s="14">
        <v>0.40316009905082761</v>
      </c>
      <c r="C382" s="14">
        <v>5.6133131018043514E-5</v>
      </c>
      <c r="D382" s="14">
        <v>7182.2129237942427</v>
      </c>
      <c r="E382" s="14">
        <v>7.2603665611126189E-5</v>
      </c>
      <c r="F382" s="14">
        <v>5552.8890402063271</v>
      </c>
      <c r="G382" s="14">
        <v>0.45985291069269729</v>
      </c>
      <c r="H382" s="14">
        <v>30.958101461592562</v>
      </c>
      <c r="I382" s="14">
        <v>30.958101309759488</v>
      </c>
      <c r="J382" s="14">
        <v>5.6692811641869678E-2</v>
      </c>
      <c r="K382" s="14">
        <v>30.958045328461544</v>
      </c>
      <c r="L382" s="14">
        <v>30.958028706093877</v>
      </c>
      <c r="M382" s="14">
        <v>14</v>
      </c>
    </row>
    <row r="383" spans="1:13" x14ac:dyDescent="0.3">
      <c r="A383" s="14">
        <v>372</v>
      </c>
      <c r="B383" s="14">
        <v>0.33194710374648889</v>
      </c>
      <c r="C383" s="14">
        <v>2.1262349324757679E-5</v>
      </c>
      <c r="D383" s="14">
        <v>15611.967364301216</v>
      </c>
      <c r="E383" s="14">
        <v>3.466305671651071E-5</v>
      </c>
      <c r="F383" s="14">
        <v>9576.3944438395647</v>
      </c>
      <c r="G383" s="14">
        <v>0.38001038089209632</v>
      </c>
      <c r="H383" s="14">
        <v>30.95810143810457</v>
      </c>
      <c r="I383" s="14">
        <v>30.958100813498984</v>
      </c>
      <c r="J383" s="14">
        <v>4.8063277145607423E-2</v>
      </c>
      <c r="K383" s="14">
        <v>30.958080175755246</v>
      </c>
      <c r="L383" s="14">
        <v>30.958066150442267</v>
      </c>
      <c r="M383" s="14">
        <v>10</v>
      </c>
    </row>
    <row r="384" spans="1:13" x14ac:dyDescent="0.3">
      <c r="A384" s="14">
        <v>373</v>
      </c>
      <c r="B384" s="14">
        <v>0.49602927460105684</v>
      </c>
      <c r="C384" s="14">
        <v>7.3651333206470326E-5</v>
      </c>
      <c r="D384" s="14">
        <v>6734.8308985869153</v>
      </c>
      <c r="E384" s="14">
        <v>9.2661680909600364E-5</v>
      </c>
      <c r="F384" s="14">
        <v>5353.1219133071536</v>
      </c>
      <c r="G384" s="14">
        <v>0.74188670273744917</v>
      </c>
      <c r="H384" s="14">
        <v>30.958100133180224</v>
      </c>
      <c r="I384" s="14">
        <v>30.958097920714728</v>
      </c>
      <c r="J384" s="14">
        <v>0.24585742813639233</v>
      </c>
      <c r="K384" s="14">
        <v>30.958026481847018</v>
      </c>
      <c r="L384" s="14">
        <v>30.958005259033818</v>
      </c>
      <c r="M384" s="14">
        <v>11</v>
      </c>
    </row>
    <row r="385" spans="1:13" x14ac:dyDescent="0.3">
      <c r="A385" s="14">
        <v>374</v>
      </c>
      <c r="B385" s="14">
        <v>0.80715968213453992</v>
      </c>
      <c r="C385" s="14">
        <v>4.6669938846832792E-6</v>
      </c>
      <c r="D385" s="14">
        <v>172950.66204898551</v>
      </c>
      <c r="E385" s="14">
        <v>3.1064291796667476E-5</v>
      </c>
      <c r="F385" s="14">
        <v>25983.521125085834</v>
      </c>
      <c r="G385" s="14">
        <v>0.86042623546932639</v>
      </c>
      <c r="H385" s="14">
        <v>30.958101548303794</v>
      </c>
      <c r="I385" s="14">
        <v>30.958101341387536</v>
      </c>
      <c r="J385" s="14">
        <v>5.3266553334786498E-2</v>
      </c>
      <c r="K385" s="14">
        <v>30.95809688130991</v>
      </c>
      <c r="L385" s="14">
        <v>30.958070277095739</v>
      </c>
      <c r="M385" s="14">
        <v>9</v>
      </c>
    </row>
    <row r="386" spans="1:13" x14ac:dyDescent="0.3">
      <c r="A386" s="14">
        <v>375</v>
      </c>
      <c r="B386" s="14">
        <v>0.326438506824964</v>
      </c>
      <c r="C386" s="14">
        <v>7.369967390502552E-5</v>
      </c>
      <c r="D386" s="14">
        <v>4429.3073432812625</v>
      </c>
      <c r="E386" s="14">
        <v>8.8296143804456051E-5</v>
      </c>
      <c r="F386" s="14">
        <v>3697.0867895194488</v>
      </c>
      <c r="G386" s="14">
        <v>0.51830295073192512</v>
      </c>
      <c r="H386" s="14">
        <v>30.958088767237374</v>
      </c>
      <c r="I386" s="14">
        <v>30.958085461624652</v>
      </c>
      <c r="J386" s="14">
        <v>0.19186444390696114</v>
      </c>
      <c r="K386" s="14">
        <v>30.958015067563469</v>
      </c>
      <c r="L386" s="14">
        <v>30.957997165480847</v>
      </c>
      <c r="M386" s="14">
        <v>13</v>
      </c>
    </row>
    <row r="387" spans="1:13" x14ac:dyDescent="0.3">
      <c r="A387" s="14">
        <v>376</v>
      </c>
      <c r="B387" s="14">
        <v>0.3925603469948003</v>
      </c>
      <c r="C387" s="14">
        <v>8.5414676433970271E-6</v>
      </c>
      <c r="D387" s="14">
        <v>45959.355392309968</v>
      </c>
      <c r="E387" s="14">
        <v>2.5905293078665181E-5</v>
      </c>
      <c r="F387" s="14">
        <v>15153.673259080058</v>
      </c>
      <c r="G387" s="14">
        <v>0.42271752040441835</v>
      </c>
      <c r="H387" s="14">
        <v>30.958100410379107</v>
      </c>
      <c r="I387" s="14">
        <v>30.958097614521837</v>
      </c>
      <c r="J387" s="14">
        <v>3.0157173409618047E-2</v>
      </c>
      <c r="K387" s="14">
        <v>30.958091868911463</v>
      </c>
      <c r="L387" s="14">
        <v>30.958071709228758</v>
      </c>
      <c r="M387" s="14">
        <v>10</v>
      </c>
    </row>
    <row r="388" spans="1:13" x14ac:dyDescent="0.3">
      <c r="A388" s="14">
        <v>377</v>
      </c>
      <c r="B388" s="14">
        <v>0.58337378373074555</v>
      </c>
      <c r="C388" s="14">
        <v>1.7216222410354476E-5</v>
      </c>
      <c r="D388" s="14">
        <v>33885.121243547765</v>
      </c>
      <c r="E388" s="14">
        <v>5.2190844993305063E-5</v>
      </c>
      <c r="F388" s="14">
        <v>11177.70336551515</v>
      </c>
      <c r="G388" s="14">
        <v>0.7807708178760685</v>
      </c>
      <c r="H388" s="14">
        <v>30.958101550246891</v>
      </c>
      <c r="I388" s="14">
        <v>30.958100509863765</v>
      </c>
      <c r="J388" s="14">
        <v>0.19739703414532292</v>
      </c>
      <c r="K388" s="14">
        <v>30.95808433402448</v>
      </c>
      <c r="L388" s="14">
        <v>30.958048319018772</v>
      </c>
      <c r="M388" s="14">
        <v>12</v>
      </c>
    </row>
    <row r="389" spans="1:13" x14ac:dyDescent="0.3">
      <c r="A389" s="14">
        <v>378</v>
      </c>
      <c r="B389" s="14">
        <v>0.46000240825455302</v>
      </c>
      <c r="C389" s="14">
        <v>3.6132547599265763E-5</v>
      </c>
      <c r="D389" s="14">
        <v>12730.970795535617</v>
      </c>
      <c r="E389" s="14">
        <v>6.005840667100415E-5</v>
      </c>
      <c r="F389" s="14">
        <v>7659.2509484045222</v>
      </c>
      <c r="G389" s="14">
        <v>0.63798494237253589</v>
      </c>
      <c r="H389" s="14">
        <v>30.958101467928156</v>
      </c>
      <c r="I389" s="14">
        <v>30.958101264835715</v>
      </c>
      <c r="J389" s="14">
        <v>0.17798253411798287</v>
      </c>
      <c r="K389" s="14">
        <v>30.958065335380557</v>
      </c>
      <c r="L389" s="14">
        <v>30.958041206429044</v>
      </c>
      <c r="M389" s="14">
        <v>12</v>
      </c>
    </row>
    <row r="390" spans="1:13" x14ac:dyDescent="0.3">
      <c r="A390" s="14">
        <v>379</v>
      </c>
      <c r="B390" s="14">
        <v>1.1130994885807968</v>
      </c>
      <c r="C390" s="14">
        <v>1.3793750031965146E-5</v>
      </c>
      <c r="D390" s="14">
        <v>80695.930113373048</v>
      </c>
      <c r="E390" s="14">
        <v>5.9924515440457071E-5</v>
      </c>
      <c r="F390" s="14">
        <v>18575.026938462412</v>
      </c>
      <c r="G390" s="14">
        <v>1.1513660377257127</v>
      </c>
      <c r="H390" s="14">
        <v>30.958101484834327</v>
      </c>
      <c r="I390" s="14">
        <v>30.958100116500553</v>
      </c>
      <c r="J390" s="14">
        <v>3.8266549144915882E-2</v>
      </c>
      <c r="K390" s="14">
        <v>30.958087691084295</v>
      </c>
      <c r="L390" s="14">
        <v>30.958040191985113</v>
      </c>
      <c r="M390" s="14">
        <v>9</v>
      </c>
    </row>
    <row r="391" spans="1:13" x14ac:dyDescent="0.3">
      <c r="A391" s="14">
        <v>380</v>
      </c>
      <c r="B391" s="14">
        <v>0.51414405833257015</v>
      </c>
      <c r="C391" s="14">
        <v>8.7476659871299489E-6</v>
      </c>
      <c r="D391" s="14">
        <v>58774.998849865486</v>
      </c>
      <c r="E391" s="14">
        <v>4.2468294051190014E-5</v>
      </c>
      <c r="F391" s="14">
        <v>12106.539003258202</v>
      </c>
      <c r="G391" s="14">
        <v>0.53845230739000183</v>
      </c>
      <c r="H391" s="14">
        <v>30.958101547017829</v>
      </c>
      <c r="I391" s="14">
        <v>30.958100224012501</v>
      </c>
      <c r="J391" s="14">
        <v>2.4308249057431695E-2</v>
      </c>
      <c r="K391" s="14">
        <v>30.958092799351842</v>
      </c>
      <c r="L391" s="14">
        <v>30.95805775571845</v>
      </c>
      <c r="M391" s="14">
        <v>10</v>
      </c>
    </row>
    <row r="392" spans="1:13" x14ac:dyDescent="0.3">
      <c r="A392" s="14">
        <v>381</v>
      </c>
      <c r="B392" s="14">
        <v>0.57345755193707881</v>
      </c>
      <c r="C392" s="14">
        <v>1.7962975917384938E-5</v>
      </c>
      <c r="D392" s="14">
        <v>31924.418012611975</v>
      </c>
      <c r="E392" s="14">
        <v>4.9305629438833876E-5</v>
      </c>
      <c r="F392" s="14">
        <v>11630.67094901368</v>
      </c>
      <c r="G392" s="14">
        <v>0.64908602913082569</v>
      </c>
      <c r="H392" s="14">
        <v>30.958101245715774</v>
      </c>
      <c r="I392" s="14">
        <v>30.958100675639873</v>
      </c>
      <c r="J392" s="14">
        <v>7.5628477193746907E-2</v>
      </c>
      <c r="K392" s="14">
        <v>30.958083282739857</v>
      </c>
      <c r="L392" s="14">
        <v>30.958051370010434</v>
      </c>
      <c r="M392" s="14">
        <v>14</v>
      </c>
    </row>
    <row r="393" spans="1:13" x14ac:dyDescent="0.3">
      <c r="A393" s="14">
        <v>382</v>
      </c>
      <c r="B393" s="14">
        <v>0.42556634480077915</v>
      </c>
      <c r="C393" s="14">
        <v>4.5747440871934941E-5</v>
      </c>
      <c r="D393" s="14">
        <v>9302.5169646561553</v>
      </c>
      <c r="E393" s="14">
        <v>7.1499694499266297E-5</v>
      </c>
      <c r="F393" s="14">
        <v>5952.0022817041008</v>
      </c>
      <c r="G393" s="14">
        <v>0.48531905490726623</v>
      </c>
      <c r="H393" s="14">
        <v>30.958098341401023</v>
      </c>
      <c r="I393" s="14">
        <v>30.958096271619844</v>
      </c>
      <c r="J393" s="14">
        <v>5.9752710106487084E-2</v>
      </c>
      <c r="K393" s="14">
        <v>30.958052593960151</v>
      </c>
      <c r="L393" s="14">
        <v>30.958024771925345</v>
      </c>
      <c r="M393" s="14">
        <v>10</v>
      </c>
    </row>
    <row r="394" spans="1:13" x14ac:dyDescent="0.3">
      <c r="A394" s="14">
        <v>383</v>
      </c>
      <c r="B394" s="14">
        <v>0.40113895900268415</v>
      </c>
      <c r="C394" s="14">
        <v>4.1366790860308811E-5</v>
      </c>
      <c r="D394" s="14">
        <v>9697.1254153431219</v>
      </c>
      <c r="E394" s="14">
        <v>6.3567710022027768E-5</v>
      </c>
      <c r="F394" s="14">
        <v>6310.420162432777</v>
      </c>
      <c r="G394" s="14">
        <v>0.46402407808057278</v>
      </c>
      <c r="H394" s="14">
        <v>30.958100130848862</v>
      </c>
      <c r="I394" s="14">
        <v>30.958098935040645</v>
      </c>
      <c r="J394" s="14">
        <v>6.2885119077888602E-2</v>
      </c>
      <c r="K394" s="14">
        <v>30.958058764058002</v>
      </c>
      <c r="L394" s="14">
        <v>30.958035367330623</v>
      </c>
      <c r="M394" s="14">
        <v>14</v>
      </c>
    </row>
    <row r="395" spans="1:13" x14ac:dyDescent="0.3">
      <c r="A395" s="14">
        <v>384</v>
      </c>
      <c r="B395" s="14">
        <v>0.81068532996633658</v>
      </c>
      <c r="C395" s="14">
        <v>1.1029283711394555E-4</v>
      </c>
      <c r="D395" s="14">
        <v>7350.2989965595198</v>
      </c>
      <c r="E395" s="14">
        <v>1.3591373792820605E-4</v>
      </c>
      <c r="F395" s="14">
        <v>5964.704836493911</v>
      </c>
      <c r="G395" s="14">
        <v>1.0427233852930775</v>
      </c>
      <c r="H395" s="14">
        <v>30.958094919515819</v>
      </c>
      <c r="I395" s="14">
        <v>30.958091649576595</v>
      </c>
      <c r="J395" s="14">
        <v>0.23203805532674093</v>
      </c>
      <c r="K395" s="14">
        <v>30.957984626678705</v>
      </c>
      <c r="L395" s="14">
        <v>30.957955735838667</v>
      </c>
      <c r="M395" s="14">
        <v>14</v>
      </c>
    </row>
    <row r="396" spans="1:13" x14ac:dyDescent="0.3">
      <c r="A396" s="14">
        <v>385</v>
      </c>
      <c r="B396" s="14">
        <v>0.55901498043442244</v>
      </c>
      <c r="C396" s="14">
        <v>7.6163709046284112E-6</v>
      </c>
      <c r="D396" s="14">
        <v>73396.501750553303</v>
      </c>
      <c r="E396" s="14">
        <v>2.8252365780190303E-5</v>
      </c>
      <c r="F396" s="14">
        <v>19786.483892488279</v>
      </c>
      <c r="G396" s="14">
        <v>0.59495703564527214</v>
      </c>
      <c r="H396" s="14">
        <v>30.958101241216728</v>
      </c>
      <c r="I396" s="14">
        <v>30.958099746431397</v>
      </c>
      <c r="J396" s="14">
        <v>3.5942055210849658E-2</v>
      </c>
      <c r="K396" s="14">
        <v>30.958093624845823</v>
      </c>
      <c r="L396" s="14">
        <v>30.958071494065617</v>
      </c>
      <c r="M396" s="14">
        <v>15</v>
      </c>
    </row>
    <row r="397" spans="1:13" x14ac:dyDescent="0.3">
      <c r="A397" s="14">
        <v>386</v>
      </c>
      <c r="B397" s="14">
        <v>0.53457354679463354</v>
      </c>
      <c r="C397" s="14">
        <v>5.1865427554531607E-5</v>
      </c>
      <c r="D397" s="14">
        <v>10306.934156333327</v>
      </c>
      <c r="E397" s="14">
        <v>7.7220981221870488E-5</v>
      </c>
      <c r="F397" s="14">
        <v>6922.6463887929967</v>
      </c>
      <c r="G397" s="14">
        <v>0.64569714577995252</v>
      </c>
      <c r="H397" s="14">
        <v>30.958099657599149</v>
      </c>
      <c r="I397" s="14">
        <v>30.958098688859113</v>
      </c>
      <c r="J397" s="14">
        <v>0.11112359898531902</v>
      </c>
      <c r="K397" s="14">
        <v>30.958047792171595</v>
      </c>
      <c r="L397" s="14">
        <v>30.958021467877892</v>
      </c>
      <c r="M397" s="14">
        <v>12</v>
      </c>
    </row>
    <row r="398" spans="1:13" x14ac:dyDescent="0.3">
      <c r="A398" s="14">
        <v>387</v>
      </c>
      <c r="B398" s="14">
        <v>0.42858777199982434</v>
      </c>
      <c r="C398" s="14">
        <v>1.1592431852491814E-4</v>
      </c>
      <c r="D398" s="14">
        <v>3697.134280825629</v>
      </c>
      <c r="E398" s="14">
        <v>1.3137667465557001E-4</v>
      </c>
      <c r="F398" s="14">
        <v>3262.2820841176876</v>
      </c>
      <c r="G398" s="14">
        <v>1.2164915501858078</v>
      </c>
      <c r="H398" s="14">
        <v>30.958101486881628</v>
      </c>
      <c r="I398" s="14">
        <v>30.958101265702023</v>
      </c>
      <c r="J398" s="14">
        <v>0.78790377818598345</v>
      </c>
      <c r="K398" s="14">
        <v>30.957985562563103</v>
      </c>
      <c r="L398" s="14">
        <v>30.957969889027368</v>
      </c>
      <c r="M398" s="14">
        <v>10</v>
      </c>
    </row>
    <row r="399" spans="1:13" x14ac:dyDescent="0.3">
      <c r="A399" s="14">
        <v>388</v>
      </c>
      <c r="B399" s="14">
        <v>0.26965402603453797</v>
      </c>
      <c r="C399" s="14">
        <v>1.4056891803448934E-5</v>
      </c>
      <c r="D399" s="14">
        <v>19183.047703929606</v>
      </c>
      <c r="E399" s="14">
        <v>3.0400386467732687E-5</v>
      </c>
      <c r="F399" s="14">
        <v>8870.0854616026609</v>
      </c>
      <c r="G399" s="14">
        <v>0.33470900207629217</v>
      </c>
      <c r="H399" s="14">
        <v>30.958100918006128</v>
      </c>
      <c r="I399" s="14">
        <v>30.9580999804441</v>
      </c>
      <c r="J399" s="14">
        <v>6.5054976041754198E-2</v>
      </c>
      <c r="K399" s="14">
        <v>30.958086861114325</v>
      </c>
      <c r="L399" s="14">
        <v>30.958069580057632</v>
      </c>
      <c r="M399" s="14">
        <v>10</v>
      </c>
    </row>
    <row r="400" spans="1:13" x14ac:dyDescent="0.3">
      <c r="A400" s="14">
        <v>389</v>
      </c>
      <c r="B400" s="14">
        <v>0.75080675934229046</v>
      </c>
      <c r="C400" s="14">
        <v>4.3055817375403649E-5</v>
      </c>
      <c r="D400" s="14">
        <v>17437.986435050268</v>
      </c>
      <c r="E400" s="14">
        <v>7.0917614074517132E-5</v>
      </c>
      <c r="F400" s="14">
        <v>10587.027907529087</v>
      </c>
      <c r="G400" s="14">
        <v>0.87968235165323905</v>
      </c>
      <c r="H400" s="14">
        <v>30.958101335018846</v>
      </c>
      <c r="I400" s="14">
        <v>30.958099083269975</v>
      </c>
      <c r="J400" s="14">
        <v>0.12887559231094861</v>
      </c>
      <c r="K400" s="14">
        <v>30.95805827920147</v>
      </c>
      <c r="L400" s="14">
        <v>30.9580281656559</v>
      </c>
      <c r="M400" s="14">
        <v>11</v>
      </c>
    </row>
    <row r="401" spans="1:13" x14ac:dyDescent="0.3">
      <c r="A401" s="14">
        <v>390</v>
      </c>
      <c r="B401" s="14">
        <v>0.13038937315897781</v>
      </c>
      <c r="C401" s="14">
        <v>7.8115170609294182E-5</v>
      </c>
      <c r="D401" s="14">
        <v>1669.1939880812859</v>
      </c>
      <c r="E401" s="14">
        <v>9.46342204741768E-5</v>
      </c>
      <c r="F401" s="14">
        <v>1377.8247710568678</v>
      </c>
      <c r="G401" s="14">
        <v>0.78484003723024842</v>
      </c>
      <c r="H401" s="14">
        <v>30.958101041468918</v>
      </c>
      <c r="I401" s="14">
        <v>30.958099945262152</v>
      </c>
      <c r="J401" s="14">
        <v>0.65445066407127062</v>
      </c>
      <c r="K401" s="14">
        <v>30.958022926298309</v>
      </c>
      <c r="L401" s="14">
        <v>30.958005311041678</v>
      </c>
      <c r="M401" s="14">
        <v>12</v>
      </c>
    </row>
    <row r="402" spans="1:13" x14ac:dyDescent="0.3">
      <c r="A402" s="14">
        <v>391</v>
      </c>
      <c r="B402" s="14">
        <v>0.44293593400373998</v>
      </c>
      <c r="C402" s="14">
        <v>5.3765315005449565E-5</v>
      </c>
      <c r="D402" s="14">
        <v>8238.3211919960795</v>
      </c>
      <c r="E402" s="14">
        <v>7.8169641405168022E-5</v>
      </c>
      <c r="F402" s="14">
        <v>5666.3421507579824</v>
      </c>
      <c r="G402" s="14">
        <v>0.57721881381790774</v>
      </c>
      <c r="H402" s="14">
        <v>30.958099704352041</v>
      </c>
      <c r="I402" s="14">
        <v>30.95809853460737</v>
      </c>
      <c r="J402" s="14">
        <v>0.13428287981416775</v>
      </c>
      <c r="K402" s="14">
        <v>30.958045939037035</v>
      </c>
      <c r="L402" s="14">
        <v>30.958020364965964</v>
      </c>
      <c r="M402" s="14">
        <v>9</v>
      </c>
    </row>
    <row r="403" spans="1:13" x14ac:dyDescent="0.3">
      <c r="A403" s="14">
        <v>392</v>
      </c>
      <c r="B403" s="14">
        <v>0.39093779266072293</v>
      </c>
      <c r="C403" s="14">
        <v>3.1973237032190127E-5</v>
      </c>
      <c r="D403" s="14">
        <v>12227.032010150653</v>
      </c>
      <c r="E403" s="14">
        <v>4.823307082446604E-5</v>
      </c>
      <c r="F403" s="14">
        <v>8105.1814860276581</v>
      </c>
      <c r="G403" s="14">
        <v>0.44920951218792915</v>
      </c>
      <c r="H403" s="14">
        <v>30.958099266761526</v>
      </c>
      <c r="I403" s="14">
        <v>30.958096951895644</v>
      </c>
      <c r="J403" s="14">
        <v>5.8271719527206209E-2</v>
      </c>
      <c r="K403" s="14">
        <v>30.958067293524493</v>
      </c>
      <c r="L403" s="14">
        <v>30.95804871882482</v>
      </c>
      <c r="M403" s="14">
        <v>11</v>
      </c>
    </row>
    <row r="404" spans="1:13" x14ac:dyDescent="0.3">
      <c r="A404" s="14">
        <v>393</v>
      </c>
      <c r="B404" s="14">
        <v>0.73834990348000618</v>
      </c>
      <c r="C404" s="14">
        <v>2.8127569418501253E-5</v>
      </c>
      <c r="D404" s="14">
        <v>26250.042884770111</v>
      </c>
      <c r="E404" s="14">
        <v>6.1653547607676273E-5</v>
      </c>
      <c r="F404" s="14">
        <v>11975.78942542597</v>
      </c>
      <c r="G404" s="14">
        <v>0.90349045897726921</v>
      </c>
      <c r="H404" s="14">
        <v>30.958101028739733</v>
      </c>
      <c r="I404" s="14">
        <v>30.958100326396892</v>
      </c>
      <c r="J404" s="14">
        <v>0.16514055549726303</v>
      </c>
      <c r="K404" s="14">
        <v>30.958072901170315</v>
      </c>
      <c r="L404" s="14">
        <v>30.958038672849284</v>
      </c>
      <c r="M404" s="14">
        <v>13</v>
      </c>
    </row>
    <row r="405" spans="1:13" x14ac:dyDescent="0.3">
      <c r="A405" s="14">
        <v>394</v>
      </c>
      <c r="B405" s="14">
        <v>0.68769544722554743</v>
      </c>
      <c r="C405" s="14">
        <v>2.1396084203928467E-5</v>
      </c>
      <c r="D405" s="14">
        <v>32141.182501949672</v>
      </c>
      <c r="E405" s="14">
        <v>3.9901708536405067E-5</v>
      </c>
      <c r="F405" s="14">
        <v>17234.736868425462</v>
      </c>
      <c r="G405" s="14">
        <v>0.72646675512788117</v>
      </c>
      <c r="H405" s="14">
        <v>30.958100708525905</v>
      </c>
      <c r="I405" s="14">
        <v>30.95809963687903</v>
      </c>
      <c r="J405" s="14">
        <v>3.8771307902333685E-2</v>
      </c>
      <c r="K405" s="14">
        <v>30.958079312441701</v>
      </c>
      <c r="L405" s="14">
        <v>30.958059735170494</v>
      </c>
      <c r="M405" s="14">
        <v>13</v>
      </c>
    </row>
    <row r="406" spans="1:13" x14ac:dyDescent="0.3">
      <c r="A406" s="14">
        <v>395</v>
      </c>
      <c r="B406" s="14">
        <v>0.79932623285300464</v>
      </c>
      <c r="C406" s="14">
        <v>1.5239305025716021E-4</v>
      </c>
      <c r="D406" s="14">
        <v>5245.1619775584104</v>
      </c>
      <c r="E406" s="14">
        <v>1.9166148046068088E-4</v>
      </c>
      <c r="F406" s="14">
        <v>4170.5105842432722</v>
      </c>
      <c r="G406" s="14">
        <v>0.9976134312747722</v>
      </c>
      <c r="H406" s="14">
        <v>30.958100953157679</v>
      </c>
      <c r="I406" s="14">
        <v>30.958100184741799</v>
      </c>
      <c r="J406" s="14">
        <v>0.19828719842176754</v>
      </c>
      <c r="K406" s="14">
        <v>30.957948560107422</v>
      </c>
      <c r="L406" s="14">
        <v>30.957908523261338</v>
      </c>
      <c r="M406" s="14">
        <v>10</v>
      </c>
    </row>
    <row r="407" spans="1:13" x14ac:dyDescent="0.3">
      <c r="A407" s="14">
        <v>396</v>
      </c>
      <c r="B407" s="14">
        <v>0.31861254660036675</v>
      </c>
      <c r="C407" s="14">
        <v>4.8436374530780313E-5</v>
      </c>
      <c r="D407" s="14">
        <v>6577.9602558382039</v>
      </c>
      <c r="E407" s="14">
        <v>5.7316050519062856E-5</v>
      </c>
      <c r="F407" s="14">
        <v>5558.8712710482168</v>
      </c>
      <c r="G407" s="14">
        <v>0.51430649232159875</v>
      </c>
      <c r="H407" s="14">
        <v>30.958101478937692</v>
      </c>
      <c r="I407" s="14">
        <v>30.958100722795486</v>
      </c>
      <c r="J407" s="14">
        <v>0.19569394572123203</v>
      </c>
      <c r="K407" s="14">
        <v>30.958053042563161</v>
      </c>
      <c r="L407" s="14">
        <v>30.958043406744967</v>
      </c>
      <c r="M407" s="14">
        <v>13</v>
      </c>
    </row>
    <row r="408" spans="1:13" x14ac:dyDescent="0.3">
      <c r="A408" s="14">
        <v>397</v>
      </c>
      <c r="B408" s="14">
        <v>0.62631099952947389</v>
      </c>
      <c r="C408" s="14">
        <v>3.9537799040090249E-5</v>
      </c>
      <c r="D408" s="14">
        <v>15840.815997228668</v>
      </c>
      <c r="E408" s="14">
        <v>8.2043994048319746E-5</v>
      </c>
      <c r="F408" s="14">
        <v>7633.8433640932753</v>
      </c>
      <c r="G408" s="14">
        <v>0.78461780662592329</v>
      </c>
      <c r="H408" s="14">
        <v>30.958100820321889</v>
      </c>
      <c r="I408" s="14">
        <v>30.958099077759574</v>
      </c>
      <c r="J408" s="14">
        <v>0.15830680709644943</v>
      </c>
      <c r="K408" s="14">
        <v>30.958061282522849</v>
      </c>
      <c r="L408" s="14">
        <v>30.958017033765525</v>
      </c>
      <c r="M408" s="14">
        <v>10</v>
      </c>
    </row>
    <row r="409" spans="1:13" x14ac:dyDescent="0.3">
      <c r="A409" s="14">
        <v>398</v>
      </c>
      <c r="B409" s="14">
        <v>0.64325583405171993</v>
      </c>
      <c r="C409" s="14">
        <v>1.4629096309448641E-5</v>
      </c>
      <c r="D409" s="14">
        <v>43970.989078543003</v>
      </c>
      <c r="E409" s="14">
        <v>3.9000471453221053E-5</v>
      </c>
      <c r="F409" s="14">
        <v>16493.539951773924</v>
      </c>
      <c r="G409" s="14">
        <v>0.67018136520928273</v>
      </c>
      <c r="H409" s="14">
        <v>30.958101543984302</v>
      </c>
      <c r="I409" s="14">
        <v>30.958101116699613</v>
      </c>
      <c r="J409" s="14">
        <v>2.6925531157562781E-2</v>
      </c>
      <c r="K409" s="14">
        <v>30.958086914887993</v>
      </c>
      <c r="L409" s="14">
        <v>30.95806211622816</v>
      </c>
      <c r="M409" s="14">
        <v>11</v>
      </c>
    </row>
    <row r="410" spans="1:13" x14ac:dyDescent="0.3">
      <c r="A410" s="14">
        <v>399</v>
      </c>
      <c r="B410" s="14">
        <v>0.92965990741880289</v>
      </c>
      <c r="C410" s="14">
        <v>3.063271768866116E-5</v>
      </c>
      <c r="D410" s="14">
        <v>30348.59384229303</v>
      </c>
      <c r="E410" s="14">
        <v>5.6973871146226429E-5</v>
      </c>
      <c r="F410" s="14">
        <v>16317.30280417109</v>
      </c>
      <c r="G410" s="14">
        <v>1.0414723845693055</v>
      </c>
      <c r="H410" s="14">
        <v>30.958100247883682</v>
      </c>
      <c r="I410" s="14">
        <v>30.958099117584844</v>
      </c>
      <c r="J410" s="14">
        <v>0.11181247715050259</v>
      </c>
      <c r="K410" s="14">
        <v>30.958069615165993</v>
      </c>
      <c r="L410" s="14">
        <v>30.958042143713698</v>
      </c>
      <c r="M410" s="14">
        <v>13</v>
      </c>
    </row>
    <row r="411" spans="1:13" x14ac:dyDescent="0.3">
      <c r="A411" s="14">
        <v>400</v>
      </c>
      <c r="B411" s="14">
        <v>0.79741439864817643</v>
      </c>
      <c r="C411" s="14">
        <v>2.035806383560157E-5</v>
      </c>
      <c r="D411" s="14">
        <v>39169.461550350483</v>
      </c>
      <c r="E411" s="14">
        <v>5.2551269487111085E-5</v>
      </c>
      <c r="F411" s="14">
        <v>15174.02731524408</v>
      </c>
      <c r="G411" s="14">
        <v>0.91079796848748351</v>
      </c>
      <c r="H411" s="14">
        <v>30.958100608877402</v>
      </c>
      <c r="I411" s="14">
        <v>30.958096294891451</v>
      </c>
      <c r="J411" s="14">
        <v>0.11338356983930707</v>
      </c>
      <c r="K411" s="14">
        <v>30.958080250813566</v>
      </c>
      <c r="L411" s="14">
        <v>30.958043743621964</v>
      </c>
      <c r="M411" s="14">
        <v>10</v>
      </c>
    </row>
    <row r="412" spans="1:13" x14ac:dyDescent="0.3">
      <c r="A412" s="14">
        <v>401</v>
      </c>
      <c r="B412" s="14">
        <v>0.48095100280852077</v>
      </c>
      <c r="C412" s="14">
        <v>1.5768966129314776E-5</v>
      </c>
      <c r="D412" s="14">
        <v>30499.843735121267</v>
      </c>
      <c r="E412" s="14">
        <v>3.1263185285013151E-5</v>
      </c>
      <c r="F412" s="14">
        <v>15383.941157111638</v>
      </c>
      <c r="G412" s="14">
        <v>0.50167153555924182</v>
      </c>
      <c r="H412" s="14">
        <v>30.958101255535727</v>
      </c>
      <c r="I412" s="14">
        <v>30.958099679264546</v>
      </c>
      <c r="J412" s="14">
        <v>2.0720532750721044E-2</v>
      </c>
      <c r="K412" s="14">
        <v>30.958085486569598</v>
      </c>
      <c r="L412" s="14">
        <v>30.958068416079261</v>
      </c>
      <c r="M412" s="14">
        <v>10</v>
      </c>
    </row>
    <row r="413" spans="1:13" x14ac:dyDescent="0.3">
      <c r="A413" s="14">
        <v>402</v>
      </c>
      <c r="B413" s="14">
        <v>7.5731783768165806E-2</v>
      </c>
      <c r="C413" s="14">
        <v>4.1772732604528073E-5</v>
      </c>
      <c r="D413" s="14">
        <v>1812.9478022215058</v>
      </c>
      <c r="E413" s="14">
        <v>5.4901932514894725E-5</v>
      </c>
      <c r="F413" s="14">
        <v>1379.4010574695164</v>
      </c>
      <c r="G413" s="14">
        <v>0.43273148253074362</v>
      </c>
      <c r="H413" s="14">
        <v>30.958101340356034</v>
      </c>
      <c r="I413" s="14">
        <v>30.958100769278101</v>
      </c>
      <c r="J413" s="14">
        <v>0.35699969876257781</v>
      </c>
      <c r="K413" s="14">
        <v>30.95805956762343</v>
      </c>
      <c r="L413" s="14">
        <v>30.958045867345586</v>
      </c>
      <c r="M413" s="14">
        <v>10</v>
      </c>
    </row>
    <row r="414" spans="1:13" x14ac:dyDescent="0.3">
      <c r="A414" s="14">
        <v>403</v>
      </c>
      <c r="B414" s="14">
        <v>0.46386564973879735</v>
      </c>
      <c r="C414" s="14">
        <v>4.9554923823080799E-5</v>
      </c>
      <c r="D414" s="14">
        <v>9360.6369246953891</v>
      </c>
      <c r="E414" s="14">
        <v>6.8438141838100819E-5</v>
      </c>
      <c r="F414" s="14">
        <v>6777.8820008896628</v>
      </c>
      <c r="G414" s="14">
        <v>0.59429450264711958</v>
      </c>
      <c r="H414" s="14">
        <v>30.958099440666579</v>
      </c>
      <c r="I414" s="14">
        <v>30.958098473897639</v>
      </c>
      <c r="J414" s="14">
        <v>0.13042885290832223</v>
      </c>
      <c r="K414" s="14">
        <v>30.958049885742756</v>
      </c>
      <c r="L414" s="14">
        <v>30.958030035755801</v>
      </c>
      <c r="M414" s="14">
        <v>15</v>
      </c>
    </row>
    <row r="415" spans="1:13" x14ac:dyDescent="0.3">
      <c r="A415" s="14">
        <v>404</v>
      </c>
      <c r="B415" s="14">
        <v>0.40357541039424716</v>
      </c>
      <c r="C415" s="14">
        <v>7.6825963191140545E-6</v>
      </c>
      <c r="D415" s="14">
        <v>52531.122765121007</v>
      </c>
      <c r="E415" s="14">
        <v>4.1190966104664994E-5</v>
      </c>
      <c r="F415" s="14">
        <v>9797.6679976083669</v>
      </c>
      <c r="G415" s="14">
        <v>0.43375461989504072</v>
      </c>
      <c r="H415" s="14">
        <v>30.958101547805047</v>
      </c>
      <c r="I415" s="14">
        <v>30.958100190935347</v>
      </c>
      <c r="J415" s="14">
        <v>3.0179209500793565E-2</v>
      </c>
      <c r="K415" s="14">
        <v>30.958093865208728</v>
      </c>
      <c r="L415" s="14">
        <v>30.958058999969243</v>
      </c>
      <c r="M415" s="14">
        <v>14</v>
      </c>
    </row>
    <row r="416" spans="1:13" x14ac:dyDescent="0.3">
      <c r="A416" s="14">
        <v>405</v>
      </c>
      <c r="B416" s="14">
        <v>0.47105803548792413</v>
      </c>
      <c r="C416" s="14">
        <v>1.0545029832442765E-4</v>
      </c>
      <c r="D416" s="14">
        <v>4467.1095575156205</v>
      </c>
      <c r="E416" s="14">
        <v>1.3025215617545882E-4</v>
      </c>
      <c r="F416" s="14">
        <v>3616.5085425025577</v>
      </c>
      <c r="G416" s="14">
        <v>0.62369880123848387</v>
      </c>
      <c r="H416" s="14">
        <v>30.958098115358094</v>
      </c>
      <c r="I416" s="14">
        <v>30.958094417889836</v>
      </c>
      <c r="J416" s="14">
        <v>0.15264076575055976</v>
      </c>
      <c r="K416" s="14">
        <v>30.95799266505977</v>
      </c>
      <c r="L416" s="14">
        <v>30.95796416573366</v>
      </c>
      <c r="M416" s="14">
        <v>10</v>
      </c>
    </row>
    <row r="417" spans="1:13" x14ac:dyDescent="0.3">
      <c r="A417" s="14">
        <v>406</v>
      </c>
      <c r="B417" s="14">
        <v>0.21362619471893965</v>
      </c>
      <c r="C417" s="14">
        <v>6.1240692009079112E-5</v>
      </c>
      <c r="D417" s="14">
        <v>3488.3047155520212</v>
      </c>
      <c r="E417" s="14">
        <v>7.1249262266093183E-5</v>
      </c>
      <c r="F417" s="14">
        <v>2998.2934268303607</v>
      </c>
      <c r="G417" s="14">
        <v>0.43960580140485256</v>
      </c>
      <c r="H417" s="14">
        <v>30.958101431644888</v>
      </c>
      <c r="I417" s="14">
        <v>30.958101284390477</v>
      </c>
      <c r="J417" s="14">
        <v>0.22597960668591291</v>
      </c>
      <c r="K417" s="14">
        <v>30.958040190952879</v>
      </c>
      <c r="L417" s="14">
        <v>30.95803003512821</v>
      </c>
      <c r="M417" s="14">
        <v>15</v>
      </c>
    </row>
    <row r="418" spans="1:13" x14ac:dyDescent="0.3">
      <c r="A418" s="14">
        <v>407</v>
      </c>
      <c r="B418" s="14">
        <v>0.56756120780381025</v>
      </c>
      <c r="C418" s="14">
        <v>1.1483798449063443E-5</v>
      </c>
      <c r="D418" s="14">
        <v>49422.776820860832</v>
      </c>
      <c r="E418" s="14">
        <v>3.4436048835573274E-5</v>
      </c>
      <c r="F418" s="14">
        <v>16481.600735143162</v>
      </c>
      <c r="G418" s="14">
        <v>0.63422679494552914</v>
      </c>
      <c r="H418" s="14">
        <v>30.958100745617703</v>
      </c>
      <c r="I418" s="14">
        <v>30.9580984534777</v>
      </c>
      <c r="J418" s="14">
        <v>6.6665587141718899E-2</v>
      </c>
      <c r="K418" s="14">
        <v>30.958089261819254</v>
      </c>
      <c r="L418" s="14">
        <v>30.958064017428864</v>
      </c>
      <c r="M418" s="14">
        <v>15</v>
      </c>
    </row>
    <row r="419" spans="1:13" x14ac:dyDescent="0.3">
      <c r="A419" s="14">
        <v>408</v>
      </c>
      <c r="B419" s="14">
        <v>0.58558698346222271</v>
      </c>
      <c r="C419" s="14">
        <v>7.6109658429857063E-5</v>
      </c>
      <c r="D419" s="14">
        <v>7693.9904283225997</v>
      </c>
      <c r="E419" s="14">
        <v>9.3499839088906356E-5</v>
      </c>
      <c r="F419" s="14">
        <v>6262.9731683859327</v>
      </c>
      <c r="G419" s="14">
        <v>0.68694108151114586</v>
      </c>
      <c r="H419" s="14">
        <v>30.958101394040838</v>
      </c>
      <c r="I419" s="14">
        <v>30.958101248761093</v>
      </c>
      <c r="J419" s="14">
        <v>0.10135409804892312</v>
      </c>
      <c r="K419" s="14">
        <v>30.958025284382408</v>
      </c>
      <c r="L419" s="14">
        <v>30.958007748922004</v>
      </c>
      <c r="M419" s="14">
        <v>10</v>
      </c>
    </row>
    <row r="420" spans="1:13" x14ac:dyDescent="0.3">
      <c r="A420" s="14">
        <v>409</v>
      </c>
      <c r="B420" s="14">
        <v>0.25926880059932023</v>
      </c>
      <c r="C420" s="14">
        <v>6.8034304398167933E-5</v>
      </c>
      <c r="D420" s="14">
        <v>3810.8539933319576</v>
      </c>
      <c r="E420" s="14">
        <v>9.8159340229386771E-5</v>
      </c>
      <c r="F420" s="14">
        <v>2641.3054528834414</v>
      </c>
      <c r="G420" s="14">
        <v>0.35842749338793112</v>
      </c>
      <c r="H420" s="14">
        <v>30.958098053329614</v>
      </c>
      <c r="I420" s="14">
        <v>30.958093032169725</v>
      </c>
      <c r="J420" s="14">
        <v>9.9158692788610864E-2</v>
      </c>
      <c r="K420" s="14">
        <v>30.958030019025216</v>
      </c>
      <c r="L420" s="14">
        <v>30.957994872829495</v>
      </c>
      <c r="M420" s="14">
        <v>10</v>
      </c>
    </row>
    <row r="421" spans="1:13" x14ac:dyDescent="0.3">
      <c r="A421" s="14">
        <v>410</v>
      </c>
      <c r="B421" s="14">
        <v>0.66878971062107839</v>
      </c>
      <c r="C421" s="14">
        <v>1.2751544979039409E-5</v>
      </c>
      <c r="D421" s="14">
        <v>52447.739604919559</v>
      </c>
      <c r="E421" s="14">
        <v>5.4409130850530119E-5</v>
      </c>
      <c r="F421" s="14">
        <v>12291.865357275088</v>
      </c>
      <c r="G421" s="14">
        <v>0.79757361882667244</v>
      </c>
      <c r="H421" s="14">
        <v>30.958101495020546</v>
      </c>
      <c r="I421" s="14">
        <v>30.958099477857949</v>
      </c>
      <c r="J421" s="14">
        <v>0.12878390820559407</v>
      </c>
      <c r="K421" s="14">
        <v>30.958088743475567</v>
      </c>
      <c r="L421" s="14">
        <v>30.958045068727099</v>
      </c>
      <c r="M421" s="14">
        <v>9</v>
      </c>
    </row>
    <row r="422" spans="1:13" x14ac:dyDescent="0.3">
      <c r="A422" s="14">
        <v>411</v>
      </c>
      <c r="B422" s="14">
        <v>0.82535687338278307</v>
      </c>
      <c r="C422" s="14">
        <v>1.92027615923962E-5</v>
      </c>
      <c r="D422" s="14">
        <v>42981.15504957387</v>
      </c>
      <c r="E422" s="14">
        <v>6.7811094901060187E-5</v>
      </c>
      <c r="F422" s="14">
        <v>12171.413462458031</v>
      </c>
      <c r="G422" s="14">
        <v>0.86696641463499058</v>
      </c>
      <c r="H422" s="14">
        <v>30.95810137859641</v>
      </c>
      <c r="I422" s="14">
        <v>30.958100704601051</v>
      </c>
      <c r="J422" s="14">
        <v>4.1609541252207546E-2</v>
      </c>
      <c r="K422" s="14">
        <v>30.958082175834818</v>
      </c>
      <c r="L422" s="14">
        <v>30.95803289350615</v>
      </c>
      <c r="M422" s="14">
        <v>11</v>
      </c>
    </row>
    <row r="423" spans="1:13" x14ac:dyDescent="0.3">
      <c r="A423" s="14">
        <v>412</v>
      </c>
      <c r="B423" s="14">
        <v>0.44899056430037276</v>
      </c>
      <c r="C423" s="14">
        <v>6.3751747241269641E-6</v>
      </c>
      <c r="D423" s="14">
        <v>70427.962170379396</v>
      </c>
      <c r="E423" s="14">
        <v>2.6782969619887353E-5</v>
      </c>
      <c r="F423" s="14">
        <v>16764.032169419352</v>
      </c>
      <c r="G423" s="14">
        <v>0.47636480220725663</v>
      </c>
      <c r="H423" s="14">
        <v>30.958101344762841</v>
      </c>
      <c r="I423" s="14">
        <v>30.958099784221901</v>
      </c>
      <c r="J423" s="14">
        <v>2.7374237906883883E-2</v>
      </c>
      <c r="K423" s="14">
        <v>30.958094969588117</v>
      </c>
      <c r="L423" s="14">
        <v>30.958073001252281</v>
      </c>
      <c r="M423" s="14">
        <v>11</v>
      </c>
    </row>
    <row r="424" spans="1:13" x14ac:dyDescent="0.3">
      <c r="A424" s="14">
        <v>413</v>
      </c>
      <c r="B424" s="14">
        <v>0.95267602655251371</v>
      </c>
      <c r="C424" s="14">
        <v>2.0186749427608675E-5</v>
      </c>
      <c r="D424" s="14">
        <v>47193.136763741357</v>
      </c>
      <c r="E424" s="14">
        <v>5.330682505899631E-5</v>
      </c>
      <c r="F424" s="14">
        <v>17871.55820100255</v>
      </c>
      <c r="G424" s="14">
        <v>1.0013277078149461</v>
      </c>
      <c r="H424" s="14">
        <v>30.958101489599397</v>
      </c>
      <c r="I424" s="14">
        <v>30.958101182466169</v>
      </c>
      <c r="J424" s="14">
        <v>4.8651681262432377E-2</v>
      </c>
      <c r="K424" s="14">
        <v>30.958081302849969</v>
      </c>
      <c r="L424" s="14">
        <v>30.95804787564111</v>
      </c>
      <c r="M424" s="14">
        <v>14</v>
      </c>
    </row>
    <row r="425" spans="1:13" x14ac:dyDescent="0.3">
      <c r="A425" s="14">
        <v>414</v>
      </c>
      <c r="B425" s="14">
        <v>0.42900219262594197</v>
      </c>
      <c r="C425" s="14">
        <v>5.4169244034341091E-5</v>
      </c>
      <c r="D425" s="14">
        <v>7919.6636444468759</v>
      </c>
      <c r="E425" s="14">
        <v>7.4775643589930496E-5</v>
      </c>
      <c r="F425" s="14">
        <v>5737.1915777627974</v>
      </c>
      <c r="G425" s="14">
        <v>0.50300392992816334</v>
      </c>
      <c r="H425" s="14">
        <v>30.958100598848134</v>
      </c>
      <c r="I425" s="14">
        <v>30.958100078643103</v>
      </c>
      <c r="J425" s="14">
        <v>7.4001737302221357E-2</v>
      </c>
      <c r="K425" s="14">
        <v>30.958046429604099</v>
      </c>
      <c r="L425" s="14">
        <v>30.958025302999513</v>
      </c>
      <c r="M425" s="14">
        <v>11</v>
      </c>
    </row>
    <row r="426" spans="1:13" x14ac:dyDescent="0.3">
      <c r="A426" s="14">
        <v>415</v>
      </c>
      <c r="B426" s="14">
        <v>0.78434265784494206</v>
      </c>
      <c r="C426" s="14">
        <v>3.5633371119558888E-5</v>
      </c>
      <c r="D426" s="14">
        <v>22011.463782454823</v>
      </c>
      <c r="E426" s="14">
        <v>7.5070239592633925E-5</v>
      </c>
      <c r="F426" s="14">
        <v>10448.117151365848</v>
      </c>
      <c r="G426" s="14">
        <v>0.87536841135307664</v>
      </c>
      <c r="H426" s="14">
        <v>30.958100979057178</v>
      </c>
      <c r="I426" s="14">
        <v>30.958099411619663</v>
      </c>
      <c r="J426" s="14">
        <v>9.1025753508134563E-2</v>
      </c>
      <c r="K426" s="14">
        <v>30.958065345686059</v>
      </c>
      <c r="L426" s="14">
        <v>30.958024341380071</v>
      </c>
      <c r="M426" s="14">
        <v>14</v>
      </c>
    </row>
    <row r="427" spans="1:13" x14ac:dyDescent="0.3">
      <c r="A427" s="14">
        <v>416</v>
      </c>
      <c r="B427" s="14">
        <v>0.52748775390332048</v>
      </c>
      <c r="C427" s="14">
        <v>1.4112180991787682E-5</v>
      </c>
      <c r="D427" s="14">
        <v>37378.187978901493</v>
      </c>
      <c r="E427" s="14">
        <v>2.9609870502156355E-5</v>
      </c>
      <c r="F427" s="14">
        <v>17814.59172085558</v>
      </c>
      <c r="G427" s="14">
        <v>0.62749295831684582</v>
      </c>
      <c r="H427" s="14">
        <v>30.958101505355152</v>
      </c>
      <c r="I427" s="14">
        <v>30.958100373264116</v>
      </c>
      <c r="J427" s="14">
        <v>0.10000520441352534</v>
      </c>
      <c r="K427" s="14">
        <v>30.958087393174161</v>
      </c>
      <c r="L427" s="14">
        <v>30.958070763393614</v>
      </c>
      <c r="M427" s="14">
        <v>14</v>
      </c>
    </row>
    <row r="428" spans="1:13" x14ac:dyDescent="0.3">
      <c r="A428" s="14">
        <v>417</v>
      </c>
      <c r="B428" s="14">
        <v>0.47463597971622429</v>
      </c>
      <c r="C428" s="14">
        <v>1.0142188891393289E-5</v>
      </c>
      <c r="D428" s="14">
        <v>46798.179840547309</v>
      </c>
      <c r="E428" s="14">
        <v>4.0690361821305032E-5</v>
      </c>
      <c r="F428" s="14">
        <v>11664.579975981193</v>
      </c>
      <c r="G428" s="14">
        <v>0.51481741064891096</v>
      </c>
      <c r="H428" s="14">
        <v>30.958101421469191</v>
      </c>
      <c r="I428" s="14">
        <v>30.958100477213058</v>
      </c>
      <c r="J428" s="14">
        <v>4.0181430932686654E-2</v>
      </c>
      <c r="K428" s="14">
        <v>30.9580912792803</v>
      </c>
      <c r="L428" s="14">
        <v>30.958059786851237</v>
      </c>
      <c r="M428" s="14">
        <v>9</v>
      </c>
    </row>
    <row r="429" spans="1:13" x14ac:dyDescent="0.3">
      <c r="A429" s="14">
        <v>418</v>
      </c>
      <c r="B429" s="14">
        <v>0.5760679961386761</v>
      </c>
      <c r="C429" s="14">
        <v>4.3852767184660024E-5</v>
      </c>
      <c r="D429" s="14">
        <v>13136.411522513643</v>
      </c>
      <c r="E429" s="14">
        <v>5.7590983967514831E-5</v>
      </c>
      <c r="F429" s="14">
        <v>10002.74620179466</v>
      </c>
      <c r="G429" s="14">
        <v>0.74236785106955538</v>
      </c>
      <c r="H429" s="14">
        <v>30.958100426190121</v>
      </c>
      <c r="I429" s="14">
        <v>30.95809947733289</v>
      </c>
      <c r="J429" s="14">
        <v>0.16629985493087926</v>
      </c>
      <c r="K429" s="14">
        <v>30.958056573422937</v>
      </c>
      <c r="L429" s="14">
        <v>30.958041886348923</v>
      </c>
      <c r="M429" s="14">
        <v>12</v>
      </c>
    </row>
    <row r="430" spans="1:13" x14ac:dyDescent="0.3">
      <c r="A430" s="14">
        <v>419</v>
      </c>
      <c r="B430" s="14">
        <v>0.81400458840344536</v>
      </c>
      <c r="C430" s="14">
        <v>3.0302294607764679E-5</v>
      </c>
      <c r="D430" s="14">
        <v>26862.803590948664</v>
      </c>
      <c r="E430" s="14">
        <v>6.0362642880562589E-5</v>
      </c>
      <c r="F430" s="14">
        <v>13485.237715884761</v>
      </c>
      <c r="G430" s="14">
        <v>0.96135541987121387</v>
      </c>
      <c r="H430" s="14">
        <v>30.958101159950665</v>
      </c>
      <c r="I430" s="14">
        <v>30.958099568652688</v>
      </c>
      <c r="J430" s="14">
        <v>0.14735083146776851</v>
      </c>
      <c r="K430" s="14">
        <v>30.958070857656057</v>
      </c>
      <c r="L430" s="14">
        <v>30.958039206009808</v>
      </c>
      <c r="M430" s="14">
        <v>9</v>
      </c>
    </row>
    <row r="431" spans="1:13" x14ac:dyDescent="0.3">
      <c r="A431" s="14">
        <v>420</v>
      </c>
      <c r="B431" s="14">
        <v>0.44597671127848737</v>
      </c>
      <c r="C431" s="14">
        <v>4.1655455838451871E-5</v>
      </c>
      <c r="D431" s="14">
        <v>10706.321712288389</v>
      </c>
      <c r="E431" s="14">
        <v>5.8248231859181487E-5</v>
      </c>
      <c r="F431" s="14">
        <v>7656.4849617523532</v>
      </c>
      <c r="G431" s="14">
        <v>0.55479391122628796</v>
      </c>
      <c r="H431" s="14">
        <v>30.958101366720403</v>
      </c>
      <c r="I431" s="14">
        <v>30.958100343751738</v>
      </c>
      <c r="J431" s="14">
        <v>0.10881719994780062</v>
      </c>
      <c r="K431" s="14">
        <v>30.958059711264564</v>
      </c>
      <c r="L431" s="14">
        <v>30.958042095519879</v>
      </c>
      <c r="M431" s="14">
        <v>15</v>
      </c>
    </row>
    <row r="432" spans="1:13" x14ac:dyDescent="0.3">
      <c r="A432" s="14">
        <v>421</v>
      </c>
      <c r="B432" s="14">
        <v>0.63377256229335277</v>
      </c>
      <c r="C432" s="14">
        <v>3.4268571411644189E-5</v>
      </c>
      <c r="D432" s="14">
        <v>18494.280216128354</v>
      </c>
      <c r="E432" s="14">
        <v>6.7069692242682777E-5</v>
      </c>
      <c r="F432" s="14">
        <v>9449.4628065405595</v>
      </c>
      <c r="G432" s="14">
        <v>0.7120886467022709</v>
      </c>
      <c r="H432" s="14">
        <v>30.958101070656333</v>
      </c>
      <c r="I432" s="14">
        <v>30.958097675551969</v>
      </c>
      <c r="J432" s="14">
        <v>7.8316084408918102E-2</v>
      </c>
      <c r="K432" s="14">
        <v>30.958066802084922</v>
      </c>
      <c r="L432" s="14">
        <v>30.958030605859726</v>
      </c>
      <c r="M432" s="14">
        <v>10</v>
      </c>
    </row>
    <row r="433" spans="1:13" x14ac:dyDescent="0.3">
      <c r="A433" s="14">
        <v>422</v>
      </c>
      <c r="B433" s="14">
        <v>0.5657794030944141</v>
      </c>
      <c r="C433" s="14">
        <v>6.1517020789381149E-5</v>
      </c>
      <c r="D433" s="14">
        <v>9197.1196887362421</v>
      </c>
      <c r="E433" s="14">
        <v>8.206275789746087E-5</v>
      </c>
      <c r="F433" s="14">
        <v>6894.4722014018498</v>
      </c>
      <c r="G433" s="14">
        <v>0.64632465479740153</v>
      </c>
      <c r="H433" s="14">
        <v>30.958101531494293</v>
      </c>
      <c r="I433" s="14">
        <v>30.958100805428732</v>
      </c>
      <c r="J433" s="14">
        <v>8.0545251702987417E-2</v>
      </c>
      <c r="K433" s="14">
        <v>30.958040014473504</v>
      </c>
      <c r="L433" s="14">
        <v>30.958018742670834</v>
      </c>
      <c r="M433" s="14">
        <v>15</v>
      </c>
    </row>
    <row r="434" spans="1:13" x14ac:dyDescent="0.3">
      <c r="A434" s="14">
        <v>423</v>
      </c>
      <c r="B434" s="14">
        <v>0.47812923092772364</v>
      </c>
      <c r="C434" s="14">
        <v>3.1396051024756844E-5</v>
      </c>
      <c r="D434" s="14">
        <v>15228.960819012003</v>
      </c>
      <c r="E434" s="14">
        <v>4.5931523175113398E-5</v>
      </c>
      <c r="F434" s="14">
        <v>10409.609738062931</v>
      </c>
      <c r="G434" s="14">
        <v>0.58479337956976751</v>
      </c>
      <c r="H434" s="14">
        <v>30.958100799029751</v>
      </c>
      <c r="I434" s="14">
        <v>30.958099592904698</v>
      </c>
      <c r="J434" s="14">
        <v>0.1066641486420439</v>
      </c>
      <c r="K434" s="14">
        <v>30.958069402978726</v>
      </c>
      <c r="L434" s="14">
        <v>30.958053661381523</v>
      </c>
      <c r="M434" s="14">
        <v>9</v>
      </c>
    </row>
    <row r="435" spans="1:13" x14ac:dyDescent="0.3">
      <c r="A435" s="14">
        <v>424</v>
      </c>
      <c r="B435" s="14">
        <v>0.42338485321373648</v>
      </c>
      <c r="C435" s="14">
        <v>4.7039791628122885E-5</v>
      </c>
      <c r="D435" s="14">
        <v>9000.5682117140695</v>
      </c>
      <c r="E435" s="14">
        <v>6.5360963780847214E-5</v>
      </c>
      <c r="F435" s="14">
        <v>6477.6409147412442</v>
      </c>
      <c r="G435" s="14">
        <v>0.50407172239986453</v>
      </c>
      <c r="H435" s="14">
        <v>30.958098847574341</v>
      </c>
      <c r="I435" s="14">
        <v>30.958096179155241</v>
      </c>
      <c r="J435" s="14">
        <v>8.0686869186128052E-2</v>
      </c>
      <c r="K435" s="14">
        <v>30.958051807782713</v>
      </c>
      <c r="L435" s="14">
        <v>30.95803081819146</v>
      </c>
      <c r="M435" s="14">
        <v>12</v>
      </c>
    </row>
    <row r="436" spans="1:13" x14ac:dyDescent="0.3">
      <c r="A436" s="14">
        <v>425</v>
      </c>
      <c r="B436" s="14">
        <v>0.7476192790387306</v>
      </c>
      <c r="C436" s="14">
        <v>3.5105131257040512E-5</v>
      </c>
      <c r="D436" s="14">
        <v>21296.58121955581</v>
      </c>
      <c r="E436" s="14">
        <v>5.7006020668382007E-5</v>
      </c>
      <c r="F436" s="14">
        <v>13114.742447781353</v>
      </c>
      <c r="G436" s="14">
        <v>0.82036623075369886</v>
      </c>
      <c r="H436" s="14">
        <v>30.958101061480818</v>
      </c>
      <c r="I436" s="14">
        <v>30.958098967125416</v>
      </c>
      <c r="J436" s="14">
        <v>7.2746951714968283E-2</v>
      </c>
      <c r="K436" s="14">
        <v>30.958065956349561</v>
      </c>
      <c r="L436" s="14">
        <v>30.958041961104747</v>
      </c>
      <c r="M436" s="14">
        <v>15</v>
      </c>
    </row>
    <row r="437" spans="1:13" x14ac:dyDescent="0.3">
      <c r="A437" s="14">
        <v>426</v>
      </c>
      <c r="B437" s="14">
        <v>0.55964489255301131</v>
      </c>
      <c r="C437" s="14">
        <v>2.8842507639126325E-5</v>
      </c>
      <c r="D437" s="14">
        <v>19403.475576923298</v>
      </c>
      <c r="E437" s="14">
        <v>6.2714004002373258E-5</v>
      </c>
      <c r="F437" s="14">
        <v>8923.7627457470735</v>
      </c>
      <c r="G437" s="14">
        <v>0.64265510229808731</v>
      </c>
      <c r="H437" s="14">
        <v>30.958100666170171</v>
      </c>
      <c r="I437" s="14">
        <v>30.958097377987635</v>
      </c>
      <c r="J437" s="14">
        <v>8.3010209745076044E-2</v>
      </c>
      <c r="K437" s="14">
        <v>30.958071823662532</v>
      </c>
      <c r="L437" s="14">
        <v>30.958034663983632</v>
      </c>
      <c r="M437" s="14">
        <v>15</v>
      </c>
    </row>
    <row r="438" spans="1:13" x14ac:dyDescent="0.3">
      <c r="A438" s="14">
        <v>427</v>
      </c>
      <c r="B438" s="14">
        <v>0.27176876801443339</v>
      </c>
      <c r="C438" s="14">
        <v>9.2396128255956E-5</v>
      </c>
      <c r="D438" s="14">
        <v>2941.3436812155032</v>
      </c>
      <c r="E438" s="14">
        <v>1.0107820520488531E-4</v>
      </c>
      <c r="F438" s="14">
        <v>2688.6979983821307</v>
      </c>
      <c r="G438" s="14">
        <v>0.43886764410730361</v>
      </c>
      <c r="H438" s="14">
        <v>30.958100359118156</v>
      </c>
      <c r="I438" s="14">
        <v>30.958100135765978</v>
      </c>
      <c r="J438" s="14">
        <v>0.16709887609287022</v>
      </c>
      <c r="K438" s="14">
        <v>30.9580079629899</v>
      </c>
      <c r="L438" s="14">
        <v>30.957999057560773</v>
      </c>
      <c r="M438" s="14">
        <v>14</v>
      </c>
    </row>
    <row r="439" spans="1:13" x14ac:dyDescent="0.3">
      <c r="A439" s="14">
        <v>428</v>
      </c>
      <c r="B439" s="14">
        <v>0.66769182169731034</v>
      </c>
      <c r="C439" s="14">
        <v>4.6251011038833667E-5</v>
      </c>
      <c r="D439" s="14">
        <v>14436.264347533879</v>
      </c>
      <c r="E439" s="14">
        <v>6.7229331214946342E-5</v>
      </c>
      <c r="F439" s="14">
        <v>9931.5553141910459</v>
      </c>
      <c r="G439" s="14">
        <v>0.76201841405228987</v>
      </c>
      <c r="H439" s="14">
        <v>30.958098848477604</v>
      </c>
      <c r="I439" s="14">
        <v>30.958097479501433</v>
      </c>
      <c r="J439" s="14">
        <v>9.432659235497956E-2</v>
      </c>
      <c r="K439" s="14">
        <v>30.958052597466565</v>
      </c>
      <c r="L439" s="14">
        <v>30.958030250170218</v>
      </c>
      <c r="M439" s="14">
        <v>12</v>
      </c>
    </row>
    <row r="440" spans="1:13" x14ac:dyDescent="0.3">
      <c r="A440" s="14">
        <v>429</v>
      </c>
      <c r="B440" s="14">
        <v>0.25332541756123866</v>
      </c>
      <c r="C440" s="14">
        <v>1.2653869754686298E-4</v>
      </c>
      <c r="D440" s="14">
        <v>2001.9600523185475</v>
      </c>
      <c r="E440" s="14">
        <v>1.3209545224768249E-4</v>
      </c>
      <c r="F440" s="14">
        <v>1917.7451854000753</v>
      </c>
      <c r="G440" s="14">
        <v>0.49429992489356844</v>
      </c>
      <c r="H440" s="14">
        <v>30.958099767987623</v>
      </c>
      <c r="I440" s="14">
        <v>30.958099013838787</v>
      </c>
      <c r="J440" s="14">
        <v>0.24097450733232978</v>
      </c>
      <c r="K440" s="14">
        <v>30.957973229290076</v>
      </c>
      <c r="L440" s="14">
        <v>30.957966918386539</v>
      </c>
      <c r="M440" s="14">
        <v>10</v>
      </c>
    </row>
    <row r="441" spans="1:13" x14ac:dyDescent="0.3">
      <c r="A441" s="14">
        <v>430</v>
      </c>
      <c r="B441" s="14">
        <v>0.73583632190691795</v>
      </c>
      <c r="C441" s="14">
        <v>1.1252946472950498E-4</v>
      </c>
      <c r="D441" s="14">
        <v>6539.0546704874114</v>
      </c>
      <c r="E441" s="14">
        <v>1.4433714811801224E-4</v>
      </c>
      <c r="F441" s="14">
        <v>5098.0383879088913</v>
      </c>
      <c r="G441" s="14">
        <v>0.87063113483388266</v>
      </c>
      <c r="H441" s="14">
        <v>30.95809363568662</v>
      </c>
      <c r="I441" s="14">
        <v>30.958089483421745</v>
      </c>
      <c r="J441" s="14">
        <v>0.13479481292696474</v>
      </c>
      <c r="K441" s="14">
        <v>30.95798110622189</v>
      </c>
      <c r="L441" s="14">
        <v>30.957945146273627</v>
      </c>
      <c r="M441" s="14">
        <v>15</v>
      </c>
    </row>
    <row r="442" spans="1:13" x14ac:dyDescent="0.3">
      <c r="A442" s="14">
        <v>431</v>
      </c>
      <c r="B442" s="14">
        <v>0.4206820310639629</v>
      </c>
      <c r="C442" s="14">
        <v>7.1703734153771848E-5</v>
      </c>
      <c r="D442" s="14">
        <v>5866.9473219036481</v>
      </c>
      <c r="E442" s="14">
        <v>8.8074970179263801E-5</v>
      </c>
      <c r="F442" s="14">
        <v>4776.4084416687938</v>
      </c>
      <c r="G442" s="14">
        <v>0.80259290297512553</v>
      </c>
      <c r="H442" s="14">
        <v>30.958100806718608</v>
      </c>
      <c r="I442" s="14">
        <v>30.958100600443739</v>
      </c>
      <c r="J442" s="14">
        <v>0.38191087191116263</v>
      </c>
      <c r="K442" s="14">
        <v>30.958029102984455</v>
      </c>
      <c r="L442" s="14">
        <v>30.95801252547356</v>
      </c>
      <c r="M442" s="14">
        <v>11</v>
      </c>
    </row>
    <row r="443" spans="1:13" x14ac:dyDescent="0.3">
      <c r="A443" s="14">
        <v>432</v>
      </c>
      <c r="B443" s="14">
        <v>0.33393897763342684</v>
      </c>
      <c r="C443" s="14">
        <v>1.0093413218825731E-4</v>
      </c>
      <c r="D443" s="14">
        <v>3308.4841608444258</v>
      </c>
      <c r="E443" s="14">
        <v>1.2046569987234079E-4</v>
      </c>
      <c r="F443" s="14">
        <v>2772.0668869836536</v>
      </c>
      <c r="G443" s="14">
        <v>0.68871506659969195</v>
      </c>
      <c r="H443" s="14">
        <v>30.958101403510327</v>
      </c>
      <c r="I443" s="14">
        <v>30.958100150871601</v>
      </c>
      <c r="J443" s="14">
        <v>0.35477608896626511</v>
      </c>
      <c r="K443" s="14">
        <v>30.958000469378138</v>
      </c>
      <c r="L443" s="14">
        <v>30.957979685171729</v>
      </c>
      <c r="M443" s="14">
        <v>12</v>
      </c>
    </row>
    <row r="444" spans="1:13" x14ac:dyDescent="0.3">
      <c r="A444" s="14">
        <v>433</v>
      </c>
      <c r="B444" s="14">
        <v>0.63321022953346273</v>
      </c>
      <c r="C444" s="14">
        <v>2.8321598254166247E-5</v>
      </c>
      <c r="D444" s="14">
        <v>22357.856497039829</v>
      </c>
      <c r="E444" s="14">
        <v>5.3125793371577856E-5</v>
      </c>
      <c r="F444" s="14">
        <v>11919.073379377114</v>
      </c>
      <c r="G444" s="14">
        <v>0.72108682008935099</v>
      </c>
      <c r="H444" s="14">
        <v>30.958101380312712</v>
      </c>
      <c r="I444" s="14">
        <v>30.958099743938149</v>
      </c>
      <c r="J444" s="14">
        <v>8.7876590555888201E-2</v>
      </c>
      <c r="K444" s="14">
        <v>30.958073058714458</v>
      </c>
      <c r="L444" s="14">
        <v>30.958046618144778</v>
      </c>
      <c r="M444" s="14">
        <v>9</v>
      </c>
    </row>
    <row r="445" spans="1:13" x14ac:dyDescent="0.3">
      <c r="A445" s="14">
        <v>434</v>
      </c>
      <c r="B445" s="14">
        <v>0.5903684353776657</v>
      </c>
      <c r="C445" s="14">
        <v>5.4574066016499501E-5</v>
      </c>
      <c r="D445" s="14">
        <v>10817.74693494852</v>
      </c>
      <c r="E445" s="14">
        <v>7.5274418236404017E-5</v>
      </c>
      <c r="F445" s="14">
        <v>7842.8827377127873</v>
      </c>
      <c r="G445" s="14">
        <v>0.734315567798563</v>
      </c>
      <c r="H445" s="14">
        <v>30.958101109706146</v>
      </c>
      <c r="I445" s="14">
        <v>30.958100759405394</v>
      </c>
      <c r="J445" s="14">
        <v>0.14394713242089727</v>
      </c>
      <c r="K445" s="14">
        <v>30.958046535640129</v>
      </c>
      <c r="L445" s="14">
        <v>30.958025484987157</v>
      </c>
      <c r="M445" s="14">
        <v>9</v>
      </c>
    </row>
    <row r="446" spans="1:13" x14ac:dyDescent="0.3">
      <c r="A446" s="14">
        <v>435</v>
      </c>
      <c r="B446" s="14">
        <v>0.24200067060484109</v>
      </c>
      <c r="C446" s="14">
        <v>1.393264864262278E-4</v>
      </c>
      <c r="D446" s="14">
        <v>1736.9322719049433</v>
      </c>
      <c r="E446" s="14">
        <v>1.5453944774179718E-4</v>
      </c>
      <c r="F446" s="14">
        <v>1565.9475566987478</v>
      </c>
      <c r="G446" s="14">
        <v>0.45832939142435125</v>
      </c>
      <c r="H446" s="14">
        <v>30.958098518927272</v>
      </c>
      <c r="I446" s="14">
        <v>30.958096720019348</v>
      </c>
      <c r="J446" s="14">
        <v>0.21632872081951016</v>
      </c>
      <c r="K446" s="14">
        <v>30.957959192440846</v>
      </c>
      <c r="L446" s="14">
        <v>30.957942180571607</v>
      </c>
      <c r="M446" s="14">
        <v>15</v>
      </c>
    </row>
    <row r="447" spans="1:13" x14ac:dyDescent="0.3">
      <c r="A447" s="14">
        <v>436</v>
      </c>
      <c r="B447" s="14">
        <v>0.73360252461434106</v>
      </c>
      <c r="C447" s="14">
        <v>4.2738836690148219E-5</v>
      </c>
      <c r="D447" s="14">
        <v>17164.775212130298</v>
      </c>
      <c r="E447" s="14">
        <v>7.3689909605434423E-5</v>
      </c>
      <c r="F447" s="14">
        <v>9955.2642762400665</v>
      </c>
      <c r="G447" s="14">
        <v>0.81888128926681414</v>
      </c>
      <c r="H447" s="14">
        <v>30.958101548816515</v>
      </c>
      <c r="I447" s="14">
        <v>30.958100267905927</v>
      </c>
      <c r="J447" s="14">
        <v>8.5278764652473082E-2</v>
      </c>
      <c r="K447" s="14">
        <v>30.958058809979825</v>
      </c>
      <c r="L447" s="14">
        <v>30.958026577996321</v>
      </c>
      <c r="M447" s="14">
        <v>13</v>
      </c>
    </row>
    <row r="448" spans="1:13" x14ac:dyDescent="0.3">
      <c r="A448" s="14">
        <v>437</v>
      </c>
      <c r="B448" s="14">
        <v>0.48549673861542125</v>
      </c>
      <c r="C448" s="14">
        <v>8.889247835952574E-5</v>
      </c>
      <c r="D448" s="14">
        <v>5461.6177608619382</v>
      </c>
      <c r="E448" s="14">
        <v>1.283780311531757E-4</v>
      </c>
      <c r="F448" s="14">
        <v>3781.7742977857743</v>
      </c>
      <c r="G448" s="14">
        <v>0.58493812833060466</v>
      </c>
      <c r="H448" s="14">
        <v>30.95810155000197</v>
      </c>
      <c r="I448" s="14">
        <v>30.958101494393951</v>
      </c>
      <c r="J448" s="14">
        <v>9.9441389715183404E-2</v>
      </c>
      <c r="K448" s="14">
        <v>30.958012657523611</v>
      </c>
      <c r="L448" s="14">
        <v>30.957973116362798</v>
      </c>
      <c r="M448" s="14">
        <v>14</v>
      </c>
    </row>
    <row r="449" spans="1:13" x14ac:dyDescent="0.3">
      <c r="A449" s="14">
        <v>438</v>
      </c>
      <c r="B449" s="14">
        <v>0.29545677286334432</v>
      </c>
      <c r="C449" s="14">
        <v>8.4663153121056212E-5</v>
      </c>
      <c r="D449" s="14">
        <v>3489.7917449505258</v>
      </c>
      <c r="E449" s="14">
        <v>1.0306919451252838E-4</v>
      </c>
      <c r="F449" s="14">
        <v>2866.5866097113103</v>
      </c>
      <c r="G449" s="14">
        <v>0.47767027135752643</v>
      </c>
      <c r="H449" s="14">
        <v>30.958095146719355</v>
      </c>
      <c r="I449" s="14">
        <v>30.958093335531103</v>
      </c>
      <c r="J449" s="14">
        <v>0.18221349849418211</v>
      </c>
      <c r="K449" s="14">
        <v>30.958010483566234</v>
      </c>
      <c r="L449" s="14">
        <v>30.957990266336591</v>
      </c>
      <c r="M449" s="14">
        <v>9</v>
      </c>
    </row>
    <row r="450" spans="1:13" x14ac:dyDescent="0.3">
      <c r="A450" s="14">
        <v>439</v>
      </c>
      <c r="B450" s="14">
        <v>0.19421579507377057</v>
      </c>
      <c r="C450" s="14">
        <v>8.4013160737583803E-5</v>
      </c>
      <c r="D450" s="14">
        <v>2311.730607070077</v>
      </c>
      <c r="E450" s="14">
        <v>9.7208054505415475E-5</v>
      </c>
      <c r="F450" s="14">
        <v>1997.9393277843121</v>
      </c>
      <c r="G450" s="14">
        <v>0.69248664274501381</v>
      </c>
      <c r="H450" s="14">
        <v>30.958094752149567</v>
      </c>
      <c r="I450" s="14">
        <v>30.958093482328845</v>
      </c>
      <c r="J450" s="14">
        <v>0.49827084767124324</v>
      </c>
      <c r="K450" s="14">
        <v>30.958010738988829</v>
      </c>
      <c r="L450" s="14">
        <v>30.95799627427434</v>
      </c>
      <c r="M450" s="14">
        <v>11</v>
      </c>
    </row>
    <row r="451" spans="1:13" x14ac:dyDescent="0.3">
      <c r="A451" s="14">
        <v>440</v>
      </c>
      <c r="B451" s="14">
        <v>0.27818335501748076</v>
      </c>
      <c r="C451" s="14">
        <v>6.7991231169628463E-5</v>
      </c>
      <c r="D451" s="14">
        <v>4091.4592989712573</v>
      </c>
      <c r="E451" s="14">
        <v>7.4698625287084042E-5</v>
      </c>
      <c r="F451" s="14">
        <v>3724.075964562373</v>
      </c>
      <c r="G451" s="14">
        <v>0.58889120915548809</v>
      </c>
      <c r="H451" s="14">
        <v>30.958088244675256</v>
      </c>
      <c r="I451" s="14">
        <v>30.958086516929505</v>
      </c>
      <c r="J451" s="14">
        <v>0.31070785413800733</v>
      </c>
      <c r="K451" s="14">
        <v>30.958020253444086</v>
      </c>
      <c r="L451" s="14">
        <v>30.958011818304218</v>
      </c>
      <c r="M451" s="14">
        <v>12</v>
      </c>
    </row>
    <row r="452" spans="1:13" x14ac:dyDescent="0.3">
      <c r="A452" s="14">
        <v>441</v>
      </c>
      <c r="B452" s="14">
        <v>0.50751341586343834</v>
      </c>
      <c r="C452" s="14">
        <v>2.8935357835990771E-5</v>
      </c>
      <c r="D452" s="14">
        <v>17539.55899699212</v>
      </c>
      <c r="E452" s="14">
        <v>4.5399008694602117E-5</v>
      </c>
      <c r="F452" s="14">
        <v>11178.953692083172</v>
      </c>
      <c r="G452" s="14">
        <v>0.53582410472771258</v>
      </c>
      <c r="H452" s="14">
        <v>30.958101423116133</v>
      </c>
      <c r="I452" s="14">
        <v>30.958099666837544</v>
      </c>
      <c r="J452" s="14">
        <v>2.8310688864274278E-2</v>
      </c>
      <c r="K452" s="14">
        <v>30.958072487758297</v>
      </c>
      <c r="L452" s="14">
        <v>30.95805426782885</v>
      </c>
      <c r="M452" s="14">
        <v>10</v>
      </c>
    </row>
    <row r="453" spans="1:13" x14ac:dyDescent="0.3">
      <c r="A453" s="14">
        <v>442</v>
      </c>
      <c r="B453" s="14">
        <v>0.51190326715970447</v>
      </c>
      <c r="C453" s="14">
        <v>4.3593650435269637E-5</v>
      </c>
      <c r="D453" s="14">
        <v>11742.610725380933</v>
      </c>
      <c r="E453" s="14">
        <v>6.4866258977502866E-5</v>
      </c>
      <c r="F453" s="14">
        <v>7891.672423058103</v>
      </c>
      <c r="G453" s="14">
        <v>0.65167356999669979</v>
      </c>
      <c r="H453" s="14">
        <v>30.958100580277854</v>
      </c>
      <c r="I453" s="14">
        <v>30.958099002448851</v>
      </c>
      <c r="J453" s="14">
        <v>0.13977030283699532</v>
      </c>
      <c r="K453" s="14">
        <v>30.958056986627419</v>
      </c>
      <c r="L453" s="14">
        <v>30.958034136189873</v>
      </c>
      <c r="M453" s="14">
        <v>12</v>
      </c>
    </row>
    <row r="454" spans="1:13" x14ac:dyDescent="0.3">
      <c r="A454" s="14">
        <v>443</v>
      </c>
      <c r="B454" s="14">
        <v>0.34618092713969784</v>
      </c>
      <c r="C454" s="14">
        <v>1.61984341886523E-4</v>
      </c>
      <c r="D454" s="14">
        <v>2137.1258672780391</v>
      </c>
      <c r="E454" s="14">
        <v>1.7112990624212898E-4</v>
      </c>
      <c r="F454" s="14">
        <v>2022.913088317199</v>
      </c>
      <c r="G454" s="14">
        <v>0.73985006221553273</v>
      </c>
      <c r="H454" s="14">
        <v>30.958092475272995</v>
      </c>
      <c r="I454" s="14">
        <v>30.958090975462706</v>
      </c>
      <c r="J454" s="14">
        <v>0.3936691350758349</v>
      </c>
      <c r="K454" s="14">
        <v>30.957930490931108</v>
      </c>
      <c r="L454" s="14">
        <v>30.957919845556464</v>
      </c>
      <c r="M454" s="14">
        <v>14</v>
      </c>
    </row>
    <row r="455" spans="1:13" x14ac:dyDescent="0.3">
      <c r="A455" s="14">
        <v>444</v>
      </c>
      <c r="B455" s="14">
        <v>0.83118869168394538</v>
      </c>
      <c r="C455" s="14">
        <v>1.030897179390422E-4</v>
      </c>
      <c r="D455" s="14">
        <v>8062.7700637946655</v>
      </c>
      <c r="E455" s="14">
        <v>1.3849670757792865E-4</v>
      </c>
      <c r="F455" s="14">
        <v>6001.5050626113707</v>
      </c>
      <c r="G455" s="14">
        <v>1.2591204593429284</v>
      </c>
      <c r="H455" s="14">
        <v>30.958099929237328</v>
      </c>
      <c r="I455" s="14">
        <v>30.958097218829739</v>
      </c>
      <c r="J455" s="14">
        <v>0.427931767658983</v>
      </c>
      <c r="K455" s="14">
        <v>30.957996839519389</v>
      </c>
      <c r="L455" s="14">
        <v>30.957958722122161</v>
      </c>
      <c r="M455" s="14">
        <v>13</v>
      </c>
    </row>
    <row r="456" spans="1:13" x14ac:dyDescent="0.3">
      <c r="A456" s="14">
        <v>445</v>
      </c>
      <c r="B456" s="14">
        <v>0.51471414896456436</v>
      </c>
      <c r="C456" s="14">
        <v>1.0797865591882783E-5</v>
      </c>
      <c r="D456" s="14">
        <v>47668.138169037498</v>
      </c>
      <c r="E456" s="14">
        <v>3.3371251610958552E-5</v>
      </c>
      <c r="F456" s="14">
        <v>15423.879061088046</v>
      </c>
      <c r="G456" s="14">
        <v>0.54758540092344321</v>
      </c>
      <c r="H456" s="14">
        <v>30.958101550902285</v>
      </c>
      <c r="I456" s="14">
        <v>30.958100169167707</v>
      </c>
      <c r="J456" s="14">
        <v>3.28712519588788E-2</v>
      </c>
      <c r="K456" s="14">
        <v>30.958090753036693</v>
      </c>
      <c r="L456" s="14">
        <v>30.958066797916096</v>
      </c>
      <c r="M456" s="14">
        <v>11</v>
      </c>
    </row>
    <row r="457" spans="1:13" x14ac:dyDescent="0.3">
      <c r="A457" s="14">
        <v>446</v>
      </c>
      <c r="B457" s="14">
        <v>0.78024642570038139</v>
      </c>
      <c r="C457" s="14">
        <v>1.080760345928411E-5</v>
      </c>
      <c r="D457" s="14">
        <v>72194.212957556505</v>
      </c>
      <c r="E457" s="14">
        <v>4.0004508964130991E-5</v>
      </c>
      <c r="F457" s="14">
        <v>19503.962075874228</v>
      </c>
      <c r="G457" s="14">
        <v>0.8690056823440554</v>
      </c>
      <c r="H457" s="14">
        <v>30.958100437320827</v>
      </c>
      <c r="I457" s="14">
        <v>30.958096508183647</v>
      </c>
      <c r="J457" s="14">
        <v>8.8759256643674039E-2</v>
      </c>
      <c r="K457" s="14">
        <v>30.958089629717367</v>
      </c>
      <c r="L457" s="14">
        <v>30.958056503674683</v>
      </c>
      <c r="M457" s="14">
        <v>11</v>
      </c>
    </row>
    <row r="458" spans="1:13" x14ac:dyDescent="0.3">
      <c r="A458" s="14">
        <v>447</v>
      </c>
      <c r="B458" s="14">
        <v>0.23590786094416777</v>
      </c>
      <c r="C458" s="14">
        <v>2.5686902056065719E-5</v>
      </c>
      <c r="D458" s="14">
        <v>9183.9747910924252</v>
      </c>
      <c r="E458" s="14">
        <v>4.3206469293011196E-5</v>
      </c>
      <c r="F458" s="14">
        <v>5460.012465825962</v>
      </c>
      <c r="G458" s="14">
        <v>0.25993844297943647</v>
      </c>
      <c r="H458" s="14">
        <v>30.958101307876959</v>
      </c>
      <c r="I458" s="14">
        <v>30.958100676251348</v>
      </c>
      <c r="J458" s="14">
        <v>2.4030582035268699E-2</v>
      </c>
      <c r="K458" s="14">
        <v>30.958075620974903</v>
      </c>
      <c r="L458" s="14">
        <v>30.958057469782055</v>
      </c>
      <c r="M458" s="14">
        <v>15</v>
      </c>
    </row>
    <row r="459" spans="1:13" x14ac:dyDescent="0.3">
      <c r="A459" s="14">
        <v>448</v>
      </c>
      <c r="B459" s="14">
        <v>0.27255931828468061</v>
      </c>
      <c r="C459" s="14">
        <v>6.4635426699766185E-5</v>
      </c>
      <c r="D459" s="14">
        <v>4216.8719570883031</v>
      </c>
      <c r="E459" s="14">
        <v>8.4660725981677842E-5</v>
      </c>
      <c r="F459" s="14">
        <v>3219.4304398437066</v>
      </c>
      <c r="G459" s="14">
        <v>0.46914939134444689</v>
      </c>
      <c r="H459" s="14">
        <v>30.958101517823362</v>
      </c>
      <c r="I459" s="14">
        <v>30.958100337542309</v>
      </c>
      <c r="J459" s="14">
        <v>0.19659007305976628</v>
      </c>
      <c r="K459" s="14">
        <v>30.958036882396662</v>
      </c>
      <c r="L459" s="14">
        <v>30.958015676816327</v>
      </c>
      <c r="M459" s="14">
        <v>12</v>
      </c>
    </row>
    <row r="460" spans="1:13" x14ac:dyDescent="0.3">
      <c r="A460" s="14">
        <v>449</v>
      </c>
      <c r="B460" s="14">
        <v>0.45804337410806523</v>
      </c>
      <c r="C460" s="14">
        <v>7.7547195154181736E-5</v>
      </c>
      <c r="D460" s="14">
        <v>5906.6401202180068</v>
      </c>
      <c r="E460" s="14">
        <v>9.6856954627355663E-5</v>
      </c>
      <c r="F460" s="14">
        <v>4729.0705749558883</v>
      </c>
      <c r="G460" s="14">
        <v>0.665396021678474</v>
      </c>
      <c r="H460" s="14">
        <v>30.958099414265824</v>
      </c>
      <c r="I460" s="14">
        <v>30.958097296232705</v>
      </c>
      <c r="J460" s="14">
        <v>0.20735264757040878</v>
      </c>
      <c r="K460" s="14">
        <v>30.95802186707067</v>
      </c>
      <c r="L460" s="14">
        <v>30.958000439278077</v>
      </c>
      <c r="M460" s="14">
        <v>12</v>
      </c>
    </row>
    <row r="461" spans="1:13" x14ac:dyDescent="0.3">
      <c r="A461" s="14">
        <v>450</v>
      </c>
      <c r="B461" s="14">
        <v>0.56485117451561606</v>
      </c>
      <c r="C461" s="14">
        <v>2.2946741605522902E-5</v>
      </c>
      <c r="D461" s="14">
        <v>24615.746506670286</v>
      </c>
      <c r="E461" s="14">
        <v>4.5024346281508087E-5</v>
      </c>
      <c r="F461" s="14">
        <v>12545.460870968951</v>
      </c>
      <c r="G461" s="14">
        <v>0.5900502960043168</v>
      </c>
      <c r="H461" s="14">
        <v>30.958101205415474</v>
      </c>
      <c r="I461" s="14">
        <v>30.9580996020958</v>
      </c>
      <c r="J461" s="14">
        <v>2.5199121488700741E-2</v>
      </c>
      <c r="K461" s="14">
        <v>30.958078258673869</v>
      </c>
      <c r="L461" s="14">
        <v>30.958054577749518</v>
      </c>
      <c r="M461" s="14">
        <v>9</v>
      </c>
    </row>
    <row r="462" spans="1:13" x14ac:dyDescent="0.3">
      <c r="A462" s="14">
        <v>451</v>
      </c>
      <c r="B462" s="14">
        <v>0.41552216340247478</v>
      </c>
      <c r="C462" s="14">
        <v>5.2159573616705757E-5</v>
      </c>
      <c r="D462" s="14">
        <v>7966.3642662406783</v>
      </c>
      <c r="E462" s="14">
        <v>7.3002779522823857E-5</v>
      </c>
      <c r="F462" s="14">
        <v>5691.8677085790196</v>
      </c>
      <c r="G462" s="14">
        <v>0.53967876735435394</v>
      </c>
      <c r="H462" s="14">
        <v>30.958101387969446</v>
      </c>
      <c r="I462" s="14">
        <v>30.958100436794918</v>
      </c>
      <c r="J462" s="14">
        <v>0.12415660395187916</v>
      </c>
      <c r="K462" s="14">
        <v>30.958049228395829</v>
      </c>
      <c r="L462" s="14">
        <v>30.958027434015396</v>
      </c>
      <c r="M462" s="14">
        <v>14</v>
      </c>
    </row>
    <row r="463" spans="1:13" x14ac:dyDescent="0.3">
      <c r="A463" s="14">
        <v>452</v>
      </c>
      <c r="B463" s="14">
        <v>0.22296330457500874</v>
      </c>
      <c r="C463" s="14">
        <v>3.6795230034414317E-5</v>
      </c>
      <c r="D463" s="14">
        <v>6059.5708836844542</v>
      </c>
      <c r="E463" s="14">
        <v>4.911915479155482E-5</v>
      </c>
      <c r="F463" s="14">
        <v>4539.233330076424</v>
      </c>
      <c r="G463" s="14">
        <v>0.38064353725874089</v>
      </c>
      <c r="H463" s="14">
        <v>30.958101537980525</v>
      </c>
      <c r="I463" s="14">
        <v>30.958101430083481</v>
      </c>
      <c r="J463" s="14">
        <v>0.15768023268373216</v>
      </c>
      <c r="K463" s="14">
        <v>30.958064742750491</v>
      </c>
      <c r="L463" s="14">
        <v>30.958052310928689</v>
      </c>
      <c r="M463" s="14">
        <v>13</v>
      </c>
    </row>
    <row r="464" spans="1:13" x14ac:dyDescent="0.3">
      <c r="A464" s="14">
        <v>453</v>
      </c>
      <c r="B464" s="14">
        <v>0.54783767967930097</v>
      </c>
      <c r="C464" s="14">
        <v>8.7467845698796509E-5</v>
      </c>
      <c r="D464" s="14">
        <v>6263.3036780833718</v>
      </c>
      <c r="E464" s="14">
        <v>1.1268667507025043E-4</v>
      </c>
      <c r="F464" s="14">
        <v>4861.6012437830059</v>
      </c>
      <c r="G464" s="14">
        <v>0.9715506258749308</v>
      </c>
      <c r="H464" s="14">
        <v>30.95809856992307</v>
      </c>
      <c r="I464" s="14">
        <v>30.958094837190981</v>
      </c>
      <c r="J464" s="14">
        <v>0.42371294619562982</v>
      </c>
      <c r="K464" s="14">
        <v>30.958011102077371</v>
      </c>
      <c r="L464" s="14">
        <v>30.95798215051591</v>
      </c>
      <c r="M464" s="14">
        <v>12</v>
      </c>
    </row>
    <row r="465" spans="1:13" x14ac:dyDescent="0.3">
      <c r="A465" s="14">
        <v>454</v>
      </c>
      <c r="B465" s="14">
        <v>0.60002321494329269</v>
      </c>
      <c r="C465" s="14">
        <v>1.3895260750018679E-5</v>
      </c>
      <c r="D465" s="14">
        <v>43181.860760870295</v>
      </c>
      <c r="E465" s="14">
        <v>4.188228556500917E-5</v>
      </c>
      <c r="F465" s="14">
        <v>14326.420032926428</v>
      </c>
      <c r="G465" s="14">
        <v>0.67415991121656316</v>
      </c>
      <c r="H465" s="14">
        <v>30.958101542843089</v>
      </c>
      <c r="I465" s="14">
        <v>30.958100707277282</v>
      </c>
      <c r="J465" s="14">
        <v>7.4136696273270464E-2</v>
      </c>
      <c r="K465" s="14">
        <v>30.958087647582339</v>
      </c>
      <c r="L465" s="14">
        <v>30.958058824991717</v>
      </c>
      <c r="M465" s="14">
        <v>13</v>
      </c>
    </row>
    <row r="466" spans="1:13" x14ac:dyDescent="0.3">
      <c r="A466" s="14">
        <v>455</v>
      </c>
      <c r="B466" s="14">
        <v>0.60369537874530466</v>
      </c>
      <c r="C466" s="14">
        <v>1.2498307963682009E-5</v>
      </c>
      <c r="D466" s="14">
        <v>48302.168621507997</v>
      </c>
      <c r="E466" s="14">
        <v>2.7020814886924427E-5</v>
      </c>
      <c r="F466" s="14">
        <v>22341.864272843872</v>
      </c>
      <c r="G466" s="14">
        <v>0.61894970747998379</v>
      </c>
      <c r="H466" s="14">
        <v>30.958101483381409</v>
      </c>
      <c r="I466" s="14">
        <v>30.958099751247584</v>
      </c>
      <c r="J466" s="14">
        <v>1.52543287346791E-2</v>
      </c>
      <c r="K466" s="14">
        <v>30.958088985073445</v>
      </c>
      <c r="L466" s="14">
        <v>30.958072730432697</v>
      </c>
      <c r="M466" s="14">
        <v>14</v>
      </c>
    </row>
    <row r="467" spans="1:13" x14ac:dyDescent="0.3">
      <c r="A467" s="14">
        <v>456</v>
      </c>
      <c r="B467" s="14">
        <v>0.59670289380132868</v>
      </c>
      <c r="C467" s="14">
        <v>9.0717510516924449E-6</v>
      </c>
      <c r="D467" s="14">
        <v>65775.933488607639</v>
      </c>
      <c r="E467" s="14">
        <v>3.4129161395668461E-5</v>
      </c>
      <c r="F467" s="14">
        <v>17483.667028427481</v>
      </c>
      <c r="G467" s="14">
        <v>0.62378877676456002</v>
      </c>
      <c r="H467" s="14">
        <v>30.958101529625395</v>
      </c>
      <c r="I467" s="14">
        <v>30.958101447259889</v>
      </c>
      <c r="J467" s="14">
        <v>2.7085882963231299E-2</v>
      </c>
      <c r="K467" s="14">
        <v>30.958092457874343</v>
      </c>
      <c r="L467" s="14">
        <v>30.958067318098493</v>
      </c>
      <c r="M467" s="14">
        <v>9</v>
      </c>
    </row>
    <row r="468" spans="1:13" x14ac:dyDescent="0.3">
      <c r="A468" s="14">
        <v>457</v>
      </c>
      <c r="B468" s="14">
        <v>0.38729775301659486</v>
      </c>
      <c r="C468" s="14">
        <v>3.3866239874669191E-6</v>
      </c>
      <c r="D468" s="14">
        <v>114361.01393301728</v>
      </c>
      <c r="E468" s="14">
        <v>2.6702349387619506E-5</v>
      </c>
      <c r="F468" s="14">
        <v>14504.25756155242</v>
      </c>
      <c r="G468" s="14">
        <v>0.39946447049537476</v>
      </c>
      <c r="H468" s="14">
        <v>30.958101551454217</v>
      </c>
      <c r="I468" s="14">
        <v>30.958100207475301</v>
      </c>
      <c r="J468" s="14">
        <v>1.2166717478779903E-2</v>
      </c>
      <c r="K468" s="14">
        <v>30.958098164830229</v>
      </c>
      <c r="L468" s="14">
        <v>30.958073505125913</v>
      </c>
      <c r="M468" s="14">
        <v>10</v>
      </c>
    </row>
    <row r="469" spans="1:13" x14ac:dyDescent="0.3">
      <c r="A469" s="14">
        <v>458</v>
      </c>
      <c r="B469" s="14">
        <v>0.92896480153270511</v>
      </c>
      <c r="C469" s="14">
        <v>2.4606157278839191E-5</v>
      </c>
      <c r="D469" s="14">
        <v>37753.347302693073</v>
      </c>
      <c r="E469" s="14">
        <v>5.7875558908904168E-5</v>
      </c>
      <c r="F469" s="14">
        <v>16051.072664281151</v>
      </c>
      <c r="G469" s="14">
        <v>0.99469622382012668</v>
      </c>
      <c r="H469" s="14">
        <v>30.958101508249165</v>
      </c>
      <c r="I469" s="14">
        <v>30.958101431202511</v>
      </c>
      <c r="J469" s="14">
        <v>6.5731422287421584E-2</v>
      </c>
      <c r="K469" s="14">
        <v>30.958076902091886</v>
      </c>
      <c r="L469" s="14">
        <v>30.958043555643602</v>
      </c>
      <c r="M469" s="14">
        <v>12</v>
      </c>
    </row>
    <row r="470" spans="1:13" x14ac:dyDescent="0.3">
      <c r="A470" s="14">
        <v>459</v>
      </c>
      <c r="B470" s="14">
        <v>0.50122791698681513</v>
      </c>
      <c r="C470" s="14">
        <v>3.4410516139615765E-5</v>
      </c>
      <c r="D470" s="14">
        <v>14566.126092185141</v>
      </c>
      <c r="E470" s="14">
        <v>5.7171194647764878E-5</v>
      </c>
      <c r="F470" s="14">
        <v>8767.1408665659346</v>
      </c>
      <c r="G470" s="14">
        <v>0.5457729024050646</v>
      </c>
      <c r="H470" s="14">
        <v>30.958100460765355</v>
      </c>
      <c r="I470" s="14">
        <v>30.958098432285158</v>
      </c>
      <c r="J470" s="14">
        <v>4.454498541824943E-2</v>
      </c>
      <c r="K470" s="14">
        <v>30.958066050249215</v>
      </c>
      <c r="L470" s="14">
        <v>30.958041261090511</v>
      </c>
      <c r="M470" s="14">
        <v>10</v>
      </c>
    </row>
    <row r="471" spans="1:13" x14ac:dyDescent="0.3">
      <c r="A471" s="14">
        <v>460</v>
      </c>
      <c r="B471" s="14">
        <v>0.56045970950715052</v>
      </c>
      <c r="C471" s="14">
        <v>1.2911259528181063E-5</v>
      </c>
      <c r="D471" s="14">
        <v>43408.600708850288</v>
      </c>
      <c r="E471" s="14">
        <v>3.125315895147196E-5</v>
      </c>
      <c r="F471" s="14">
        <v>17932.897931290685</v>
      </c>
      <c r="G471" s="14">
        <v>0.62652737242185697</v>
      </c>
      <c r="H471" s="14">
        <v>30.958101540811107</v>
      </c>
      <c r="I471" s="14">
        <v>30.958100669047091</v>
      </c>
      <c r="J471" s="14">
        <v>6.6067662914706476E-2</v>
      </c>
      <c r="K471" s="14">
        <v>30.958088629551579</v>
      </c>
      <c r="L471" s="14">
        <v>30.95806941588814</v>
      </c>
      <c r="M471" s="14">
        <v>14</v>
      </c>
    </row>
    <row r="472" spans="1:13" x14ac:dyDescent="0.3">
      <c r="A472" s="14">
        <v>461</v>
      </c>
      <c r="B472" s="14">
        <v>0.7719491622414939</v>
      </c>
      <c r="C472" s="14">
        <v>3.4401637414305242E-6</v>
      </c>
      <c r="D472" s="14">
        <v>224393.14528688512</v>
      </c>
      <c r="E472" s="14">
        <v>5.1106921457488852E-5</v>
      </c>
      <c r="F472" s="14">
        <v>15104.591320054515</v>
      </c>
      <c r="G472" s="14">
        <v>0.82012597245722318</v>
      </c>
      <c r="H472" s="14">
        <v>30.958101543893083</v>
      </c>
      <c r="I472" s="14">
        <v>30.958100320595488</v>
      </c>
      <c r="J472" s="14">
        <v>4.8176810215729268E-2</v>
      </c>
      <c r="K472" s="14">
        <v>30.958098103729341</v>
      </c>
      <c r="L472" s="14">
        <v>30.95804921367403</v>
      </c>
      <c r="M472" s="14">
        <v>14</v>
      </c>
    </row>
    <row r="473" spans="1:13" x14ac:dyDescent="0.3">
      <c r="A473" s="14">
        <v>462</v>
      </c>
      <c r="B473" s="14">
        <v>0.29268506318389353</v>
      </c>
      <c r="C473" s="14">
        <v>1.5622577284446493E-4</v>
      </c>
      <c r="D473" s="14">
        <v>1873.47489376983</v>
      </c>
      <c r="E473" s="14">
        <v>1.656196057702175E-4</v>
      </c>
      <c r="F473" s="14">
        <v>1767.212654702053</v>
      </c>
      <c r="G473" s="14">
        <v>0.70919805345800269</v>
      </c>
      <c r="H473" s="14">
        <v>30.958100881060165</v>
      </c>
      <c r="I473" s="14">
        <v>30.95809923765319</v>
      </c>
      <c r="J473" s="14">
        <v>0.41651299027410915</v>
      </c>
      <c r="K473" s="14">
        <v>30.957944655287321</v>
      </c>
      <c r="L473" s="14">
        <v>30.95793361804742</v>
      </c>
      <c r="M473" s="14">
        <v>11</v>
      </c>
    </row>
    <row r="474" spans="1:13" x14ac:dyDescent="0.3">
      <c r="A474" s="14">
        <v>463</v>
      </c>
      <c r="B474" s="14">
        <v>0.39944459907239271</v>
      </c>
      <c r="C474" s="14">
        <v>1.352248738299977E-4</v>
      </c>
      <c r="D474" s="14">
        <v>2953.9284286895863</v>
      </c>
      <c r="E474" s="14">
        <v>1.5133096820107994E-4</v>
      </c>
      <c r="F474" s="14">
        <v>2639.5430084186969</v>
      </c>
      <c r="G474" s="14">
        <v>0.71337962792958387</v>
      </c>
      <c r="H474" s="14">
        <v>30.95810146616115</v>
      </c>
      <c r="I474" s="14">
        <v>30.958100705289908</v>
      </c>
      <c r="J474" s="14">
        <v>0.31393502885719116</v>
      </c>
      <c r="K474" s="14">
        <v>30.95796624128732</v>
      </c>
      <c r="L474" s="14">
        <v>30.957949374321707</v>
      </c>
      <c r="M474" s="14">
        <v>11</v>
      </c>
    </row>
    <row r="475" spans="1:13" x14ac:dyDescent="0.3">
      <c r="A475" s="14">
        <v>464</v>
      </c>
      <c r="B475" s="14">
        <v>0.5379289649792679</v>
      </c>
      <c r="C475" s="14">
        <v>3.1725544129557193E-5</v>
      </c>
      <c r="D475" s="14">
        <v>16955.704929205764</v>
      </c>
      <c r="E475" s="14">
        <v>5.5066087313093703E-5</v>
      </c>
      <c r="F475" s="14">
        <v>9768.7885816314083</v>
      </c>
      <c r="G475" s="14">
        <v>0.71973429043494075</v>
      </c>
      <c r="H475" s="14">
        <v>30.958101551454217</v>
      </c>
      <c r="I475" s="14">
        <v>30.958101278209682</v>
      </c>
      <c r="J475" s="14">
        <v>0.18180532545567288</v>
      </c>
      <c r="K475" s="14">
        <v>30.958069825910087</v>
      </c>
      <c r="L475" s="14">
        <v>30.958046212122369</v>
      </c>
      <c r="M475" s="14">
        <v>13</v>
      </c>
    </row>
    <row r="476" spans="1:13" x14ac:dyDescent="0.3">
      <c r="A476" s="14">
        <v>465</v>
      </c>
      <c r="B476" s="14">
        <v>0.64374671403595196</v>
      </c>
      <c r="C476" s="14">
        <v>3.1467724202371983E-5</v>
      </c>
      <c r="D476" s="14">
        <v>20457.364819138318</v>
      </c>
      <c r="E476" s="14">
        <v>4.8390153921218371E-5</v>
      </c>
      <c r="F476" s="14">
        <v>13303.258243071603</v>
      </c>
      <c r="G476" s="14">
        <v>0.74917018251489131</v>
      </c>
      <c r="H476" s="14">
        <v>30.958101548142114</v>
      </c>
      <c r="I476" s="14">
        <v>30.958100216043075</v>
      </c>
      <c r="J476" s="14">
        <v>0.10542346847893939</v>
      </c>
      <c r="K476" s="14">
        <v>30.958070080417912</v>
      </c>
      <c r="L476" s="14">
        <v>30.958051825889154</v>
      </c>
      <c r="M476" s="14">
        <v>11</v>
      </c>
    </row>
    <row r="477" spans="1:13" x14ac:dyDescent="0.3">
      <c r="A477" s="14">
        <v>466</v>
      </c>
      <c r="B477" s="14">
        <v>0.43949960886085754</v>
      </c>
      <c r="C477" s="14">
        <v>2.6191058967839353E-5</v>
      </c>
      <c r="D477" s="14">
        <v>16780.520764759069</v>
      </c>
      <c r="E477" s="14">
        <v>5.9278012109587053E-5</v>
      </c>
      <c r="F477" s="14">
        <v>7414.2096406397059</v>
      </c>
      <c r="G477" s="14">
        <v>0.47396317388302478</v>
      </c>
      <c r="H477" s="14">
        <v>30.958099793523139</v>
      </c>
      <c r="I477" s="14">
        <v>30.958094516711466</v>
      </c>
      <c r="J477" s="14">
        <v>3.4463565022167235E-2</v>
      </c>
      <c r="K477" s="14">
        <v>30.958073602464172</v>
      </c>
      <c r="L477" s="14">
        <v>30.958035238699356</v>
      </c>
      <c r="M477" s="14">
        <v>9</v>
      </c>
    </row>
    <row r="478" spans="1:13" x14ac:dyDescent="0.3">
      <c r="A478" s="14">
        <v>467</v>
      </c>
      <c r="B478" s="14">
        <v>0.51001704786895241</v>
      </c>
      <c r="C478" s="14">
        <v>7.2399436970016495E-5</v>
      </c>
      <c r="D478" s="14">
        <v>7044.4891454082835</v>
      </c>
      <c r="E478" s="14">
        <v>9.3053003624277153E-5</v>
      </c>
      <c r="F478" s="14">
        <v>5480.9305235139236</v>
      </c>
      <c r="G478" s="14">
        <v>0.6387654263743181</v>
      </c>
      <c r="H478" s="14">
        <v>30.958094764832847</v>
      </c>
      <c r="I478" s="14">
        <v>30.958091899377724</v>
      </c>
      <c r="J478" s="14">
        <v>0.12874837850536569</v>
      </c>
      <c r="K478" s="14">
        <v>30.958022365395877</v>
      </c>
      <c r="L478" s="14">
        <v>30.9579988463741</v>
      </c>
      <c r="M478" s="14">
        <v>14</v>
      </c>
    </row>
    <row r="479" spans="1:13" x14ac:dyDescent="0.3">
      <c r="A479" s="14">
        <v>468</v>
      </c>
      <c r="B479" s="14">
        <v>0.47360874226071115</v>
      </c>
      <c r="C479" s="14">
        <v>4.3958130021337638E-5</v>
      </c>
      <c r="D479" s="14">
        <v>10774.08756994025</v>
      </c>
      <c r="E479" s="14">
        <v>6.5030049398728806E-5</v>
      </c>
      <c r="F479" s="14">
        <v>7282.9214592288026</v>
      </c>
      <c r="G479" s="14">
        <v>0.54728962297893791</v>
      </c>
      <c r="H479" s="14">
        <v>30.958101391225</v>
      </c>
      <c r="I479" s="14">
        <v>30.958100407064958</v>
      </c>
      <c r="J479" s="14">
        <v>7.3680880718226732E-2</v>
      </c>
      <c r="K479" s="14">
        <v>30.958057433094979</v>
      </c>
      <c r="L479" s="14">
        <v>30.958035377015559</v>
      </c>
      <c r="M479" s="14">
        <v>9</v>
      </c>
    </row>
    <row r="480" spans="1:13" x14ac:dyDescent="0.3">
      <c r="A480" s="14">
        <v>469</v>
      </c>
      <c r="B480" s="14">
        <v>0.21658236320617233</v>
      </c>
      <c r="C480" s="14">
        <v>6.9058533480159667E-5</v>
      </c>
      <c r="D480" s="14">
        <v>3136.2143429876896</v>
      </c>
      <c r="E480" s="14">
        <v>8.4490436094597499E-5</v>
      </c>
      <c r="F480" s="14">
        <v>2563.3950209900868</v>
      </c>
      <c r="G480" s="14">
        <v>0.41434959368243152</v>
      </c>
      <c r="H480" s="14">
        <v>30.958101507300917</v>
      </c>
      <c r="I480" s="14">
        <v>30.958099870320943</v>
      </c>
      <c r="J480" s="14">
        <v>0.19776723047625919</v>
      </c>
      <c r="K480" s="14">
        <v>30.958032448767437</v>
      </c>
      <c r="L480" s="14">
        <v>30.958015379884849</v>
      </c>
      <c r="M480" s="14">
        <v>9</v>
      </c>
    </row>
    <row r="481" spans="1:13" x14ac:dyDescent="0.3">
      <c r="A481" s="14">
        <v>470</v>
      </c>
      <c r="B481" s="14">
        <v>0.27752067638202271</v>
      </c>
      <c r="C481" s="14">
        <v>1.392756825531194E-4</v>
      </c>
      <c r="D481" s="14">
        <v>1992.5996505253315</v>
      </c>
      <c r="E481" s="14">
        <v>1.4635659953299296E-4</v>
      </c>
      <c r="F481" s="14">
        <v>1896.195164875101</v>
      </c>
      <c r="G481" s="14">
        <v>0.63057690805689715</v>
      </c>
      <c r="H481" s="14">
        <v>30.958101469721267</v>
      </c>
      <c r="I481" s="14">
        <v>30.958100906771808</v>
      </c>
      <c r="J481" s="14">
        <v>0.35305623167487443</v>
      </c>
      <c r="K481" s="14">
        <v>30.957962194038714</v>
      </c>
      <c r="L481" s="14">
        <v>30.957954550172275</v>
      </c>
      <c r="M481" s="14">
        <v>11</v>
      </c>
    </row>
    <row r="482" spans="1:13" x14ac:dyDescent="0.3">
      <c r="A482" s="14">
        <v>471</v>
      </c>
      <c r="B482" s="14">
        <v>0.69827593012931322</v>
      </c>
      <c r="C482" s="14">
        <v>3.5841723864393771E-6</v>
      </c>
      <c r="D482" s="14">
        <v>194822.08299221937</v>
      </c>
      <c r="E482" s="14">
        <v>2.6142056672284752E-5</v>
      </c>
      <c r="F482" s="14">
        <v>26710.826117579738</v>
      </c>
      <c r="G482" s="14">
        <v>0.7246684321603617</v>
      </c>
      <c r="H482" s="14">
        <v>30.958101537018297</v>
      </c>
      <c r="I482" s="14">
        <v>30.958099960096337</v>
      </c>
      <c r="J482" s="14">
        <v>2.6392502031048433E-2</v>
      </c>
      <c r="K482" s="14">
        <v>30.958097952845911</v>
      </c>
      <c r="L482" s="14">
        <v>30.958073818039665</v>
      </c>
      <c r="M482" s="14">
        <v>9</v>
      </c>
    </row>
    <row r="483" spans="1:13" x14ac:dyDescent="0.3">
      <c r="A483" s="14">
        <v>472</v>
      </c>
      <c r="B483" s="14">
        <v>0.59849576290696715</v>
      </c>
      <c r="C483" s="14">
        <v>5.329169248824428E-5</v>
      </c>
      <c r="D483" s="14">
        <v>11230.563995297964</v>
      </c>
      <c r="E483" s="14">
        <v>6.4124436516266314E-5</v>
      </c>
      <c r="F483" s="14">
        <v>9333.3492724750558</v>
      </c>
      <c r="G483" s="14">
        <v>0.72223113549813389</v>
      </c>
      <c r="H483" s="14">
        <v>30.958101232515375</v>
      </c>
      <c r="I483" s="14">
        <v>30.958099971949629</v>
      </c>
      <c r="J483" s="14">
        <v>0.12373537259116671</v>
      </c>
      <c r="K483" s="14">
        <v>30.958047940822887</v>
      </c>
      <c r="L483" s="14">
        <v>30.958035847513113</v>
      </c>
      <c r="M483" s="14">
        <v>15</v>
      </c>
    </row>
    <row r="484" spans="1:13" x14ac:dyDescent="0.3">
      <c r="A484" s="14">
        <v>473</v>
      </c>
      <c r="B484" s="14">
        <v>0.6328013853488843</v>
      </c>
      <c r="C484" s="14">
        <v>1.1104582565479859E-5</v>
      </c>
      <c r="D484" s="14">
        <v>56985.607663995899</v>
      </c>
      <c r="E484" s="14">
        <v>2.9777151169696481E-5</v>
      </c>
      <c r="F484" s="14">
        <v>21251.239977344496</v>
      </c>
      <c r="G484" s="14">
        <v>0.66505535404698934</v>
      </c>
      <c r="H484" s="14">
        <v>30.958101513598518</v>
      </c>
      <c r="I484" s="14">
        <v>30.958101408959163</v>
      </c>
      <c r="J484" s="14">
        <v>3.2253968698105054E-2</v>
      </c>
      <c r="K484" s="14">
        <v>30.958090409015952</v>
      </c>
      <c r="L484" s="14">
        <v>30.958071631807993</v>
      </c>
      <c r="M484" s="14">
        <v>10</v>
      </c>
    </row>
    <row r="485" spans="1:13" x14ac:dyDescent="0.3">
      <c r="A485" s="14">
        <v>474</v>
      </c>
      <c r="B485" s="14">
        <v>0.57881294137345263</v>
      </c>
      <c r="C485" s="14">
        <v>1.8839874265097478E-6</v>
      </c>
      <c r="D485" s="14">
        <v>307227.60312989692</v>
      </c>
      <c r="E485" s="14">
        <v>1.7693365322202226E-5</v>
      </c>
      <c r="F485" s="14">
        <v>32713.558491167241</v>
      </c>
      <c r="G485" s="14">
        <v>0.60833703698674813</v>
      </c>
      <c r="H485" s="14">
        <v>30.958101550582295</v>
      </c>
      <c r="I485" s="14">
        <v>30.95810061808071</v>
      </c>
      <c r="J485" s="14">
        <v>2.9524095613295442E-2</v>
      </c>
      <c r="K485" s="14">
        <v>30.958099666594869</v>
      </c>
      <c r="L485" s="14">
        <v>30.958082924715388</v>
      </c>
      <c r="M485" s="14">
        <v>14</v>
      </c>
    </row>
    <row r="486" spans="1:13" x14ac:dyDescent="0.3">
      <c r="A486" s="14">
        <v>475</v>
      </c>
      <c r="B486" s="14">
        <v>0.49230394707413822</v>
      </c>
      <c r="C486" s="14">
        <v>3.3892509026856033E-5</v>
      </c>
      <c r="D486" s="14">
        <v>14525.450053994004</v>
      </c>
      <c r="E486" s="14">
        <v>6.2157182728839189E-5</v>
      </c>
      <c r="F486" s="14">
        <v>7920.3066397300372</v>
      </c>
      <c r="G486" s="14">
        <v>0.72581080318670133</v>
      </c>
      <c r="H486" s="14">
        <v>30.958100674826746</v>
      </c>
      <c r="I486" s="14">
        <v>30.958099783154044</v>
      </c>
      <c r="J486" s="14">
        <v>0.23350685611256311</v>
      </c>
      <c r="K486" s="14">
        <v>30.958066782317719</v>
      </c>
      <c r="L486" s="14">
        <v>30.958037625971315</v>
      </c>
      <c r="M486" s="14">
        <v>15</v>
      </c>
    </row>
    <row r="487" spans="1:13" x14ac:dyDescent="0.3">
      <c r="A487" s="14">
        <v>476</v>
      </c>
      <c r="B487" s="14">
        <v>0.85730783848041259</v>
      </c>
      <c r="C487" s="14">
        <v>1.4628469048716397E-4</v>
      </c>
      <c r="D487" s="14">
        <v>5860.5438178483801</v>
      </c>
      <c r="E487" s="14">
        <v>1.9058838968888381E-4</v>
      </c>
      <c r="F487" s="14">
        <v>4498.2164961878352</v>
      </c>
      <c r="G487" s="14">
        <v>1.206999364419534</v>
      </c>
      <c r="H487" s="14">
        <v>30.958098829366666</v>
      </c>
      <c r="I487" s="14">
        <v>30.958097946718837</v>
      </c>
      <c r="J487" s="14">
        <v>0.34969152593912145</v>
      </c>
      <c r="K487" s="14">
        <v>30.957952544676179</v>
      </c>
      <c r="L487" s="14">
        <v>30.957907358329148</v>
      </c>
      <c r="M487" s="14">
        <v>9</v>
      </c>
    </row>
    <row r="488" spans="1:13" x14ac:dyDescent="0.3">
      <c r="A488" s="14">
        <v>477</v>
      </c>
      <c r="B488" s="14">
        <v>0.48294208563322061</v>
      </c>
      <c r="C488" s="14">
        <v>5.8025193819588594E-5</v>
      </c>
      <c r="D488" s="14">
        <v>8322.9723822169344</v>
      </c>
      <c r="E488" s="14">
        <v>7.5563266779710148E-5</v>
      </c>
      <c r="F488" s="14">
        <v>6391.2282543466963</v>
      </c>
      <c r="G488" s="14">
        <v>0.71515197553324483</v>
      </c>
      <c r="H488" s="14">
        <v>30.958101408243788</v>
      </c>
      <c r="I488" s="14">
        <v>30.958101339580644</v>
      </c>
      <c r="J488" s="14">
        <v>0.23220988990002425</v>
      </c>
      <c r="K488" s="14">
        <v>30.958043383049969</v>
      </c>
      <c r="L488" s="14">
        <v>30.958025776313864</v>
      </c>
      <c r="M488" s="14">
        <v>9</v>
      </c>
    </row>
    <row r="489" spans="1:13" x14ac:dyDescent="0.3">
      <c r="A489" s="14">
        <v>478</v>
      </c>
      <c r="B489" s="14">
        <v>0.59939287452299761</v>
      </c>
      <c r="C489" s="14">
        <v>2.4934414739163913E-5</v>
      </c>
      <c r="D489" s="14">
        <v>24038.778563410393</v>
      </c>
      <c r="E489" s="14">
        <v>4.9934139635610109E-5</v>
      </c>
      <c r="F489" s="14">
        <v>12003.668810497451</v>
      </c>
      <c r="G489" s="14">
        <v>0.66911595050148942</v>
      </c>
      <c r="H489" s="14">
        <v>30.95810098413379</v>
      </c>
      <c r="I489" s="14">
        <v>30.958099082931582</v>
      </c>
      <c r="J489" s="14">
        <v>6.9723075978491769E-2</v>
      </c>
      <c r="K489" s="14">
        <v>30.95807604971905</v>
      </c>
      <c r="L489" s="14">
        <v>30.958049148791947</v>
      </c>
      <c r="M489" s="14">
        <v>11</v>
      </c>
    </row>
    <row r="490" spans="1:13" x14ac:dyDescent="0.3">
      <c r="A490" s="14">
        <v>479</v>
      </c>
      <c r="B490" s="14">
        <v>0.72883610645837071</v>
      </c>
      <c r="C490" s="14">
        <v>6.4404254324301746E-5</v>
      </c>
      <c r="D490" s="14">
        <v>11316.583261540192</v>
      </c>
      <c r="E490" s="14">
        <v>1.141765730494626E-4</v>
      </c>
      <c r="F490" s="14">
        <v>6383.4119994355633</v>
      </c>
      <c r="G490" s="14">
        <v>0.82526929926354042</v>
      </c>
      <c r="H490" s="14">
        <v>30.958100428999039</v>
      </c>
      <c r="I490" s="14">
        <v>30.958098600438543</v>
      </c>
      <c r="J490" s="14">
        <v>9.6433192805169737E-2</v>
      </c>
      <c r="K490" s="14">
        <v>30.958036024744715</v>
      </c>
      <c r="L490" s="14">
        <v>30.957984423865494</v>
      </c>
      <c r="M490" s="14">
        <v>10</v>
      </c>
    </row>
    <row r="491" spans="1:13" x14ac:dyDescent="0.3">
      <c r="A491" s="14">
        <v>480</v>
      </c>
      <c r="B491" s="14">
        <v>0.57737390552853329</v>
      </c>
      <c r="C491" s="14">
        <v>5.3976721190451826E-6</v>
      </c>
      <c r="D491" s="14">
        <v>106967.20600929488</v>
      </c>
      <c r="E491" s="14">
        <v>2.8986851532408764E-5</v>
      </c>
      <c r="F491" s="14">
        <v>19918.475964283327</v>
      </c>
      <c r="G491" s="14">
        <v>0.58719236221554794</v>
      </c>
      <c r="H491" s="14">
        <v>30.958101529754959</v>
      </c>
      <c r="I491" s="14">
        <v>30.95810012519636</v>
      </c>
      <c r="J491" s="14">
        <v>9.8184566870146827E-3</v>
      </c>
      <c r="K491" s="14">
        <v>30.95809613208284</v>
      </c>
      <c r="L491" s="14">
        <v>30.958071138344827</v>
      </c>
      <c r="M491" s="14">
        <v>14</v>
      </c>
    </row>
    <row r="492" spans="1:13" x14ac:dyDescent="0.3">
      <c r="A492" s="14">
        <v>481</v>
      </c>
      <c r="B492" s="14">
        <v>0.54893218156543688</v>
      </c>
      <c r="C492" s="14">
        <v>4.0323924302754222E-5</v>
      </c>
      <c r="D492" s="14">
        <v>13613.06447864608</v>
      </c>
      <c r="E492" s="14">
        <v>7.6121307934329252E-5</v>
      </c>
      <c r="F492" s="14">
        <v>7211.2815249970108</v>
      </c>
      <c r="G492" s="14">
        <v>0.71397362331742786</v>
      </c>
      <c r="H492" s="14">
        <v>30.958101522865526</v>
      </c>
      <c r="I492" s="14">
        <v>30.95809807972816</v>
      </c>
      <c r="J492" s="14">
        <v>0.16504144175199098</v>
      </c>
      <c r="K492" s="14">
        <v>30.958061198941223</v>
      </c>
      <c r="L492" s="14">
        <v>30.958021958420225</v>
      </c>
      <c r="M492" s="14">
        <v>15</v>
      </c>
    </row>
    <row r="493" spans="1:13" x14ac:dyDescent="0.3">
      <c r="A493" s="14">
        <v>482</v>
      </c>
      <c r="B493" s="14">
        <v>0.31540283507651962</v>
      </c>
      <c r="C493" s="14">
        <v>2.7210981997427552E-5</v>
      </c>
      <c r="D493" s="14">
        <v>11591.012595809181</v>
      </c>
      <c r="E493" s="14">
        <v>3.5187486517429534E-5</v>
      </c>
      <c r="F493" s="14">
        <v>8963.4943069971796</v>
      </c>
      <c r="G493" s="14">
        <v>0.35232796878115713</v>
      </c>
      <c r="H493" s="14">
        <v>30.958096631524253</v>
      </c>
      <c r="I493" s="14">
        <v>30.958094972421531</v>
      </c>
      <c r="J493" s="14">
        <v>3.6925133704637493E-2</v>
      </c>
      <c r="K493" s="14">
        <v>30.958069420542255</v>
      </c>
      <c r="L493" s="14">
        <v>30.958059784935013</v>
      </c>
      <c r="M493" s="14">
        <v>9</v>
      </c>
    </row>
    <row r="494" spans="1:13" x14ac:dyDescent="0.3">
      <c r="A494" s="14">
        <v>483</v>
      </c>
      <c r="B494" s="14">
        <v>0.50108907292406912</v>
      </c>
      <c r="C494" s="14">
        <v>4.3758620293488093E-5</v>
      </c>
      <c r="D494" s="14">
        <v>11451.208231961517</v>
      </c>
      <c r="E494" s="14">
        <v>6.4802688985565737E-5</v>
      </c>
      <c r="F494" s="14">
        <v>7732.5351890209768</v>
      </c>
      <c r="G494" s="14">
        <v>0.53769891212286891</v>
      </c>
      <c r="H494" s="14">
        <v>30.958101525878455</v>
      </c>
      <c r="I494" s="14">
        <v>30.958100047309379</v>
      </c>
      <c r="J494" s="14">
        <v>3.6609839198799801E-2</v>
      </c>
      <c r="K494" s="14">
        <v>30.958057767258161</v>
      </c>
      <c r="L494" s="14">
        <v>30.958035244620394</v>
      </c>
      <c r="M494" s="14">
        <v>14</v>
      </c>
    </row>
    <row r="495" spans="1:13" x14ac:dyDescent="0.3">
      <c r="A495" s="14">
        <v>484</v>
      </c>
      <c r="B495" s="14">
        <v>0.16472733520038552</v>
      </c>
      <c r="C495" s="14">
        <v>8.724894507494696E-5</v>
      </c>
      <c r="D495" s="14">
        <v>1888.0152081940305</v>
      </c>
      <c r="E495" s="14">
        <v>1.0583940206387865E-4</v>
      </c>
      <c r="F495" s="14">
        <v>1556.3895107888598</v>
      </c>
      <c r="G495" s="14">
        <v>0.75206716766559811</v>
      </c>
      <c r="H495" s="14">
        <v>30.958099549147629</v>
      </c>
      <c r="I495" s="14">
        <v>30.958098625135413</v>
      </c>
      <c r="J495" s="14">
        <v>0.5873398324652126</v>
      </c>
      <c r="K495" s="14">
        <v>30.958012300202554</v>
      </c>
      <c r="L495" s="14">
        <v>30.957992785733349</v>
      </c>
      <c r="M495" s="14">
        <v>11</v>
      </c>
    </row>
    <row r="496" spans="1:13" x14ac:dyDescent="0.3">
      <c r="A496" s="14">
        <v>485</v>
      </c>
      <c r="B496" s="14">
        <v>0.52085452736487592</v>
      </c>
      <c r="C496" s="14">
        <v>1.151970102277744E-4</v>
      </c>
      <c r="D496" s="14">
        <v>4521.4240051457173</v>
      </c>
      <c r="E496" s="14">
        <v>1.4214043953941768E-4</v>
      </c>
      <c r="F496" s="14">
        <v>3664.3655320935964</v>
      </c>
      <c r="G496" s="14">
        <v>0.74527603103138751</v>
      </c>
      <c r="H496" s="14">
        <v>30.958101487921912</v>
      </c>
      <c r="I496" s="14">
        <v>30.958099758392382</v>
      </c>
      <c r="J496" s="14">
        <v>0.22442150366651153</v>
      </c>
      <c r="K496" s="14">
        <v>30.957986290911684</v>
      </c>
      <c r="L496" s="14">
        <v>30.957957617952843</v>
      </c>
      <c r="M496" s="14">
        <v>12</v>
      </c>
    </row>
    <row r="497" spans="1:13" x14ac:dyDescent="0.3">
      <c r="A497" s="14">
        <v>486</v>
      </c>
      <c r="B497" s="14">
        <v>0.48151364120353712</v>
      </c>
      <c r="C497" s="14">
        <v>5.3989544198884687E-5</v>
      </c>
      <c r="D497" s="14">
        <v>8918.6461628524776</v>
      </c>
      <c r="E497" s="14">
        <v>7.8816026565675656E-5</v>
      </c>
      <c r="F497" s="14">
        <v>6109.3366690123921</v>
      </c>
      <c r="G497" s="14">
        <v>0.59242877723512677</v>
      </c>
      <c r="H497" s="14">
        <v>30.958097831646562</v>
      </c>
      <c r="I497" s="14">
        <v>30.958094245610528</v>
      </c>
      <c r="J497" s="14">
        <v>0.11091513603158966</v>
      </c>
      <c r="K497" s="14">
        <v>30.958043842102363</v>
      </c>
      <c r="L497" s="14">
        <v>30.958015429583963</v>
      </c>
      <c r="M497" s="14">
        <v>12</v>
      </c>
    </row>
    <row r="498" spans="1:13" x14ac:dyDescent="0.3">
      <c r="A498" s="14">
        <v>487</v>
      </c>
      <c r="B498" s="14">
        <v>0.3117451289237449</v>
      </c>
      <c r="C498" s="14">
        <v>2.1533782550875458E-5</v>
      </c>
      <c r="D498" s="14">
        <v>14477.025956179299</v>
      </c>
      <c r="E498" s="14">
        <v>3.9930178417080242E-5</v>
      </c>
      <c r="F498" s="14">
        <v>7807.2560975684264</v>
      </c>
      <c r="G498" s="14">
        <v>0.35932783528175166</v>
      </c>
      <c r="H498" s="14">
        <v>30.958101386201598</v>
      </c>
      <c r="I498" s="14">
        <v>30.958100509429276</v>
      </c>
      <c r="J498" s="14">
        <v>4.7582706358006752E-2</v>
      </c>
      <c r="K498" s="14">
        <v>30.958079852419047</v>
      </c>
      <c r="L498" s="14">
        <v>30.958060579250859</v>
      </c>
      <c r="M498" s="14">
        <v>14</v>
      </c>
    </row>
    <row r="499" spans="1:13" x14ac:dyDescent="0.3">
      <c r="A499" s="14">
        <v>488</v>
      </c>
      <c r="B499" s="14">
        <v>0.33483128102358645</v>
      </c>
      <c r="C499" s="14">
        <v>4.0891472249171557E-5</v>
      </c>
      <c r="D499" s="14">
        <v>8188.2911670016965</v>
      </c>
      <c r="E499" s="14">
        <v>7.5280424610468799E-5</v>
      </c>
      <c r="F499" s="14">
        <v>4447.7868284635506</v>
      </c>
      <c r="G499" s="14">
        <v>0.42530208715274842</v>
      </c>
      <c r="H499" s="14">
        <v>30.958101069232285</v>
      </c>
      <c r="I499" s="14">
        <v>30.958100632912863</v>
      </c>
      <c r="J499" s="14">
        <v>9.047080612916196E-2</v>
      </c>
      <c r="K499" s="14">
        <v>30.958060177760036</v>
      </c>
      <c r="L499" s="14">
        <v>30.958025352488253</v>
      </c>
      <c r="M499" s="14">
        <v>14</v>
      </c>
    </row>
    <row r="500" spans="1:13" x14ac:dyDescent="0.3">
      <c r="A500" s="14">
        <v>489</v>
      </c>
      <c r="B500" s="14">
        <v>0.38504950493394574</v>
      </c>
      <c r="C500" s="14">
        <v>1.9686438511357096E-4</v>
      </c>
      <c r="D500" s="14">
        <v>1955.912465892756</v>
      </c>
      <c r="E500" s="14">
        <v>2.0418520738019197E-4</v>
      </c>
      <c r="F500" s="14">
        <v>1885.7855075514126</v>
      </c>
      <c r="G500" s="14">
        <v>0.54711339565239869</v>
      </c>
      <c r="H500" s="14">
        <v>30.958101024424707</v>
      </c>
      <c r="I500" s="14">
        <v>30.958100570639687</v>
      </c>
      <c r="J500" s="14">
        <v>0.16206389071845295</v>
      </c>
      <c r="K500" s="14">
        <v>30.957904160039593</v>
      </c>
      <c r="L500" s="14">
        <v>30.957896385432306</v>
      </c>
      <c r="M500" s="14">
        <v>9</v>
      </c>
    </row>
    <row r="501" spans="1:13" x14ac:dyDescent="0.3">
      <c r="A501" s="14">
        <v>490</v>
      </c>
      <c r="B501" s="14">
        <v>0.40419194453557872</v>
      </c>
      <c r="C501" s="14">
        <v>1.2604210755995382E-5</v>
      </c>
      <c r="D501" s="14">
        <v>32068.009045573817</v>
      </c>
      <c r="E501" s="14">
        <v>3.795309133991509E-5</v>
      </c>
      <c r="F501" s="14">
        <v>10649.776612807609</v>
      </c>
      <c r="G501" s="14">
        <v>0.47623772708835921</v>
      </c>
      <c r="H501" s="14">
        <v>30.9581006552106</v>
      </c>
      <c r="I501" s="14">
        <v>30.958097607086909</v>
      </c>
      <c r="J501" s="14">
        <v>7.2045782552780491E-2</v>
      </c>
      <c r="K501" s="14">
        <v>30.958088050999844</v>
      </c>
      <c r="L501" s="14">
        <v>30.958059653995569</v>
      </c>
      <c r="M501" s="14">
        <v>13</v>
      </c>
    </row>
    <row r="502" spans="1:13" x14ac:dyDescent="0.3">
      <c r="A502" s="14">
        <v>491</v>
      </c>
      <c r="B502" s="14">
        <v>0.48077841101944274</v>
      </c>
      <c r="C502" s="14">
        <v>7.2687109593516652E-6</v>
      </c>
      <c r="D502" s="14">
        <v>66143.558838433426</v>
      </c>
      <c r="E502" s="14">
        <v>2.7640516400140314E-5</v>
      </c>
      <c r="F502" s="14">
        <v>17393.973544466851</v>
      </c>
      <c r="G502" s="14">
        <v>0.49884406411034765</v>
      </c>
      <c r="H502" s="14">
        <v>30.958101551189863</v>
      </c>
      <c r="I502" s="14">
        <v>30.958100266715721</v>
      </c>
      <c r="J502" s="14">
        <v>1.8065653090904889E-2</v>
      </c>
      <c r="K502" s="14">
        <v>30.958094282478903</v>
      </c>
      <c r="L502" s="14">
        <v>30.958072626199321</v>
      </c>
      <c r="M502" s="14">
        <v>14</v>
      </c>
    </row>
    <row r="503" spans="1:13" x14ac:dyDescent="0.3">
      <c r="A503" s="14">
        <v>492</v>
      </c>
      <c r="B503" s="14">
        <v>0.23765159943658942</v>
      </c>
      <c r="C503" s="14">
        <v>1.6640984213012189E-4</v>
      </c>
      <c r="D503" s="14">
        <v>1428.1102391213196</v>
      </c>
      <c r="E503" s="14">
        <v>1.7313437772159546E-4</v>
      </c>
      <c r="F503" s="14">
        <v>1372.6424674523007</v>
      </c>
      <c r="G503" s="14">
        <v>0.56980053566218869</v>
      </c>
      <c r="H503" s="14">
        <v>30.958100423426039</v>
      </c>
      <c r="I503" s="14">
        <v>30.958100306512407</v>
      </c>
      <c r="J503" s="14">
        <v>0.33214893622559927</v>
      </c>
      <c r="K503" s="14">
        <v>30.957934013583909</v>
      </c>
      <c r="L503" s="14">
        <v>30.957927172134685</v>
      </c>
      <c r="M503" s="14">
        <v>10</v>
      </c>
    </row>
    <row r="504" spans="1:13" x14ac:dyDescent="0.3">
      <c r="A504" s="14">
        <v>493</v>
      </c>
      <c r="B504" s="14">
        <v>0.35980893939360087</v>
      </c>
      <c r="C504" s="14">
        <v>4.7438322781090392E-6</v>
      </c>
      <c r="D504" s="14">
        <v>75847.736239322941</v>
      </c>
      <c r="E504" s="14">
        <v>2.4318878349305351E-5</v>
      </c>
      <c r="F504" s="14">
        <v>14795.457842482218</v>
      </c>
      <c r="G504" s="14">
        <v>0.38522509013879647</v>
      </c>
      <c r="H504" s="14">
        <v>30.958101393101707</v>
      </c>
      <c r="I504" s="14">
        <v>30.958100326283599</v>
      </c>
      <c r="J504" s="14">
        <v>2.5416150745195595E-2</v>
      </c>
      <c r="K504" s="14">
        <v>30.958096649269429</v>
      </c>
      <c r="L504" s="14">
        <v>30.95807600740525</v>
      </c>
      <c r="M504" s="14">
        <v>12</v>
      </c>
    </row>
    <row r="505" spans="1:13" x14ac:dyDescent="0.3">
      <c r="A505" s="14">
        <v>494</v>
      </c>
      <c r="B505" s="14">
        <v>0.77198936041945931</v>
      </c>
      <c r="C505" s="14">
        <v>1.4418530792426054E-5</v>
      </c>
      <c r="D505" s="14">
        <v>53541.471841567902</v>
      </c>
      <c r="E505" s="14">
        <v>3.2106731175929326E-5</v>
      </c>
      <c r="F505" s="14">
        <v>24044.470805493456</v>
      </c>
      <c r="G505" s="14">
        <v>0.84557373549438286</v>
      </c>
      <c r="H505" s="14">
        <v>30.958101548673866</v>
      </c>
      <c r="I505" s="14">
        <v>30.958100072669382</v>
      </c>
      <c r="J505" s="14">
        <v>7.3584375074923575E-2</v>
      </c>
      <c r="K505" s="14">
        <v>30.958087130143074</v>
      </c>
      <c r="L505" s="14">
        <v>30.958067965938206</v>
      </c>
      <c r="M505" s="14">
        <v>14</v>
      </c>
    </row>
    <row r="506" spans="1:13" x14ac:dyDescent="0.3">
      <c r="A506" s="14">
        <v>495</v>
      </c>
      <c r="B506" s="14">
        <v>0.88047524922450904</v>
      </c>
      <c r="C506" s="14">
        <v>6.3476936240647319E-5</v>
      </c>
      <c r="D506" s="14">
        <v>13870.789949384774</v>
      </c>
      <c r="E506" s="14">
        <v>9.9779307650038618E-5</v>
      </c>
      <c r="F506" s="14">
        <v>8824.2268859255637</v>
      </c>
      <c r="G506" s="14">
        <v>1.0010980087666494</v>
      </c>
      <c r="H506" s="14">
        <v>30.958101547983659</v>
      </c>
      <c r="I506" s="14">
        <v>30.958098053709083</v>
      </c>
      <c r="J506" s="14">
        <v>0.12062275954214045</v>
      </c>
      <c r="K506" s="14">
        <v>30.958038071047419</v>
      </c>
      <c r="L506" s="14">
        <v>30.957998274401433</v>
      </c>
      <c r="M506" s="14">
        <v>10</v>
      </c>
    </row>
    <row r="507" spans="1:13" x14ac:dyDescent="0.3">
      <c r="A507" s="14">
        <v>496</v>
      </c>
      <c r="B507" s="14">
        <v>0.57629050813610261</v>
      </c>
      <c r="C507" s="14">
        <v>7.8477381428854187E-5</v>
      </c>
      <c r="D507" s="14">
        <v>7343.3962454335269</v>
      </c>
      <c r="E507" s="14">
        <v>1.0973412294390528E-4</v>
      </c>
      <c r="F507" s="14">
        <v>5251.6983111141753</v>
      </c>
      <c r="G507" s="14">
        <v>0.7469578136607975</v>
      </c>
      <c r="H507" s="14">
        <v>30.958097877923887</v>
      </c>
      <c r="I507" s="14">
        <v>30.958094221982464</v>
      </c>
      <c r="J507" s="14">
        <v>0.17066730552469492</v>
      </c>
      <c r="K507" s="14">
        <v>30.958019400542458</v>
      </c>
      <c r="L507" s="14">
        <v>30.95798448785952</v>
      </c>
      <c r="M507" s="14">
        <v>13</v>
      </c>
    </row>
    <row r="508" spans="1:13" x14ac:dyDescent="0.3">
      <c r="A508" s="14">
        <v>497</v>
      </c>
      <c r="B508" s="14">
        <v>0.32495134173814127</v>
      </c>
      <c r="C508" s="14">
        <v>1.627905366063942E-5</v>
      </c>
      <c r="D508" s="14">
        <v>19961.316456854631</v>
      </c>
      <c r="E508" s="14">
        <v>3.6635474245372279E-5</v>
      </c>
      <c r="F508" s="14">
        <v>8869.8549269957512</v>
      </c>
      <c r="G508" s="14">
        <v>0.39408642008962813</v>
      </c>
      <c r="H508" s="14">
        <v>30.958101514590499</v>
      </c>
      <c r="I508" s="14">
        <v>30.958100866468246</v>
      </c>
      <c r="J508" s="14">
        <v>6.913507835148687E-2</v>
      </c>
      <c r="K508" s="14">
        <v>30.958085235536839</v>
      </c>
      <c r="L508" s="14">
        <v>30.958064230994001</v>
      </c>
      <c r="M508" s="14">
        <v>15</v>
      </c>
    </row>
    <row r="509" spans="1:13" x14ac:dyDescent="0.3">
      <c r="A509" s="14">
        <v>498</v>
      </c>
      <c r="B509" s="14">
        <v>0.16111678791529416</v>
      </c>
      <c r="C509" s="14">
        <v>8.767117958186077E-5</v>
      </c>
      <c r="D509" s="14">
        <v>1837.7394793103631</v>
      </c>
      <c r="E509" s="14">
        <v>1.1263695152052833E-4</v>
      </c>
      <c r="F509" s="14">
        <v>1430.4079233352677</v>
      </c>
      <c r="G509" s="14">
        <v>0.70249926470004664</v>
      </c>
      <c r="H509" s="14">
        <v>30.958100366054229</v>
      </c>
      <c r="I509" s="14">
        <v>30.958098832787197</v>
      </c>
      <c r="J509" s="14">
        <v>0.54138247678475249</v>
      </c>
      <c r="K509" s="14">
        <v>30.958012694874647</v>
      </c>
      <c r="L509" s="14">
        <v>30.957986195835677</v>
      </c>
      <c r="M509" s="14">
        <v>10</v>
      </c>
    </row>
    <row r="510" spans="1:13" x14ac:dyDescent="0.3">
      <c r="A510" s="14">
        <v>499</v>
      </c>
      <c r="B510" s="14">
        <v>0.58679685221105271</v>
      </c>
      <c r="C510" s="14">
        <v>4.7505532926095384E-5</v>
      </c>
      <c r="D510" s="14">
        <v>12352.17912667006</v>
      </c>
      <c r="E510" s="14">
        <v>7.8256328418291332E-5</v>
      </c>
      <c r="F510" s="14">
        <v>7498.3948783610076</v>
      </c>
      <c r="G510" s="14">
        <v>0.74938299660047969</v>
      </c>
      <c r="H510" s="14">
        <v>30.958101423666168</v>
      </c>
      <c r="I510" s="14">
        <v>30.95810090226172</v>
      </c>
      <c r="J510" s="14">
        <v>0.16258614438942695</v>
      </c>
      <c r="K510" s="14">
        <v>30.958053918133242</v>
      </c>
      <c r="L510" s="14">
        <v>30.958022645933301</v>
      </c>
      <c r="M510" s="14">
        <v>10</v>
      </c>
    </row>
    <row r="511" spans="1:13" x14ac:dyDescent="0.3">
      <c r="A511" s="14">
        <v>500</v>
      </c>
      <c r="B511" s="14">
        <v>0.12613634374433369</v>
      </c>
      <c r="C511" s="14">
        <v>7.8156060425271789E-5</v>
      </c>
      <c r="D511" s="14">
        <v>1613.9035547337728</v>
      </c>
      <c r="E511" s="14">
        <v>1.0155589846050361E-4</v>
      </c>
      <c r="F511" s="14">
        <v>1242.0385783243278</v>
      </c>
      <c r="G511" s="14">
        <v>1.143656198676773</v>
      </c>
      <c r="H511" s="14">
        <v>30.958099250664162</v>
      </c>
      <c r="I511" s="14">
        <v>30.95809601874058</v>
      </c>
      <c r="J511" s="14">
        <v>1.0175198549324393</v>
      </c>
      <c r="K511" s="14">
        <v>30.958021094603737</v>
      </c>
      <c r="L511" s="14">
        <v>30.95799446284212</v>
      </c>
      <c r="M511" s="14">
        <v>15</v>
      </c>
    </row>
    <row r="512" spans="1:13" x14ac:dyDescent="0.3">
      <c r="A512" s="14">
        <v>501</v>
      </c>
      <c r="B512" s="14">
        <v>0.55017587813127644</v>
      </c>
      <c r="C512" s="14">
        <v>4.0309794556492307E-5</v>
      </c>
      <c r="D512" s="14">
        <v>13648.689708905127</v>
      </c>
      <c r="E512" s="14">
        <v>7.3518245500281409E-5</v>
      </c>
      <c r="F512" s="14">
        <v>7483.5284001598011</v>
      </c>
      <c r="G512" s="14">
        <v>0.64858622342520056</v>
      </c>
      <c r="H512" s="14">
        <v>30.958100538468237</v>
      </c>
      <c r="I512" s="14">
        <v>30.958098583796659</v>
      </c>
      <c r="J512" s="14">
        <v>9.8410345293924117E-2</v>
      </c>
      <c r="K512" s="14">
        <v>30.958060228673681</v>
      </c>
      <c r="L512" s="14">
        <v>30.958025065551158</v>
      </c>
      <c r="M512" s="14">
        <v>12</v>
      </c>
    </row>
    <row r="513" spans="1:13" x14ac:dyDescent="0.3">
      <c r="A513" s="14">
        <v>502</v>
      </c>
      <c r="B513" s="14">
        <v>0.48812963803095838</v>
      </c>
      <c r="C513" s="14">
        <v>2.4023608759193849E-5</v>
      </c>
      <c r="D513" s="14">
        <v>20318.747400685625</v>
      </c>
      <c r="E513" s="14">
        <v>3.9899642498397725E-5</v>
      </c>
      <c r="F513" s="14">
        <v>12233.935129883947</v>
      </c>
      <c r="G513" s="14">
        <v>0.60141981991814619</v>
      </c>
      <c r="H513" s="14">
        <v>30.958101428919168</v>
      </c>
      <c r="I513" s="14">
        <v>30.958100199719123</v>
      </c>
      <c r="J513" s="14">
        <v>0.11329018188718781</v>
      </c>
      <c r="K513" s="14">
        <v>30.958077405310409</v>
      </c>
      <c r="L513" s="14">
        <v>30.958060300076625</v>
      </c>
      <c r="M513" s="14">
        <v>12</v>
      </c>
    </row>
    <row r="514" spans="1:13" x14ac:dyDescent="0.3">
      <c r="A514" s="14">
        <v>503</v>
      </c>
      <c r="B514" s="14">
        <v>0.32862850949133615</v>
      </c>
      <c r="C514" s="14">
        <v>7.6285808248144349E-7</v>
      </c>
      <c r="D514" s="14">
        <v>430785.90505637071</v>
      </c>
      <c r="E514" s="14">
        <v>1.539349728929551E-5</v>
      </c>
      <c r="F514" s="14">
        <v>21348.528103477904</v>
      </c>
      <c r="G514" s="14">
        <v>0.33512555930266874</v>
      </c>
      <c r="H514" s="14">
        <v>30.958101229755489</v>
      </c>
      <c r="I514" s="14">
        <v>30.958093792843076</v>
      </c>
      <c r="J514" s="14">
        <v>6.4970498113326065E-3</v>
      </c>
      <c r="K514" s="14">
        <v>30.958100466897406</v>
      </c>
      <c r="L514" s="14">
        <v>30.958078399345787</v>
      </c>
      <c r="M514" s="14">
        <v>12</v>
      </c>
    </row>
    <row r="515" spans="1:13" x14ac:dyDescent="0.3">
      <c r="A515" s="14">
        <v>504</v>
      </c>
      <c r="B515" s="14">
        <v>0.58318008745966188</v>
      </c>
      <c r="C515" s="14">
        <v>1.3488396742644682E-5</v>
      </c>
      <c r="D515" s="14">
        <v>43235.686092765187</v>
      </c>
      <c r="E515" s="14">
        <v>4.1437914635622519E-5</v>
      </c>
      <c r="F515" s="14">
        <v>14073.586776452434</v>
      </c>
      <c r="G515" s="14">
        <v>0.61402958713583433</v>
      </c>
      <c r="H515" s="14">
        <v>30.958100498850939</v>
      </c>
      <c r="I515" s="14">
        <v>30.958096819243423</v>
      </c>
      <c r="J515" s="14">
        <v>3.0849499676172485E-2</v>
      </c>
      <c r="K515" s="14">
        <v>30.958087010454197</v>
      </c>
      <c r="L515" s="14">
        <v>30.958055381328787</v>
      </c>
      <c r="M515" s="14">
        <v>9</v>
      </c>
    </row>
    <row r="516" spans="1:13" x14ac:dyDescent="0.3">
      <c r="A516" s="14">
        <v>505</v>
      </c>
      <c r="B516" s="14">
        <v>0.73681175342100258</v>
      </c>
      <c r="C516" s="14">
        <v>2.5116938239477804E-5</v>
      </c>
      <c r="D516" s="14">
        <v>29335.253620320298</v>
      </c>
      <c r="E516" s="14">
        <v>5.8179143053394E-5</v>
      </c>
      <c r="F516" s="14">
        <v>12664.534311631101</v>
      </c>
      <c r="G516" s="14">
        <v>0.81648577154085367</v>
      </c>
      <c r="H516" s="14">
        <v>30.958100849458585</v>
      </c>
      <c r="I516" s="14">
        <v>30.958098300440462</v>
      </c>
      <c r="J516" s="14">
        <v>7.9674018119851128E-2</v>
      </c>
      <c r="K516" s="14">
        <v>30.958075732520346</v>
      </c>
      <c r="L516" s="14">
        <v>30.958040121297408</v>
      </c>
      <c r="M516" s="14">
        <v>13</v>
      </c>
    </row>
    <row r="517" spans="1:13" x14ac:dyDescent="0.3">
      <c r="A517" s="14">
        <v>506</v>
      </c>
      <c r="B517" s="14">
        <v>0.43344516399984123</v>
      </c>
      <c r="C517" s="14">
        <v>1.9362857880622641E-5</v>
      </c>
      <c r="D517" s="14">
        <v>22385.392005258222</v>
      </c>
      <c r="E517" s="14">
        <v>5.0899200619625162E-5</v>
      </c>
      <c r="F517" s="14">
        <v>8515.755821766641</v>
      </c>
      <c r="G517" s="14">
        <v>0.47470371430388952</v>
      </c>
      <c r="H517" s="14">
        <v>30.958101499755401</v>
      </c>
      <c r="I517" s="14">
        <v>30.958099179575541</v>
      </c>
      <c r="J517" s="14">
        <v>4.1258550304048305E-2</v>
      </c>
      <c r="K517" s="14">
        <v>30.95808213689752</v>
      </c>
      <c r="L517" s="14">
        <v>30.958048280374921</v>
      </c>
      <c r="M517" s="14">
        <v>11</v>
      </c>
    </row>
    <row r="518" spans="1:13" x14ac:dyDescent="0.3">
      <c r="A518" s="14">
        <v>507</v>
      </c>
      <c r="B518" s="14">
        <v>0.52166778079262499</v>
      </c>
      <c r="C518" s="14">
        <v>2.3108735490495746E-5</v>
      </c>
      <c r="D518" s="14">
        <v>22574.484052023468</v>
      </c>
      <c r="E518" s="14">
        <v>5.0521468097031175E-5</v>
      </c>
      <c r="F518" s="14">
        <v>10325.665512940232</v>
      </c>
      <c r="G518" s="14">
        <v>0.58461105937402236</v>
      </c>
      <c r="H518" s="14">
        <v>30.958101397440618</v>
      </c>
      <c r="I518" s="14">
        <v>30.95810055092311</v>
      </c>
      <c r="J518" s="14">
        <v>6.2943278581397338E-2</v>
      </c>
      <c r="K518" s="14">
        <v>30.958078288705128</v>
      </c>
      <c r="L518" s="14">
        <v>30.958050029455013</v>
      </c>
      <c r="M518" s="14">
        <v>9</v>
      </c>
    </row>
    <row r="519" spans="1:13" x14ac:dyDescent="0.3">
      <c r="A519" s="14">
        <v>508</v>
      </c>
      <c r="B519" s="14">
        <v>0.50624798278630512</v>
      </c>
      <c r="C519" s="14">
        <v>2.2961590069314752E-4</v>
      </c>
      <c r="D519" s="14">
        <v>2204.7601287980542</v>
      </c>
      <c r="E519" s="14">
        <v>2.4240674463982259E-4</v>
      </c>
      <c r="F519" s="14">
        <v>2088.4236679903775</v>
      </c>
      <c r="G519" s="14">
        <v>1.1056235673465653</v>
      </c>
      <c r="H519" s="14">
        <v>30.958100925260361</v>
      </c>
      <c r="I519" s="14">
        <v>30.958099877355629</v>
      </c>
      <c r="J519" s="14">
        <v>0.59937558456026019</v>
      </c>
      <c r="K519" s="14">
        <v>30.957871309359668</v>
      </c>
      <c r="L519" s="14">
        <v>30.957857470610989</v>
      </c>
      <c r="M519" s="14">
        <v>11</v>
      </c>
    </row>
    <row r="520" spans="1:13" x14ac:dyDescent="0.3">
      <c r="A520" s="14">
        <v>509</v>
      </c>
      <c r="B520" s="14">
        <v>0.60038130797598566</v>
      </c>
      <c r="C520" s="14">
        <v>1.3089731780269176E-4</v>
      </c>
      <c r="D520" s="14">
        <v>4586.6585966335169</v>
      </c>
      <c r="E520" s="14">
        <v>1.4790283828247652E-4</v>
      </c>
      <c r="F520" s="14">
        <v>4059.2953789658181</v>
      </c>
      <c r="G520" s="14">
        <v>0.88904270270681029</v>
      </c>
      <c r="H520" s="14">
        <v>30.958100909434414</v>
      </c>
      <c r="I520" s="14">
        <v>30.958099802418385</v>
      </c>
      <c r="J520" s="14">
        <v>0.28866139473082469</v>
      </c>
      <c r="K520" s="14">
        <v>30.957970012116611</v>
      </c>
      <c r="L520" s="14">
        <v>30.957951899580102</v>
      </c>
      <c r="M520" s="14">
        <v>13</v>
      </c>
    </row>
    <row r="521" spans="1:13" x14ac:dyDescent="0.3">
      <c r="A521" s="14">
        <v>510</v>
      </c>
      <c r="B521" s="14">
        <v>0.60840828561802573</v>
      </c>
      <c r="C521" s="14">
        <v>6.4396883601602894E-5</v>
      </c>
      <c r="D521" s="14">
        <v>9447.7908182948449</v>
      </c>
      <c r="E521" s="14">
        <v>8.0957306948903351E-5</v>
      </c>
      <c r="F521" s="14">
        <v>7515.174461052984</v>
      </c>
      <c r="G521" s="14">
        <v>0.74100605317532631</v>
      </c>
      <c r="H521" s="14">
        <v>30.958086842459426</v>
      </c>
      <c r="I521" s="14">
        <v>30.958082397965214</v>
      </c>
      <c r="J521" s="14">
        <v>0.13259776755730054</v>
      </c>
      <c r="K521" s="14">
        <v>30.958022445575825</v>
      </c>
      <c r="L521" s="14">
        <v>30.958001440658265</v>
      </c>
      <c r="M521" s="14">
        <v>10</v>
      </c>
    </row>
    <row r="522" spans="1:13" x14ac:dyDescent="0.3">
      <c r="A522" s="14">
        <v>511</v>
      </c>
      <c r="B522" s="14">
        <v>0.51556370763479675</v>
      </c>
      <c r="C522" s="14">
        <v>2.0551883832098383E-5</v>
      </c>
      <c r="D522" s="14">
        <v>25085.958632637754</v>
      </c>
      <c r="E522" s="14">
        <v>4.2414503543142246E-5</v>
      </c>
      <c r="F522" s="14">
        <v>12155.363485756401</v>
      </c>
      <c r="G522" s="14">
        <v>0.58299250237999045</v>
      </c>
      <c r="H522" s="14">
        <v>30.958101430382044</v>
      </c>
      <c r="I522" s="14">
        <v>30.958100155712035</v>
      </c>
      <c r="J522" s="14">
        <v>6.7428794745193754E-2</v>
      </c>
      <c r="K522" s="14">
        <v>30.958080878498212</v>
      </c>
      <c r="L522" s="14">
        <v>30.958057741208492</v>
      </c>
      <c r="M522" s="14">
        <v>9</v>
      </c>
    </row>
    <row r="523" spans="1:13" x14ac:dyDescent="0.3">
      <c r="A523" s="14">
        <v>512</v>
      </c>
      <c r="B523" s="14">
        <v>0.42207898766817498</v>
      </c>
      <c r="C523" s="14">
        <v>6.3102600147857402E-5</v>
      </c>
      <c r="D523" s="14">
        <v>6688.7733101201902</v>
      </c>
      <c r="E523" s="14">
        <v>8.7984507914029564E-5</v>
      </c>
      <c r="F523" s="14">
        <v>4797.1966619463519</v>
      </c>
      <c r="G523" s="14">
        <v>0.56681121021901693</v>
      </c>
      <c r="H523" s="14">
        <v>30.958101299995135</v>
      </c>
      <c r="I523" s="14">
        <v>30.95809936198529</v>
      </c>
      <c r="J523" s="14">
        <v>0.14473222255084195</v>
      </c>
      <c r="K523" s="14">
        <v>30.958038197394988</v>
      </c>
      <c r="L523" s="14">
        <v>30.958011377477376</v>
      </c>
      <c r="M523" s="14">
        <v>14</v>
      </c>
    </row>
    <row r="524" spans="1:13" x14ac:dyDescent="0.3">
      <c r="A524" s="14">
        <v>513</v>
      </c>
      <c r="B524" s="14">
        <v>0.48857440708104316</v>
      </c>
      <c r="C524" s="14">
        <v>3.8787796622585802E-5</v>
      </c>
      <c r="D524" s="14">
        <v>12596.085615148102</v>
      </c>
      <c r="E524" s="14">
        <v>5.4871985362581199E-5</v>
      </c>
      <c r="F524" s="14">
        <v>8903.8951999396086</v>
      </c>
      <c r="G524" s="14">
        <v>0.58422712596835813</v>
      </c>
      <c r="H524" s="14">
        <v>30.958101420004802</v>
      </c>
      <c r="I524" s="14">
        <v>30.958101306830361</v>
      </c>
      <c r="J524" s="14">
        <v>9.5652718887314997E-2</v>
      </c>
      <c r="K524" s="14">
        <v>30.958062632208179</v>
      </c>
      <c r="L524" s="14">
        <v>30.958046434844999</v>
      </c>
      <c r="M524" s="14">
        <v>10</v>
      </c>
    </row>
    <row r="525" spans="1:13" x14ac:dyDescent="0.3">
      <c r="A525" s="14">
        <v>514</v>
      </c>
      <c r="B525" s="14">
        <v>0.27284104631846517</v>
      </c>
      <c r="C525" s="14">
        <v>4.1994557559377199E-5</v>
      </c>
      <c r="D525" s="14">
        <v>6497.0572896901722</v>
      </c>
      <c r="E525" s="14">
        <v>5.7884446697187286E-5</v>
      </c>
      <c r="F525" s="14">
        <v>4713.5467623243785</v>
      </c>
      <c r="G525" s="14">
        <v>0.49574901954512107</v>
      </c>
      <c r="H525" s="14">
        <v>30.958100871034564</v>
      </c>
      <c r="I525" s="14">
        <v>30.958099378153737</v>
      </c>
      <c r="J525" s="14">
        <v>0.2229079732266559</v>
      </c>
      <c r="K525" s="14">
        <v>30.958058876477004</v>
      </c>
      <c r="L525" s="14">
        <v>30.958041493707039</v>
      </c>
      <c r="M525" s="14">
        <v>13</v>
      </c>
    </row>
    <row r="526" spans="1:13" x14ac:dyDescent="0.3">
      <c r="A526" s="14">
        <v>515</v>
      </c>
      <c r="B526" s="14">
        <v>0.46858357945297258</v>
      </c>
      <c r="C526" s="14">
        <v>1.1266131501486143E-5</v>
      </c>
      <c r="D526" s="14">
        <v>41592.234156965111</v>
      </c>
      <c r="E526" s="14">
        <v>2.61074338823164E-5</v>
      </c>
      <c r="F526" s="14">
        <v>17948.281763929423</v>
      </c>
      <c r="G526" s="14">
        <v>0.50501842807748776</v>
      </c>
      <c r="H526" s="14">
        <v>30.95810154732791</v>
      </c>
      <c r="I526" s="14">
        <v>30.95810140777613</v>
      </c>
      <c r="J526" s="14">
        <v>3.6434848624515202E-2</v>
      </c>
      <c r="K526" s="14">
        <v>30.958090281196409</v>
      </c>
      <c r="L526" s="14">
        <v>30.958075300342248</v>
      </c>
      <c r="M526" s="14">
        <v>12</v>
      </c>
    </row>
    <row r="527" spans="1:13" x14ac:dyDescent="0.3">
      <c r="A527" s="14">
        <v>516</v>
      </c>
      <c r="B527" s="14">
        <v>0.34452162687297511</v>
      </c>
      <c r="C527" s="14">
        <v>1.1744514957001684E-5</v>
      </c>
      <c r="D527" s="14">
        <v>29334.683308277701</v>
      </c>
      <c r="E527" s="14">
        <v>1.8997886659377627E-5</v>
      </c>
      <c r="F527" s="14">
        <v>18134.734302297478</v>
      </c>
      <c r="G527" s="14">
        <v>0.39589469639529062</v>
      </c>
      <c r="H527" s="14">
        <v>30.958101233966907</v>
      </c>
      <c r="I527" s="14">
        <v>30.958100748325116</v>
      </c>
      <c r="J527" s="14">
        <v>5.1373069522315504E-2</v>
      </c>
      <c r="K527" s="14">
        <v>30.95808948945195</v>
      </c>
      <c r="L527" s="14">
        <v>30.958081750438456</v>
      </c>
      <c r="M527" s="14">
        <v>12</v>
      </c>
    </row>
    <row r="528" spans="1:13" x14ac:dyDescent="0.3">
      <c r="A528" s="14">
        <v>517</v>
      </c>
      <c r="B528" s="14">
        <v>0.48654977638340674</v>
      </c>
      <c r="C528" s="14">
        <v>2.2030993068966609E-5</v>
      </c>
      <c r="D528" s="14">
        <v>22084.786412500514</v>
      </c>
      <c r="E528" s="14">
        <v>4.9994358665372829E-5</v>
      </c>
      <c r="F528" s="14">
        <v>9732.0935675968904</v>
      </c>
      <c r="G528" s="14">
        <v>0.55456025974733825</v>
      </c>
      <c r="H528" s="14">
        <v>30.958101114162965</v>
      </c>
      <c r="I528" s="14">
        <v>30.958100098254373</v>
      </c>
      <c r="J528" s="14">
        <v>6.8010483363931507E-2</v>
      </c>
      <c r="K528" s="14">
        <v>30.958079083169896</v>
      </c>
      <c r="L528" s="14">
        <v>30.958050103895708</v>
      </c>
      <c r="M528" s="14">
        <v>14</v>
      </c>
    </row>
    <row r="529" spans="1:13" x14ac:dyDescent="0.3">
      <c r="A529" s="14">
        <v>518</v>
      </c>
      <c r="B529" s="14">
        <v>0.47884280756989167</v>
      </c>
      <c r="C529" s="14">
        <v>3.7630711950953355E-6</v>
      </c>
      <c r="D529" s="14">
        <v>127247.87354382234</v>
      </c>
      <c r="E529" s="14">
        <v>2.5585345181156072E-5</v>
      </c>
      <c r="F529" s="14">
        <v>18715.510937197181</v>
      </c>
      <c r="G529" s="14">
        <v>0.49981183184597799</v>
      </c>
      <c r="H529" s="14">
        <v>30.958101419221368</v>
      </c>
      <c r="I529" s="14">
        <v>30.958100041133232</v>
      </c>
      <c r="J529" s="14">
        <v>2.0969024276086313E-2</v>
      </c>
      <c r="K529" s="14">
        <v>30.958097656150173</v>
      </c>
      <c r="L529" s="14">
        <v>30.958074455788051</v>
      </c>
      <c r="M529" s="14">
        <v>14</v>
      </c>
    </row>
    <row r="530" spans="1:13" x14ac:dyDescent="0.3">
      <c r="A530" s="14">
        <v>519</v>
      </c>
      <c r="B530" s="14">
        <v>0.7220332530368575</v>
      </c>
      <c r="C530" s="14">
        <v>6.546374410376643E-5</v>
      </c>
      <c r="D530" s="14">
        <v>11029.513556272679</v>
      </c>
      <c r="E530" s="14">
        <v>8.6603348186997664E-5</v>
      </c>
      <c r="F530" s="14">
        <v>8337.2440922008282</v>
      </c>
      <c r="G530" s="14">
        <v>0.84633530908009658</v>
      </c>
      <c r="H530" s="14">
        <v>30.958100816154936</v>
      </c>
      <c r="I530" s="14">
        <v>30.958098986360611</v>
      </c>
      <c r="J530" s="14">
        <v>0.12430205604323907</v>
      </c>
      <c r="K530" s="14">
        <v>30.958035352410832</v>
      </c>
      <c r="L530" s="14">
        <v>30.958012383012424</v>
      </c>
      <c r="M530" s="14">
        <v>13</v>
      </c>
    </row>
    <row r="531" spans="1:13" x14ac:dyDescent="0.3">
      <c r="A531" s="14">
        <v>520</v>
      </c>
      <c r="B531" s="14">
        <v>0.47393175683817745</v>
      </c>
      <c r="C531" s="14">
        <v>2.1599688803775052E-5</v>
      </c>
      <c r="D531" s="14">
        <v>21941.60115655679</v>
      </c>
      <c r="E531" s="14">
        <v>6.3391400146883825E-5</v>
      </c>
      <c r="F531" s="14">
        <v>7476.2784185241699</v>
      </c>
      <c r="G531" s="14">
        <v>0.54312879971942662</v>
      </c>
      <c r="H531" s="14">
        <v>30.958101519143419</v>
      </c>
      <c r="I531" s="14">
        <v>30.958101401214961</v>
      </c>
      <c r="J531" s="14">
        <v>6.9197042881249199E-2</v>
      </c>
      <c r="K531" s="14">
        <v>30.958079919454615</v>
      </c>
      <c r="L531" s="14">
        <v>30.958038009814814</v>
      </c>
      <c r="M531" s="14">
        <v>15</v>
      </c>
    </row>
    <row r="532" spans="1:13" x14ac:dyDescent="0.3">
      <c r="A532" s="14">
        <v>521</v>
      </c>
      <c r="B532" s="14">
        <v>0.91137879193221283</v>
      </c>
      <c r="C532" s="14">
        <v>4.0477752527579014E-5</v>
      </c>
      <c r="D532" s="14">
        <v>22515.548295604018</v>
      </c>
      <c r="E532" s="14">
        <v>6.9196472129107178E-5</v>
      </c>
      <c r="F532" s="14">
        <v>13170.885218422076</v>
      </c>
      <c r="G532" s="14">
        <v>1.0301080512589533</v>
      </c>
      <c r="H532" s="14">
        <v>30.95810153975459</v>
      </c>
      <c r="I532" s="14">
        <v>30.958099404864935</v>
      </c>
      <c r="J532" s="14">
        <v>0.1187292593267405</v>
      </c>
      <c r="K532" s="14">
        <v>30.958061062002063</v>
      </c>
      <c r="L532" s="14">
        <v>30.958030208392806</v>
      </c>
      <c r="M532" s="14">
        <v>10</v>
      </c>
    </row>
    <row r="533" spans="1:13" x14ac:dyDescent="0.3">
      <c r="A533" s="14">
        <v>522</v>
      </c>
      <c r="B533" s="14">
        <v>0.46922106728273094</v>
      </c>
      <c r="C533" s="14">
        <v>1.1733619153631025E-5</v>
      </c>
      <c r="D533" s="14">
        <v>39989.457740114922</v>
      </c>
      <c r="E533" s="14">
        <v>3.9101557931076059E-5</v>
      </c>
      <c r="F533" s="14">
        <v>12000.06066535309</v>
      </c>
      <c r="G533" s="14">
        <v>0.52623976047559273</v>
      </c>
      <c r="H533" s="14">
        <v>30.958101542113734</v>
      </c>
      <c r="I533" s="14">
        <v>30.958099660852561</v>
      </c>
      <c r="J533" s="14">
        <v>5.7018693192861805E-2</v>
      </c>
      <c r="K533" s="14">
        <v>30.958089808494581</v>
      </c>
      <c r="L533" s="14">
        <v>30.95806055929463</v>
      </c>
      <c r="M533" s="14">
        <v>15</v>
      </c>
    </row>
    <row r="534" spans="1:13" x14ac:dyDescent="0.3">
      <c r="A534" s="14">
        <v>523</v>
      </c>
      <c r="B534" s="14">
        <v>0.26421201056954619</v>
      </c>
      <c r="C534" s="14">
        <v>2.183898608265622E-5</v>
      </c>
      <c r="D534" s="14">
        <v>12098.181187054943</v>
      </c>
      <c r="E534" s="14">
        <v>2.9195337162946089E-5</v>
      </c>
      <c r="F534" s="14">
        <v>9049.8016547956413</v>
      </c>
      <c r="G534" s="14">
        <v>0.30696783488845714</v>
      </c>
      <c r="H534" s="14">
        <v>30.958100620461789</v>
      </c>
      <c r="I534" s="14">
        <v>30.958099820227449</v>
      </c>
      <c r="J534" s="14">
        <v>4.2755824318910951E-2</v>
      </c>
      <c r="K534" s="14">
        <v>30.958078781475706</v>
      </c>
      <c r="L534" s="14">
        <v>30.958070624890286</v>
      </c>
      <c r="M534" s="14">
        <v>14</v>
      </c>
    </row>
    <row r="535" spans="1:13" x14ac:dyDescent="0.3">
      <c r="A535" s="14">
        <v>524</v>
      </c>
      <c r="B535" s="14">
        <v>0.35024078142399423</v>
      </c>
      <c r="C535" s="14">
        <v>1.1401759900309116E-4</v>
      </c>
      <c r="D535" s="14">
        <v>3071.8133383469926</v>
      </c>
      <c r="E535" s="14">
        <v>1.3170284452712622E-4</v>
      </c>
      <c r="F535" s="14">
        <v>2659.3258686364725</v>
      </c>
      <c r="G535" s="14">
        <v>0.60690827468976705</v>
      </c>
      <c r="H535" s="14">
        <v>30.9581015513807</v>
      </c>
      <c r="I535" s="14">
        <v>30.958101199381332</v>
      </c>
      <c r="J535" s="14">
        <v>0.25666749326577282</v>
      </c>
      <c r="K535" s="14">
        <v>30.957987533781697</v>
      </c>
      <c r="L535" s="14">
        <v>30.957969496536805</v>
      </c>
      <c r="M535" s="14">
        <v>15</v>
      </c>
    </row>
    <row r="536" spans="1:13" x14ac:dyDescent="0.3">
      <c r="A536" s="14">
        <v>525</v>
      </c>
      <c r="B536" s="14">
        <v>0.84048810986163691</v>
      </c>
      <c r="C536" s="14">
        <v>3.7106961212174383E-5</v>
      </c>
      <c r="D536" s="14">
        <v>22650.416051473439</v>
      </c>
      <c r="E536" s="14">
        <v>7.0205849446836055E-5</v>
      </c>
      <c r="F536" s="14">
        <v>11971.767544784188</v>
      </c>
      <c r="G536" s="14">
        <v>0.95724924523293908</v>
      </c>
      <c r="H536" s="14">
        <v>30.958101046229984</v>
      </c>
      <c r="I536" s="14">
        <v>30.958099081251849</v>
      </c>
      <c r="J536" s="14">
        <v>0.11676113537130213</v>
      </c>
      <c r="K536" s="14">
        <v>30.958063939268772</v>
      </c>
      <c r="L536" s="14">
        <v>30.958028875402402</v>
      </c>
      <c r="M536" s="14">
        <v>12</v>
      </c>
    </row>
    <row r="537" spans="1:13" x14ac:dyDescent="0.3">
      <c r="A537" s="14">
        <v>526</v>
      </c>
      <c r="B537" s="14">
        <v>0.5690026689594484</v>
      </c>
      <c r="C537" s="14">
        <v>3.9067704271644743E-6</v>
      </c>
      <c r="D537" s="14">
        <v>145645.2790271655</v>
      </c>
      <c r="E537" s="14">
        <v>2.165338452542187E-5</v>
      </c>
      <c r="F537" s="14">
        <v>26277.77049317248</v>
      </c>
      <c r="G537" s="14">
        <v>0.59085526247553366</v>
      </c>
      <c r="H537" s="14">
        <v>30.958100846350906</v>
      </c>
      <c r="I537" s="14">
        <v>30.958096488730593</v>
      </c>
      <c r="J537" s="14">
        <v>2.1852593516085303E-2</v>
      </c>
      <c r="K537" s="14">
        <v>30.958096939580479</v>
      </c>
      <c r="L537" s="14">
        <v>30.958074835346068</v>
      </c>
      <c r="M537" s="14">
        <v>12</v>
      </c>
    </row>
    <row r="538" spans="1:13" x14ac:dyDescent="0.3">
      <c r="A538" s="14">
        <v>527</v>
      </c>
      <c r="B538" s="14">
        <v>0.44782217302602267</v>
      </c>
      <c r="C538" s="14">
        <v>3.637356449814888E-5</v>
      </c>
      <c r="D538" s="14">
        <v>12311.748359136294</v>
      </c>
      <c r="E538" s="14">
        <v>4.7357070929621159E-5</v>
      </c>
      <c r="F538" s="14">
        <v>9456.2895093648294</v>
      </c>
      <c r="G538" s="14">
        <v>0.64391163524009487</v>
      </c>
      <c r="H538" s="14">
        <v>30.958099851859039</v>
      </c>
      <c r="I538" s="14">
        <v>30.958098854906378</v>
      </c>
      <c r="J538" s="14">
        <v>0.1960894622140722</v>
      </c>
      <c r="K538" s="14">
        <v>30.958063478294541</v>
      </c>
      <c r="L538" s="14">
        <v>30.958051497835449</v>
      </c>
      <c r="M538" s="14">
        <v>9</v>
      </c>
    </row>
    <row r="539" spans="1:13" x14ac:dyDescent="0.3">
      <c r="A539" s="14">
        <v>528</v>
      </c>
      <c r="B539" s="14">
        <v>0.94090864671625285</v>
      </c>
      <c r="C539" s="14">
        <v>2.7544472644080997E-5</v>
      </c>
      <c r="D539" s="14">
        <v>34159.617389459941</v>
      </c>
      <c r="E539" s="14">
        <v>5.4385768752496233E-5</v>
      </c>
      <c r="F539" s="14">
        <v>17300.640742952932</v>
      </c>
      <c r="G539" s="14">
        <v>1.0613587238441073</v>
      </c>
      <c r="H539" s="14">
        <v>30.958099297560352</v>
      </c>
      <c r="I539" s="14">
        <v>30.958096079216752</v>
      </c>
      <c r="J539" s="14">
        <v>0.12045007712785452</v>
      </c>
      <c r="K539" s="14">
        <v>30.958071753087708</v>
      </c>
      <c r="L539" s="14">
        <v>30.958041693447999</v>
      </c>
      <c r="M539" s="14">
        <v>13</v>
      </c>
    </row>
    <row r="540" spans="1:13" x14ac:dyDescent="0.3">
      <c r="A540" s="14">
        <v>529</v>
      </c>
      <c r="B540" s="14">
        <v>0.43313263229621191</v>
      </c>
      <c r="C540" s="14">
        <v>6.4565440489161574E-5</v>
      </c>
      <c r="D540" s="14">
        <v>6708.4283637609615</v>
      </c>
      <c r="E540" s="14">
        <v>7.8858725064634427E-5</v>
      </c>
      <c r="F540" s="14">
        <v>5492.5137572438107</v>
      </c>
      <c r="G540" s="14">
        <v>0.61528554593319429</v>
      </c>
      <c r="H540" s="14">
        <v>30.958097384347596</v>
      </c>
      <c r="I540" s="14">
        <v>30.958094934824146</v>
      </c>
      <c r="J540" s="14">
        <v>0.18215291363698236</v>
      </c>
      <c r="K540" s="14">
        <v>30.958032818907107</v>
      </c>
      <c r="L540" s="14">
        <v>30.958016076099081</v>
      </c>
      <c r="M540" s="14">
        <v>13</v>
      </c>
    </row>
    <row r="541" spans="1:13" x14ac:dyDescent="0.3">
      <c r="A541" s="14">
        <v>530</v>
      </c>
      <c r="B541" s="14">
        <v>0.49078004922007046</v>
      </c>
      <c r="C541" s="14">
        <v>3.3877799516801588E-5</v>
      </c>
      <c r="D541" s="14">
        <v>14486.774708512861</v>
      </c>
      <c r="E541" s="14">
        <v>5.9146061449411036E-5</v>
      </c>
      <c r="F541" s="14">
        <v>8297.7638272642344</v>
      </c>
      <c r="G541" s="14">
        <v>0.62687222078953475</v>
      </c>
      <c r="H541" s="14">
        <v>30.958099808879162</v>
      </c>
      <c r="I541" s="14">
        <v>30.958096447840539</v>
      </c>
      <c r="J541" s="14">
        <v>0.13609217156946429</v>
      </c>
      <c r="K541" s="14">
        <v>30.958065931079645</v>
      </c>
      <c r="L541" s="14">
        <v>30.95803730177909</v>
      </c>
      <c r="M541" s="14">
        <v>14</v>
      </c>
    </row>
    <row r="542" spans="1:13" x14ac:dyDescent="0.3">
      <c r="A542" s="14">
        <v>531</v>
      </c>
      <c r="B542" s="14">
        <v>0.56138552543597531</v>
      </c>
      <c r="C542" s="14">
        <v>2.6289539363233416E-5</v>
      </c>
      <c r="D542" s="14">
        <v>21353.950621937754</v>
      </c>
      <c r="E542" s="14">
        <v>5.766215495839333E-5</v>
      </c>
      <c r="F542" s="14">
        <v>9735.7708160759576</v>
      </c>
      <c r="G542" s="14">
        <v>0.59341255138117188</v>
      </c>
      <c r="H542" s="14">
        <v>30.958101462148221</v>
      </c>
      <c r="I542" s="14">
        <v>30.958099883118233</v>
      </c>
      <c r="J542" s="14">
        <v>3.2027025945196561E-2</v>
      </c>
      <c r="K542" s="14">
        <v>30.958075172608858</v>
      </c>
      <c r="L542" s="14">
        <v>30.958042220963275</v>
      </c>
      <c r="M542" s="14">
        <v>15</v>
      </c>
    </row>
    <row r="543" spans="1:13" x14ac:dyDescent="0.3">
      <c r="A543" s="14">
        <v>532</v>
      </c>
      <c r="B543" s="14">
        <v>0.27731684683804114</v>
      </c>
      <c r="C543" s="14">
        <v>3.8514949963541767E-5</v>
      </c>
      <c r="D543" s="14">
        <v>7200.239052641874</v>
      </c>
      <c r="E543" s="14">
        <v>6.008623009989833E-5</v>
      </c>
      <c r="F543" s="14">
        <v>4615.3144635131703</v>
      </c>
      <c r="G543" s="14">
        <v>0.38310684402214829</v>
      </c>
      <c r="H543" s="14">
        <v>30.958101490034853</v>
      </c>
      <c r="I543" s="14">
        <v>30.958100615313828</v>
      </c>
      <c r="J543" s="14">
        <v>0.10578999718410714</v>
      </c>
      <c r="K543" s="14">
        <v>30.958062975084889</v>
      </c>
      <c r="L543" s="14">
        <v>30.958040529083728</v>
      </c>
      <c r="M543" s="14">
        <v>10</v>
      </c>
    </row>
    <row r="544" spans="1:13" x14ac:dyDescent="0.3">
      <c r="A544" s="14">
        <v>533</v>
      </c>
      <c r="B544" s="14">
        <v>0.54435043144519524</v>
      </c>
      <c r="C544" s="14">
        <v>3.3946324890621327E-5</v>
      </c>
      <c r="D544" s="14">
        <v>16035.621917811435</v>
      </c>
      <c r="E544" s="14">
        <v>5.7539782726934163E-5</v>
      </c>
      <c r="F544" s="14">
        <v>9460.4186120846571</v>
      </c>
      <c r="G544" s="14">
        <v>0.71547369149712792</v>
      </c>
      <c r="H544" s="14">
        <v>30.958101099906546</v>
      </c>
      <c r="I544" s="14">
        <v>30.958100185625387</v>
      </c>
      <c r="J544" s="14">
        <v>0.17112326005193271</v>
      </c>
      <c r="K544" s="14">
        <v>30.958067153581656</v>
      </c>
      <c r="L544" s="14">
        <v>30.95804264584266</v>
      </c>
      <c r="M544" s="14">
        <v>13</v>
      </c>
    </row>
    <row r="545" spans="1:13" x14ac:dyDescent="0.3">
      <c r="A545" s="14">
        <v>534</v>
      </c>
      <c r="B545" s="14">
        <v>0.6382899376711566</v>
      </c>
      <c r="C545" s="14">
        <v>1.9885584563894554E-5</v>
      </c>
      <c r="D545" s="14">
        <v>32098.122920161655</v>
      </c>
      <c r="E545" s="14">
        <v>3.7191134371283852E-5</v>
      </c>
      <c r="F545" s="14">
        <v>17162.421863743828</v>
      </c>
      <c r="G545" s="14">
        <v>0.7234266684692916</v>
      </c>
      <c r="H545" s="14">
        <v>30.958101471587636</v>
      </c>
      <c r="I545" s="14">
        <v>30.958100929215338</v>
      </c>
      <c r="J545" s="14">
        <v>8.5136730798134969E-2</v>
      </c>
      <c r="K545" s="14">
        <v>30.958081586003072</v>
      </c>
      <c r="L545" s="14">
        <v>30.958063738080966</v>
      </c>
      <c r="M545" s="14">
        <v>10</v>
      </c>
    </row>
    <row r="546" spans="1:13" x14ac:dyDescent="0.3">
      <c r="A546" s="14">
        <v>535</v>
      </c>
      <c r="B546" s="14">
        <v>0.5000368328290814</v>
      </c>
      <c r="C546" s="14">
        <v>6.7996839483441818E-6</v>
      </c>
      <c r="D546" s="14">
        <v>73538.246281409505</v>
      </c>
      <c r="E546" s="14">
        <v>2.7518307891938321E-5</v>
      </c>
      <c r="F546" s="14">
        <v>18171.060328006966</v>
      </c>
      <c r="G546" s="14">
        <v>0.53569621094154518</v>
      </c>
      <c r="H546" s="14">
        <v>30.958100921846736</v>
      </c>
      <c r="I546" s="14">
        <v>30.958098509825938</v>
      </c>
      <c r="J546" s="14">
        <v>3.5659378112463835E-2</v>
      </c>
      <c r="K546" s="14">
        <v>30.958094122162787</v>
      </c>
      <c r="L546" s="14">
        <v>30.958070991518046</v>
      </c>
      <c r="M546" s="14">
        <v>14</v>
      </c>
    </row>
    <row r="547" spans="1:13" x14ac:dyDescent="0.3">
      <c r="A547" s="14">
        <v>536</v>
      </c>
      <c r="B547" s="14">
        <v>0.77050430996332586</v>
      </c>
      <c r="C547" s="14">
        <v>4.4518341159260899E-5</v>
      </c>
      <c r="D547" s="14">
        <v>17307.570091322737</v>
      </c>
      <c r="E547" s="14">
        <v>7.9649913978130371E-5</v>
      </c>
      <c r="F547" s="14">
        <v>9673.6364357516413</v>
      </c>
      <c r="G547" s="14">
        <v>0.86209608759483769</v>
      </c>
      <c r="H547" s="14">
        <v>30.958100917595573</v>
      </c>
      <c r="I547" s="14">
        <v>30.958098982073167</v>
      </c>
      <c r="J547" s="14">
        <v>9.1591777631511814E-2</v>
      </c>
      <c r="K547" s="14">
        <v>30.958056399254414</v>
      </c>
      <c r="L547" s="14">
        <v>30.958019332159189</v>
      </c>
      <c r="M547" s="14">
        <v>10</v>
      </c>
    </row>
    <row r="548" spans="1:13" x14ac:dyDescent="0.3">
      <c r="A548" s="14">
        <v>537</v>
      </c>
      <c r="B548" s="14">
        <v>0.56971873664711969</v>
      </c>
      <c r="C548" s="14">
        <v>2.3112652769441411E-5</v>
      </c>
      <c r="D548" s="14">
        <v>24649.647201050764</v>
      </c>
      <c r="E548" s="14">
        <v>4.120469856161435E-5</v>
      </c>
      <c r="F548" s="14">
        <v>13826.547858254708</v>
      </c>
      <c r="G548" s="14">
        <v>0.62651736523609969</v>
      </c>
      <c r="H548" s="14">
        <v>30.958101417159394</v>
      </c>
      <c r="I548" s="14">
        <v>30.958100051580043</v>
      </c>
      <c r="J548" s="14">
        <v>5.6798628588980021E-2</v>
      </c>
      <c r="K548" s="14">
        <v>30.958078304506625</v>
      </c>
      <c r="L548" s="14">
        <v>30.958058846881482</v>
      </c>
      <c r="M548" s="14">
        <v>12</v>
      </c>
    </row>
    <row r="549" spans="1:13" x14ac:dyDescent="0.3">
      <c r="A549" s="14">
        <v>538</v>
      </c>
      <c r="B549" s="14">
        <v>0.6223611522603657</v>
      </c>
      <c r="C549" s="14">
        <v>1.0802367498286003E-5</v>
      </c>
      <c r="D549" s="14">
        <v>57613.403021061349</v>
      </c>
      <c r="E549" s="14">
        <v>3.8961063062004087E-5</v>
      </c>
      <c r="F549" s="14">
        <v>15973.926360015304</v>
      </c>
      <c r="G549" s="14">
        <v>0.6690590992022295</v>
      </c>
      <c r="H549" s="14">
        <v>30.958101370312754</v>
      </c>
      <c r="I549" s="14">
        <v>30.958100739044966</v>
      </c>
      <c r="J549" s="14">
        <v>4.6697946941863785E-2</v>
      </c>
      <c r="K549" s="14">
        <v>30.958090567945256</v>
      </c>
      <c r="L549" s="14">
        <v>30.958061777981904</v>
      </c>
      <c r="M549" s="14">
        <v>15</v>
      </c>
    </row>
    <row r="550" spans="1:13" x14ac:dyDescent="0.3">
      <c r="A550" s="14">
        <v>539</v>
      </c>
      <c r="B550" s="14">
        <v>0.83520460409108743</v>
      </c>
      <c r="C550" s="14">
        <v>6.5649960625080439E-5</v>
      </c>
      <c r="D550" s="14">
        <v>12722.088423797346</v>
      </c>
      <c r="E550" s="14">
        <v>1.0017885326973897E-4</v>
      </c>
      <c r="F550" s="14">
        <v>8337.1348027136755</v>
      </c>
      <c r="G550" s="14">
        <v>0.9738982523118882</v>
      </c>
      <c r="H550" s="14">
        <v>30.958100583534129</v>
      </c>
      <c r="I550" s="14">
        <v>30.958097743396944</v>
      </c>
      <c r="J550" s="14">
        <v>0.1386936482208008</v>
      </c>
      <c r="K550" s="14">
        <v>30.958034933573504</v>
      </c>
      <c r="L550" s="14">
        <v>30.957997564543675</v>
      </c>
      <c r="M550" s="14">
        <v>11</v>
      </c>
    </row>
    <row r="551" spans="1:13" x14ac:dyDescent="0.3">
      <c r="A551" s="14">
        <v>540</v>
      </c>
      <c r="B551" s="14">
        <v>0.57812513499099516</v>
      </c>
      <c r="C551" s="14">
        <v>2.3392501105945485E-5</v>
      </c>
      <c r="D551" s="14">
        <v>24714.122375057097</v>
      </c>
      <c r="E551" s="14">
        <v>5.6834401952698954E-5</v>
      </c>
      <c r="F551" s="14">
        <v>10172.098502455363</v>
      </c>
      <c r="G551" s="14">
        <v>0.63953530007871273</v>
      </c>
      <c r="H551" s="14">
        <v>30.95810064144603</v>
      </c>
      <c r="I551" s="14">
        <v>30.95809750807738</v>
      </c>
      <c r="J551" s="14">
        <v>6.1410165087717544E-2</v>
      </c>
      <c r="K551" s="14">
        <v>30.958077248944925</v>
      </c>
      <c r="L551" s="14">
        <v>30.958040673675427</v>
      </c>
      <c r="M551" s="14">
        <v>10</v>
      </c>
    </row>
    <row r="552" spans="1:13" x14ac:dyDescent="0.3">
      <c r="A552" s="14">
        <v>541</v>
      </c>
      <c r="B552" s="14">
        <v>0.6061842475456295</v>
      </c>
      <c r="C552" s="14">
        <v>2.128161873926615E-5</v>
      </c>
      <c r="D552" s="14">
        <v>28483.935126005006</v>
      </c>
      <c r="E552" s="14">
        <v>5.4950706037004693E-5</v>
      </c>
      <c r="F552" s="14">
        <v>11031.418725310194</v>
      </c>
      <c r="G552" s="14">
        <v>0.66206679996884588</v>
      </c>
      <c r="H552" s="14">
        <v>30.958101505954478</v>
      </c>
      <c r="I552" s="14">
        <v>30.958100881008082</v>
      </c>
      <c r="J552" s="14">
        <v>5.5882552423216353E-2</v>
      </c>
      <c r="K552" s="14">
        <v>30.958080224335738</v>
      </c>
      <c r="L552" s="14">
        <v>30.958045930302045</v>
      </c>
      <c r="M552" s="14">
        <v>9</v>
      </c>
    </row>
    <row r="553" spans="1:13" x14ac:dyDescent="0.3">
      <c r="A553" s="14">
        <v>542</v>
      </c>
      <c r="B553" s="14">
        <v>0.47502160390881143</v>
      </c>
      <c r="C553" s="14">
        <v>1.1406845853656478E-5</v>
      </c>
      <c r="D553" s="14">
        <v>41643.554230772977</v>
      </c>
      <c r="E553" s="14">
        <v>2.188994479368489E-5</v>
      </c>
      <c r="F553" s="14">
        <v>21700.447780290982</v>
      </c>
      <c r="G553" s="14">
        <v>0.51979916344966981</v>
      </c>
      <c r="H553" s="14">
        <v>30.958101521408175</v>
      </c>
      <c r="I553" s="14">
        <v>30.958100781326596</v>
      </c>
      <c r="J553" s="14">
        <v>4.477755954085838E-2</v>
      </c>
      <c r="K553" s="14">
        <v>30.958090114562321</v>
      </c>
      <c r="L553" s="14">
        <v>30.958078891381803</v>
      </c>
      <c r="M553" s="14">
        <v>10</v>
      </c>
    </row>
    <row r="554" spans="1:13" x14ac:dyDescent="0.3">
      <c r="A554" s="14">
        <v>543</v>
      </c>
      <c r="B554" s="14">
        <v>0.31727200663084959</v>
      </c>
      <c r="C554" s="14">
        <v>7.2746532957523868E-6</v>
      </c>
      <c r="D554" s="14">
        <v>43613.350868020367</v>
      </c>
      <c r="E554" s="14">
        <v>1.8011271805562501E-5</v>
      </c>
      <c r="F554" s="14">
        <v>17615.191756356988</v>
      </c>
      <c r="G554" s="14">
        <v>0.33822803644214861</v>
      </c>
      <c r="H554" s="14">
        <v>30.958101472773546</v>
      </c>
      <c r="I554" s="14">
        <v>30.958100788121325</v>
      </c>
      <c r="J554" s="14">
        <v>2.0956029811299001E-2</v>
      </c>
      <c r="K554" s="14">
        <v>30.95809419812025</v>
      </c>
      <c r="L554" s="14">
        <v>30.958082776849519</v>
      </c>
      <c r="M554" s="14">
        <v>12</v>
      </c>
    </row>
    <row r="555" spans="1:13" x14ac:dyDescent="0.3">
      <c r="A555" s="14">
        <v>544</v>
      </c>
      <c r="B555" s="14">
        <v>0.70412325399013254</v>
      </c>
      <c r="C555" s="14">
        <v>2.4393176747850021E-5</v>
      </c>
      <c r="D555" s="14">
        <v>28865.582423666609</v>
      </c>
      <c r="E555" s="14">
        <v>4.787363719671589E-5</v>
      </c>
      <c r="F555" s="14">
        <v>14707.954006018892</v>
      </c>
      <c r="G555" s="14">
        <v>0.84541938888013335</v>
      </c>
      <c r="H555" s="14">
        <v>30.958100912748368</v>
      </c>
      <c r="I555" s="14">
        <v>30.958099369777045</v>
      </c>
      <c r="J555" s="14">
        <v>0.14129613489000076</v>
      </c>
      <c r="K555" s="14">
        <v>30.95807651957162</v>
      </c>
      <c r="L555" s="14">
        <v>30.958051496139849</v>
      </c>
      <c r="M555" s="14">
        <v>9</v>
      </c>
    </row>
    <row r="556" spans="1:13" x14ac:dyDescent="0.3">
      <c r="A556" s="14">
        <v>545</v>
      </c>
      <c r="B556" s="14">
        <v>0.5399916076258191</v>
      </c>
      <c r="C556" s="14">
        <v>1.5145650785086673E-5</v>
      </c>
      <c r="D556" s="14">
        <v>35653.245627287775</v>
      </c>
      <c r="E556" s="14">
        <v>4.335747682659985E-5</v>
      </c>
      <c r="F556" s="14">
        <v>12454.405725347324</v>
      </c>
      <c r="G556" s="14">
        <v>0.58730910302157158</v>
      </c>
      <c r="H556" s="14">
        <v>30.958101153253292</v>
      </c>
      <c r="I556" s="14">
        <v>30.958098843381077</v>
      </c>
      <c r="J556" s="14">
        <v>4.7317495395752446E-2</v>
      </c>
      <c r="K556" s="14">
        <v>30.958086007602507</v>
      </c>
      <c r="L556" s="14">
        <v>30.95805548590425</v>
      </c>
      <c r="M556" s="14">
        <v>14</v>
      </c>
    </row>
    <row r="557" spans="1:13" x14ac:dyDescent="0.3">
      <c r="A557" s="14">
        <v>546</v>
      </c>
      <c r="B557" s="14">
        <v>0.52119306301064006</v>
      </c>
      <c r="C557" s="14">
        <v>5.797497827941811E-5</v>
      </c>
      <c r="D557" s="14">
        <v>8989.9656451561023</v>
      </c>
      <c r="E557" s="14">
        <v>8.3353421072018818E-5</v>
      </c>
      <c r="F557" s="14">
        <v>6252.809498488612</v>
      </c>
      <c r="G557" s="14">
        <v>0.68273611798715139</v>
      </c>
      <c r="H557" s="14">
        <v>30.958100847489387</v>
      </c>
      <c r="I557" s="14">
        <v>30.958098497248042</v>
      </c>
      <c r="J557" s="14">
        <v>0.16154305497651131</v>
      </c>
      <c r="K557" s="14">
        <v>30.958042872511108</v>
      </c>
      <c r="L557" s="14">
        <v>30.95801514382697</v>
      </c>
      <c r="M557" s="14">
        <v>13</v>
      </c>
    </row>
    <row r="558" spans="1:13" x14ac:dyDescent="0.3">
      <c r="A558" s="14">
        <v>547</v>
      </c>
      <c r="B558" s="14">
        <v>0.49768233328367839</v>
      </c>
      <c r="C558" s="14">
        <v>3.2933743632668211E-5</v>
      </c>
      <c r="D558" s="14">
        <v>15111.623471496532</v>
      </c>
      <c r="E558" s="14">
        <v>5.7899695899976678E-5</v>
      </c>
      <c r="F558" s="14">
        <v>8595.5949430794662</v>
      </c>
      <c r="G558" s="14">
        <v>0.5633274908167949</v>
      </c>
      <c r="H558" s="14">
        <v>30.958099797883019</v>
      </c>
      <c r="I558" s="14">
        <v>30.958098445817292</v>
      </c>
      <c r="J558" s="14">
        <v>6.5645157533116519E-2</v>
      </c>
      <c r="K558" s="14">
        <v>30.958066864139386</v>
      </c>
      <c r="L558" s="14">
        <v>30.958040546121392</v>
      </c>
      <c r="M558" s="14">
        <v>11</v>
      </c>
    </row>
    <row r="559" spans="1:13" x14ac:dyDescent="0.3">
      <c r="A559" s="14">
        <v>548</v>
      </c>
      <c r="B559" s="14">
        <v>0.35422799498707602</v>
      </c>
      <c r="C559" s="14">
        <v>1.4840383315828376E-4</v>
      </c>
      <c r="D559" s="14">
        <v>2386.9194443870292</v>
      </c>
      <c r="E559" s="14">
        <v>1.7384752065652265E-4</v>
      </c>
      <c r="F559" s="14">
        <v>2037.5786416128312</v>
      </c>
      <c r="G559" s="14">
        <v>0.65492655355997886</v>
      </c>
      <c r="H559" s="14">
        <v>30.958093607495719</v>
      </c>
      <c r="I559" s="14">
        <v>30.95809054938583</v>
      </c>
      <c r="J559" s="14">
        <v>0.30069855857290284</v>
      </c>
      <c r="K559" s="14">
        <v>30.957945203662561</v>
      </c>
      <c r="L559" s="14">
        <v>30.957916701865173</v>
      </c>
      <c r="M559" s="14">
        <v>14</v>
      </c>
    </row>
    <row r="560" spans="1:13" x14ac:dyDescent="0.3">
      <c r="A560" s="14">
        <v>549</v>
      </c>
      <c r="B560" s="14">
        <v>0.42344531724841511</v>
      </c>
      <c r="C560" s="14">
        <v>2.2803304045027062E-5</v>
      </c>
      <c r="D560" s="14">
        <v>18569.472055991813</v>
      </c>
      <c r="E560" s="14">
        <v>6.3112273053889112E-5</v>
      </c>
      <c r="F560" s="14">
        <v>6709.3973447423077</v>
      </c>
      <c r="G560" s="14">
        <v>0.50934098970500985</v>
      </c>
      <c r="H560" s="14">
        <v>30.958101548960354</v>
      </c>
      <c r="I560" s="14">
        <v>30.958100270494533</v>
      </c>
      <c r="J560" s="14">
        <v>8.5895672456594727E-2</v>
      </c>
      <c r="K560" s="14">
        <v>30.958078745656309</v>
      </c>
      <c r="L560" s="14">
        <v>30.95803715822148</v>
      </c>
      <c r="M560" s="14">
        <v>11</v>
      </c>
    </row>
    <row r="561" spans="1:13" x14ac:dyDescent="0.3">
      <c r="A561" s="14">
        <v>550</v>
      </c>
      <c r="B561" s="14">
        <v>0.4239619860656359</v>
      </c>
      <c r="C561" s="14">
        <v>7.1159707069057276E-6</v>
      </c>
      <c r="D561" s="14">
        <v>59578.939195772684</v>
      </c>
      <c r="E561" s="14">
        <v>2.3968696954312918E-5</v>
      </c>
      <c r="F561" s="14">
        <v>17688.153297350957</v>
      </c>
      <c r="G561" s="14">
        <v>0.44341496052751539</v>
      </c>
      <c r="H561" s="14">
        <v>30.958101480906613</v>
      </c>
      <c r="I561" s="14">
        <v>30.958100333206033</v>
      </c>
      <c r="J561" s="14">
        <v>1.9452974461879491E-2</v>
      </c>
      <c r="K561" s="14">
        <v>30.958094364935906</v>
      </c>
      <c r="L561" s="14">
        <v>30.958076364509079</v>
      </c>
      <c r="M561" s="14">
        <v>13</v>
      </c>
    </row>
    <row r="562" spans="1:13" x14ac:dyDescent="0.3">
      <c r="A562" s="14">
        <v>551</v>
      </c>
      <c r="B562" s="14">
        <v>0.58268102289206236</v>
      </c>
      <c r="C562" s="14">
        <v>2.5750156325443641E-5</v>
      </c>
      <c r="D562" s="14">
        <v>22628.251864875758</v>
      </c>
      <c r="E562" s="14">
        <v>4.7729997561418713E-5</v>
      </c>
      <c r="F562" s="14">
        <v>12207.857797232682</v>
      </c>
      <c r="G562" s="14">
        <v>0.64853444087304979</v>
      </c>
      <c r="H562" s="14">
        <v>30.95810150851965</v>
      </c>
      <c r="I562" s="14">
        <v>30.958100180977333</v>
      </c>
      <c r="J562" s="14">
        <v>6.5853417980987469E-2</v>
      </c>
      <c r="K562" s="14">
        <v>30.958075758363325</v>
      </c>
      <c r="L562" s="14">
        <v>30.958052450979771</v>
      </c>
      <c r="M562" s="14">
        <v>9</v>
      </c>
    </row>
    <row r="563" spans="1:13" x14ac:dyDescent="0.3">
      <c r="A563" s="14">
        <v>552</v>
      </c>
      <c r="B563" s="14">
        <v>0.54776641513312585</v>
      </c>
      <c r="C563" s="14">
        <v>2.6540574697975217E-5</v>
      </c>
      <c r="D563" s="14">
        <v>20638.830220014603</v>
      </c>
      <c r="E563" s="14">
        <v>6.8088745670991102E-5</v>
      </c>
      <c r="F563" s="14">
        <v>8044.8892065065493</v>
      </c>
      <c r="G563" s="14">
        <v>0.60169247260370418</v>
      </c>
      <c r="H563" s="14">
        <v>30.958101535585858</v>
      </c>
      <c r="I563" s="14">
        <v>30.958100924675016</v>
      </c>
      <c r="J563" s="14">
        <v>5.3926057470578298E-2</v>
      </c>
      <c r="K563" s="14">
        <v>30.95807499501116</v>
      </c>
      <c r="L563" s="14">
        <v>30.958032835929345</v>
      </c>
      <c r="M563" s="14">
        <v>9</v>
      </c>
    </row>
    <row r="564" spans="1:13" x14ac:dyDescent="0.3">
      <c r="A564" s="14">
        <v>553</v>
      </c>
      <c r="B564" s="14">
        <v>0.33775989285274699</v>
      </c>
      <c r="C564" s="14">
        <v>2.4282358396021664E-5</v>
      </c>
      <c r="D564" s="14">
        <v>13909.682385220225</v>
      </c>
      <c r="E564" s="14">
        <v>4.0208688147913563E-5</v>
      </c>
      <c r="F564" s="14">
        <v>8400.1719133498627</v>
      </c>
      <c r="G564" s="14">
        <v>0.45442501587415962</v>
      </c>
      <c r="H564" s="14">
        <v>30.958101448698049</v>
      </c>
      <c r="I564" s="14">
        <v>30.958101153654749</v>
      </c>
      <c r="J564" s="14">
        <v>0.11666512302141266</v>
      </c>
      <c r="K564" s="14">
        <v>30.958077166339653</v>
      </c>
      <c r="L564" s="14">
        <v>30.958060944966601</v>
      </c>
      <c r="M564" s="14">
        <v>10</v>
      </c>
    </row>
    <row r="565" spans="1:13" x14ac:dyDescent="0.3">
      <c r="A565" s="14">
        <v>554</v>
      </c>
      <c r="B565" s="14">
        <v>0.35077234594895851</v>
      </c>
      <c r="C565" s="14">
        <v>5.6188456838413003E-6</v>
      </c>
      <c r="D565" s="14">
        <v>62427.830498657589</v>
      </c>
      <c r="E565" s="14">
        <v>1.6635506582929338E-5</v>
      </c>
      <c r="F565" s="14">
        <v>21085.762805017697</v>
      </c>
      <c r="G565" s="14">
        <v>0.36479389961269737</v>
      </c>
      <c r="H565" s="14">
        <v>30.958101520542357</v>
      </c>
      <c r="I565" s="14">
        <v>30.958100774110658</v>
      </c>
      <c r="J565" s="14">
        <v>1.4021553663738882E-2</v>
      </c>
      <c r="K565" s="14">
        <v>30.958095901696673</v>
      </c>
      <c r="L565" s="14">
        <v>30.958084138604075</v>
      </c>
      <c r="M565" s="14">
        <v>13</v>
      </c>
    </row>
    <row r="566" spans="1:13" x14ac:dyDescent="0.3">
      <c r="A566" s="14">
        <v>555</v>
      </c>
      <c r="B566" s="14">
        <v>0.45640810108199759</v>
      </c>
      <c r="C566" s="14">
        <v>2.6763731803214341E-5</v>
      </c>
      <c r="D566" s="14">
        <v>17053.231008210249</v>
      </c>
      <c r="E566" s="14">
        <v>5.2299470553407446E-5</v>
      </c>
      <c r="F566" s="14">
        <v>8726.8206781542922</v>
      </c>
      <c r="G566" s="14">
        <v>0.49989420252988881</v>
      </c>
      <c r="H566" s="14">
        <v>30.958092388410126</v>
      </c>
      <c r="I566" s="14">
        <v>30.958082665516795</v>
      </c>
      <c r="J566" s="14">
        <v>4.3486101447891237E-2</v>
      </c>
      <c r="K566" s="14">
        <v>30.958065624678323</v>
      </c>
      <c r="L566" s="14">
        <v>30.958030366046241</v>
      </c>
      <c r="M566" s="14">
        <v>11</v>
      </c>
    </row>
    <row r="567" spans="1:13" x14ac:dyDescent="0.3">
      <c r="A567" s="14">
        <v>556</v>
      </c>
      <c r="B567" s="14">
        <v>0.33659906915734972</v>
      </c>
      <c r="C567" s="14">
        <v>4.1806158407098337E-5</v>
      </c>
      <c r="D567" s="14">
        <v>8051.4230912974299</v>
      </c>
      <c r="E567" s="14">
        <v>5.3313503478591429E-5</v>
      </c>
      <c r="F567" s="14">
        <v>6313.5799974675165</v>
      </c>
      <c r="G567" s="14">
        <v>0.42523482483590591</v>
      </c>
      <c r="H567" s="14">
        <v>30.958099541356876</v>
      </c>
      <c r="I567" s="14">
        <v>30.958098492663428</v>
      </c>
      <c r="J567" s="14">
        <v>8.863575567855618E-2</v>
      </c>
      <c r="K567" s="14">
        <v>30.958057735198469</v>
      </c>
      <c r="L567" s="14">
        <v>30.958045179159949</v>
      </c>
      <c r="M567" s="14">
        <v>12</v>
      </c>
    </row>
    <row r="568" spans="1:13" x14ac:dyDescent="0.3">
      <c r="A568" s="14">
        <v>557</v>
      </c>
      <c r="B568" s="14">
        <v>0.73932372400307578</v>
      </c>
      <c r="C568" s="14">
        <v>3.5085276053337111E-5</v>
      </c>
      <c r="D568" s="14">
        <v>21072.193443173877</v>
      </c>
      <c r="E568" s="14">
        <v>5.4542291547221566E-5</v>
      </c>
      <c r="F568" s="14">
        <v>13555.054307958162</v>
      </c>
      <c r="G568" s="14">
        <v>0.85532635634762255</v>
      </c>
      <c r="H568" s="14">
        <v>30.958100844101843</v>
      </c>
      <c r="I568" s="14">
        <v>30.958099607274299</v>
      </c>
      <c r="J568" s="14">
        <v>0.11600263234454673</v>
      </c>
      <c r="K568" s="14">
        <v>30.958065758825789</v>
      </c>
      <c r="L568" s="14">
        <v>30.958045064982752</v>
      </c>
      <c r="M568" s="14">
        <v>10</v>
      </c>
    </row>
    <row r="569" spans="1:13" x14ac:dyDescent="0.3">
      <c r="A569" s="14">
        <v>558</v>
      </c>
      <c r="B569" s="14">
        <v>0.78991126719697369</v>
      </c>
      <c r="C569" s="14">
        <v>2.0897969047695142E-5</v>
      </c>
      <c r="D569" s="14">
        <v>37798.470530517596</v>
      </c>
      <c r="E569" s="14">
        <v>8.4900062912396379E-5</v>
      </c>
      <c r="F569" s="14">
        <v>9304.0127427471853</v>
      </c>
      <c r="G569" s="14">
        <v>0.86012413345539052</v>
      </c>
      <c r="H569" s="14">
        <v>30.958101420137641</v>
      </c>
      <c r="I569" s="14">
        <v>30.958100992916091</v>
      </c>
      <c r="J569" s="14">
        <v>7.021286625841687E-2</v>
      </c>
      <c r="K569" s="14">
        <v>30.958080522168594</v>
      </c>
      <c r="L569" s="14">
        <v>30.958016092853178</v>
      </c>
      <c r="M569" s="14">
        <v>14</v>
      </c>
    </row>
    <row r="570" spans="1:13" x14ac:dyDescent="0.3">
      <c r="A570" s="14">
        <v>559</v>
      </c>
      <c r="B570" s="14">
        <v>0.40448880818047389</v>
      </c>
      <c r="C570" s="14">
        <v>1.047060441194958E-5</v>
      </c>
      <c r="D570" s="14">
        <v>38630.893907027079</v>
      </c>
      <c r="E570" s="14">
        <v>2.6322971457659605E-5</v>
      </c>
      <c r="F570" s="14">
        <v>15366.380988981145</v>
      </c>
      <c r="G570" s="14">
        <v>0.43166224650916818</v>
      </c>
      <c r="H570" s="14">
        <v>30.958101518893454</v>
      </c>
      <c r="I570" s="14">
        <v>30.958100851868625</v>
      </c>
      <c r="J570" s="14">
        <v>2.7173438328694274E-2</v>
      </c>
      <c r="K570" s="14">
        <v>30.958091048289042</v>
      </c>
      <c r="L570" s="14">
        <v>30.958074528897168</v>
      </c>
      <c r="M570" s="14">
        <v>10</v>
      </c>
    </row>
    <row r="571" spans="1:13" x14ac:dyDescent="0.3">
      <c r="A571" s="14">
        <v>560</v>
      </c>
      <c r="B571" s="14">
        <v>0.6271369077244946</v>
      </c>
      <c r="C571" s="14">
        <v>7.0321529626937718E-5</v>
      </c>
      <c r="D571" s="14">
        <v>8918.1351863577838</v>
      </c>
      <c r="E571" s="14">
        <v>1.0149613184040618E-4</v>
      </c>
      <c r="F571" s="14">
        <v>6178.9242245272235</v>
      </c>
      <c r="G571" s="14">
        <v>0.8710144549044383</v>
      </c>
      <c r="H571" s="14">
        <v>30.958100962669867</v>
      </c>
      <c r="I571" s="14">
        <v>30.958097876517854</v>
      </c>
      <c r="J571" s="14">
        <v>0.24387754717994375</v>
      </c>
      <c r="K571" s="14">
        <v>30.95803064114024</v>
      </c>
      <c r="L571" s="14">
        <v>30.957996380386014</v>
      </c>
      <c r="M571" s="14">
        <v>13</v>
      </c>
    </row>
    <row r="572" spans="1:13" x14ac:dyDescent="0.3">
      <c r="A572" s="14">
        <v>561</v>
      </c>
      <c r="B572" s="14">
        <v>0.48722855809730342</v>
      </c>
      <c r="C572" s="14">
        <v>5.6382762998907765E-5</v>
      </c>
      <c r="D572" s="14">
        <v>8641.4452251433995</v>
      </c>
      <c r="E572" s="14">
        <v>8.0411383610368148E-5</v>
      </c>
      <c r="F572" s="14">
        <v>6059.1987878004966</v>
      </c>
      <c r="G572" s="14">
        <v>0.62267604536033672</v>
      </c>
      <c r="H572" s="14">
        <v>30.958101309448256</v>
      </c>
      <c r="I572" s="14">
        <v>30.958100227882845</v>
      </c>
      <c r="J572" s="14">
        <v>0.13544748726303329</v>
      </c>
      <c r="K572" s="14">
        <v>30.958044926685258</v>
      </c>
      <c r="L572" s="14">
        <v>30.958019816499235</v>
      </c>
      <c r="M572" s="14">
        <v>10</v>
      </c>
    </row>
    <row r="573" spans="1:13" x14ac:dyDescent="0.3">
      <c r="A573" s="14">
        <v>562</v>
      </c>
      <c r="B573" s="14">
        <v>0.47754650703653678</v>
      </c>
      <c r="C573" s="14">
        <v>6.4619136843191427E-5</v>
      </c>
      <c r="D573" s="14">
        <v>7390.171555453906</v>
      </c>
      <c r="E573" s="14">
        <v>8.6334389273190482E-5</v>
      </c>
      <c r="F573" s="14">
        <v>5531.3590685795225</v>
      </c>
      <c r="G573" s="14">
        <v>0.65970344067964837</v>
      </c>
      <c r="H573" s="14">
        <v>30.958101220855376</v>
      </c>
      <c r="I573" s="14">
        <v>30.958100953034105</v>
      </c>
      <c r="J573" s="14">
        <v>0.18215693364311158</v>
      </c>
      <c r="K573" s="14">
        <v>30.958036601718533</v>
      </c>
      <c r="L573" s="14">
        <v>30.958014618644832</v>
      </c>
      <c r="M573" s="14">
        <v>11</v>
      </c>
    </row>
    <row r="574" spans="1:13" x14ac:dyDescent="0.3">
      <c r="A574" s="14">
        <v>563</v>
      </c>
      <c r="B574" s="14">
        <v>0.81813555449330688</v>
      </c>
      <c r="C574" s="14">
        <v>4.8890711553895017E-5</v>
      </c>
      <c r="D574" s="14">
        <v>16733.967015215752</v>
      </c>
      <c r="E574" s="14">
        <v>7.3026213698312858E-5</v>
      </c>
      <c r="F574" s="14">
        <v>11203.313345440618</v>
      </c>
      <c r="G574" s="14">
        <v>0.98907524737911445</v>
      </c>
      <c r="H574" s="14">
        <v>30.958101477372168</v>
      </c>
      <c r="I574" s="14">
        <v>30.958100677950942</v>
      </c>
      <c r="J574" s="14">
        <v>0.17093969288580757</v>
      </c>
      <c r="K574" s="14">
        <v>30.958052586660614</v>
      </c>
      <c r="L574" s="14">
        <v>30.958027651737243</v>
      </c>
      <c r="M574" s="14">
        <v>11</v>
      </c>
    </row>
    <row r="575" spans="1:13" x14ac:dyDescent="0.3">
      <c r="A575" s="14">
        <v>564</v>
      </c>
      <c r="B575" s="14">
        <v>1.0194678665399619</v>
      </c>
      <c r="C575" s="14">
        <v>3.9886253645704528E-5</v>
      </c>
      <c r="D575" s="14">
        <v>25559.378817462632</v>
      </c>
      <c r="E575" s="14">
        <v>8.8028336840295651E-5</v>
      </c>
      <c r="F575" s="14">
        <v>11581.132884397432</v>
      </c>
      <c r="G575" s="14">
        <v>1.1105532723992648</v>
      </c>
      <c r="H575" s="14">
        <v>30.958101516182982</v>
      </c>
      <c r="I575" s="14">
        <v>30.958101130757324</v>
      </c>
      <c r="J575" s="14">
        <v>9.1085405859302887E-2</v>
      </c>
      <c r="K575" s="14">
        <v>30.958061629929336</v>
      </c>
      <c r="L575" s="14">
        <v>30.958013102420484</v>
      </c>
      <c r="M575" s="14">
        <v>10</v>
      </c>
    </row>
    <row r="576" spans="1:13" x14ac:dyDescent="0.3">
      <c r="A576" s="14">
        <v>565</v>
      </c>
      <c r="B576" s="14">
        <v>0.95656524652988162</v>
      </c>
      <c r="C576" s="14">
        <v>2.7207549791796737E-5</v>
      </c>
      <c r="D576" s="14">
        <v>35158.081262366839</v>
      </c>
      <c r="E576" s="14">
        <v>6.0520205977354635E-5</v>
      </c>
      <c r="F576" s="14">
        <v>15805.716968111574</v>
      </c>
      <c r="G576" s="14">
        <v>1.0648785757926698</v>
      </c>
      <c r="H576" s="14">
        <v>30.958101395237787</v>
      </c>
      <c r="I576" s="14">
        <v>30.958099607827165</v>
      </c>
      <c r="J576" s="14">
        <v>0.10831332926278811</v>
      </c>
      <c r="K576" s="14">
        <v>30.958074187687995</v>
      </c>
      <c r="L576" s="14">
        <v>30.958039087621188</v>
      </c>
      <c r="M576" s="14">
        <v>9</v>
      </c>
    </row>
    <row r="577" spans="1:13" x14ac:dyDescent="0.3">
      <c r="A577" s="14">
        <v>566</v>
      </c>
      <c r="B577" s="14">
        <v>0.3281065419009877</v>
      </c>
      <c r="C577" s="14">
        <v>4.1995877715805818E-5</v>
      </c>
      <c r="D577" s="14">
        <v>7812.8273475160531</v>
      </c>
      <c r="E577" s="14">
        <v>5.7796587320524395E-5</v>
      </c>
      <c r="F577" s="14">
        <v>5676.9189516570705</v>
      </c>
      <c r="G577" s="14">
        <v>0.38255433113027504</v>
      </c>
      <c r="H577" s="14">
        <v>30.958101351149967</v>
      </c>
      <c r="I577" s="14">
        <v>30.958101094000028</v>
      </c>
      <c r="J577" s="14">
        <v>5.4447789229287336E-2</v>
      </c>
      <c r="K577" s="14">
        <v>30.958059355272251</v>
      </c>
      <c r="L577" s="14">
        <v>30.958043297412708</v>
      </c>
      <c r="M577" s="14">
        <v>10</v>
      </c>
    </row>
    <row r="578" spans="1:13" x14ac:dyDescent="0.3">
      <c r="A578" s="14">
        <v>567</v>
      </c>
      <c r="B578" s="14">
        <v>0.786093768753656</v>
      </c>
      <c r="C578" s="14">
        <v>4.4892035642618566E-5</v>
      </c>
      <c r="D578" s="14">
        <v>17510.762376909734</v>
      </c>
      <c r="E578" s="14">
        <v>7.7733727049889012E-5</v>
      </c>
      <c r="F578" s="14">
        <v>10112.647348674611</v>
      </c>
      <c r="G578" s="14">
        <v>0.87449527884097988</v>
      </c>
      <c r="H578" s="14">
        <v>30.958100105417774</v>
      </c>
      <c r="I578" s="14">
        <v>30.95809595215756</v>
      </c>
      <c r="J578" s="14">
        <v>8.8401510087323887E-2</v>
      </c>
      <c r="K578" s="14">
        <v>30.958055213382131</v>
      </c>
      <c r="L578" s="14">
        <v>30.95801821843051</v>
      </c>
      <c r="M578" s="14">
        <v>12</v>
      </c>
    </row>
    <row r="579" spans="1:13" x14ac:dyDescent="0.3">
      <c r="A579" s="14">
        <v>568</v>
      </c>
      <c r="B579" s="14">
        <v>0.69848471796241196</v>
      </c>
      <c r="C579" s="14">
        <v>1.2499867497339778E-4</v>
      </c>
      <c r="D579" s="14">
        <v>5587.9369770204639</v>
      </c>
      <c r="E579" s="14">
        <v>1.426280736076535E-4</v>
      </c>
      <c r="F579" s="14">
        <v>4897.2456844914641</v>
      </c>
      <c r="G579" s="14">
        <v>0.86375107839781162</v>
      </c>
      <c r="H579" s="14">
        <v>30.95809833074075</v>
      </c>
      <c r="I579" s="14">
        <v>30.958095741027989</v>
      </c>
      <c r="J579" s="14">
        <v>0.16526636043539963</v>
      </c>
      <c r="K579" s="14">
        <v>30.957973332065777</v>
      </c>
      <c r="L579" s="14">
        <v>30.957953112954382</v>
      </c>
      <c r="M579" s="14">
        <v>9</v>
      </c>
    </row>
    <row r="580" spans="1:13" x14ac:dyDescent="0.3">
      <c r="A580" s="14">
        <v>569</v>
      </c>
      <c r="B580" s="14">
        <v>0.66553774840297653</v>
      </c>
      <c r="C580" s="14">
        <v>1.3592666864070679E-5</v>
      </c>
      <c r="D580" s="14">
        <v>48963.000054256008</v>
      </c>
      <c r="E580" s="14">
        <v>4.3590353634215262E-5</v>
      </c>
      <c r="F580" s="14">
        <v>15268.005256111934</v>
      </c>
      <c r="G580" s="14">
        <v>0.75591734023222701</v>
      </c>
      <c r="H580" s="14">
        <v>30.958100827578559</v>
      </c>
      <c r="I580" s="14">
        <v>30.958098522701775</v>
      </c>
      <c r="J580" s="14">
        <v>9.0379591829250538E-2</v>
      </c>
      <c r="K580" s="14">
        <v>30.958087234911694</v>
      </c>
      <c r="L580" s="14">
        <v>30.958054932348141</v>
      </c>
      <c r="M580" s="14">
        <v>11</v>
      </c>
    </row>
    <row r="581" spans="1:13" x14ac:dyDescent="0.3">
      <c r="A581" s="14">
        <v>570</v>
      </c>
      <c r="B581" s="14">
        <v>0.40055673066679526</v>
      </c>
      <c r="C581" s="14">
        <v>1.7366525794670906E-4</v>
      </c>
      <c r="D581" s="14">
        <v>2306.4874080324698</v>
      </c>
      <c r="E581" s="14">
        <v>1.8269094443468248E-4</v>
      </c>
      <c r="F581" s="14">
        <v>2192.5374128765661</v>
      </c>
      <c r="G581" s="14">
        <v>0.75792889063815094</v>
      </c>
      <c r="H581" s="14">
        <v>30.958091135885095</v>
      </c>
      <c r="I581" s="14">
        <v>30.958088825776716</v>
      </c>
      <c r="J581" s="14">
        <v>0.35737215997135569</v>
      </c>
      <c r="K581" s="14">
        <v>30.957917470627148</v>
      </c>
      <c r="L581" s="14">
        <v>30.957906134832282</v>
      </c>
      <c r="M581" s="14">
        <v>15</v>
      </c>
    </row>
    <row r="582" spans="1:13" x14ac:dyDescent="0.3">
      <c r="A582" s="14">
        <v>571</v>
      </c>
      <c r="B582" s="14">
        <v>0.12452138425798265</v>
      </c>
      <c r="C582" s="14">
        <v>5.0580175688708096E-5</v>
      </c>
      <c r="D582" s="14">
        <v>2461.861442007244</v>
      </c>
      <c r="E582" s="14">
        <v>6.3993723564692573E-5</v>
      </c>
      <c r="F582" s="14">
        <v>1945.8374559514641</v>
      </c>
      <c r="G582" s="14">
        <v>0.35801499365723866</v>
      </c>
      <c r="H582" s="14">
        <v>30.95809984889155</v>
      </c>
      <c r="I582" s="14">
        <v>30.958098445411942</v>
      </c>
      <c r="J582" s="14">
        <v>0.23349360939925601</v>
      </c>
      <c r="K582" s="14">
        <v>30.958049268715861</v>
      </c>
      <c r="L582" s="14">
        <v>30.958034451688377</v>
      </c>
      <c r="M582" s="14">
        <v>15</v>
      </c>
    </row>
    <row r="583" spans="1:13" x14ac:dyDescent="0.3">
      <c r="A583" s="14">
        <v>572</v>
      </c>
      <c r="B583" s="14">
        <v>0.72254971934781986</v>
      </c>
      <c r="C583" s="14">
        <v>1.8818823836141974E-5</v>
      </c>
      <c r="D583" s="14">
        <v>38395.051977698356</v>
      </c>
      <c r="E583" s="14">
        <v>4.4156321308719271E-5</v>
      </c>
      <c r="F583" s="14">
        <v>16363.449171775605</v>
      </c>
      <c r="G583" s="14">
        <v>0.78643561998557465</v>
      </c>
      <c r="H583" s="14">
        <v>30.958101177377578</v>
      </c>
      <c r="I583" s="14">
        <v>30.958098620555624</v>
      </c>
      <c r="J583" s="14">
        <v>6.3885900637754844E-2</v>
      </c>
      <c r="K583" s="14">
        <v>30.958082358553742</v>
      </c>
      <c r="L583" s="14">
        <v>30.958054464234316</v>
      </c>
      <c r="M583" s="14">
        <v>13</v>
      </c>
    </row>
    <row r="584" spans="1:13" x14ac:dyDescent="0.3">
      <c r="A584" s="14">
        <v>573</v>
      </c>
      <c r="B584" s="14">
        <v>0.34946436598559416</v>
      </c>
      <c r="C584" s="14">
        <v>3.8518512070595534E-5</v>
      </c>
      <c r="D584" s="14">
        <v>9072.6340972129638</v>
      </c>
      <c r="E584" s="14">
        <v>5.3382506663979257E-5</v>
      </c>
      <c r="F584" s="14">
        <v>6546.4210623402796</v>
      </c>
      <c r="G584" s="14">
        <v>0.50811004380948599</v>
      </c>
      <c r="H584" s="14">
        <v>30.958100193277293</v>
      </c>
      <c r="I584" s="14">
        <v>30.958098719110851</v>
      </c>
      <c r="J584" s="14">
        <v>0.1586456778238918</v>
      </c>
      <c r="K584" s="14">
        <v>30.958061674765222</v>
      </c>
      <c r="L584" s="14">
        <v>30.958045336604187</v>
      </c>
      <c r="M584" s="14">
        <v>9</v>
      </c>
    </row>
    <row r="585" spans="1:13" x14ac:dyDescent="0.3">
      <c r="A585" s="14">
        <v>574</v>
      </c>
      <c r="B585" s="14">
        <v>0.71829521645031624</v>
      </c>
      <c r="C585" s="14">
        <v>1.2866635625741196E-4</v>
      </c>
      <c r="D585" s="14">
        <v>5582.618777307126</v>
      </c>
      <c r="E585" s="14">
        <v>1.5076759827437058E-4</v>
      </c>
      <c r="F585" s="14">
        <v>4764.2545525142941</v>
      </c>
      <c r="G585" s="14">
        <v>0.84777891868321675</v>
      </c>
      <c r="H585" s="14">
        <v>30.958101262921272</v>
      </c>
      <c r="I585" s="14">
        <v>30.958099014849129</v>
      </c>
      <c r="J585" s="14">
        <v>0.12948370223290057</v>
      </c>
      <c r="K585" s="14">
        <v>30.957972596565014</v>
      </c>
      <c r="L585" s="14">
        <v>30.957948247250854</v>
      </c>
      <c r="M585" s="14">
        <v>12</v>
      </c>
    </row>
    <row r="586" spans="1:13" x14ac:dyDescent="0.3">
      <c r="A586" s="14">
        <v>575</v>
      </c>
      <c r="B586" s="14">
        <v>0.41803107718936156</v>
      </c>
      <c r="C586" s="14">
        <v>1.4865918366524511E-5</v>
      </c>
      <c r="D586" s="14">
        <v>28120.097721691756</v>
      </c>
      <c r="E586" s="14">
        <v>3.2666239452083801E-5</v>
      </c>
      <c r="F586" s="14">
        <v>12797.03706949638</v>
      </c>
      <c r="G586" s="14">
        <v>0.46310492206138221</v>
      </c>
      <c r="H586" s="14">
        <v>30.958101543583258</v>
      </c>
      <c r="I586" s="14">
        <v>30.958100299976305</v>
      </c>
      <c r="J586" s="14">
        <v>4.5073844872020652E-2</v>
      </c>
      <c r="K586" s="14">
        <v>30.958086677664891</v>
      </c>
      <c r="L586" s="14">
        <v>30.958067633736853</v>
      </c>
      <c r="M586" s="14">
        <v>13</v>
      </c>
    </row>
    <row r="587" spans="1:13" x14ac:dyDescent="0.3">
      <c r="A587" s="14">
        <v>576</v>
      </c>
      <c r="B587" s="14">
        <v>0.58339801128517088</v>
      </c>
      <c r="C587" s="14">
        <v>5.6720690736256074E-5</v>
      </c>
      <c r="D587" s="14">
        <v>10285.453221962629</v>
      </c>
      <c r="E587" s="14">
        <v>8.1918534281300026E-5</v>
      </c>
      <c r="F587" s="14">
        <v>7121.6851766639356</v>
      </c>
      <c r="G587" s="14">
        <v>0.78335037351437664</v>
      </c>
      <c r="H587" s="14">
        <v>30.95809924726273</v>
      </c>
      <c r="I587" s="14">
        <v>30.958096838082923</v>
      </c>
      <c r="J587" s="14">
        <v>0.19995236222920576</v>
      </c>
      <c r="K587" s="14">
        <v>30.958042526571994</v>
      </c>
      <c r="L587" s="14">
        <v>30.958014919548642</v>
      </c>
      <c r="M587" s="14">
        <v>13</v>
      </c>
    </row>
    <row r="588" spans="1:13" x14ac:dyDescent="0.3">
      <c r="A588" s="14">
        <v>577</v>
      </c>
      <c r="B588" s="14">
        <v>0.7723984635531872</v>
      </c>
      <c r="C588" s="14">
        <v>2.6794231832383275E-5</v>
      </c>
      <c r="D588" s="14">
        <v>28827.042640560911</v>
      </c>
      <c r="E588" s="14">
        <v>4.6523096944639519E-5</v>
      </c>
      <c r="F588" s="14">
        <v>16602.473057034618</v>
      </c>
      <c r="G588" s="14">
        <v>0.8316727190933042</v>
      </c>
      <c r="H588" s="14">
        <v>30.958100761520154</v>
      </c>
      <c r="I588" s="14">
        <v>30.958098617090727</v>
      </c>
      <c r="J588" s="14">
        <v>5.9274255540117053E-2</v>
      </c>
      <c r="K588" s="14">
        <v>30.958073967288321</v>
      </c>
      <c r="L588" s="14">
        <v>30.958052093993782</v>
      </c>
      <c r="M588" s="14">
        <v>10</v>
      </c>
    </row>
    <row r="589" spans="1:13" x14ac:dyDescent="0.3">
      <c r="A589" s="14">
        <v>578</v>
      </c>
      <c r="B589" s="14">
        <v>0.5380644056883217</v>
      </c>
      <c r="C589" s="14">
        <v>7.3530565888546562E-5</v>
      </c>
      <c r="D589" s="14">
        <v>7317.5610603063906</v>
      </c>
      <c r="E589" s="14">
        <v>9.7907732115487534E-5</v>
      </c>
      <c r="F589" s="14">
        <v>5495.6273019749378</v>
      </c>
      <c r="G589" s="14">
        <v>0.60767033019757699</v>
      </c>
      <c r="H589" s="14">
        <v>30.958101549576849</v>
      </c>
      <c r="I589" s="14">
        <v>30.958101234438434</v>
      </c>
      <c r="J589" s="14">
        <v>6.9605924509255318E-2</v>
      </c>
      <c r="K589" s="14">
        <v>30.95802801901096</v>
      </c>
      <c r="L589" s="14">
        <v>30.958003326706319</v>
      </c>
      <c r="M589" s="14">
        <v>14</v>
      </c>
    </row>
    <row r="590" spans="1:13" x14ac:dyDescent="0.3">
      <c r="A590" s="14">
        <v>579</v>
      </c>
      <c r="B590" s="14">
        <v>0.51179377215239108</v>
      </c>
      <c r="C590" s="14">
        <v>5.3306740323222357E-5</v>
      </c>
      <c r="D590" s="14">
        <v>9600.9204286204513</v>
      </c>
      <c r="E590" s="14">
        <v>7.5221740594599851E-5</v>
      </c>
      <c r="F590" s="14">
        <v>6803.8012429232813</v>
      </c>
      <c r="G590" s="14">
        <v>0.63457795990326404</v>
      </c>
      <c r="H590" s="14">
        <v>30.958101007258438</v>
      </c>
      <c r="I590" s="14">
        <v>30.958100652682596</v>
      </c>
      <c r="J590" s="14">
        <v>0.12278418775087296</v>
      </c>
      <c r="K590" s="14">
        <v>30.958047700518115</v>
      </c>
      <c r="L590" s="14">
        <v>30.958025430942001</v>
      </c>
      <c r="M590" s="14">
        <v>9</v>
      </c>
    </row>
    <row r="591" spans="1:13" x14ac:dyDescent="0.3">
      <c r="A591" s="14">
        <v>580</v>
      </c>
      <c r="B591" s="14">
        <v>0.46446923533560802</v>
      </c>
      <c r="C591" s="14">
        <v>4.3710078852399192E-5</v>
      </c>
      <c r="D591" s="14">
        <v>10626.13583709227</v>
      </c>
      <c r="E591" s="14">
        <v>6.0212916636714908E-5</v>
      </c>
      <c r="F591" s="14">
        <v>7713.7807181457356</v>
      </c>
      <c r="G591" s="14">
        <v>0.54675492666092895</v>
      </c>
      <c r="H591" s="14">
        <v>30.958100556279128</v>
      </c>
      <c r="I591" s="14">
        <v>30.958098965589372</v>
      </c>
      <c r="J591" s="14">
        <v>8.2285691325320931E-2</v>
      </c>
      <c r="K591" s="14">
        <v>30.958056846200275</v>
      </c>
      <c r="L591" s="14">
        <v>30.958038752672735</v>
      </c>
      <c r="M591" s="14">
        <v>14</v>
      </c>
    </row>
    <row r="592" spans="1:13" x14ac:dyDescent="0.3">
      <c r="A592" s="14">
        <v>581</v>
      </c>
      <c r="B592" s="14">
        <v>0.75878707978524906</v>
      </c>
      <c r="C592" s="14">
        <v>2.431631873989204E-5</v>
      </c>
      <c r="D592" s="14">
        <v>31204.850039262888</v>
      </c>
      <c r="E592" s="14">
        <v>6.9810046486651345E-5</v>
      </c>
      <c r="F592" s="14">
        <v>10869.31062179338</v>
      </c>
      <c r="G592" s="14">
        <v>0.85692477364586739</v>
      </c>
      <c r="H592" s="14">
        <v>30.958101548746207</v>
      </c>
      <c r="I592" s="14">
        <v>30.95809824744244</v>
      </c>
      <c r="J592" s="14">
        <v>9.8137693860618325E-2</v>
      </c>
      <c r="K592" s="14">
        <v>30.958077232427467</v>
      </c>
      <c r="L592" s="14">
        <v>30.958028437395953</v>
      </c>
      <c r="M592" s="14">
        <v>11</v>
      </c>
    </row>
    <row r="593" spans="1:13" x14ac:dyDescent="0.3">
      <c r="A593" s="14">
        <v>582</v>
      </c>
      <c r="B593" s="14">
        <v>0.59813123323696349</v>
      </c>
      <c r="C593" s="14">
        <v>5.6276439117652899E-6</v>
      </c>
      <c r="D593" s="14">
        <v>106284.48469998177</v>
      </c>
      <c r="E593" s="14">
        <v>3.5846322337107495E-5</v>
      </c>
      <c r="F593" s="14">
        <v>16685.986015859384</v>
      </c>
      <c r="G593" s="14">
        <v>0.62723117068432144</v>
      </c>
      <c r="H593" s="14">
        <v>30.958101551146751</v>
      </c>
      <c r="I593" s="14">
        <v>30.958100061915001</v>
      </c>
      <c r="J593" s="14">
        <v>2.9099937447357987E-2</v>
      </c>
      <c r="K593" s="14">
        <v>30.958095923502839</v>
      </c>
      <c r="L593" s="14">
        <v>30.958064215592664</v>
      </c>
      <c r="M593" s="14">
        <v>14</v>
      </c>
    </row>
    <row r="594" spans="1:13" x14ac:dyDescent="0.3">
      <c r="A594" s="14">
        <v>583</v>
      </c>
      <c r="B594" s="14">
        <v>0.75810223064569682</v>
      </c>
      <c r="C594" s="14">
        <v>3.3642476154227552E-5</v>
      </c>
      <c r="D594" s="14">
        <v>22534.079452722828</v>
      </c>
      <c r="E594" s="14">
        <v>5.629465101364417E-5</v>
      </c>
      <c r="F594" s="14">
        <v>13466.683192723855</v>
      </c>
      <c r="G594" s="14">
        <v>0.93846631183568174</v>
      </c>
      <c r="H594" s="14">
        <v>30.95809952529661</v>
      </c>
      <c r="I594" s="14">
        <v>30.958097558155192</v>
      </c>
      <c r="J594" s="14">
        <v>0.18036408118998493</v>
      </c>
      <c r="K594" s="14">
        <v>30.958065882820456</v>
      </c>
      <c r="L594" s="14">
        <v>30.958041263504178</v>
      </c>
      <c r="M594" s="14">
        <v>11</v>
      </c>
    </row>
    <row r="595" spans="1:13" x14ac:dyDescent="0.3">
      <c r="A595" s="14">
        <v>584</v>
      </c>
      <c r="B595" s="14">
        <v>0.50863167670150666</v>
      </c>
      <c r="C595" s="14">
        <v>2.6775671297940562E-5</v>
      </c>
      <c r="D595" s="14">
        <v>18996.038270780082</v>
      </c>
      <c r="E595" s="14">
        <v>4.7484712503376159E-5</v>
      </c>
      <c r="F595" s="14">
        <v>10711.48270436181</v>
      </c>
      <c r="G595" s="14">
        <v>0.59078287339332269</v>
      </c>
      <c r="H595" s="14">
        <v>30.958100078980728</v>
      </c>
      <c r="I595" s="14">
        <v>30.958098481487394</v>
      </c>
      <c r="J595" s="14">
        <v>8.2151196691815975E-2</v>
      </c>
      <c r="K595" s="14">
        <v>30.95807330330943</v>
      </c>
      <c r="L595" s="14">
        <v>30.95805099677489</v>
      </c>
      <c r="M595" s="14">
        <v>9</v>
      </c>
    </row>
    <row r="596" spans="1:13" x14ac:dyDescent="0.3">
      <c r="A596" s="14">
        <v>585</v>
      </c>
      <c r="B596" s="14">
        <v>0.65782876323233352</v>
      </c>
      <c r="C596" s="14">
        <v>2.3139683566597569E-5</v>
      </c>
      <c r="D596" s="14">
        <v>28428.598054898117</v>
      </c>
      <c r="E596" s="14">
        <v>4.4314407681156354E-5</v>
      </c>
      <c r="F596" s="14">
        <v>14844.57984783264</v>
      </c>
      <c r="G596" s="14">
        <v>0.73500814651917279</v>
      </c>
      <c r="H596" s="14">
        <v>30.95810148669641</v>
      </c>
      <c r="I596" s="14">
        <v>30.958100937422948</v>
      </c>
      <c r="J596" s="14">
        <v>7.7179383286839265E-2</v>
      </c>
      <c r="K596" s="14">
        <v>30.958078347012844</v>
      </c>
      <c r="L596" s="14">
        <v>30.958056623015267</v>
      </c>
      <c r="M596" s="14">
        <v>13</v>
      </c>
    </row>
    <row r="597" spans="1:13" x14ac:dyDescent="0.3">
      <c r="A597" s="14">
        <v>586</v>
      </c>
      <c r="B597" s="14">
        <v>0.42981201108513201</v>
      </c>
      <c r="C597" s="14">
        <v>1.2929528381278033E-4</v>
      </c>
      <c r="D597" s="14">
        <v>3324.2667358811027</v>
      </c>
      <c r="E597" s="14">
        <v>1.4242858733126695E-4</v>
      </c>
      <c r="F597" s="14">
        <v>3017.7369525224276</v>
      </c>
      <c r="G597" s="14">
        <v>0.68179626391233783</v>
      </c>
      <c r="H597" s="14">
        <v>30.95809409793997</v>
      </c>
      <c r="I597" s="14">
        <v>30.95809332947648</v>
      </c>
      <c r="J597" s="14">
        <v>0.25198425282720582</v>
      </c>
      <c r="K597" s="14">
        <v>30.957964802656157</v>
      </c>
      <c r="L597" s="14">
        <v>30.957950900889148</v>
      </c>
      <c r="M597" s="14">
        <v>15</v>
      </c>
    </row>
    <row r="598" spans="1:13" x14ac:dyDescent="0.3">
      <c r="A598" s="14">
        <v>587</v>
      </c>
      <c r="B598" s="14">
        <v>0.67609134674410809</v>
      </c>
      <c r="C598" s="14">
        <v>2.5205285716367598E-5</v>
      </c>
      <c r="D598" s="14">
        <v>26823.395471572596</v>
      </c>
      <c r="E598" s="14">
        <v>4.9490804673979483E-5</v>
      </c>
      <c r="F598" s="14">
        <v>13660.948760034469</v>
      </c>
      <c r="G598" s="14">
        <v>0.76653924451203947</v>
      </c>
      <c r="H598" s="14">
        <v>30.95810082122853</v>
      </c>
      <c r="I598" s="14">
        <v>30.958099622717317</v>
      </c>
      <c r="J598" s="14">
        <v>9.0447897767931357E-2</v>
      </c>
      <c r="K598" s="14">
        <v>30.958075615942814</v>
      </c>
      <c r="L598" s="14">
        <v>30.958050131912643</v>
      </c>
      <c r="M598" s="14">
        <v>14</v>
      </c>
    </row>
    <row r="599" spans="1:13" x14ac:dyDescent="0.3">
      <c r="A599" s="14">
        <v>588</v>
      </c>
      <c r="B599" s="14">
        <v>0.38564162133843655</v>
      </c>
      <c r="C599" s="14">
        <v>1.1805428725253364E-4</v>
      </c>
      <c r="D599" s="14">
        <v>3266.6464752228644</v>
      </c>
      <c r="E599" s="14">
        <v>1.4296523394108362E-4</v>
      </c>
      <c r="F599" s="14">
        <v>2697.4503570382749</v>
      </c>
      <c r="G599" s="14">
        <v>0.67083335299915947</v>
      </c>
      <c r="H599" s="14">
        <v>30.958093704512585</v>
      </c>
      <c r="I599" s="14">
        <v>30.958087964823772</v>
      </c>
      <c r="J599" s="14">
        <v>0.28519173166072292</v>
      </c>
      <c r="K599" s="14">
        <v>30.957975650225332</v>
      </c>
      <c r="L599" s="14">
        <v>30.957944999589831</v>
      </c>
      <c r="M599" s="14">
        <v>13</v>
      </c>
    </row>
    <row r="600" spans="1:13" x14ac:dyDescent="0.3">
      <c r="A600" s="14">
        <v>589</v>
      </c>
      <c r="B600" s="14">
        <v>5.7414265580470691E-2</v>
      </c>
      <c r="C600" s="14">
        <v>2.7840629041264719E-5</v>
      </c>
      <c r="D600" s="14">
        <v>2062.2474260683057</v>
      </c>
      <c r="E600" s="14">
        <v>4.3150069373609767E-5</v>
      </c>
      <c r="F600" s="14">
        <v>1330.571802407919</v>
      </c>
      <c r="G600" s="14">
        <v>0.69988878179589242</v>
      </c>
      <c r="H600" s="14">
        <v>30.958100999223564</v>
      </c>
      <c r="I600" s="14">
        <v>30.958100023273442</v>
      </c>
      <c r="J600" s="14">
        <v>0.64247451621542173</v>
      </c>
      <c r="K600" s="14">
        <v>30.958073158594523</v>
      </c>
      <c r="L600" s="14">
        <v>30.958056873204068</v>
      </c>
      <c r="M600" s="14">
        <v>15</v>
      </c>
    </row>
    <row r="601" spans="1:13" x14ac:dyDescent="0.3">
      <c r="A601" s="14">
        <v>590</v>
      </c>
      <c r="B601" s="14">
        <v>0.28953862870747754</v>
      </c>
      <c r="C601" s="14">
        <v>1.925619931242295E-5</v>
      </c>
      <c r="D601" s="14">
        <v>15036.125458084789</v>
      </c>
      <c r="E601" s="14">
        <v>3.147341581311025E-5</v>
      </c>
      <c r="F601" s="14">
        <v>9199.4663187104798</v>
      </c>
      <c r="G601" s="14">
        <v>0.31445898245826231</v>
      </c>
      <c r="H601" s="14">
        <v>30.958101179028471</v>
      </c>
      <c r="I601" s="14">
        <v>30.958100326506131</v>
      </c>
      <c r="J601" s="14">
        <v>2.4920353750784763E-2</v>
      </c>
      <c r="K601" s="14">
        <v>30.958081922829159</v>
      </c>
      <c r="L601" s="14">
        <v>30.958068853090317</v>
      </c>
      <c r="M601" s="14">
        <v>12</v>
      </c>
    </row>
    <row r="602" spans="1:13" x14ac:dyDescent="0.3">
      <c r="A602" s="14">
        <v>591</v>
      </c>
      <c r="B602" s="14">
        <v>0.36649149274587789</v>
      </c>
      <c r="C602" s="14">
        <v>1.1394828953470437E-4</v>
      </c>
      <c r="D602" s="14">
        <v>3216.2965696317742</v>
      </c>
      <c r="E602" s="14">
        <v>1.2381932686267305E-4</v>
      </c>
      <c r="F602" s="14">
        <v>2959.8892356469555</v>
      </c>
      <c r="G602" s="14">
        <v>0.64421117026958441</v>
      </c>
      <c r="H602" s="14">
        <v>30.958101549826448</v>
      </c>
      <c r="I602" s="14">
        <v>30.958101220281399</v>
      </c>
      <c r="J602" s="14">
        <v>0.27771967752370652</v>
      </c>
      <c r="K602" s="14">
        <v>30.957987601536914</v>
      </c>
      <c r="L602" s="14">
        <v>30.957977400954537</v>
      </c>
      <c r="M602" s="14">
        <v>11</v>
      </c>
    </row>
    <row r="603" spans="1:13" x14ac:dyDescent="0.3">
      <c r="A603" s="14">
        <v>592</v>
      </c>
      <c r="B603" s="14">
        <v>0.19586023944614517</v>
      </c>
      <c r="C603" s="14">
        <v>6.968153159192525E-5</v>
      </c>
      <c r="D603" s="14">
        <v>2810.7912523099822</v>
      </c>
      <c r="E603" s="14">
        <v>8.8431627549567793E-5</v>
      </c>
      <c r="F603" s="14">
        <v>2214.8211547544047</v>
      </c>
      <c r="G603" s="14">
        <v>0.56562235647768044</v>
      </c>
      <c r="H603" s="14">
        <v>30.958095956327956</v>
      </c>
      <c r="I603" s="14">
        <v>30.958094180424371</v>
      </c>
      <c r="J603" s="14">
        <v>0.36976211703153528</v>
      </c>
      <c r="K603" s="14">
        <v>30.958026274796364</v>
      </c>
      <c r="L603" s="14">
        <v>30.958005748796822</v>
      </c>
      <c r="M603" s="14">
        <v>10</v>
      </c>
    </row>
    <row r="604" spans="1:13" x14ac:dyDescent="0.3">
      <c r="A604" s="14">
        <v>593</v>
      </c>
      <c r="B604" s="14">
        <v>0.41677041006176097</v>
      </c>
      <c r="C604" s="14">
        <v>1.9677974435694523E-5</v>
      </c>
      <c r="D604" s="14">
        <v>21179.538139137301</v>
      </c>
      <c r="E604" s="14">
        <v>4.4580764949841978E-5</v>
      </c>
      <c r="F604" s="14">
        <v>9348.6599104046618</v>
      </c>
      <c r="G604" s="14">
        <v>0.45827878870202998</v>
      </c>
      <c r="H604" s="14">
        <v>30.95810013406409</v>
      </c>
      <c r="I604" s="14">
        <v>30.958097550878076</v>
      </c>
      <c r="J604" s="14">
        <v>4.1508378640269017E-2</v>
      </c>
      <c r="K604" s="14">
        <v>30.958080456089654</v>
      </c>
      <c r="L604" s="14">
        <v>30.958052970113126</v>
      </c>
      <c r="M604" s="14">
        <v>12</v>
      </c>
    </row>
    <row r="605" spans="1:13" x14ac:dyDescent="0.3">
      <c r="A605" s="14">
        <v>594</v>
      </c>
      <c r="B605" s="14">
        <v>0.72724970917728604</v>
      </c>
      <c r="C605" s="14">
        <v>1.3690421817003084E-4</v>
      </c>
      <c r="D605" s="14">
        <v>5312.1059299580102</v>
      </c>
      <c r="E605" s="14">
        <v>1.5557224989137808E-4</v>
      </c>
      <c r="F605" s="14">
        <v>4674.6750123178026</v>
      </c>
      <c r="G605" s="14">
        <v>0.93367418532660751</v>
      </c>
      <c r="H605" s="14">
        <v>30.95810126674661</v>
      </c>
      <c r="I605" s="14">
        <v>30.958100872146161</v>
      </c>
      <c r="J605" s="14">
        <v>0.20642447614932144</v>
      </c>
      <c r="K605" s="14">
        <v>30.95796436252844</v>
      </c>
      <c r="L605" s="14">
        <v>30.95794529989627</v>
      </c>
      <c r="M605" s="14">
        <v>13</v>
      </c>
    </row>
    <row r="606" spans="1:13" x14ac:dyDescent="0.3">
      <c r="A606" s="14">
        <v>595</v>
      </c>
      <c r="B606" s="14">
        <v>0.69437119351484822</v>
      </c>
      <c r="C606" s="14">
        <v>4.6187566461242113E-5</v>
      </c>
      <c r="D606" s="14">
        <v>15033.725452877532</v>
      </c>
      <c r="E606" s="14">
        <v>8.8222177588193063E-5</v>
      </c>
      <c r="F606" s="14">
        <v>7870.7102057269694</v>
      </c>
      <c r="G606" s="14">
        <v>0.77733056174008297</v>
      </c>
      <c r="H606" s="14">
        <v>30.958101385920177</v>
      </c>
      <c r="I606" s="14">
        <v>30.958097681537478</v>
      </c>
      <c r="J606" s="14">
        <v>8.2959368225234809E-2</v>
      </c>
      <c r="K606" s="14">
        <v>30.958055198353716</v>
      </c>
      <c r="L606" s="14">
        <v>30.958009459359889</v>
      </c>
      <c r="M606" s="14">
        <v>15</v>
      </c>
    </row>
    <row r="607" spans="1:13" x14ac:dyDescent="0.3">
      <c r="A607" s="14">
        <v>596</v>
      </c>
      <c r="B607" s="14">
        <v>5.5275702515067304E-2</v>
      </c>
      <c r="C607" s="14">
        <v>2.1862049536025552E-5</v>
      </c>
      <c r="D607" s="14">
        <v>2528.386116040072</v>
      </c>
      <c r="E607" s="14">
        <v>4.1811738153541E-5</v>
      </c>
      <c r="F607" s="14">
        <v>1322.0139835393582</v>
      </c>
      <c r="G607" s="14">
        <v>0.77374820755622131</v>
      </c>
      <c r="H607" s="14">
        <v>30.958101551194996</v>
      </c>
      <c r="I607" s="14">
        <v>30.958101323946046</v>
      </c>
      <c r="J607" s="14">
        <v>0.71847250504115401</v>
      </c>
      <c r="K607" s="14">
        <v>30.95807968914546</v>
      </c>
      <c r="L607" s="14">
        <v>30.958059512207893</v>
      </c>
      <c r="M607" s="14">
        <v>12</v>
      </c>
    </row>
    <row r="608" spans="1:13" x14ac:dyDescent="0.3">
      <c r="A608" s="14">
        <v>597</v>
      </c>
      <c r="B608" s="14">
        <v>0.70576616341481591</v>
      </c>
      <c r="C608" s="14">
        <v>1.3791844576616086E-5</v>
      </c>
      <c r="D608" s="14">
        <v>51172.717289131455</v>
      </c>
      <c r="E608" s="14">
        <v>3.1755398964605774E-5</v>
      </c>
      <c r="F608" s="14">
        <v>22225.07625243365</v>
      </c>
      <c r="G608" s="14">
        <v>0.77304103404684421</v>
      </c>
      <c r="H608" s="14">
        <v>30.958101522957552</v>
      </c>
      <c r="I608" s="14">
        <v>30.958100640263709</v>
      </c>
      <c r="J608" s="14">
        <v>6.7274870632028333E-2</v>
      </c>
      <c r="K608" s="14">
        <v>30.958087731112975</v>
      </c>
      <c r="L608" s="14">
        <v>30.958068884864744</v>
      </c>
      <c r="M608" s="14">
        <v>12</v>
      </c>
    </row>
    <row r="609" spans="1:13" x14ac:dyDescent="0.3">
      <c r="A609" s="14">
        <v>598</v>
      </c>
      <c r="B609" s="14">
        <v>0.43791189012207743</v>
      </c>
      <c r="C609" s="14">
        <v>1.4510964319924824E-5</v>
      </c>
      <c r="D609" s="14">
        <v>30178.000611633099</v>
      </c>
      <c r="E609" s="14">
        <v>3.184329410643727E-5</v>
      </c>
      <c r="F609" s="14">
        <v>13752.091371525268</v>
      </c>
      <c r="G609" s="14">
        <v>0.50150043213234918</v>
      </c>
      <c r="H609" s="14">
        <v>30.958101530103221</v>
      </c>
      <c r="I609" s="14">
        <v>30.958101293178323</v>
      </c>
      <c r="J609" s="14">
        <v>6.358854201027174E-2</v>
      </c>
      <c r="K609" s="14">
        <v>30.958087019138901</v>
      </c>
      <c r="L609" s="14">
        <v>30.958069449884217</v>
      </c>
      <c r="M609" s="14">
        <v>14</v>
      </c>
    </row>
    <row r="610" spans="1:13" x14ac:dyDescent="0.3">
      <c r="A610" s="14">
        <v>599</v>
      </c>
      <c r="B610" s="14">
        <v>0.35533330663749207</v>
      </c>
      <c r="C610" s="14">
        <v>3.4047588620467195E-5</v>
      </c>
      <c r="D610" s="14">
        <v>10436.372178906344</v>
      </c>
      <c r="E610" s="14">
        <v>5.4940824554705614E-5</v>
      </c>
      <c r="F610" s="14">
        <v>6467.5641386430234</v>
      </c>
      <c r="G610" s="14">
        <v>0.582847836861069</v>
      </c>
      <c r="H610" s="14">
        <v>30.958101537155208</v>
      </c>
      <c r="I610" s="14">
        <v>30.958100355355842</v>
      </c>
      <c r="J610" s="14">
        <v>0.22751453022357693</v>
      </c>
      <c r="K610" s="14">
        <v>30.958067489566588</v>
      </c>
      <c r="L610" s="14">
        <v>30.958045414531288</v>
      </c>
      <c r="M610" s="14">
        <v>14</v>
      </c>
    </row>
    <row r="611" spans="1:13" x14ac:dyDescent="0.3">
      <c r="A611" s="14">
        <v>600</v>
      </c>
      <c r="B611" s="14">
        <v>0.73703015902936875</v>
      </c>
      <c r="C611" s="14">
        <v>3.6905193297798178E-5</v>
      </c>
      <c r="D611" s="14">
        <v>19970.906345946198</v>
      </c>
      <c r="E611" s="14">
        <v>7.489831416052084E-5</v>
      </c>
      <c r="F611" s="14">
        <v>9840.4105257933807</v>
      </c>
      <c r="G611" s="14">
        <v>0.81554598344663809</v>
      </c>
      <c r="H611" s="14">
        <v>30.95810107597174</v>
      </c>
      <c r="I611" s="14">
        <v>30.958100250502319</v>
      </c>
      <c r="J611" s="14">
        <v>7.8515824417269342E-2</v>
      </c>
      <c r="K611" s="14">
        <v>30.958064170778442</v>
      </c>
      <c r="L611" s="14">
        <v>30.958025352188159</v>
      </c>
      <c r="M611" s="14">
        <v>10</v>
      </c>
    </row>
    <row r="612" spans="1:13" x14ac:dyDescent="0.3">
      <c r="A612" s="14">
        <v>601</v>
      </c>
      <c r="B612" s="14">
        <v>0.48072177970630531</v>
      </c>
      <c r="C612" s="14">
        <v>2.7998192337008732E-5</v>
      </c>
      <c r="D612" s="14">
        <v>17169.743457718694</v>
      </c>
      <c r="E612" s="14">
        <v>5.0373882633181211E-5</v>
      </c>
      <c r="F612" s="14">
        <v>9543.0757880404981</v>
      </c>
      <c r="G612" s="14">
        <v>0.6102301413337794</v>
      </c>
      <c r="H612" s="14">
        <v>30.958100311280095</v>
      </c>
      <c r="I612" s="14">
        <v>30.958098359627591</v>
      </c>
      <c r="J612" s="14">
        <v>0.12950836162747409</v>
      </c>
      <c r="K612" s="14">
        <v>30.958072313087758</v>
      </c>
      <c r="L612" s="14">
        <v>30.958047985744958</v>
      </c>
      <c r="M612" s="14">
        <v>14</v>
      </c>
    </row>
    <row r="613" spans="1:13" x14ac:dyDescent="0.3">
      <c r="A613" s="14">
        <v>602</v>
      </c>
      <c r="B613" s="14">
        <v>0.68353351288972919</v>
      </c>
      <c r="C613" s="14">
        <v>4.1833283159320445E-5</v>
      </c>
      <c r="D613" s="14">
        <v>16339.466120469631</v>
      </c>
      <c r="E613" s="14">
        <v>6.098900569639909E-5</v>
      </c>
      <c r="F613" s="14">
        <v>11207.487400144422</v>
      </c>
      <c r="G613" s="14">
        <v>0.8639739106498503</v>
      </c>
      <c r="H613" s="14">
        <v>30.958101187601205</v>
      </c>
      <c r="I613" s="14">
        <v>30.958099553662205</v>
      </c>
      <c r="J613" s="14">
        <v>0.18044039776012111</v>
      </c>
      <c r="K613" s="14">
        <v>30.958059354318046</v>
      </c>
      <c r="L613" s="14">
        <v>30.958038564656508</v>
      </c>
      <c r="M613" s="14">
        <v>9</v>
      </c>
    </row>
    <row r="614" spans="1:13" x14ac:dyDescent="0.3">
      <c r="A614" s="14">
        <v>603</v>
      </c>
      <c r="B614" s="14">
        <v>0.47261106504668726</v>
      </c>
      <c r="C614" s="14">
        <v>6.9173001882916196E-5</v>
      </c>
      <c r="D614" s="14">
        <v>6832.3052662459195</v>
      </c>
      <c r="E614" s="14">
        <v>9.1491899663509457E-5</v>
      </c>
      <c r="F614" s="14">
        <v>5165.6055539874533</v>
      </c>
      <c r="G614" s="14">
        <v>0.57855303749707332</v>
      </c>
      <c r="H614" s="14">
        <v>30.958100184995654</v>
      </c>
      <c r="I614" s="14">
        <v>30.958099581724031</v>
      </c>
      <c r="J614" s="14">
        <v>0.10594197245038603</v>
      </c>
      <c r="K614" s="14">
        <v>30.958031011993771</v>
      </c>
      <c r="L614" s="14">
        <v>30.958008089824368</v>
      </c>
      <c r="M614" s="14">
        <v>10</v>
      </c>
    </row>
    <row r="615" spans="1:13" x14ac:dyDescent="0.3">
      <c r="A615" s="14">
        <v>604</v>
      </c>
      <c r="B615" s="14">
        <v>0.66808613540137374</v>
      </c>
      <c r="C615" s="14">
        <v>1.5305114814623266E-5</v>
      </c>
      <c r="D615" s="14">
        <v>43651.167828094374</v>
      </c>
      <c r="E615" s="14">
        <v>3.4754747808563025E-5</v>
      </c>
      <c r="F615" s="14">
        <v>19222.873924487743</v>
      </c>
      <c r="G615" s="14">
        <v>0.70452125884336958</v>
      </c>
      <c r="H615" s="14">
        <v>30.958101547523416</v>
      </c>
      <c r="I615" s="14">
        <v>30.958100033974443</v>
      </c>
      <c r="J615" s="14">
        <v>3.6435123441995863E-2</v>
      </c>
      <c r="K615" s="14">
        <v>30.958086242408601</v>
      </c>
      <c r="L615" s="14">
        <v>30.958065279226634</v>
      </c>
      <c r="M615" s="14">
        <v>14</v>
      </c>
    </row>
    <row r="616" spans="1:13" x14ac:dyDescent="0.3">
      <c r="A616" s="14">
        <v>605</v>
      </c>
      <c r="B616" s="14">
        <v>0.76816645364128278</v>
      </c>
      <c r="C616" s="14">
        <v>6.9314972510170492E-5</v>
      </c>
      <c r="D616" s="14">
        <v>11082.258649508529</v>
      </c>
      <c r="E616" s="14">
        <v>1.2291752723925242E-4</v>
      </c>
      <c r="F616" s="14">
        <v>6249.4460382862053</v>
      </c>
      <c r="G616" s="14">
        <v>0.89593253690485064</v>
      </c>
      <c r="H616" s="14">
        <v>30.958080904682593</v>
      </c>
      <c r="I616" s="14">
        <v>30.958063296097656</v>
      </c>
      <c r="J616" s="14">
        <v>0.12776608326356786</v>
      </c>
      <c r="K616" s="14">
        <v>30.958011589710082</v>
      </c>
      <c r="L616" s="14">
        <v>30.957940378570417</v>
      </c>
      <c r="M616" s="14">
        <v>14</v>
      </c>
    </row>
    <row r="617" spans="1:13" x14ac:dyDescent="0.3">
      <c r="A617" s="14">
        <v>606</v>
      </c>
      <c r="B617" s="14">
        <v>0.77701559786000685</v>
      </c>
      <c r="C617" s="14">
        <v>4.0392943130740377E-5</v>
      </c>
      <c r="D617" s="14">
        <v>19236.419474189592</v>
      </c>
      <c r="E617" s="14">
        <v>7.1302340533208053E-5</v>
      </c>
      <c r="F617" s="14">
        <v>10897.476745495092</v>
      </c>
      <c r="G617" s="14">
        <v>0.97362984324086455</v>
      </c>
      <c r="H617" s="14">
        <v>30.958101098923365</v>
      </c>
      <c r="I617" s="14">
        <v>30.958099968546659</v>
      </c>
      <c r="J617" s="14">
        <v>0.19661424538085764</v>
      </c>
      <c r="K617" s="14">
        <v>30.958060705980234</v>
      </c>
      <c r="L617" s="14">
        <v>30.958028666206125</v>
      </c>
      <c r="M617" s="14">
        <v>13</v>
      </c>
    </row>
    <row r="618" spans="1:13" x14ac:dyDescent="0.3">
      <c r="A618" s="14">
        <v>607</v>
      </c>
      <c r="B618" s="14">
        <v>0.42049306166441702</v>
      </c>
      <c r="C618" s="14">
        <v>4.508193456942422E-5</v>
      </c>
      <c r="D618" s="14">
        <v>9327.3073944259413</v>
      </c>
      <c r="E618" s="14">
        <v>6.3803837360154603E-5</v>
      </c>
      <c r="F618" s="14">
        <v>6590.4039484467476</v>
      </c>
      <c r="G618" s="14">
        <v>0.59431500002157933</v>
      </c>
      <c r="H618" s="14">
        <v>30.95810011558229</v>
      </c>
      <c r="I618" s="14">
        <v>30.958098554256527</v>
      </c>
      <c r="J618" s="14">
        <v>0.17382193835716228</v>
      </c>
      <c r="K618" s="14">
        <v>30.958055033647721</v>
      </c>
      <c r="L618" s="14">
        <v>30.958034750419166</v>
      </c>
      <c r="M618" s="14">
        <v>15</v>
      </c>
    </row>
    <row r="619" spans="1:13" x14ac:dyDescent="0.3">
      <c r="A619" s="14">
        <v>608</v>
      </c>
      <c r="B619" s="14">
        <v>0.61868240299491895</v>
      </c>
      <c r="C619" s="14">
        <v>2.2094378216763744E-5</v>
      </c>
      <c r="D619" s="14">
        <v>28001.801948221557</v>
      </c>
      <c r="E619" s="14">
        <v>4.5162472662951814E-5</v>
      </c>
      <c r="F619" s="14">
        <v>13699.037420119901</v>
      </c>
      <c r="G619" s="14">
        <v>0.6589398558093742</v>
      </c>
      <c r="H619" s="14">
        <v>30.958100476187862</v>
      </c>
      <c r="I619" s="14">
        <v>30.958097860568135</v>
      </c>
      <c r="J619" s="14">
        <v>4.0257452814455245E-2</v>
      </c>
      <c r="K619" s="14">
        <v>30.958078381809646</v>
      </c>
      <c r="L619" s="14">
        <v>30.958052698095472</v>
      </c>
      <c r="M619" s="14">
        <v>9</v>
      </c>
    </row>
    <row r="620" spans="1:13" x14ac:dyDescent="0.3">
      <c r="A620" s="14">
        <v>609</v>
      </c>
      <c r="B620" s="14">
        <v>0.32761016023275397</v>
      </c>
      <c r="C620" s="14">
        <v>1.6099931979596249E-5</v>
      </c>
      <c r="D620" s="14">
        <v>20348.543127259207</v>
      </c>
      <c r="E620" s="14">
        <v>3.3965669540947374E-5</v>
      </c>
      <c r="F620" s="14">
        <v>9645.3320267337276</v>
      </c>
      <c r="G620" s="14">
        <v>0.39730658253837881</v>
      </c>
      <c r="H620" s="14">
        <v>30.958101042676642</v>
      </c>
      <c r="I620" s="14">
        <v>30.958099177637209</v>
      </c>
      <c r="J620" s="14">
        <v>6.9696422305624839E-2</v>
      </c>
      <c r="K620" s="14">
        <v>30.958084942744662</v>
      </c>
      <c r="L620" s="14">
        <v>30.958065211967668</v>
      </c>
      <c r="M620" s="14">
        <v>10</v>
      </c>
    </row>
    <row r="621" spans="1:13" x14ac:dyDescent="0.3">
      <c r="A621" s="14">
        <v>610</v>
      </c>
      <c r="B621" s="14">
        <v>0.61851263767947084</v>
      </c>
      <c r="C621" s="14">
        <v>3.9586406479941161E-5</v>
      </c>
      <c r="D621" s="14">
        <v>15624.369390358217</v>
      </c>
      <c r="E621" s="14">
        <v>7.3649585882407109E-5</v>
      </c>
      <c r="F621" s="14">
        <v>8398.0463741781441</v>
      </c>
      <c r="G621" s="14">
        <v>0.7456518264616222</v>
      </c>
      <c r="H621" s="14">
        <v>30.958100961179145</v>
      </c>
      <c r="I621" s="14">
        <v>30.958098773563304</v>
      </c>
      <c r="J621" s="14">
        <v>0.12713918878215139</v>
      </c>
      <c r="K621" s="14">
        <v>30.958061374772665</v>
      </c>
      <c r="L621" s="14">
        <v>30.958025123977421</v>
      </c>
      <c r="M621" s="14">
        <v>13</v>
      </c>
    </row>
    <row r="622" spans="1:13" x14ac:dyDescent="0.3">
      <c r="A622" s="14">
        <v>611</v>
      </c>
      <c r="B622" s="14">
        <v>0.48994981521156877</v>
      </c>
      <c r="C622" s="14">
        <v>1.9439268864829273E-5</v>
      </c>
      <c r="D622" s="14">
        <v>25204.127717890475</v>
      </c>
      <c r="E622" s="14">
        <v>3.6598718793356966E-5</v>
      </c>
      <c r="F622" s="14">
        <v>13387.075596222772</v>
      </c>
      <c r="G622" s="14">
        <v>0.59394405701984554</v>
      </c>
      <c r="H622" s="14">
        <v>30.95810149255286</v>
      </c>
      <c r="I622" s="14">
        <v>30.95810121892773</v>
      </c>
      <c r="J622" s="14">
        <v>0.10399424180827675</v>
      </c>
      <c r="K622" s="14">
        <v>30.958082053283995</v>
      </c>
      <c r="L622" s="14">
        <v>30.958064620208937</v>
      </c>
      <c r="M622" s="14">
        <v>12</v>
      </c>
    </row>
    <row r="623" spans="1:13" x14ac:dyDescent="0.3">
      <c r="A623" s="14">
        <v>612</v>
      </c>
      <c r="B623" s="14">
        <v>0.73649892505439296</v>
      </c>
      <c r="C623" s="14">
        <v>1.4767223049716449E-5</v>
      </c>
      <c r="D623" s="14">
        <v>49873.894541637244</v>
      </c>
      <c r="E623" s="14">
        <v>3.6209358661665192E-5</v>
      </c>
      <c r="F623" s="14">
        <v>20340.01573836555</v>
      </c>
      <c r="G623" s="14">
        <v>0.76066498405162641</v>
      </c>
      <c r="H623" s="14">
        <v>30.958101509974544</v>
      </c>
      <c r="I623" s="14">
        <v>30.958101288159902</v>
      </c>
      <c r="J623" s="14">
        <v>2.4166058997233418E-2</v>
      </c>
      <c r="K623" s="14">
        <v>30.958086742751494</v>
      </c>
      <c r="L623" s="14">
        <v>30.958065078801241</v>
      </c>
      <c r="M623" s="14">
        <v>14</v>
      </c>
    </row>
    <row r="624" spans="1:13" x14ac:dyDescent="0.3">
      <c r="A624" s="14">
        <v>613</v>
      </c>
      <c r="B624" s="14">
        <v>0.55982287600685066</v>
      </c>
      <c r="C624" s="14">
        <v>4.2164868514049658E-5</v>
      </c>
      <c r="D624" s="14">
        <v>13276.998025508212</v>
      </c>
      <c r="E624" s="14">
        <v>7.1369543682919812E-5</v>
      </c>
      <c r="F624" s="14">
        <v>7844.0024570428586</v>
      </c>
      <c r="G624" s="14">
        <v>0.64981567020425335</v>
      </c>
      <c r="H624" s="14">
        <v>30.958101474425114</v>
      </c>
      <c r="I624" s="14">
        <v>30.958101171139344</v>
      </c>
      <c r="J624" s="14">
        <v>8.9992794197402692E-2</v>
      </c>
      <c r="K624" s="14">
        <v>30.958059309556599</v>
      </c>
      <c r="L624" s="14">
        <v>30.958029801595661</v>
      </c>
      <c r="M624" s="14">
        <v>14</v>
      </c>
    </row>
    <row r="625" spans="1:13" x14ac:dyDescent="0.3">
      <c r="A625" s="14">
        <v>614</v>
      </c>
      <c r="B625" s="14">
        <v>0.2812085747981426</v>
      </c>
      <c r="C625" s="14">
        <v>1.4106180674744451E-4</v>
      </c>
      <c r="D625" s="14">
        <v>1993.5132073107168</v>
      </c>
      <c r="E625" s="14">
        <v>1.5175033552594641E-4</v>
      </c>
      <c r="F625" s="14">
        <v>1853.1001847443117</v>
      </c>
      <c r="G625" s="14">
        <v>0.6910111961125579</v>
      </c>
      <c r="H625" s="14">
        <v>30.958101512307017</v>
      </c>
      <c r="I625" s="14">
        <v>30.958100648200023</v>
      </c>
      <c r="J625" s="14">
        <v>0.40980262131441531</v>
      </c>
      <c r="K625" s="14">
        <v>30.95796045050027</v>
      </c>
      <c r="L625" s="14">
        <v>30.957948897864497</v>
      </c>
      <c r="M625" s="14">
        <v>14</v>
      </c>
    </row>
    <row r="626" spans="1:13" x14ac:dyDescent="0.3">
      <c r="A626" s="14">
        <v>615</v>
      </c>
      <c r="B626" s="14">
        <v>0.31829731475507234</v>
      </c>
      <c r="C626" s="14">
        <v>2.0213574466154682E-4</v>
      </c>
      <c r="D626" s="14">
        <v>1574.6710968316106</v>
      </c>
      <c r="E626" s="14">
        <v>2.1727490068101929E-4</v>
      </c>
      <c r="F626" s="14">
        <v>1464.9520665176315</v>
      </c>
      <c r="G626" s="14">
        <v>0.57086775572566428</v>
      </c>
      <c r="H626" s="14">
        <v>30.95809661887569</v>
      </c>
      <c r="I626" s="14">
        <v>30.958095031093738</v>
      </c>
      <c r="J626" s="14">
        <v>0.25257044097059195</v>
      </c>
      <c r="K626" s="14">
        <v>30.957894483131028</v>
      </c>
      <c r="L626" s="14">
        <v>30.957877756193056</v>
      </c>
      <c r="M626" s="14">
        <v>12</v>
      </c>
    </row>
    <row r="627" spans="1:13" x14ac:dyDescent="0.3">
      <c r="A627" s="14">
        <v>616</v>
      </c>
      <c r="B627" s="14">
        <v>0.19926098181520213</v>
      </c>
      <c r="C627" s="14">
        <v>1.7121427234201292E-5</v>
      </c>
      <c r="D627" s="14">
        <v>11638.105812648835</v>
      </c>
      <c r="E627" s="14">
        <v>3.3159481969136095E-5</v>
      </c>
      <c r="F627" s="14">
        <v>6009.1705292823508</v>
      </c>
      <c r="G627" s="14">
        <v>0.23860448922909278</v>
      </c>
      <c r="H627" s="14">
        <v>30.958099415760032</v>
      </c>
      <c r="I627" s="14">
        <v>30.958096752588062</v>
      </c>
      <c r="J627" s="14">
        <v>3.9343507413890658E-2</v>
      </c>
      <c r="K627" s="14">
        <v>30.958082294332797</v>
      </c>
      <c r="L627" s="14">
        <v>30.958063593106093</v>
      </c>
      <c r="M627" s="14">
        <v>14</v>
      </c>
    </row>
    <row r="628" spans="1:13" x14ac:dyDescent="0.3">
      <c r="A628" s="14">
        <v>617</v>
      </c>
      <c r="B628" s="14">
        <v>0.5457007277729724</v>
      </c>
      <c r="C628" s="14">
        <v>3.8952866596275726E-5</v>
      </c>
      <c r="D628" s="14">
        <v>14009.257224348843</v>
      </c>
      <c r="E628" s="14">
        <v>6.3032547362951163E-5</v>
      </c>
      <c r="F628" s="14">
        <v>8657.4436636797036</v>
      </c>
      <c r="G628" s="14">
        <v>0.64998274192578664</v>
      </c>
      <c r="H628" s="14">
        <v>30.958101551454209</v>
      </c>
      <c r="I628" s="14">
        <v>30.958100977793165</v>
      </c>
      <c r="J628" s="14">
        <v>0.10428201415281424</v>
      </c>
      <c r="K628" s="14">
        <v>30.958062598587613</v>
      </c>
      <c r="L628" s="14">
        <v>30.958037945245803</v>
      </c>
      <c r="M628" s="14">
        <v>9</v>
      </c>
    </row>
    <row r="629" spans="1:13" x14ac:dyDescent="0.3">
      <c r="A629" s="14">
        <v>618</v>
      </c>
      <c r="B629" s="14">
        <v>0.50115114545377903</v>
      </c>
      <c r="C629" s="14">
        <v>8.1347081074767402E-5</v>
      </c>
      <c r="D629" s="14">
        <v>6160.6530785433224</v>
      </c>
      <c r="E629" s="14">
        <v>9.3112248002569231E-5</v>
      </c>
      <c r="F629" s="14">
        <v>5382.2258210321679</v>
      </c>
      <c r="G629" s="14">
        <v>0.71422031994183588</v>
      </c>
      <c r="H629" s="14">
        <v>30.958089791011979</v>
      </c>
      <c r="I629" s="14">
        <v>30.958086463773345</v>
      </c>
      <c r="J629" s="14">
        <v>0.21306917448805687</v>
      </c>
      <c r="K629" s="14">
        <v>30.958008443930904</v>
      </c>
      <c r="L629" s="14">
        <v>30.957993351525342</v>
      </c>
      <c r="M629" s="14">
        <v>14</v>
      </c>
    </row>
    <row r="630" spans="1:13" x14ac:dyDescent="0.3">
      <c r="A630" s="14">
        <v>619</v>
      </c>
      <c r="B630" s="14">
        <v>0.44064455100804745</v>
      </c>
      <c r="C630" s="14">
        <v>2.1617825477093788E-4</v>
      </c>
      <c r="D630" s="14">
        <v>2038.3389230103355</v>
      </c>
      <c r="E630" s="14">
        <v>2.3266084624040673E-4</v>
      </c>
      <c r="F630" s="14">
        <v>1893.9351340308147</v>
      </c>
      <c r="G630" s="14">
        <v>0.95393270219962167</v>
      </c>
      <c r="H630" s="14">
        <v>30.958101028216667</v>
      </c>
      <c r="I630" s="14">
        <v>30.95810071005673</v>
      </c>
      <c r="J630" s="14">
        <v>0.51328815119157423</v>
      </c>
      <c r="K630" s="14">
        <v>30.957884849961896</v>
      </c>
      <c r="L630" s="14">
        <v>30.957868049210489</v>
      </c>
      <c r="M630" s="14">
        <v>10</v>
      </c>
    </row>
    <row r="631" spans="1:13" x14ac:dyDescent="0.3">
      <c r="A631" s="14">
        <v>620</v>
      </c>
      <c r="B631" s="14">
        <v>0.64213197721852655</v>
      </c>
      <c r="C631" s="14">
        <v>3.2506322554581857E-5</v>
      </c>
      <c r="D631" s="14">
        <v>19754.064032937378</v>
      </c>
      <c r="E631" s="14">
        <v>6.2189114007793478E-5</v>
      </c>
      <c r="F631" s="14">
        <v>10325.472350965721</v>
      </c>
      <c r="G631" s="14">
        <v>0.84535464416386086</v>
      </c>
      <c r="H631" s="14">
        <v>30.958099377101185</v>
      </c>
      <c r="I631" s="14">
        <v>30.958096268127566</v>
      </c>
      <c r="J631" s="14">
        <v>0.20322266694533428</v>
      </c>
      <c r="K631" s="14">
        <v>30.95806687077863</v>
      </c>
      <c r="L631" s="14">
        <v>30.958034079013558</v>
      </c>
      <c r="M631" s="14">
        <v>15</v>
      </c>
    </row>
    <row r="632" spans="1:13" x14ac:dyDescent="0.3">
      <c r="A632" s="14">
        <v>621</v>
      </c>
      <c r="B632" s="14">
        <v>0.28014780340791778</v>
      </c>
      <c r="C632" s="14">
        <v>9.957908221025491E-5</v>
      </c>
      <c r="D632" s="14">
        <v>2813.3197975896533</v>
      </c>
      <c r="E632" s="14">
        <v>1.1302730140272388E-4</v>
      </c>
      <c r="F632" s="14">
        <v>2478.5852615354615</v>
      </c>
      <c r="G632" s="14">
        <v>0.38486450426853741</v>
      </c>
      <c r="H632" s="14">
        <v>30.95809754812619</v>
      </c>
      <c r="I632" s="14">
        <v>30.958096797144613</v>
      </c>
      <c r="J632" s="14">
        <v>0.10471670086061963</v>
      </c>
      <c r="K632" s="14">
        <v>30.95799796904398</v>
      </c>
      <c r="L632" s="14">
        <v>30.95798376984321</v>
      </c>
      <c r="M632" s="14">
        <v>11</v>
      </c>
    </row>
    <row r="633" spans="1:13" x14ac:dyDescent="0.3">
      <c r="A633" s="14">
        <v>622</v>
      </c>
      <c r="B633" s="14">
        <v>0.34882799795112407</v>
      </c>
      <c r="C633" s="14">
        <v>1.4362323582872705E-5</v>
      </c>
      <c r="D633" s="14">
        <v>24287.713331226354</v>
      </c>
      <c r="E633" s="14">
        <v>3.3103945877854812E-5</v>
      </c>
      <c r="F633" s="14">
        <v>10537.354043479021</v>
      </c>
      <c r="G633" s="14">
        <v>0.37110667414368498</v>
      </c>
      <c r="H633" s="14">
        <v>30.958100677366541</v>
      </c>
      <c r="I633" s="14">
        <v>30.95809855062204</v>
      </c>
      <c r="J633" s="14">
        <v>2.2278676192560923E-2</v>
      </c>
      <c r="K633" s="14">
        <v>30.958086315042959</v>
      </c>
      <c r="L633" s="14">
        <v>30.958065446676162</v>
      </c>
      <c r="M633" s="14">
        <v>12</v>
      </c>
    </row>
    <row r="634" spans="1:13" x14ac:dyDescent="0.3">
      <c r="A634" s="14">
        <v>623</v>
      </c>
      <c r="B634" s="14">
        <v>0.5882737037729473</v>
      </c>
      <c r="C634" s="14">
        <v>2.9298597855387243E-5</v>
      </c>
      <c r="D634" s="14">
        <v>20078.56166621227</v>
      </c>
      <c r="E634" s="14">
        <v>5.79458304059699E-5</v>
      </c>
      <c r="F634" s="14">
        <v>10152.131734958104</v>
      </c>
      <c r="G634" s="14">
        <v>0.6402125607686211</v>
      </c>
      <c r="H634" s="14">
        <v>30.958101545917835</v>
      </c>
      <c r="I634" s="14">
        <v>30.958100768524346</v>
      </c>
      <c r="J634" s="14">
        <v>5.1938856995673854E-2</v>
      </c>
      <c r="K634" s="14">
        <v>30.958072247319979</v>
      </c>
      <c r="L634" s="14">
        <v>30.95804282269394</v>
      </c>
      <c r="M634" s="14">
        <v>13</v>
      </c>
    </row>
    <row r="635" spans="1:13" x14ac:dyDescent="0.3">
      <c r="A635" s="14">
        <v>624</v>
      </c>
      <c r="B635" s="14">
        <v>0.55260531957328385</v>
      </c>
      <c r="C635" s="14">
        <v>1.2777666381325048E-4</v>
      </c>
      <c r="D635" s="14">
        <v>4324.7749869329309</v>
      </c>
      <c r="E635" s="14">
        <v>1.4281277297456541E-4</v>
      </c>
      <c r="F635" s="14">
        <v>3869.4390429048071</v>
      </c>
      <c r="G635" s="14">
        <v>0.9174094112387654</v>
      </c>
      <c r="H635" s="14">
        <v>30.958097954464627</v>
      </c>
      <c r="I635" s="14">
        <v>30.958097477467046</v>
      </c>
      <c r="J635" s="14">
        <v>0.36480409166548161</v>
      </c>
      <c r="K635" s="14">
        <v>30.957970177800814</v>
      </c>
      <c r="L635" s="14">
        <v>30.957954664694071</v>
      </c>
      <c r="M635" s="14">
        <v>9</v>
      </c>
    </row>
    <row r="636" spans="1:13" x14ac:dyDescent="0.3">
      <c r="A636" s="14">
        <v>625</v>
      </c>
      <c r="B636" s="14">
        <v>0.35896003786566755</v>
      </c>
      <c r="C636" s="14">
        <v>2.5198767723111359E-5</v>
      </c>
      <c r="D636" s="14">
        <v>14245.142532761352</v>
      </c>
      <c r="E636" s="14">
        <v>3.9404552847344121E-5</v>
      </c>
      <c r="F636" s="14">
        <v>9109.6082033033799</v>
      </c>
      <c r="G636" s="14">
        <v>0.49329619715549866</v>
      </c>
      <c r="H636" s="14">
        <v>30.958099732640211</v>
      </c>
      <c r="I636" s="14">
        <v>30.958098640421451</v>
      </c>
      <c r="J636" s="14">
        <v>0.13433615928983114</v>
      </c>
      <c r="K636" s="14">
        <v>30.958074533872487</v>
      </c>
      <c r="L636" s="14">
        <v>30.958059235868603</v>
      </c>
      <c r="M636" s="14">
        <v>11</v>
      </c>
    </row>
    <row r="637" spans="1:13" x14ac:dyDescent="0.3">
      <c r="A637" s="14">
        <v>626</v>
      </c>
      <c r="B637" s="14">
        <v>0.65520089715679486</v>
      </c>
      <c r="C637" s="14">
        <v>2.5992345250358539E-5</v>
      </c>
      <c r="D637" s="14">
        <v>25207.455920036959</v>
      </c>
      <c r="E637" s="14">
        <v>4.0736128333662691E-5</v>
      </c>
      <c r="F637" s="14">
        <v>16084.024770104706</v>
      </c>
      <c r="G637" s="14">
        <v>0.76721304999649442</v>
      </c>
      <c r="H637" s="14">
        <v>30.958101079763466</v>
      </c>
      <c r="I637" s="14">
        <v>30.958100622762366</v>
      </c>
      <c r="J637" s="14">
        <v>0.11201215283969951</v>
      </c>
      <c r="K637" s="14">
        <v>30.958075087418216</v>
      </c>
      <c r="L637" s="14">
        <v>30.958059886634032</v>
      </c>
      <c r="M637" s="14">
        <v>12</v>
      </c>
    </row>
    <row r="638" spans="1:13" x14ac:dyDescent="0.3">
      <c r="A638" s="14">
        <v>627</v>
      </c>
      <c r="B638" s="14">
        <v>0.89290016800137373</v>
      </c>
      <c r="C638" s="14">
        <v>1.3021741576579871E-5</v>
      </c>
      <c r="D638" s="14">
        <v>68569.949937210462</v>
      </c>
      <c r="E638" s="14">
        <v>2.8961611473476978E-5</v>
      </c>
      <c r="F638" s="14">
        <v>30830.47256604112</v>
      </c>
      <c r="G638" s="14">
        <v>0.9531384697186398</v>
      </c>
      <c r="H638" s="14">
        <v>30.958101203469855</v>
      </c>
      <c r="I638" s="14">
        <v>30.958099644364435</v>
      </c>
      <c r="J638" s="14">
        <v>6.0238301717266039E-2</v>
      </c>
      <c r="K638" s="14">
        <v>30.958088181728279</v>
      </c>
      <c r="L638" s="14">
        <v>30.958070682752961</v>
      </c>
      <c r="M638" s="14">
        <v>11</v>
      </c>
    </row>
    <row r="639" spans="1:13" x14ac:dyDescent="0.3">
      <c r="A639" s="14">
        <v>628</v>
      </c>
      <c r="B639" s="14">
        <v>0.5964181865424647</v>
      </c>
      <c r="C639" s="14">
        <v>3.2174913819460471E-5</v>
      </c>
      <c r="D639" s="14">
        <v>18536.745424994144</v>
      </c>
      <c r="E639" s="14">
        <v>5.394340337261383E-5</v>
      </c>
      <c r="F639" s="14">
        <v>11056.369254692898</v>
      </c>
      <c r="G639" s="14">
        <v>0.79552293783615236</v>
      </c>
      <c r="H639" s="14">
        <v>30.958101395170274</v>
      </c>
      <c r="I639" s="14">
        <v>30.958100553801053</v>
      </c>
      <c r="J639" s="14">
        <v>0.1991047512936876</v>
      </c>
      <c r="K639" s="14">
        <v>30.958069220256455</v>
      </c>
      <c r="L639" s="14">
        <v>30.95804661039768</v>
      </c>
      <c r="M639" s="14">
        <v>13</v>
      </c>
    </row>
    <row r="640" spans="1:13" x14ac:dyDescent="0.3">
      <c r="A640" s="14">
        <v>629</v>
      </c>
      <c r="B640" s="14">
        <v>0.59278101293440888</v>
      </c>
      <c r="C640" s="14">
        <v>2.0336008606847145E-5</v>
      </c>
      <c r="D640" s="14">
        <v>29149.329369127983</v>
      </c>
      <c r="E640" s="14">
        <v>4.4691758684933802E-5</v>
      </c>
      <c r="F640" s="14">
        <v>13263.765633242878</v>
      </c>
      <c r="G640" s="14">
        <v>0.63369723465757377</v>
      </c>
      <c r="H640" s="14">
        <v>30.958100444048746</v>
      </c>
      <c r="I640" s="14">
        <v>30.958099021616636</v>
      </c>
      <c r="J640" s="14">
        <v>4.0916221723164947E-2</v>
      </c>
      <c r="K640" s="14">
        <v>30.958080108040139</v>
      </c>
      <c r="L640" s="14">
        <v>30.958054329857951</v>
      </c>
      <c r="M640" s="14">
        <v>11</v>
      </c>
    </row>
    <row r="641" spans="1:13" x14ac:dyDescent="0.3">
      <c r="A641" s="14">
        <v>630</v>
      </c>
      <c r="B641" s="14">
        <v>0.71818335951131052</v>
      </c>
      <c r="C641" s="14">
        <v>4.6055552033408276E-5</v>
      </c>
      <c r="D641" s="14">
        <v>15593.849770606308</v>
      </c>
      <c r="E641" s="14">
        <v>8.012209614705057E-5</v>
      </c>
      <c r="F641" s="14">
        <v>8963.6117132183645</v>
      </c>
      <c r="G641" s="14">
        <v>0.89059617558038173</v>
      </c>
      <c r="H641" s="14">
        <v>30.958100869694629</v>
      </c>
      <c r="I641" s="14">
        <v>30.958097264736537</v>
      </c>
      <c r="J641" s="14">
        <v>0.17241281606907122</v>
      </c>
      <c r="K641" s="14">
        <v>30.958054814142596</v>
      </c>
      <c r="L641" s="14">
        <v>30.95801714264039</v>
      </c>
      <c r="M641" s="14">
        <v>12</v>
      </c>
    </row>
    <row r="642" spans="1:13" x14ac:dyDescent="0.3">
      <c r="A642" s="14">
        <v>631</v>
      </c>
      <c r="B642" s="14">
        <v>0.43102715038117573</v>
      </c>
      <c r="C642" s="14">
        <v>9.6021229079923387E-5</v>
      </c>
      <c r="D642" s="14">
        <v>4488.8734971556105</v>
      </c>
      <c r="E642" s="14">
        <v>1.1431612456291873E-4</v>
      </c>
      <c r="F642" s="14">
        <v>3770.4842779545211</v>
      </c>
      <c r="G642" s="14">
        <v>0.61682093614192868</v>
      </c>
      <c r="H642" s="14">
        <v>30.958101242269009</v>
      </c>
      <c r="I642" s="14">
        <v>30.958100958451453</v>
      </c>
      <c r="J642" s="14">
        <v>0.18579378576075295</v>
      </c>
      <c r="K642" s="14">
        <v>30.958005221039929</v>
      </c>
      <c r="L642" s="14">
        <v>30.95798664232689</v>
      </c>
      <c r="M642" s="14">
        <v>15</v>
      </c>
    </row>
    <row r="643" spans="1:13" x14ac:dyDescent="0.3">
      <c r="A643" s="14">
        <v>632</v>
      </c>
      <c r="B643" s="14">
        <v>0.58665786963418176</v>
      </c>
      <c r="C643" s="14">
        <v>3.9775783278628296E-5</v>
      </c>
      <c r="D643" s="14">
        <v>14749.121733811226</v>
      </c>
      <c r="E643" s="14">
        <v>6.1397789842487782E-5</v>
      </c>
      <c r="F643" s="14">
        <v>9555.0323739537871</v>
      </c>
      <c r="G643" s="14">
        <v>0.70990762825040155</v>
      </c>
      <c r="H643" s="14">
        <v>30.958101232073069</v>
      </c>
      <c r="I643" s="14">
        <v>30.958100894822724</v>
      </c>
      <c r="J643" s="14">
        <v>0.12324975861621977</v>
      </c>
      <c r="K643" s="14">
        <v>30.958061456289791</v>
      </c>
      <c r="L643" s="14">
        <v>30.958039497032882</v>
      </c>
      <c r="M643" s="14">
        <v>15</v>
      </c>
    </row>
    <row r="644" spans="1:13" x14ac:dyDescent="0.3">
      <c r="A644" s="14">
        <v>633</v>
      </c>
      <c r="B644" s="14">
        <v>0.50901701204984706</v>
      </c>
      <c r="C644" s="14">
        <v>2.136172246665069E-4</v>
      </c>
      <c r="D644" s="14">
        <v>2382.8462936193928</v>
      </c>
      <c r="E644" s="14">
        <v>2.3335218775599742E-4</v>
      </c>
      <c r="F644" s="14">
        <v>2181.3252189522905</v>
      </c>
      <c r="G644" s="14">
        <v>0.77486596961775245</v>
      </c>
      <c r="H644" s="14">
        <v>30.958100521001668</v>
      </c>
      <c r="I644" s="14">
        <v>30.958097604878564</v>
      </c>
      <c r="J644" s="14">
        <v>0.26584895756790539</v>
      </c>
      <c r="K644" s="14">
        <v>30.957886903777002</v>
      </c>
      <c r="L644" s="14">
        <v>30.957864252690808</v>
      </c>
      <c r="M644" s="14">
        <v>10</v>
      </c>
    </row>
    <row r="645" spans="1:13" x14ac:dyDescent="0.3">
      <c r="A645" s="14">
        <v>634</v>
      </c>
      <c r="B645" s="14">
        <v>0.63873225205205342</v>
      </c>
      <c r="C645" s="14">
        <v>2.6412262116082275E-5</v>
      </c>
      <c r="D645" s="14">
        <v>24183.171030365211</v>
      </c>
      <c r="E645" s="14">
        <v>4.6924485086918821E-5</v>
      </c>
      <c r="F645" s="14">
        <v>13611.918188743501</v>
      </c>
      <c r="G645" s="14">
        <v>0.76773938412899412</v>
      </c>
      <c r="H645" s="14">
        <v>30.958100648766511</v>
      </c>
      <c r="I645" s="14">
        <v>30.958098433804285</v>
      </c>
      <c r="J645" s="14">
        <v>0.12900713207694067</v>
      </c>
      <c r="K645" s="14">
        <v>30.958074236504395</v>
      </c>
      <c r="L645" s="14">
        <v>30.958051509319198</v>
      </c>
      <c r="M645" s="14">
        <v>14</v>
      </c>
    </row>
    <row r="646" spans="1:13" x14ac:dyDescent="0.3">
      <c r="A646" s="14">
        <v>635</v>
      </c>
      <c r="B646" s="14">
        <v>0.42620256185389843</v>
      </c>
      <c r="C646" s="14">
        <v>9.6524042838552759E-6</v>
      </c>
      <c r="D646" s="14">
        <v>44155.067413283738</v>
      </c>
      <c r="E646" s="14">
        <v>2.0997346286577567E-5</v>
      </c>
      <c r="F646" s="14">
        <v>20297.925082387479</v>
      </c>
      <c r="G646" s="14">
        <v>0.44987599547277091</v>
      </c>
      <c r="H646" s="14">
        <v>30.958101398756646</v>
      </c>
      <c r="I646" s="14">
        <v>30.958101209503283</v>
      </c>
      <c r="J646" s="14">
        <v>2.3673433618872492E-2</v>
      </c>
      <c r="K646" s="14">
        <v>30.958091746352363</v>
      </c>
      <c r="L646" s="14">
        <v>30.958080212156997</v>
      </c>
      <c r="M646" s="14">
        <v>15</v>
      </c>
    </row>
    <row r="647" spans="1:13" x14ac:dyDescent="0.3">
      <c r="A647" s="14">
        <v>636</v>
      </c>
      <c r="B647" s="14">
        <v>0.49894474917712095</v>
      </c>
      <c r="C647" s="14">
        <v>8.3332095321964061E-5</v>
      </c>
      <c r="D647" s="14">
        <v>5987.4259401420904</v>
      </c>
      <c r="E647" s="14">
        <v>1.0792394298064778E-4</v>
      </c>
      <c r="F647" s="14">
        <v>4623.1145323015899</v>
      </c>
      <c r="G647" s="14">
        <v>0.70979818000088446</v>
      </c>
      <c r="H647" s="14">
        <v>30.958101537804964</v>
      </c>
      <c r="I647" s="14">
        <v>30.958101132729443</v>
      </c>
      <c r="J647" s="14">
        <v>0.21085343082376348</v>
      </c>
      <c r="K647" s="14">
        <v>30.958018205709642</v>
      </c>
      <c r="L647" s="14">
        <v>30.957993208786462</v>
      </c>
      <c r="M647" s="14">
        <v>13</v>
      </c>
    </row>
    <row r="648" spans="1:13" x14ac:dyDescent="0.3">
      <c r="A648" s="14">
        <v>637</v>
      </c>
      <c r="B648" s="14">
        <v>0.25803698695388499</v>
      </c>
      <c r="C648" s="14">
        <v>7.5771341705888062E-5</v>
      </c>
      <c r="D648" s="14">
        <v>3405.4694181802165</v>
      </c>
      <c r="E648" s="14">
        <v>9.6388838457528436E-5</v>
      </c>
      <c r="F648" s="14">
        <v>2677.0421874891995</v>
      </c>
      <c r="G648" s="14">
        <v>0.49915228185600274</v>
      </c>
      <c r="H648" s="14">
        <v>30.958100480375567</v>
      </c>
      <c r="I648" s="14">
        <v>30.958099960386832</v>
      </c>
      <c r="J648" s="14">
        <v>0.24111529490211778</v>
      </c>
      <c r="K648" s="14">
        <v>30.958024709033861</v>
      </c>
      <c r="L648" s="14">
        <v>30.958003571548375</v>
      </c>
      <c r="M648" s="14">
        <v>9</v>
      </c>
    </row>
    <row r="649" spans="1:13" x14ac:dyDescent="0.3">
      <c r="A649" s="14">
        <v>638</v>
      </c>
      <c r="B649" s="14">
        <v>0.66385709737852194</v>
      </c>
      <c r="C649" s="14">
        <v>1.5331022503062286E-4</v>
      </c>
      <c r="D649" s="14">
        <v>4330.1553907831012</v>
      </c>
      <c r="E649" s="14">
        <v>1.7155944340530027E-4</v>
      </c>
      <c r="F649" s="14">
        <v>3869.5456466957289</v>
      </c>
      <c r="G649" s="14">
        <v>0.82498590388350934</v>
      </c>
      <c r="H649" s="14">
        <v>30.958100378212702</v>
      </c>
      <c r="I649" s="14">
        <v>30.958100018254672</v>
      </c>
      <c r="J649" s="14">
        <v>0.16112880650498737</v>
      </c>
      <c r="K649" s="14">
        <v>30.957947067987671</v>
      </c>
      <c r="L649" s="14">
        <v>30.957928458811267</v>
      </c>
      <c r="M649" s="14">
        <v>14</v>
      </c>
    </row>
    <row r="650" spans="1:13" x14ac:dyDescent="0.3">
      <c r="A650" s="14">
        <v>639</v>
      </c>
      <c r="B650" s="14">
        <v>0.42009113045253832</v>
      </c>
      <c r="C650" s="14">
        <v>1.8531440101554608E-5</v>
      </c>
      <c r="D650" s="14">
        <v>22669.10332658371</v>
      </c>
      <c r="E650" s="14">
        <v>4.3136348804040381E-5</v>
      </c>
      <c r="F650" s="14">
        <v>9738.6807669078917</v>
      </c>
      <c r="G650" s="14">
        <v>0.45755555772960044</v>
      </c>
      <c r="H650" s="14">
        <v>30.958097923951911</v>
      </c>
      <c r="I650" s="14">
        <v>30.958091134294445</v>
      </c>
      <c r="J650" s="14">
        <v>3.7464427277062139E-2</v>
      </c>
      <c r="K650" s="14">
        <v>30.958079392511809</v>
      </c>
      <c r="L650" s="14">
        <v>30.958047997945641</v>
      </c>
      <c r="M650" s="14">
        <v>11</v>
      </c>
    </row>
    <row r="651" spans="1:13" x14ac:dyDescent="0.3">
      <c r="A651" s="14">
        <v>640</v>
      </c>
      <c r="B651" s="14">
        <v>0.79629205964669514</v>
      </c>
      <c r="C651" s="14">
        <v>2.314277012516186E-5</v>
      </c>
      <c r="D651" s="14">
        <v>34407.810963862561</v>
      </c>
      <c r="E651" s="14">
        <v>5.8932037052983333E-5</v>
      </c>
      <c r="F651" s="14">
        <v>13512.040300435945</v>
      </c>
      <c r="G651" s="14">
        <v>1.0240868438497204</v>
      </c>
      <c r="H651" s="14">
        <v>30.958101521530004</v>
      </c>
      <c r="I651" s="14">
        <v>30.958101111377584</v>
      </c>
      <c r="J651" s="14">
        <v>0.22779478420302526</v>
      </c>
      <c r="K651" s="14">
        <v>30.958078378759879</v>
      </c>
      <c r="L651" s="14">
        <v>30.958042179340531</v>
      </c>
      <c r="M651" s="14">
        <v>11</v>
      </c>
    </row>
    <row r="652" spans="1:13" x14ac:dyDescent="0.3">
      <c r="A652" s="14">
        <v>641</v>
      </c>
      <c r="B652" s="14">
        <v>0.55090346719896022</v>
      </c>
      <c r="C652" s="14">
        <v>4.058511404281262E-6</v>
      </c>
      <c r="D652" s="14">
        <v>135740.27822561259</v>
      </c>
      <c r="E652" s="14">
        <v>2.3551452464687372E-5</v>
      </c>
      <c r="F652" s="14">
        <v>23391.485855276867</v>
      </c>
      <c r="G652" s="14">
        <v>0.58498331555800043</v>
      </c>
      <c r="H652" s="14">
        <v>30.958100813087302</v>
      </c>
      <c r="I652" s="14">
        <v>30.958096070512891</v>
      </c>
      <c r="J652" s="14">
        <v>3.4079848359040189E-2</v>
      </c>
      <c r="K652" s="14">
        <v>30.958096754575898</v>
      </c>
      <c r="L652" s="14">
        <v>30.958072519060426</v>
      </c>
      <c r="M652" s="14">
        <v>9</v>
      </c>
    </row>
    <row r="653" spans="1:13" x14ac:dyDescent="0.3">
      <c r="A653" s="14">
        <v>642</v>
      </c>
      <c r="B653" s="14">
        <v>0.52493079922538022</v>
      </c>
      <c r="C653" s="14">
        <v>1.1110570451222657E-5</v>
      </c>
      <c r="D653" s="14">
        <v>47246.070895272031</v>
      </c>
      <c r="E653" s="14">
        <v>3.4141460293568571E-5</v>
      </c>
      <c r="F653" s="14">
        <v>15375.171264255048</v>
      </c>
      <c r="G653" s="14">
        <v>0.57041289550221541</v>
      </c>
      <c r="H653" s="14">
        <v>30.958101540578728</v>
      </c>
      <c r="I653" s="14">
        <v>30.958100427049981</v>
      </c>
      <c r="J653" s="14">
        <v>4.5482096276835193E-2</v>
      </c>
      <c r="K653" s="14">
        <v>30.958090430008276</v>
      </c>
      <c r="L653" s="14">
        <v>30.958066285589688</v>
      </c>
      <c r="M653" s="14">
        <v>13</v>
      </c>
    </row>
    <row r="654" spans="1:13" x14ac:dyDescent="0.3">
      <c r="A654" s="14">
        <v>643</v>
      </c>
      <c r="B654" s="14">
        <v>0.41190967181338423</v>
      </c>
      <c r="C654" s="14">
        <v>6.3306310472910354E-5</v>
      </c>
      <c r="D654" s="14">
        <v>6506.6131438768034</v>
      </c>
      <c r="E654" s="14">
        <v>7.0258713463999811E-5</v>
      </c>
      <c r="F654" s="14">
        <v>5862.7556854488166</v>
      </c>
      <c r="G654" s="14">
        <v>0.59471190835649557</v>
      </c>
      <c r="H654" s="14">
        <v>30.958101458280861</v>
      </c>
      <c r="I654" s="14">
        <v>30.958101093138279</v>
      </c>
      <c r="J654" s="14">
        <v>0.18280223654311134</v>
      </c>
      <c r="K654" s="14">
        <v>30.958038151970388</v>
      </c>
      <c r="L654" s="14">
        <v>30.958030834424815</v>
      </c>
      <c r="M654" s="14">
        <v>11</v>
      </c>
    </row>
    <row r="655" spans="1:13" x14ac:dyDescent="0.3">
      <c r="A655" s="14">
        <v>644</v>
      </c>
      <c r="B655" s="14">
        <v>0.59981971797362099</v>
      </c>
      <c r="C655" s="14">
        <v>5.1329444978875927E-5</v>
      </c>
      <c r="D655" s="14">
        <v>11685.684858281056</v>
      </c>
      <c r="E655" s="14">
        <v>8.4579148886376743E-5</v>
      </c>
      <c r="F655" s="14">
        <v>7091.8154872829964</v>
      </c>
      <c r="G655" s="14">
        <v>0.74956043245728721</v>
      </c>
      <c r="H655" s="14">
        <v>30.958101361543012</v>
      </c>
      <c r="I655" s="14">
        <v>30.958100639644101</v>
      </c>
      <c r="J655" s="14">
        <v>0.14974071448366619</v>
      </c>
      <c r="K655" s="14">
        <v>30.958050032098033</v>
      </c>
      <c r="L655" s="14">
        <v>30.958016060495215</v>
      </c>
      <c r="M655" s="14">
        <v>13</v>
      </c>
    </row>
    <row r="656" spans="1:13" x14ac:dyDescent="0.3">
      <c r="A656" s="14">
        <v>645</v>
      </c>
      <c r="B656" s="14">
        <v>0.61704767500313007</v>
      </c>
      <c r="C656" s="14">
        <v>1.6735008877333257E-5</v>
      </c>
      <c r="D656" s="14">
        <v>36871.667026056413</v>
      </c>
      <c r="E656" s="14">
        <v>3.5683613639037048E-5</v>
      </c>
      <c r="F656" s="14">
        <v>17292.1857423121</v>
      </c>
      <c r="G656" s="14">
        <v>0.65846293654377075</v>
      </c>
      <c r="H656" s="14">
        <v>30.958101510975322</v>
      </c>
      <c r="I656" s="14">
        <v>30.958100113569767</v>
      </c>
      <c r="J656" s="14">
        <v>4.141526154064068E-2</v>
      </c>
      <c r="K656" s="14">
        <v>30.958084775966444</v>
      </c>
      <c r="L656" s="14">
        <v>30.958064429956128</v>
      </c>
      <c r="M656" s="14">
        <v>14</v>
      </c>
    </row>
    <row r="657" spans="1:13" x14ac:dyDescent="0.3">
      <c r="A657" s="14">
        <v>646</v>
      </c>
      <c r="B657" s="14">
        <v>0.27834670673212936</v>
      </c>
      <c r="C657" s="14">
        <v>1.575054346076854E-4</v>
      </c>
      <c r="D657" s="14">
        <v>1767.2196989610895</v>
      </c>
      <c r="E657" s="14">
        <v>1.6737755065676652E-4</v>
      </c>
      <c r="F657" s="14">
        <v>1662.987094983378</v>
      </c>
      <c r="G657" s="14">
        <v>0.83299604380984826</v>
      </c>
      <c r="H657" s="14">
        <v>30.958101478178765</v>
      </c>
      <c r="I657" s="14">
        <v>30.958100805995894</v>
      </c>
      <c r="J657" s="14">
        <v>0.55464933707771891</v>
      </c>
      <c r="K657" s="14">
        <v>30.957943972744157</v>
      </c>
      <c r="L657" s="14">
        <v>30.957933428445237</v>
      </c>
      <c r="M657" s="14">
        <v>12</v>
      </c>
    </row>
    <row r="658" spans="1:13" x14ac:dyDescent="0.3">
      <c r="A658" s="14">
        <v>647</v>
      </c>
      <c r="B658" s="14">
        <v>0.38308604595579865</v>
      </c>
      <c r="C658" s="14">
        <v>2.7060964512770624E-5</v>
      </c>
      <c r="D658" s="14">
        <v>14156.407683658595</v>
      </c>
      <c r="E658" s="14">
        <v>6.3630163399608364E-5</v>
      </c>
      <c r="F658" s="14">
        <v>6020.5101714096254</v>
      </c>
      <c r="G658" s="14">
        <v>0.48401430562857117</v>
      </c>
      <c r="H658" s="14">
        <v>30.958101521037214</v>
      </c>
      <c r="I658" s="14">
        <v>30.958099523746558</v>
      </c>
      <c r="J658" s="14">
        <v>0.10092825967277252</v>
      </c>
      <c r="K658" s="14">
        <v>30.958074460072702</v>
      </c>
      <c r="L658" s="14">
        <v>30.958035893583158</v>
      </c>
      <c r="M658" s="14">
        <v>11</v>
      </c>
    </row>
    <row r="659" spans="1:13" x14ac:dyDescent="0.3">
      <c r="A659" s="14">
        <v>648</v>
      </c>
      <c r="B659" s="14">
        <v>0.55029662925112277</v>
      </c>
      <c r="C659" s="14">
        <v>1.9550957421898829E-5</v>
      </c>
      <c r="D659" s="14">
        <v>28146.786746859831</v>
      </c>
      <c r="E659" s="14">
        <v>4.4956821380282008E-5</v>
      </c>
      <c r="F659" s="14">
        <v>12240.559104396158</v>
      </c>
      <c r="G659" s="14">
        <v>0.61447770868386664</v>
      </c>
      <c r="H659" s="14">
        <v>30.9581015454077</v>
      </c>
      <c r="I659" s="14">
        <v>30.958100485156269</v>
      </c>
      <c r="J659" s="14">
        <v>6.4181079432743843E-2</v>
      </c>
      <c r="K659" s="14">
        <v>30.958081994450279</v>
      </c>
      <c r="L659" s="14">
        <v>30.958055528334889</v>
      </c>
      <c r="M659" s="14">
        <v>14</v>
      </c>
    </row>
    <row r="660" spans="1:13" x14ac:dyDescent="0.3">
      <c r="A660" s="14">
        <v>649</v>
      </c>
      <c r="B660" s="14">
        <v>0.65762614096679495</v>
      </c>
      <c r="C660" s="14">
        <v>2.0452756491096125E-5</v>
      </c>
      <c r="D660" s="14">
        <v>32153.423488569133</v>
      </c>
      <c r="E660" s="14">
        <v>3.5204011716416517E-5</v>
      </c>
      <c r="F660" s="14">
        <v>18680.431828743182</v>
      </c>
      <c r="G660" s="14">
        <v>0.71816375914277852</v>
      </c>
      <c r="H660" s="14">
        <v>30.958101327877817</v>
      </c>
      <c r="I660" s="14">
        <v>30.958101014348426</v>
      </c>
      <c r="J660" s="14">
        <v>6.0537618175983618E-2</v>
      </c>
      <c r="K660" s="14">
        <v>30.958080875121325</v>
      </c>
      <c r="L660" s="14">
        <v>30.958065810336709</v>
      </c>
      <c r="M660" s="14">
        <v>14</v>
      </c>
    </row>
    <row r="661" spans="1:13" x14ac:dyDescent="0.3">
      <c r="A661" s="14">
        <v>650</v>
      </c>
      <c r="B661" s="14">
        <v>0.31257163064654492</v>
      </c>
      <c r="C661" s="14">
        <v>1.6510270274849859E-4</v>
      </c>
      <c r="D661" s="14">
        <v>1893.1951169974859</v>
      </c>
      <c r="E661" s="14">
        <v>1.6999147500129652E-4</v>
      </c>
      <c r="F661" s="14">
        <v>1838.7488586951843</v>
      </c>
      <c r="G661" s="14">
        <v>0.5424836824137772</v>
      </c>
      <c r="H661" s="14">
        <v>30.958099195185497</v>
      </c>
      <c r="I661" s="14">
        <v>30.958098203830669</v>
      </c>
      <c r="J661" s="14">
        <v>0.22991205176723228</v>
      </c>
      <c r="K661" s="14">
        <v>30.957934092482748</v>
      </c>
      <c r="L661" s="14">
        <v>30.957928212355668</v>
      </c>
      <c r="M661" s="14">
        <v>15</v>
      </c>
    </row>
    <row r="662" spans="1:13" x14ac:dyDescent="0.3">
      <c r="A662" s="14">
        <v>651</v>
      </c>
      <c r="B662" s="14">
        <v>0.57529620456861641</v>
      </c>
      <c r="C662" s="14">
        <v>1.4132439350333925E-5</v>
      </c>
      <c r="D662" s="14">
        <v>40707.495026682933</v>
      </c>
      <c r="E662" s="14">
        <v>3.9452381969340422E-5</v>
      </c>
      <c r="F662" s="14">
        <v>14582.039812341258</v>
      </c>
      <c r="G662" s="14">
        <v>0.60219103405542129</v>
      </c>
      <c r="H662" s="14">
        <v>30.958098408032928</v>
      </c>
      <c r="I662" s="14">
        <v>30.958091811980154</v>
      </c>
      <c r="J662" s="14">
        <v>2.689482948680489E-2</v>
      </c>
      <c r="K662" s="14">
        <v>30.958084275593578</v>
      </c>
      <c r="L662" s="14">
        <v>30.958052359598184</v>
      </c>
      <c r="M662" s="14">
        <v>9</v>
      </c>
    </row>
    <row r="663" spans="1:13" x14ac:dyDescent="0.3">
      <c r="A663" s="14">
        <v>652</v>
      </c>
      <c r="B663" s="14">
        <v>0.34048954057635922</v>
      </c>
      <c r="C663" s="14">
        <v>6.5914327080918156E-6</v>
      </c>
      <c r="D663" s="14">
        <v>51656.378158630876</v>
      </c>
      <c r="E663" s="14">
        <v>2.1669825681414068E-5</v>
      </c>
      <c r="F663" s="14">
        <v>15712.610963381803</v>
      </c>
      <c r="G663" s="14">
        <v>0.3592427784189709</v>
      </c>
      <c r="H663" s="14">
        <v>30.958101511549657</v>
      </c>
      <c r="I663" s="14">
        <v>30.958100439579951</v>
      </c>
      <c r="J663" s="14">
        <v>1.8753237842611688E-2</v>
      </c>
      <c r="K663" s="14">
        <v>30.958094920116949</v>
      </c>
      <c r="L663" s="14">
        <v>30.95807876975427</v>
      </c>
      <c r="M663" s="14">
        <v>15</v>
      </c>
    </row>
    <row r="664" spans="1:13" x14ac:dyDescent="0.3">
      <c r="A664" s="14">
        <v>653</v>
      </c>
      <c r="B664" s="14">
        <v>0.52362994221428982</v>
      </c>
      <c r="C664" s="14">
        <v>2.6523976857717457E-4</v>
      </c>
      <c r="D664" s="14">
        <v>1974.1758372931683</v>
      </c>
      <c r="E664" s="14">
        <v>2.7275557797779015E-4</v>
      </c>
      <c r="F664" s="14">
        <v>1919.777208944661</v>
      </c>
      <c r="G664" s="14">
        <v>0.97459520866113125</v>
      </c>
      <c r="H664" s="14">
        <v>30.958083212698124</v>
      </c>
      <c r="I664" s="14">
        <v>30.958081829713421</v>
      </c>
      <c r="J664" s="14">
        <v>0.45096526644684143</v>
      </c>
      <c r="K664" s="14">
        <v>30.957817972929547</v>
      </c>
      <c r="L664" s="14">
        <v>30.957809074135444</v>
      </c>
      <c r="M664" s="14">
        <v>15</v>
      </c>
    </row>
    <row r="665" spans="1:13" x14ac:dyDescent="0.3">
      <c r="A665" s="14">
        <v>654</v>
      </c>
      <c r="B665" s="14">
        <v>0.26460115047399846</v>
      </c>
      <c r="C665" s="14">
        <v>6.4595430195879544E-6</v>
      </c>
      <c r="D665" s="14">
        <v>40962.828124469554</v>
      </c>
      <c r="E665" s="14">
        <v>1.3994575571274481E-5</v>
      </c>
      <c r="F665" s="14">
        <v>18907.408025801338</v>
      </c>
      <c r="G665" s="14">
        <v>0.28137823275594198</v>
      </c>
      <c r="H665" s="14">
        <v>30.958100370945807</v>
      </c>
      <c r="I665" s="14">
        <v>30.958098483219437</v>
      </c>
      <c r="J665" s="14">
        <v>1.6777082281943544E-2</v>
      </c>
      <c r="K665" s="14">
        <v>30.958093911402788</v>
      </c>
      <c r="L665" s="14">
        <v>30.958084488643866</v>
      </c>
      <c r="M665" s="14">
        <v>14</v>
      </c>
    </row>
    <row r="666" spans="1:13" x14ac:dyDescent="0.3">
      <c r="A666" s="14">
        <v>655</v>
      </c>
      <c r="B666" s="14">
        <v>0.37401783674017841</v>
      </c>
      <c r="C666" s="14">
        <v>9.2426687480440251E-5</v>
      </c>
      <c r="D666" s="14">
        <v>4046.6433119690646</v>
      </c>
      <c r="E666" s="14">
        <v>9.9227898591180974E-5</v>
      </c>
      <c r="F666" s="14">
        <v>3769.2810394094126</v>
      </c>
      <c r="G666" s="14">
        <v>0.59040012341994852</v>
      </c>
      <c r="H666" s="14">
        <v>30.958101436947448</v>
      </c>
      <c r="I666" s="14">
        <v>30.958100196299672</v>
      </c>
      <c r="J666" s="14">
        <v>0.21638228667977011</v>
      </c>
      <c r="K666" s="14">
        <v>30.958009010259968</v>
      </c>
      <c r="L666" s="14">
        <v>30.95800096840108</v>
      </c>
      <c r="M666" s="14">
        <v>9</v>
      </c>
    </row>
    <row r="667" spans="1:13" x14ac:dyDescent="0.3">
      <c r="A667" s="14">
        <v>656</v>
      </c>
      <c r="B667" s="14">
        <v>0.93196068564645806</v>
      </c>
      <c r="C667" s="14">
        <v>3.4191425157814592E-5</v>
      </c>
      <c r="D667" s="14">
        <v>27257.14653147339</v>
      </c>
      <c r="E667" s="14">
        <v>6.4021992578489062E-5</v>
      </c>
      <c r="F667" s="14">
        <v>14556.883472564556</v>
      </c>
      <c r="G667" s="14">
        <v>1.0207217501582289</v>
      </c>
      <c r="H667" s="14">
        <v>30.958099921659439</v>
      </c>
      <c r="I667" s="14">
        <v>30.95809721817654</v>
      </c>
      <c r="J667" s="14">
        <v>8.8761064511770765E-2</v>
      </c>
      <c r="K667" s="14">
        <v>30.958065730234281</v>
      </c>
      <c r="L667" s="14">
        <v>30.958033196183962</v>
      </c>
      <c r="M667" s="14">
        <v>13</v>
      </c>
    </row>
    <row r="668" spans="1:13" x14ac:dyDescent="0.3">
      <c r="A668" s="14">
        <v>657</v>
      </c>
      <c r="B668" s="14">
        <v>0.47989112979910831</v>
      </c>
      <c r="C668" s="14">
        <v>3.4713306192202253E-5</v>
      </c>
      <c r="D668" s="14">
        <v>13824.414394354277</v>
      </c>
      <c r="E668" s="14">
        <v>7.0407476140843528E-5</v>
      </c>
      <c r="F668" s="14">
        <v>6815.911549494137</v>
      </c>
      <c r="G668" s="14">
        <v>0.61660185831062675</v>
      </c>
      <c r="H668" s="14">
        <v>30.958101272710358</v>
      </c>
      <c r="I668" s="14">
        <v>30.95810049999459</v>
      </c>
      <c r="J668" s="14">
        <v>0.13671072851151841</v>
      </c>
      <c r="K668" s="14">
        <v>30.958066559404166</v>
      </c>
      <c r="L668" s="14">
        <v>30.958030092518449</v>
      </c>
      <c r="M668" s="14">
        <v>15</v>
      </c>
    </row>
    <row r="669" spans="1:13" x14ac:dyDescent="0.3">
      <c r="A669" s="14">
        <v>658</v>
      </c>
      <c r="B669" s="14">
        <v>0.34655523420266227</v>
      </c>
      <c r="C669" s="14">
        <v>4.646795634144496E-5</v>
      </c>
      <c r="D669" s="14">
        <v>7457.9400836177565</v>
      </c>
      <c r="E669" s="14">
        <v>5.6745966794835567E-5</v>
      </c>
      <c r="F669" s="14">
        <v>6107.1341943230782</v>
      </c>
      <c r="G669" s="14">
        <v>0.4579583409460371</v>
      </c>
      <c r="H669" s="14">
        <v>30.958100073310828</v>
      </c>
      <c r="I669" s="14">
        <v>30.958098898622985</v>
      </c>
      <c r="J669" s="14">
        <v>0.11140310674337482</v>
      </c>
      <c r="K669" s="14">
        <v>30.958053605354486</v>
      </c>
      <c r="L669" s="14">
        <v>30.958042152656191</v>
      </c>
      <c r="M669" s="14">
        <v>10</v>
      </c>
    </row>
    <row r="670" spans="1:13" x14ac:dyDescent="0.3">
      <c r="A670" s="14">
        <v>659</v>
      </c>
      <c r="B670" s="14">
        <v>0.42077586225711971</v>
      </c>
      <c r="C670" s="14">
        <v>6.1314083623642546E-6</v>
      </c>
      <c r="D670" s="14">
        <v>68626.298786412866</v>
      </c>
      <c r="E670" s="14">
        <v>2.6754640646942107E-5</v>
      </c>
      <c r="F670" s="14">
        <v>15727.210386031174</v>
      </c>
      <c r="G670" s="14">
        <v>0.43752426700520552</v>
      </c>
      <c r="H670" s="14">
        <v>30.958101065485543</v>
      </c>
      <c r="I670" s="14">
        <v>30.958099258459047</v>
      </c>
      <c r="J670" s="14">
        <v>1.674840474808582E-2</v>
      </c>
      <c r="K670" s="14">
        <v>30.958094934077181</v>
      </c>
      <c r="L670" s="14">
        <v>30.9580725038184</v>
      </c>
      <c r="M670" s="14">
        <v>13</v>
      </c>
    </row>
    <row r="671" spans="1:13" x14ac:dyDescent="0.3">
      <c r="A671" s="14">
        <v>660</v>
      </c>
      <c r="B671" s="14">
        <v>0.46107299295503767</v>
      </c>
      <c r="C671" s="14">
        <v>1.2022292278146551E-5</v>
      </c>
      <c r="D671" s="14">
        <v>38351.504212981934</v>
      </c>
      <c r="E671" s="14">
        <v>2.854329552803847E-5</v>
      </c>
      <c r="F671" s="14">
        <v>16153.460363472022</v>
      </c>
      <c r="G671" s="14">
        <v>0.51936259320841693</v>
      </c>
      <c r="H671" s="14">
        <v>30.958101144631833</v>
      </c>
      <c r="I671" s="14">
        <v>30.958099266811214</v>
      </c>
      <c r="J671" s="14">
        <v>5.8289600253379273E-2</v>
      </c>
      <c r="K671" s="14">
        <v>30.958089122339555</v>
      </c>
      <c r="L671" s="14">
        <v>30.958070723515686</v>
      </c>
      <c r="M671" s="14">
        <v>12</v>
      </c>
    </row>
    <row r="672" spans="1:13" x14ac:dyDescent="0.3">
      <c r="A672" s="14">
        <v>661</v>
      </c>
      <c r="B672" s="14">
        <v>0.20255847387698001</v>
      </c>
      <c r="C672" s="14">
        <v>5.9166772022223313E-5</v>
      </c>
      <c r="D672" s="14">
        <v>3423.5174060348959</v>
      </c>
      <c r="E672" s="14">
        <v>6.7632777483339623E-5</v>
      </c>
      <c r="F672" s="14">
        <v>2994.9749428356304</v>
      </c>
      <c r="G672" s="14">
        <v>0.60678454017172845</v>
      </c>
      <c r="H672" s="14">
        <v>30.958098948430919</v>
      </c>
      <c r="I672" s="14">
        <v>30.958097791165088</v>
      </c>
      <c r="J672" s="14">
        <v>0.40422606629474844</v>
      </c>
      <c r="K672" s="14">
        <v>30.958039781658897</v>
      </c>
      <c r="L672" s="14">
        <v>30.958030158387604</v>
      </c>
      <c r="M672" s="14">
        <v>12</v>
      </c>
    </row>
    <row r="673" spans="1:13" x14ac:dyDescent="0.3">
      <c r="A673" s="14">
        <v>662</v>
      </c>
      <c r="B673" s="14">
        <v>0.59194942518207772</v>
      </c>
      <c r="C673" s="14">
        <v>3.4893232221833159E-5</v>
      </c>
      <c r="D673" s="14">
        <v>16964.591340199408</v>
      </c>
      <c r="E673" s="14">
        <v>5.6106961029200875E-5</v>
      </c>
      <c r="F673" s="14">
        <v>10550.374041359993</v>
      </c>
      <c r="G673" s="14">
        <v>0.73997048275103494</v>
      </c>
      <c r="H673" s="14">
        <v>30.958095096793567</v>
      </c>
      <c r="I673" s="14">
        <v>30.958091159918691</v>
      </c>
      <c r="J673" s="14">
        <v>0.14802105756895723</v>
      </c>
      <c r="K673" s="14">
        <v>30.958060203561345</v>
      </c>
      <c r="L673" s="14">
        <v>30.958035052957662</v>
      </c>
      <c r="M673" s="14">
        <v>11</v>
      </c>
    </row>
    <row r="674" spans="1:13" x14ac:dyDescent="0.3">
      <c r="A674" s="14">
        <v>663</v>
      </c>
      <c r="B674" s="14">
        <v>0.56152218370553419</v>
      </c>
      <c r="C674" s="14">
        <v>5.2909110728194264E-6</v>
      </c>
      <c r="D674" s="14">
        <v>106129.58259498957</v>
      </c>
      <c r="E674" s="14">
        <v>2.2117028706247766E-5</v>
      </c>
      <c r="F674" s="14">
        <v>25388.680874068392</v>
      </c>
      <c r="G674" s="14">
        <v>0.63133513252744811</v>
      </c>
      <c r="H674" s="14">
        <v>30.958101526775906</v>
      </c>
      <c r="I674" s="14">
        <v>30.95810053319348</v>
      </c>
      <c r="J674" s="14">
        <v>6.9812948821913884E-2</v>
      </c>
      <c r="K674" s="14">
        <v>30.958096235864833</v>
      </c>
      <c r="L674" s="14">
        <v>30.958078416164774</v>
      </c>
      <c r="M674" s="14">
        <v>13</v>
      </c>
    </row>
    <row r="675" spans="1:13" x14ac:dyDescent="0.3">
      <c r="A675" s="14">
        <v>664</v>
      </c>
      <c r="B675" s="14">
        <v>0.5850894551258039</v>
      </c>
      <c r="C675" s="14">
        <v>2.0849870633554701E-5</v>
      </c>
      <c r="D675" s="14">
        <v>28062.018484862503</v>
      </c>
      <c r="E675" s="14">
        <v>5.2326762936871773E-5</v>
      </c>
      <c r="F675" s="14">
        <v>11181.457103159037</v>
      </c>
      <c r="G675" s="14">
        <v>0.7291568868819428</v>
      </c>
      <c r="H675" s="14">
        <v>30.958101399732559</v>
      </c>
      <c r="I675" s="14">
        <v>30.958098782705019</v>
      </c>
      <c r="J675" s="14">
        <v>0.1440674317561389</v>
      </c>
      <c r="K675" s="14">
        <v>30.958080549861926</v>
      </c>
      <c r="L675" s="14">
        <v>30.958046455942082</v>
      </c>
      <c r="M675" s="14">
        <v>9</v>
      </c>
    </row>
    <row r="676" spans="1:13" x14ac:dyDescent="0.3">
      <c r="A676" s="14">
        <v>665</v>
      </c>
      <c r="B676" s="14">
        <v>0.55434293560703807</v>
      </c>
      <c r="C676" s="14">
        <v>2.1012839205525324E-5</v>
      </c>
      <c r="D676" s="14">
        <v>26381.153455039701</v>
      </c>
      <c r="E676" s="14">
        <v>4.2474661590574669E-5</v>
      </c>
      <c r="F676" s="14">
        <v>13051.144255144563</v>
      </c>
      <c r="G676" s="14">
        <v>0.69275741572535998</v>
      </c>
      <c r="H676" s="14">
        <v>30.9581005294799</v>
      </c>
      <c r="I676" s="14">
        <v>30.95809862115258</v>
      </c>
      <c r="J676" s="14">
        <v>0.13841448011832189</v>
      </c>
      <c r="K676" s="14">
        <v>30.958079516640694</v>
      </c>
      <c r="L676" s="14">
        <v>30.958056146490989</v>
      </c>
      <c r="M676" s="14">
        <v>13</v>
      </c>
    </row>
    <row r="677" spans="1:13" x14ac:dyDescent="0.3">
      <c r="A677" s="14">
        <v>666</v>
      </c>
      <c r="B677" s="14">
        <v>0.58543015893709049</v>
      </c>
      <c r="C677" s="14">
        <v>4.6559571902804464E-5</v>
      </c>
      <c r="D677" s="14">
        <v>12573.787408509823</v>
      </c>
      <c r="E677" s="14">
        <v>6.3842454856910535E-5</v>
      </c>
      <c r="F677" s="14">
        <v>9169.9192997701812</v>
      </c>
      <c r="G677" s="14">
        <v>0.74188868431095134</v>
      </c>
      <c r="H677" s="14">
        <v>30.958099495647701</v>
      </c>
      <c r="I677" s="14">
        <v>30.958097018600881</v>
      </c>
      <c r="J677" s="14">
        <v>0.15645852537386087</v>
      </c>
      <c r="K677" s="14">
        <v>30.958052936075799</v>
      </c>
      <c r="L677" s="14">
        <v>30.958033176146024</v>
      </c>
      <c r="M677" s="14">
        <v>13</v>
      </c>
    </row>
    <row r="678" spans="1:13" x14ac:dyDescent="0.3">
      <c r="A678" s="14">
        <v>667</v>
      </c>
      <c r="B678" s="14">
        <v>0.7653776115992037</v>
      </c>
      <c r="C678" s="14">
        <v>2.1273098390395262E-5</v>
      </c>
      <c r="D678" s="14">
        <v>35978.661761126874</v>
      </c>
      <c r="E678" s="14">
        <v>5.4554409253171343E-5</v>
      </c>
      <c r="F678" s="14">
        <v>14029.619641692132</v>
      </c>
      <c r="G678" s="14">
        <v>0.85899060844059494</v>
      </c>
      <c r="H678" s="14">
        <v>30.95810144932053</v>
      </c>
      <c r="I678" s="14">
        <v>30.958100427886258</v>
      </c>
      <c r="J678" s="14">
        <v>9.3612996841391294E-2</v>
      </c>
      <c r="K678" s="14">
        <v>30.95808017622214</v>
      </c>
      <c r="L678" s="14">
        <v>30.958045873477005</v>
      </c>
      <c r="M678" s="14">
        <v>10</v>
      </c>
    </row>
    <row r="679" spans="1:13" x14ac:dyDescent="0.3">
      <c r="A679" s="14">
        <v>668</v>
      </c>
      <c r="B679" s="14">
        <v>0.33800791478798897</v>
      </c>
      <c r="C679" s="14">
        <v>6.1591059328236497E-6</v>
      </c>
      <c r="D679" s="14">
        <v>54879.379974071795</v>
      </c>
      <c r="E679" s="14">
        <v>1.7921452123204062E-5</v>
      </c>
      <c r="F679" s="14">
        <v>18860.520479272338</v>
      </c>
      <c r="G679" s="14">
        <v>0.35506193963420773</v>
      </c>
      <c r="H679" s="14">
        <v>30.958101544970972</v>
      </c>
      <c r="I679" s="14">
        <v>30.958101240023396</v>
      </c>
      <c r="J679" s="14">
        <v>1.7054024846218763E-2</v>
      </c>
      <c r="K679" s="14">
        <v>30.95809538586504</v>
      </c>
      <c r="L679" s="14">
        <v>30.958083318571273</v>
      </c>
      <c r="M679" s="14">
        <v>9</v>
      </c>
    </row>
    <row r="680" spans="1:13" x14ac:dyDescent="0.3">
      <c r="A680" s="14">
        <v>669</v>
      </c>
      <c r="B680" s="14">
        <v>0.17259292003408244</v>
      </c>
      <c r="C680" s="14">
        <v>6.1343166027683083E-5</v>
      </c>
      <c r="D680" s="14">
        <v>2813.5639421707433</v>
      </c>
      <c r="E680" s="14">
        <v>8.4903937828784137E-5</v>
      </c>
      <c r="F680" s="14">
        <v>2032.8022992541339</v>
      </c>
      <c r="G680" s="14">
        <v>0.90220564403449011</v>
      </c>
      <c r="H680" s="14">
        <v>30.958099351501271</v>
      </c>
      <c r="I680" s="14">
        <v>30.958098229103882</v>
      </c>
      <c r="J680" s="14">
        <v>0.72961272400040766</v>
      </c>
      <c r="K680" s="14">
        <v>30.958038008335244</v>
      </c>
      <c r="L680" s="14">
        <v>30.958013325166053</v>
      </c>
      <c r="M680" s="14">
        <v>13</v>
      </c>
    </row>
    <row r="681" spans="1:13" x14ac:dyDescent="0.3">
      <c r="A681" s="14">
        <v>670</v>
      </c>
      <c r="B681" s="14">
        <v>0.66510965981264336</v>
      </c>
      <c r="C681" s="14">
        <v>6.5104736570731347E-5</v>
      </c>
      <c r="D681" s="14">
        <v>10215.994946697192</v>
      </c>
      <c r="E681" s="14">
        <v>9.8593427832582847E-5</v>
      </c>
      <c r="F681" s="14">
        <v>6745.9837276581638</v>
      </c>
      <c r="G681" s="14">
        <v>0.76166186500054411</v>
      </c>
      <c r="H681" s="14">
        <v>30.958101203933889</v>
      </c>
      <c r="I681" s="14">
        <v>30.958099120603766</v>
      </c>
      <c r="J681" s="14">
        <v>9.6552205187900794E-2</v>
      </c>
      <c r="K681" s="14">
        <v>30.958036099197319</v>
      </c>
      <c r="L681" s="14">
        <v>30.958000527175933</v>
      </c>
      <c r="M681" s="14">
        <v>14</v>
      </c>
    </row>
    <row r="682" spans="1:13" x14ac:dyDescent="0.3">
      <c r="A682" s="14">
        <v>671</v>
      </c>
      <c r="B682" s="14">
        <v>0.85240026947550773</v>
      </c>
      <c r="C682" s="14">
        <v>2.9908492280128485E-5</v>
      </c>
      <c r="D682" s="14">
        <v>28500.275490043721</v>
      </c>
      <c r="E682" s="14">
        <v>5.826775714368182E-5</v>
      </c>
      <c r="F682" s="14">
        <v>14629.021456473489</v>
      </c>
      <c r="G682" s="14">
        <v>0.89354894903663318</v>
      </c>
      <c r="H682" s="14">
        <v>30.958098886457194</v>
      </c>
      <c r="I682" s="14">
        <v>30.958093957337791</v>
      </c>
      <c r="J682" s="14">
        <v>4.1148679561125404E-2</v>
      </c>
      <c r="K682" s="14">
        <v>30.958068977964913</v>
      </c>
      <c r="L682" s="14">
        <v>30.958035689580647</v>
      </c>
      <c r="M682" s="14">
        <v>15</v>
      </c>
    </row>
    <row r="683" spans="1:13" x14ac:dyDescent="0.3">
      <c r="A683" s="14">
        <v>672</v>
      </c>
      <c r="B683" s="14">
        <v>0.42143018600045473</v>
      </c>
      <c r="C683" s="14">
        <v>1.9248345992650684E-5</v>
      </c>
      <c r="D683" s="14">
        <v>21894.35841195723</v>
      </c>
      <c r="E683" s="14">
        <v>3.2144004165957085E-5</v>
      </c>
      <c r="F683" s="14">
        <v>13110.69348500088</v>
      </c>
      <c r="G683" s="14">
        <v>0.4741097645471391</v>
      </c>
      <c r="H683" s="14">
        <v>30.958101468895624</v>
      </c>
      <c r="I683" s="14">
        <v>30.958100661159829</v>
      </c>
      <c r="J683" s="14">
        <v>5.2679578546684369E-2</v>
      </c>
      <c r="K683" s="14">
        <v>30.958082220549631</v>
      </c>
      <c r="L683" s="14">
        <v>30.958068517155663</v>
      </c>
      <c r="M683" s="14">
        <v>14</v>
      </c>
    </row>
    <row r="684" spans="1:13" x14ac:dyDescent="0.3">
      <c r="A684" s="14">
        <v>673</v>
      </c>
      <c r="B684" s="14">
        <v>0.75042638399090889</v>
      </c>
      <c r="C684" s="14">
        <v>4.9436472952635313E-5</v>
      </c>
      <c r="D684" s="14">
        <v>15179.610096980146</v>
      </c>
      <c r="E684" s="14">
        <v>7.2628106689620608E-5</v>
      </c>
      <c r="F684" s="14">
        <v>10332.451418538127</v>
      </c>
      <c r="G684" s="14">
        <v>0.82486607708380577</v>
      </c>
      <c r="H684" s="14">
        <v>30.958100585295639</v>
      </c>
      <c r="I684" s="14">
        <v>30.958098696309133</v>
      </c>
      <c r="J684" s="14">
        <v>7.4439693092896872E-2</v>
      </c>
      <c r="K684" s="14">
        <v>30.958051148822687</v>
      </c>
      <c r="L684" s="14">
        <v>30.958026068202443</v>
      </c>
      <c r="M684" s="14">
        <v>12</v>
      </c>
    </row>
    <row r="685" spans="1:13" x14ac:dyDescent="0.3">
      <c r="A685" s="14">
        <v>674</v>
      </c>
      <c r="B685" s="14">
        <v>0.59549014744621087</v>
      </c>
      <c r="C685" s="14">
        <v>9.0216104208451497E-5</v>
      </c>
      <c r="D685" s="14">
        <v>6600.7078522287266</v>
      </c>
      <c r="E685" s="14">
        <v>1.0453811750821274E-4</v>
      </c>
      <c r="F685" s="14">
        <v>5696.3924895570071</v>
      </c>
      <c r="G685" s="14">
        <v>0.81832020134318206</v>
      </c>
      <c r="H685" s="14">
        <v>30.95809994927869</v>
      </c>
      <c r="I685" s="14">
        <v>30.958099247820591</v>
      </c>
      <c r="J685" s="14">
        <v>0.22283005389697114</v>
      </c>
      <c r="K685" s="14">
        <v>30.958009733174482</v>
      </c>
      <c r="L685" s="14">
        <v>30.957994709703083</v>
      </c>
      <c r="M685" s="14">
        <v>13</v>
      </c>
    </row>
    <row r="686" spans="1:13" x14ac:dyDescent="0.3">
      <c r="A686" s="14">
        <v>675</v>
      </c>
      <c r="B686" s="14">
        <v>0.39048168853307441</v>
      </c>
      <c r="C686" s="14">
        <v>1.3810947432801868E-5</v>
      </c>
      <c r="D686" s="14">
        <v>28273.345506019079</v>
      </c>
      <c r="E686" s="14">
        <v>3.5264027740566917E-5</v>
      </c>
      <c r="F686" s="14">
        <v>11073.088173755983</v>
      </c>
      <c r="G686" s="14">
        <v>0.44862424022567793</v>
      </c>
      <c r="H686" s="14">
        <v>30.958101461219854</v>
      </c>
      <c r="I686" s="14">
        <v>30.958100407098144</v>
      </c>
      <c r="J686" s="14">
        <v>5.8142551692603538E-2</v>
      </c>
      <c r="K686" s="14">
        <v>30.958087650272422</v>
      </c>
      <c r="L686" s="14">
        <v>30.958065143070403</v>
      </c>
      <c r="M686" s="14">
        <v>13</v>
      </c>
    </row>
    <row r="687" spans="1:13" x14ac:dyDescent="0.3">
      <c r="A687" s="14">
        <v>676</v>
      </c>
      <c r="B687" s="14">
        <v>0.68183380593047183</v>
      </c>
      <c r="C687" s="14">
        <v>1.850679569059821E-5</v>
      </c>
      <c r="D687" s="14">
        <v>36842.347931514465</v>
      </c>
      <c r="E687" s="14">
        <v>4.7380733651181117E-5</v>
      </c>
      <c r="F687" s="14">
        <v>14390.528668259127</v>
      </c>
      <c r="G687" s="14">
        <v>0.72646737581544996</v>
      </c>
      <c r="H687" s="14">
        <v>30.958100039447508</v>
      </c>
      <c r="I687" s="14">
        <v>30.958096237861167</v>
      </c>
      <c r="J687" s="14">
        <v>4.463356988497811E-2</v>
      </c>
      <c r="K687" s="14">
        <v>30.958081532651818</v>
      </c>
      <c r="L687" s="14">
        <v>30.958048857127515</v>
      </c>
      <c r="M687" s="14">
        <v>13</v>
      </c>
    </row>
    <row r="688" spans="1:13" x14ac:dyDescent="0.3">
      <c r="A688" s="14">
        <v>677</v>
      </c>
      <c r="B688" s="14">
        <v>0.53988094420806754</v>
      </c>
      <c r="C688" s="14">
        <v>2.7056485773613304E-5</v>
      </c>
      <c r="D688" s="14">
        <v>19953.845770117849</v>
      </c>
      <c r="E688" s="14">
        <v>4.3524509834469427E-5</v>
      </c>
      <c r="F688" s="14">
        <v>12404.067185622995</v>
      </c>
      <c r="G688" s="14">
        <v>0.63631336167548391</v>
      </c>
      <c r="H688" s="14">
        <v>30.958099075785043</v>
      </c>
      <c r="I688" s="14">
        <v>30.958096098643786</v>
      </c>
      <c r="J688" s="14">
        <v>9.6432417467416348E-2</v>
      </c>
      <c r="K688" s="14">
        <v>30.958072019299269</v>
      </c>
      <c r="L688" s="14">
        <v>30.958052574133951</v>
      </c>
      <c r="M688" s="14">
        <v>12</v>
      </c>
    </row>
    <row r="689" spans="1:13" x14ac:dyDescent="0.3">
      <c r="A689" s="14">
        <v>678</v>
      </c>
      <c r="B689" s="14">
        <v>0.37780281158343471</v>
      </c>
      <c r="C689" s="14">
        <v>8.5377203955516734E-5</v>
      </c>
      <c r="D689" s="14">
        <v>4425.1017142734927</v>
      </c>
      <c r="E689" s="14">
        <v>1.0268069380714451E-4</v>
      </c>
      <c r="F689" s="14">
        <v>3679.3948071000204</v>
      </c>
      <c r="G689" s="14">
        <v>0.48855999919746956</v>
      </c>
      <c r="H689" s="14">
        <v>30.958101468262306</v>
      </c>
      <c r="I689" s="14">
        <v>30.958100555519398</v>
      </c>
      <c r="J689" s="14">
        <v>0.11075718761403486</v>
      </c>
      <c r="K689" s="14">
        <v>30.958016091058351</v>
      </c>
      <c r="L689" s="14">
        <v>30.95799787482559</v>
      </c>
      <c r="M689" s="14">
        <v>13</v>
      </c>
    </row>
    <row r="690" spans="1:13" x14ac:dyDescent="0.3">
      <c r="A690" s="14">
        <v>679</v>
      </c>
      <c r="B690" s="14">
        <v>0.40967740810916753</v>
      </c>
      <c r="C690" s="14">
        <v>7.8357655187488717E-5</v>
      </c>
      <c r="D690" s="14">
        <v>5228.3010144818663</v>
      </c>
      <c r="E690" s="14">
        <v>9.4345333344847404E-5</v>
      </c>
      <c r="F690" s="14">
        <v>4342.3176704642146</v>
      </c>
      <c r="G690" s="14">
        <v>0.66147837180634073</v>
      </c>
      <c r="H690" s="14">
        <v>30.958101536697047</v>
      </c>
      <c r="I690" s="14">
        <v>30.958100228602728</v>
      </c>
      <c r="J690" s="14">
        <v>0.2518009636971732</v>
      </c>
      <c r="K690" s="14">
        <v>30.958023179041859</v>
      </c>
      <c r="L690" s="14">
        <v>30.958005883269383</v>
      </c>
      <c r="M690" s="14">
        <v>9</v>
      </c>
    </row>
    <row r="691" spans="1:13" x14ac:dyDescent="0.3">
      <c r="A691" s="14">
        <v>680</v>
      </c>
      <c r="B691" s="14">
        <v>0.68088675184758918</v>
      </c>
      <c r="C691" s="14">
        <v>1.7482704205207256E-5</v>
      </c>
      <c r="D691" s="14">
        <v>38946.306238184014</v>
      </c>
      <c r="E691" s="14">
        <v>4.5815423888484474E-5</v>
      </c>
      <c r="F691" s="14">
        <v>14861.518110252111</v>
      </c>
      <c r="G691" s="14">
        <v>0.73912670615913134</v>
      </c>
      <c r="H691" s="14">
        <v>30.958101551454213</v>
      </c>
      <c r="I691" s="14">
        <v>30.958100060882693</v>
      </c>
      <c r="J691" s="14">
        <v>5.8239954311542136E-2</v>
      </c>
      <c r="K691" s="14">
        <v>30.958084068750008</v>
      </c>
      <c r="L691" s="14">
        <v>30.958054245458804</v>
      </c>
      <c r="M691" s="14">
        <v>9</v>
      </c>
    </row>
    <row r="692" spans="1:13" x14ac:dyDescent="0.3">
      <c r="A692" s="14">
        <v>681</v>
      </c>
      <c r="B692" s="14">
        <v>0.67091309388575104</v>
      </c>
      <c r="C692" s="14">
        <v>1.2588965553561593E-5</v>
      </c>
      <c r="D692" s="14">
        <v>53293.742923614598</v>
      </c>
      <c r="E692" s="14">
        <v>5.349691066669493E-5</v>
      </c>
      <c r="F692" s="14">
        <v>12541.155844788531</v>
      </c>
      <c r="G692" s="14">
        <v>0.73892177000562143</v>
      </c>
      <c r="H692" s="14">
        <v>30.958101547347407</v>
      </c>
      <c r="I692" s="14">
        <v>30.958098168483694</v>
      </c>
      <c r="J692" s="14">
        <v>6.8008676119870395E-2</v>
      </c>
      <c r="K692" s="14">
        <v>30.958088958381854</v>
      </c>
      <c r="L692" s="14">
        <v>30.958044671573028</v>
      </c>
      <c r="M692" s="14">
        <v>9</v>
      </c>
    </row>
    <row r="693" spans="1:13" x14ac:dyDescent="0.3">
      <c r="A693" s="14">
        <v>682</v>
      </c>
      <c r="B693" s="14">
        <v>0.25729214247233012</v>
      </c>
      <c r="C693" s="14">
        <v>8.3007726153994099E-5</v>
      </c>
      <c r="D693" s="14">
        <v>3099.6167994652378</v>
      </c>
      <c r="E693" s="14">
        <v>9.3547561156981374E-5</v>
      </c>
      <c r="F693" s="14">
        <v>2750.3885648132541</v>
      </c>
      <c r="G693" s="14">
        <v>0.36871884782641451</v>
      </c>
      <c r="H693" s="14">
        <v>30.958101183526548</v>
      </c>
      <c r="I693" s="14">
        <v>30.958099764798586</v>
      </c>
      <c r="J693" s="14">
        <v>0.11142670535408436</v>
      </c>
      <c r="K693" s="14">
        <v>30.958018175800394</v>
      </c>
      <c r="L693" s="14">
        <v>30.958006217237429</v>
      </c>
      <c r="M693" s="14">
        <v>9</v>
      </c>
    </row>
    <row r="694" spans="1:13" x14ac:dyDescent="0.3">
      <c r="A694" s="14">
        <v>683</v>
      </c>
      <c r="B694" s="14">
        <v>0.53703723082582011</v>
      </c>
      <c r="C694" s="14">
        <v>2.0702395786287298E-4</v>
      </c>
      <c r="D694" s="14">
        <v>2594.0825224756786</v>
      </c>
      <c r="E694" s="14">
        <v>2.2322180963385563E-4</v>
      </c>
      <c r="F694" s="14">
        <v>2405.8456998745191</v>
      </c>
      <c r="G694" s="14">
        <v>1.0295741511777601</v>
      </c>
      <c r="H694" s="14">
        <v>30.958100633167454</v>
      </c>
      <c r="I694" s="14">
        <v>30.958099526383261</v>
      </c>
      <c r="J694" s="14">
        <v>0.49253692035193997</v>
      </c>
      <c r="K694" s="14">
        <v>30.957893609209592</v>
      </c>
      <c r="L694" s="14">
        <v>30.957876304573627</v>
      </c>
      <c r="M694" s="14">
        <v>12</v>
      </c>
    </row>
    <row r="695" spans="1:13" x14ac:dyDescent="0.3">
      <c r="A695" s="14">
        <v>684</v>
      </c>
      <c r="B695" s="14">
        <v>0.95468229614731592</v>
      </c>
      <c r="C695" s="14">
        <v>8.6972854553835077E-6</v>
      </c>
      <c r="D695" s="14">
        <v>109767.84665109271</v>
      </c>
      <c r="E695" s="14">
        <v>4.0491957634003484E-5</v>
      </c>
      <c r="F695" s="14">
        <v>23577.084239207365</v>
      </c>
      <c r="G695" s="14">
        <v>1.0089017825683255</v>
      </c>
      <c r="H695" s="14">
        <v>30.958101191223513</v>
      </c>
      <c r="I695" s="14">
        <v>30.958099277395142</v>
      </c>
      <c r="J695" s="14">
        <v>5.4219486421009551E-2</v>
      </c>
      <c r="K695" s="14">
        <v>30.958092493938057</v>
      </c>
      <c r="L695" s="14">
        <v>30.958058785437508</v>
      </c>
      <c r="M695" s="14">
        <v>12</v>
      </c>
    </row>
    <row r="696" spans="1:13" x14ac:dyDescent="0.3">
      <c r="A696" s="14">
        <v>685</v>
      </c>
      <c r="B696" s="14">
        <v>0.8138783299831075</v>
      </c>
      <c r="C696" s="14">
        <v>8.2612688849792448E-6</v>
      </c>
      <c r="D696" s="14">
        <v>98517.351428049093</v>
      </c>
      <c r="E696" s="14">
        <v>3.4489639890722401E-5</v>
      </c>
      <c r="F696" s="14">
        <v>23597.762474813142</v>
      </c>
      <c r="G696" s="14">
        <v>0.8504629139866926</v>
      </c>
      <c r="H696" s="14">
        <v>30.958101550504185</v>
      </c>
      <c r="I696" s="14">
        <v>30.958100215805011</v>
      </c>
      <c r="J696" s="14">
        <v>3.6584584003585094E-2</v>
      </c>
      <c r="K696" s="14">
        <v>30.9580932892353</v>
      </c>
      <c r="L696" s="14">
        <v>30.95806572616512</v>
      </c>
      <c r="M696" s="14">
        <v>15</v>
      </c>
    </row>
    <row r="697" spans="1:13" x14ac:dyDescent="0.3">
      <c r="A697" s="14">
        <v>686</v>
      </c>
      <c r="B697" s="14">
        <v>0.39419043655979086</v>
      </c>
      <c r="C697" s="14">
        <v>1.084041207874975E-4</v>
      </c>
      <c r="D697" s="14">
        <v>3636.3049088559533</v>
      </c>
      <c r="E697" s="14">
        <v>1.2229717611944579E-4</v>
      </c>
      <c r="F697" s="14">
        <v>3223.2178130980806</v>
      </c>
      <c r="G697" s="14">
        <v>0.62652478781985277</v>
      </c>
      <c r="H697" s="14">
        <v>30.958096528676634</v>
      </c>
      <c r="I697" s="14">
        <v>30.958094216476766</v>
      </c>
      <c r="J697" s="14">
        <v>0.23233435126006191</v>
      </c>
      <c r="K697" s="14">
        <v>30.957988124555847</v>
      </c>
      <c r="L697" s="14">
        <v>30.957971919300647</v>
      </c>
      <c r="M697" s="14">
        <v>9</v>
      </c>
    </row>
    <row r="698" spans="1:13" x14ac:dyDescent="0.3">
      <c r="A698" s="14">
        <v>687</v>
      </c>
      <c r="B698" s="14">
        <v>0.49319088160126923</v>
      </c>
      <c r="C698" s="14">
        <v>5.1149316814047552E-5</v>
      </c>
      <c r="D698" s="14">
        <v>9642.1792571395636</v>
      </c>
      <c r="E698" s="14">
        <v>6.9903783103342221E-5</v>
      </c>
      <c r="F698" s="14">
        <v>7055.2816987338256</v>
      </c>
      <c r="G698" s="14">
        <v>0.65094258190527943</v>
      </c>
      <c r="H698" s="14">
        <v>30.958101397841908</v>
      </c>
      <c r="I698" s="14">
        <v>30.958100332528172</v>
      </c>
      <c r="J698" s="14">
        <v>0.15775170030401023</v>
      </c>
      <c r="K698" s="14">
        <v>30.958050248525094</v>
      </c>
      <c r="L698" s="14">
        <v>30.958030428745069</v>
      </c>
      <c r="M698" s="14">
        <v>9</v>
      </c>
    </row>
    <row r="699" spans="1:13" x14ac:dyDescent="0.3">
      <c r="A699" s="14">
        <v>688</v>
      </c>
      <c r="B699" s="14">
        <v>0.43784743239954754</v>
      </c>
      <c r="C699" s="14">
        <v>4.7964126277832975E-5</v>
      </c>
      <c r="D699" s="14">
        <v>9128.6439757770058</v>
      </c>
      <c r="E699" s="14">
        <v>6.7228845793465553E-5</v>
      </c>
      <c r="F699" s="14">
        <v>6512.791157305649</v>
      </c>
      <c r="G699" s="14">
        <v>0.53905987925309085</v>
      </c>
      <c r="H699" s="14">
        <v>30.958100717854155</v>
      </c>
      <c r="I699" s="14">
        <v>30.958099816079397</v>
      </c>
      <c r="J699" s="14">
        <v>0.10121244685354329</v>
      </c>
      <c r="K699" s="14">
        <v>30.958052753727877</v>
      </c>
      <c r="L699" s="14">
        <v>30.958032587233603</v>
      </c>
      <c r="M699" s="14">
        <v>9</v>
      </c>
    </row>
    <row r="700" spans="1:13" x14ac:dyDescent="0.3">
      <c r="A700" s="14">
        <v>689</v>
      </c>
      <c r="B700" s="14">
        <v>0.79602983732607802</v>
      </c>
      <c r="C700" s="14">
        <v>8.6573119386201824E-5</v>
      </c>
      <c r="D700" s="14">
        <v>9194.8845434920368</v>
      </c>
      <c r="E700" s="14">
        <v>1.1903072924113189E-4</v>
      </c>
      <c r="F700" s="14">
        <v>6687.5994325253987</v>
      </c>
      <c r="G700" s="14">
        <v>0.93574708841580811</v>
      </c>
      <c r="H700" s="14">
        <v>30.958101550960009</v>
      </c>
      <c r="I700" s="14">
        <v>30.958101455875607</v>
      </c>
      <c r="J700" s="14">
        <v>0.1397172510897301</v>
      </c>
      <c r="K700" s="14">
        <v>30.958014977840623</v>
      </c>
      <c r="L700" s="14">
        <v>30.957982425146366</v>
      </c>
      <c r="M700" s="14">
        <v>11</v>
      </c>
    </row>
    <row r="701" spans="1:13" x14ac:dyDescent="0.3">
      <c r="A701" s="14">
        <v>690</v>
      </c>
      <c r="B701" s="14">
        <v>0.67185175714844148</v>
      </c>
      <c r="C701" s="14">
        <v>2.208811202208949E-5</v>
      </c>
      <c r="D701" s="14">
        <v>30416.893778723497</v>
      </c>
      <c r="E701" s="14">
        <v>3.8125712780612275E-5</v>
      </c>
      <c r="F701" s="14">
        <v>17622.011712003772</v>
      </c>
      <c r="G701" s="14">
        <v>0.72678532531905726</v>
      </c>
      <c r="H701" s="14">
        <v>30.958099653733626</v>
      </c>
      <c r="I701" s="14">
        <v>30.95809815450346</v>
      </c>
      <c r="J701" s="14">
        <v>5.4933568170615808E-2</v>
      </c>
      <c r="K701" s="14">
        <v>30.958077565621604</v>
      </c>
      <c r="L701" s="14">
        <v>30.95806002879068</v>
      </c>
      <c r="M701" s="14">
        <v>14</v>
      </c>
    </row>
    <row r="702" spans="1:13" x14ac:dyDescent="0.3">
      <c r="A702" s="14">
        <v>691</v>
      </c>
      <c r="B702" s="14">
        <v>0.59729330224960964</v>
      </c>
      <c r="C702" s="14">
        <v>1.5758484757100177E-5</v>
      </c>
      <c r="D702" s="14">
        <v>37902.965383806448</v>
      </c>
      <c r="E702" s="14">
        <v>3.7905918183867016E-5</v>
      </c>
      <c r="F702" s="14">
        <v>15757.25720064001</v>
      </c>
      <c r="G702" s="14">
        <v>0.6785359109136484</v>
      </c>
      <c r="H702" s="14">
        <v>30.95810131180983</v>
      </c>
      <c r="I702" s="14">
        <v>30.958100380133377</v>
      </c>
      <c r="J702" s="14">
        <v>8.124260866403879E-2</v>
      </c>
      <c r="K702" s="14">
        <v>30.958085553325073</v>
      </c>
      <c r="L702" s="14">
        <v>30.958062474215193</v>
      </c>
      <c r="M702" s="14">
        <v>15</v>
      </c>
    </row>
    <row r="703" spans="1:13" x14ac:dyDescent="0.3">
      <c r="A703" s="14">
        <v>692</v>
      </c>
      <c r="B703" s="14">
        <v>0.46857983409702531</v>
      </c>
      <c r="C703" s="14">
        <v>7.8670293142124592E-6</v>
      </c>
      <c r="D703" s="14">
        <v>59562.487361079977</v>
      </c>
      <c r="E703" s="14">
        <v>3.0219770479789076E-5</v>
      </c>
      <c r="F703" s="14">
        <v>15505.737689517218</v>
      </c>
      <c r="G703" s="14">
        <v>0.51039156573138711</v>
      </c>
      <c r="H703" s="14">
        <v>30.958101495624213</v>
      </c>
      <c r="I703" s="14">
        <v>30.958100527117288</v>
      </c>
      <c r="J703" s="14">
        <v>4.1811731634361811E-2</v>
      </c>
      <c r="K703" s="14">
        <v>30.958093628594899</v>
      </c>
      <c r="L703" s="14">
        <v>30.958070307346809</v>
      </c>
      <c r="M703" s="14">
        <v>9</v>
      </c>
    </row>
    <row r="704" spans="1:13" x14ac:dyDescent="0.3">
      <c r="A704" s="14">
        <v>693</v>
      </c>
      <c r="B704" s="14">
        <v>0.83498641398616791</v>
      </c>
      <c r="C704" s="14">
        <v>3.0970483781089797E-5</v>
      </c>
      <c r="D704" s="14">
        <v>26960.715883166169</v>
      </c>
      <c r="E704" s="14">
        <v>6.4579495191452452E-5</v>
      </c>
      <c r="F704" s="14">
        <v>12929.59029039738</v>
      </c>
      <c r="G704" s="14">
        <v>0.93300818780787897</v>
      </c>
      <c r="H704" s="14">
        <v>30.958101430049215</v>
      </c>
      <c r="I704" s="14">
        <v>30.958098684573844</v>
      </c>
      <c r="J704" s="14">
        <v>9.8021773821711025E-2</v>
      </c>
      <c r="K704" s="14">
        <v>30.958070459565434</v>
      </c>
      <c r="L704" s="14">
        <v>30.958034105078653</v>
      </c>
      <c r="M704" s="14">
        <v>15</v>
      </c>
    </row>
    <row r="705" spans="1:13" x14ac:dyDescent="0.3">
      <c r="A705" s="14">
        <v>694</v>
      </c>
      <c r="B705" s="14">
        <v>0.46074811094825163</v>
      </c>
      <c r="C705" s="14">
        <v>1.4602297495258654E-4</v>
      </c>
      <c r="D705" s="14">
        <v>3155.3124506459062</v>
      </c>
      <c r="E705" s="14">
        <v>1.6733226354759267E-4</v>
      </c>
      <c r="F705" s="14">
        <v>2753.4923700903955</v>
      </c>
      <c r="G705" s="14">
        <v>0.83387550564040791</v>
      </c>
      <c r="H705" s="14">
        <v>30.958101147800647</v>
      </c>
      <c r="I705" s="14">
        <v>30.958099664413865</v>
      </c>
      <c r="J705" s="14">
        <v>0.37312739469215628</v>
      </c>
      <c r="K705" s="14">
        <v>30.957955124825695</v>
      </c>
      <c r="L705" s="14">
        <v>30.957932332150317</v>
      </c>
      <c r="M705" s="14">
        <v>11</v>
      </c>
    </row>
    <row r="706" spans="1:13" x14ac:dyDescent="0.3">
      <c r="A706" s="14">
        <v>695</v>
      </c>
      <c r="B706" s="14">
        <v>0.39922329030287956</v>
      </c>
      <c r="C706" s="14">
        <v>3.5330243196796118E-5</v>
      </c>
      <c r="D706" s="14">
        <v>11299.760606773369</v>
      </c>
      <c r="E706" s="14">
        <v>5.0630866265777286E-5</v>
      </c>
      <c r="F706" s="14">
        <v>7884.9784676254876</v>
      </c>
      <c r="G706" s="14">
        <v>0.52487648504201267</v>
      </c>
      <c r="H706" s="14">
        <v>30.958089949884307</v>
      </c>
      <c r="I706" s="14">
        <v>30.958084320380948</v>
      </c>
      <c r="J706" s="14">
        <v>0.12565319473913311</v>
      </c>
      <c r="K706" s="14">
        <v>30.958054619641111</v>
      </c>
      <c r="L706" s="14">
        <v>30.958033689514682</v>
      </c>
      <c r="M706" s="14">
        <v>12</v>
      </c>
    </row>
    <row r="707" spans="1:13" x14ac:dyDescent="0.3">
      <c r="A707" s="14">
        <v>696</v>
      </c>
      <c r="B707" s="14">
        <v>0.21761959016026888</v>
      </c>
      <c r="C707" s="14">
        <v>4.7396276269040527E-5</v>
      </c>
      <c r="D707" s="14">
        <v>4591.4913003918628</v>
      </c>
      <c r="E707" s="14">
        <v>6.7675045446691229E-5</v>
      </c>
      <c r="F707" s="14">
        <v>3215.654880227476</v>
      </c>
      <c r="G707" s="14">
        <v>0.5588936654322566</v>
      </c>
      <c r="H707" s="14">
        <v>30.958100713597371</v>
      </c>
      <c r="I707" s="14">
        <v>30.958099907112139</v>
      </c>
      <c r="J707" s="14">
        <v>0.34127407527198772</v>
      </c>
      <c r="K707" s="14">
        <v>30.958053317321102</v>
      </c>
      <c r="L707" s="14">
        <v>30.958032232066692</v>
      </c>
      <c r="M707" s="14">
        <v>14</v>
      </c>
    </row>
    <row r="708" spans="1:13" x14ac:dyDescent="0.3">
      <c r="A708" s="14">
        <v>697</v>
      </c>
      <c r="B708" s="14">
        <v>0.22914545876034365</v>
      </c>
      <c r="C708" s="14">
        <v>4.4070900724335615E-5</v>
      </c>
      <c r="D708" s="14">
        <v>5199.4730081341695</v>
      </c>
      <c r="E708" s="14">
        <v>5.0836040038859664E-5</v>
      </c>
      <c r="F708" s="14">
        <v>4507.5395051459982</v>
      </c>
      <c r="G708" s="14">
        <v>0.29159729307303206</v>
      </c>
      <c r="H708" s="14">
        <v>30.958097580921208</v>
      </c>
      <c r="I708" s="14">
        <v>30.958096375652875</v>
      </c>
      <c r="J708" s="14">
        <v>6.2451834312688408E-2</v>
      </c>
      <c r="K708" s="14">
        <v>30.958053510020484</v>
      </c>
      <c r="L708" s="14">
        <v>30.958045539612836</v>
      </c>
      <c r="M708" s="14">
        <v>9</v>
      </c>
    </row>
    <row r="709" spans="1:13" x14ac:dyDescent="0.3">
      <c r="A709" s="14">
        <v>698</v>
      </c>
      <c r="B709" s="14">
        <v>0.52719221846380038</v>
      </c>
      <c r="C709" s="14">
        <v>3.6787502576629549E-5</v>
      </c>
      <c r="D709" s="14">
        <v>14330.74227764285</v>
      </c>
      <c r="E709" s="14">
        <v>5.4260373406833651E-5</v>
      </c>
      <c r="F709" s="14">
        <v>9715.9710736049747</v>
      </c>
      <c r="G709" s="14">
        <v>0.56724299865468097</v>
      </c>
      <c r="H709" s="14">
        <v>30.958101230874803</v>
      </c>
      <c r="I709" s="14">
        <v>30.958099558601418</v>
      </c>
      <c r="J709" s="14">
        <v>4.0050780190880611E-2</v>
      </c>
      <c r="K709" s="14">
        <v>30.958064443372226</v>
      </c>
      <c r="L709" s="14">
        <v>30.958045298228011</v>
      </c>
      <c r="M709" s="14">
        <v>13</v>
      </c>
    </row>
    <row r="710" spans="1:13" x14ac:dyDescent="0.3">
      <c r="A710" s="14">
        <v>699</v>
      </c>
      <c r="B710" s="14">
        <v>0.51520517085150108</v>
      </c>
      <c r="C710" s="14">
        <v>6.516306336834532E-5</v>
      </c>
      <c r="D710" s="14">
        <v>7906.398874147706</v>
      </c>
      <c r="E710" s="14">
        <v>9.0706898301817773E-5</v>
      </c>
      <c r="F710" s="14">
        <v>5679.8896279884848</v>
      </c>
      <c r="G710" s="14">
        <v>0.69082484372361042</v>
      </c>
      <c r="H710" s="14">
        <v>30.958097467424452</v>
      </c>
      <c r="I710" s="14">
        <v>30.958093479727737</v>
      </c>
      <c r="J710" s="14">
        <v>0.17561967287210939</v>
      </c>
      <c r="K710" s="14">
        <v>30.958032304361083</v>
      </c>
      <c r="L710" s="14">
        <v>30.958002772829435</v>
      </c>
      <c r="M710" s="14">
        <v>15</v>
      </c>
    </row>
    <row r="711" spans="1:13" x14ac:dyDescent="0.3">
      <c r="A711" s="14">
        <v>700</v>
      </c>
      <c r="B711" s="14">
        <v>0.76631458500502114</v>
      </c>
      <c r="C711" s="14">
        <v>3.6029083151589703E-5</v>
      </c>
      <c r="D711" s="14">
        <v>21269.333493189632</v>
      </c>
      <c r="E711" s="14">
        <v>5.9827808286172512E-5</v>
      </c>
      <c r="F711" s="14">
        <v>12808.668860800184</v>
      </c>
      <c r="G711" s="14">
        <v>0.88851891897922575</v>
      </c>
      <c r="H711" s="14">
        <v>30.958098938887662</v>
      </c>
      <c r="I711" s="14">
        <v>30.958096604751379</v>
      </c>
      <c r="J711" s="14">
        <v>0.12220433397420459</v>
      </c>
      <c r="K711" s="14">
        <v>30.958062909804511</v>
      </c>
      <c r="L711" s="14">
        <v>30.958036776943093</v>
      </c>
      <c r="M711" s="14">
        <v>11</v>
      </c>
    </row>
    <row r="712" spans="1:13" x14ac:dyDescent="0.3">
      <c r="A712" s="14">
        <v>701</v>
      </c>
      <c r="B712" s="14">
        <v>0.5256049731501834</v>
      </c>
      <c r="C712" s="14">
        <v>2.3520581613922786E-5</v>
      </c>
      <c r="D712" s="14">
        <v>22346.597621508496</v>
      </c>
      <c r="E712" s="14">
        <v>5.7572294092977927E-5</v>
      </c>
      <c r="F712" s="14">
        <v>9129.4776668329996</v>
      </c>
      <c r="G712" s="14">
        <v>0.56411207508647143</v>
      </c>
      <c r="H712" s="14">
        <v>30.958098802211829</v>
      </c>
      <c r="I712" s="14">
        <v>30.958094085283442</v>
      </c>
      <c r="J712" s="14">
        <v>3.8507101936288035E-2</v>
      </c>
      <c r="K712" s="14">
        <v>30.958075281630215</v>
      </c>
      <c r="L712" s="14">
        <v>30.958036512989349</v>
      </c>
      <c r="M712" s="14">
        <v>11</v>
      </c>
    </row>
    <row r="713" spans="1:13" x14ac:dyDescent="0.3">
      <c r="A713" s="14">
        <v>702</v>
      </c>
      <c r="B713" s="14">
        <v>0.47893180460962964</v>
      </c>
      <c r="C713" s="14">
        <v>6.7979440210308439E-6</v>
      </c>
      <c r="D713" s="14">
        <v>70452.449023992434</v>
      </c>
      <c r="E713" s="14">
        <v>1.8248870929937766E-5</v>
      </c>
      <c r="F713" s="14">
        <v>26244.462271029002</v>
      </c>
      <c r="G713" s="14">
        <v>0.49152733372597013</v>
      </c>
      <c r="H713" s="14">
        <v>30.958101543708381</v>
      </c>
      <c r="I713" s="14">
        <v>30.958100431745766</v>
      </c>
      <c r="J713" s="14">
        <v>1.2595529116340468E-2</v>
      </c>
      <c r="K713" s="14">
        <v>30.95809474576436</v>
      </c>
      <c r="L713" s="14">
        <v>30.958082182874836</v>
      </c>
      <c r="M713" s="14">
        <v>15</v>
      </c>
    </row>
    <row r="714" spans="1:13" x14ac:dyDescent="0.3">
      <c r="A714" s="14">
        <v>703</v>
      </c>
      <c r="B714" s="14">
        <v>0.67799566891516938</v>
      </c>
      <c r="C714" s="14">
        <v>5.6853698307435252E-5</v>
      </c>
      <c r="D714" s="14">
        <v>11925.269403740829</v>
      </c>
      <c r="E714" s="14">
        <v>8.289240697578748E-5</v>
      </c>
      <c r="F714" s="14">
        <v>8179.2252589939753</v>
      </c>
      <c r="G714" s="14">
        <v>0.77902452219130747</v>
      </c>
      <c r="H714" s="14">
        <v>30.958101042057553</v>
      </c>
      <c r="I714" s="14">
        <v>30.958097991074531</v>
      </c>
      <c r="J714" s="14">
        <v>0.10102885327613809</v>
      </c>
      <c r="K714" s="14">
        <v>30.958044188359246</v>
      </c>
      <c r="L714" s="14">
        <v>30.958015098667556</v>
      </c>
      <c r="M714" s="14">
        <v>13</v>
      </c>
    </row>
    <row r="715" spans="1:13" x14ac:dyDescent="0.3">
      <c r="A715" s="14">
        <v>704</v>
      </c>
      <c r="B715" s="14">
        <v>0.31574755843324764</v>
      </c>
      <c r="C715" s="14">
        <v>9.2290315620857655E-6</v>
      </c>
      <c r="D715" s="14">
        <v>34212.425898551002</v>
      </c>
      <c r="E715" s="14">
        <v>2.8433660666848937E-5</v>
      </c>
      <c r="F715" s="14">
        <v>11104.7100875541</v>
      </c>
      <c r="G715" s="14">
        <v>0.38203307659229102</v>
      </c>
      <c r="H715" s="14">
        <v>30.958101551396293</v>
      </c>
      <c r="I715" s="14">
        <v>30.958101371132582</v>
      </c>
      <c r="J715" s="14">
        <v>6.6285518159043405E-2</v>
      </c>
      <c r="K715" s="14">
        <v>30.958092322364731</v>
      </c>
      <c r="L715" s="14">
        <v>30.958072937471915</v>
      </c>
      <c r="M715" s="14">
        <v>12</v>
      </c>
    </row>
    <row r="716" spans="1:13" x14ac:dyDescent="0.3">
      <c r="A716" s="14">
        <v>705</v>
      </c>
      <c r="B716" s="14">
        <v>0.35031551032632258</v>
      </c>
      <c r="C716" s="14">
        <v>7.1531162671334414E-5</v>
      </c>
      <c r="D716" s="14">
        <v>4897.3831438463239</v>
      </c>
      <c r="E716" s="14">
        <v>8.3043713843267142E-5</v>
      </c>
      <c r="F716" s="14">
        <v>4218.4470577446937</v>
      </c>
      <c r="G716" s="14">
        <v>0.47736405691446698</v>
      </c>
      <c r="H716" s="14">
        <v>30.958101508143002</v>
      </c>
      <c r="I716" s="14">
        <v>30.958100692659759</v>
      </c>
      <c r="J716" s="14">
        <v>0.12704854658814438</v>
      </c>
      <c r="K716" s="14">
        <v>30.958029976980331</v>
      </c>
      <c r="L716" s="14">
        <v>30.958017648945916</v>
      </c>
      <c r="M716" s="14">
        <v>11</v>
      </c>
    </row>
    <row r="717" spans="1:13" x14ac:dyDescent="0.3">
      <c r="A717" s="14">
        <v>706</v>
      </c>
      <c r="B717" s="14">
        <v>0.5481111740060427</v>
      </c>
      <c r="C717" s="14">
        <v>9.6867555612334399E-6</v>
      </c>
      <c r="D717" s="14">
        <v>56583.566142578522</v>
      </c>
      <c r="E717" s="14">
        <v>2.2683488584362976E-5</v>
      </c>
      <c r="F717" s="14">
        <v>24163.442583690015</v>
      </c>
      <c r="G717" s="14">
        <v>0.58211495111393963</v>
      </c>
      <c r="H717" s="14">
        <v>30.958101494751372</v>
      </c>
      <c r="I717" s="14">
        <v>30.958100603560958</v>
      </c>
      <c r="J717" s="14">
        <v>3.4003777107896961E-2</v>
      </c>
      <c r="K717" s="14">
        <v>30.95809180799581</v>
      </c>
      <c r="L717" s="14">
        <v>30.958077920072373</v>
      </c>
      <c r="M717" s="14">
        <v>11</v>
      </c>
    </row>
    <row r="718" spans="1:13" x14ac:dyDescent="0.3">
      <c r="A718" s="14">
        <v>707</v>
      </c>
      <c r="B718" s="14">
        <v>0.61797390609751901</v>
      </c>
      <c r="C718" s="14">
        <v>3.4675444222642682E-5</v>
      </c>
      <c r="D718" s="14">
        <v>17821.657947037602</v>
      </c>
      <c r="E718" s="14">
        <v>5.3676878799535643E-5</v>
      </c>
      <c r="F718" s="14">
        <v>11512.850968951367</v>
      </c>
      <c r="G718" s="14">
        <v>0.68855247067878422</v>
      </c>
      <c r="H718" s="14">
        <v>30.958101551218302</v>
      </c>
      <c r="I718" s="14">
        <v>30.958100168604769</v>
      </c>
      <c r="J718" s="14">
        <v>7.0578564581265213E-2</v>
      </c>
      <c r="K718" s="14">
        <v>30.95806687577408</v>
      </c>
      <c r="L718" s="14">
        <v>30.95804649172597</v>
      </c>
      <c r="M718" s="14">
        <v>13</v>
      </c>
    </row>
    <row r="719" spans="1:13" x14ac:dyDescent="0.3">
      <c r="A719" s="14">
        <v>708</v>
      </c>
      <c r="B719" s="14">
        <v>0.52240017000741013</v>
      </c>
      <c r="C719" s="14">
        <v>3.7718964044586301E-5</v>
      </c>
      <c r="D719" s="14">
        <v>13849.801637974433</v>
      </c>
      <c r="E719" s="14">
        <v>6.8606350783539938E-5</v>
      </c>
      <c r="F719" s="14">
        <v>7614.4579042782225</v>
      </c>
      <c r="G719" s="14">
        <v>0.85926775569195701</v>
      </c>
      <c r="H719" s="14">
        <v>30.958101551453016</v>
      </c>
      <c r="I719" s="14">
        <v>30.958100955173339</v>
      </c>
      <c r="J719" s="14">
        <v>0.33686758568454694</v>
      </c>
      <c r="K719" s="14">
        <v>30.958063832488971</v>
      </c>
      <c r="L719" s="14">
        <v>30.958032348822556</v>
      </c>
      <c r="M719" s="14">
        <v>12</v>
      </c>
    </row>
    <row r="720" spans="1:13" x14ac:dyDescent="0.3">
      <c r="A720" s="14">
        <v>709</v>
      </c>
      <c r="B720" s="14">
        <v>0.41718657219588806</v>
      </c>
      <c r="C720" s="14">
        <v>1.7967699260879044E-5</v>
      </c>
      <c r="D720" s="14">
        <v>23218.697404637984</v>
      </c>
      <c r="E720" s="14">
        <v>4.5860152138033072E-5</v>
      </c>
      <c r="F720" s="14">
        <v>9096.9295291522576</v>
      </c>
      <c r="G720" s="14">
        <v>0.48961512551889819</v>
      </c>
      <c r="H720" s="14">
        <v>30.95810102608846</v>
      </c>
      <c r="I720" s="14">
        <v>30.95809937085221</v>
      </c>
      <c r="J720" s="14">
        <v>7.2428553323010098E-2</v>
      </c>
      <c r="K720" s="14">
        <v>30.958083058389199</v>
      </c>
      <c r="L720" s="14">
        <v>30.958053510700072</v>
      </c>
      <c r="M720" s="14">
        <v>11</v>
      </c>
    </row>
    <row r="721" spans="1:13" x14ac:dyDescent="0.3">
      <c r="A721" s="14">
        <v>710</v>
      </c>
      <c r="B721" s="14">
        <v>0.64113982326156316</v>
      </c>
      <c r="C721" s="14">
        <v>3.9497377301245251E-5</v>
      </c>
      <c r="D721" s="14">
        <v>16232.465724790027</v>
      </c>
      <c r="E721" s="14">
        <v>5.8492954895683624E-5</v>
      </c>
      <c r="F721" s="14">
        <v>10960.975119225424</v>
      </c>
      <c r="G721" s="14">
        <v>0.72136845599282295</v>
      </c>
      <c r="H721" s="14">
        <v>30.958101013575948</v>
      </c>
      <c r="I721" s="14">
        <v>30.958100535535348</v>
      </c>
      <c r="J721" s="14">
        <v>8.0228632731259783E-2</v>
      </c>
      <c r="K721" s="14">
        <v>30.958061516198647</v>
      </c>
      <c r="L721" s="14">
        <v>30.958042042580452</v>
      </c>
      <c r="M721" s="14">
        <v>10</v>
      </c>
    </row>
    <row r="722" spans="1:13" x14ac:dyDescent="0.3">
      <c r="A722" s="14">
        <v>711</v>
      </c>
      <c r="B722" s="14">
        <v>0.50187196275718504</v>
      </c>
      <c r="C722" s="14">
        <v>4.0475633600323135E-5</v>
      </c>
      <c r="D722" s="14">
        <v>12399.360259876905</v>
      </c>
      <c r="E722" s="14">
        <v>6.2939512840642919E-5</v>
      </c>
      <c r="F722" s="14">
        <v>7973.8774595837576</v>
      </c>
      <c r="G722" s="14">
        <v>0.59611452227335049</v>
      </c>
      <c r="H722" s="14">
        <v>30.95810135470807</v>
      </c>
      <c r="I722" s="14">
        <v>30.958100260419542</v>
      </c>
      <c r="J722" s="14">
        <v>9.4242559516165503E-2</v>
      </c>
      <c r="K722" s="14">
        <v>30.95806087907447</v>
      </c>
      <c r="L722" s="14">
        <v>30.958037320906701</v>
      </c>
      <c r="M722" s="14">
        <v>13</v>
      </c>
    </row>
    <row r="723" spans="1:13" x14ac:dyDescent="0.3">
      <c r="A723" s="14">
        <v>712</v>
      </c>
      <c r="B723" s="14">
        <v>0.40081509293951134</v>
      </c>
      <c r="C723" s="14">
        <v>5.755083163450081E-5</v>
      </c>
      <c r="D723" s="14">
        <v>6964.5404168100513</v>
      </c>
      <c r="E723" s="14">
        <v>7.6775753171887118E-5</v>
      </c>
      <c r="F723" s="14">
        <v>5220.5947370149315</v>
      </c>
      <c r="G723" s="14">
        <v>0.52414743695540766</v>
      </c>
      <c r="H723" s="14">
        <v>30.958099987816215</v>
      </c>
      <c r="I723" s="14">
        <v>30.958097984511863</v>
      </c>
      <c r="J723" s="14">
        <v>0.12333234401589635</v>
      </c>
      <c r="K723" s="14">
        <v>30.958042436984581</v>
      </c>
      <c r="L723" s="14">
        <v>30.958021208758691</v>
      </c>
      <c r="M723" s="14">
        <v>14</v>
      </c>
    </row>
    <row r="724" spans="1:13" x14ac:dyDescent="0.3">
      <c r="A724" s="14">
        <v>713</v>
      </c>
      <c r="B724" s="14">
        <v>7.979327123604768E-2</v>
      </c>
      <c r="C724" s="14">
        <v>4.3225974650340504E-5</v>
      </c>
      <c r="D724" s="14">
        <v>1845.9565546295698</v>
      </c>
      <c r="E724" s="14">
        <v>5.8939451005102228E-5</v>
      </c>
      <c r="F724" s="14">
        <v>1353.8176870554867</v>
      </c>
      <c r="G724" s="14">
        <v>0.4446572816603544</v>
      </c>
      <c r="H724" s="14">
        <v>30.95810152398785</v>
      </c>
      <c r="I724" s="14">
        <v>30.958100481755402</v>
      </c>
      <c r="J724" s="14">
        <v>0.36486401042430672</v>
      </c>
      <c r="K724" s="14">
        <v>30.958058298013199</v>
      </c>
      <c r="L724" s="14">
        <v>30.958041542304397</v>
      </c>
      <c r="M724" s="14">
        <v>14</v>
      </c>
    </row>
    <row r="725" spans="1:13" x14ac:dyDescent="0.3">
      <c r="A725" s="14">
        <v>714</v>
      </c>
      <c r="B725" s="14">
        <v>7.8838922694662972E-2</v>
      </c>
      <c r="C725" s="14">
        <v>4.6664000400653549E-5</v>
      </c>
      <c r="D725" s="14">
        <v>1689.502014781373</v>
      </c>
      <c r="E725" s="14">
        <v>5.3874747930393596E-5</v>
      </c>
      <c r="F725" s="14">
        <v>1463.374321426491</v>
      </c>
      <c r="G725" s="14">
        <v>0.42420342168152958</v>
      </c>
      <c r="H725" s="14">
        <v>30.958101534857644</v>
      </c>
      <c r="I725" s="14">
        <v>30.958101432112962</v>
      </c>
      <c r="J725" s="14">
        <v>0.34536449898686661</v>
      </c>
      <c r="K725" s="14">
        <v>30.958054870857243</v>
      </c>
      <c r="L725" s="14">
        <v>30.958047557365031</v>
      </c>
      <c r="M725" s="14">
        <v>10</v>
      </c>
    </row>
    <row r="726" spans="1:13" x14ac:dyDescent="0.3">
      <c r="A726" s="14">
        <v>715</v>
      </c>
      <c r="B726" s="14">
        <v>0.37981447348212638</v>
      </c>
      <c r="C726" s="14">
        <v>1.202113473439681E-4</v>
      </c>
      <c r="D726" s="14">
        <v>3159.5559144291092</v>
      </c>
      <c r="E726" s="14">
        <v>1.2952793775156124E-4</v>
      </c>
      <c r="F726" s="14">
        <v>2932.2976963519855</v>
      </c>
      <c r="G726" s="14">
        <v>0.47883112362185437</v>
      </c>
      <c r="H726" s="14">
        <v>30.958099858329909</v>
      </c>
      <c r="I726" s="14">
        <v>30.958097991101447</v>
      </c>
      <c r="J726" s="14">
        <v>9.9016650139727991E-2</v>
      </c>
      <c r="K726" s="14">
        <v>30.957979646982565</v>
      </c>
      <c r="L726" s="14">
        <v>30.957968463163695</v>
      </c>
      <c r="M726" s="14">
        <v>10</v>
      </c>
    </row>
    <row r="727" spans="1:13" x14ac:dyDescent="0.3">
      <c r="A727" s="14">
        <v>716</v>
      </c>
      <c r="B727" s="14">
        <v>0.37170853822165945</v>
      </c>
      <c r="C727" s="14">
        <v>1.6237403518459814E-4</v>
      </c>
      <c r="D727" s="14">
        <v>2289.2116821453333</v>
      </c>
      <c r="E727" s="14">
        <v>1.7185782398954075E-4</v>
      </c>
      <c r="F727" s="14">
        <v>2162.8840025594736</v>
      </c>
      <c r="G727" s="14">
        <v>0.7261456762446632</v>
      </c>
      <c r="H727" s="14">
        <v>30.958092093681913</v>
      </c>
      <c r="I727" s="14">
        <v>30.958090720140845</v>
      </c>
      <c r="J727" s="14">
        <v>0.35443713802300375</v>
      </c>
      <c r="K727" s="14">
        <v>30.957929719646728</v>
      </c>
      <c r="L727" s="14">
        <v>30.957918862316856</v>
      </c>
      <c r="M727" s="14">
        <v>13</v>
      </c>
    </row>
    <row r="728" spans="1:13" x14ac:dyDescent="0.3">
      <c r="A728" s="14">
        <v>717</v>
      </c>
      <c r="B728" s="14">
        <v>0.44498936967049635</v>
      </c>
      <c r="C728" s="14">
        <v>6.1978959106312459E-5</v>
      </c>
      <c r="D728" s="14">
        <v>7179.6844620640759</v>
      </c>
      <c r="E728" s="14">
        <v>8.2768156474344323E-5</v>
      </c>
      <c r="F728" s="14">
        <v>5376.3354002989045</v>
      </c>
      <c r="G728" s="14">
        <v>0.63657124187629111</v>
      </c>
      <c r="H728" s="14">
        <v>30.958101547912722</v>
      </c>
      <c r="I728" s="14">
        <v>30.958100732872222</v>
      </c>
      <c r="J728" s="14">
        <v>0.19158187220579476</v>
      </c>
      <c r="K728" s="14">
        <v>30.958039568953616</v>
      </c>
      <c r="L728" s="14">
        <v>30.958017964715747</v>
      </c>
      <c r="M728" s="14">
        <v>13</v>
      </c>
    </row>
    <row r="729" spans="1:13" x14ac:dyDescent="0.3">
      <c r="A729" s="14">
        <v>718</v>
      </c>
      <c r="B729" s="14">
        <v>0.70515253057902449</v>
      </c>
      <c r="C729" s="14">
        <v>7.833220384512174E-5</v>
      </c>
      <c r="D729" s="14">
        <v>9002.0769998154337</v>
      </c>
      <c r="E729" s="14">
        <v>9.5597478402709157E-5</v>
      </c>
      <c r="F729" s="14">
        <v>7376.2670560047018</v>
      </c>
      <c r="G729" s="14">
        <v>0.81786333902662856</v>
      </c>
      <c r="H729" s="14">
        <v>30.958101202817478</v>
      </c>
      <c r="I729" s="14">
        <v>30.95809978456839</v>
      </c>
      <c r="J729" s="14">
        <v>0.11271080844760403</v>
      </c>
      <c r="K729" s="14">
        <v>30.958022870613632</v>
      </c>
      <c r="L729" s="14">
        <v>30.958004187089987</v>
      </c>
      <c r="M729" s="14">
        <v>13</v>
      </c>
    </row>
    <row r="730" spans="1:13" x14ac:dyDescent="0.3">
      <c r="A730" s="14">
        <v>719</v>
      </c>
      <c r="B730" s="14">
        <v>0.42990694743328306</v>
      </c>
      <c r="C730" s="14">
        <v>2.9003563394525145E-5</v>
      </c>
      <c r="D730" s="14">
        <v>14822.55616613076</v>
      </c>
      <c r="E730" s="14">
        <v>4.8398522984882675E-5</v>
      </c>
      <c r="F730" s="14">
        <v>8882.6460172671977</v>
      </c>
      <c r="G730" s="14">
        <v>0.54568752506018559</v>
      </c>
      <c r="H730" s="14">
        <v>30.958101540616443</v>
      </c>
      <c r="I730" s="14">
        <v>30.958100204069495</v>
      </c>
      <c r="J730" s="14">
        <v>0.1157805776269025</v>
      </c>
      <c r="K730" s="14">
        <v>30.958072537053049</v>
      </c>
      <c r="L730" s="14">
        <v>30.958051805546511</v>
      </c>
      <c r="M730" s="14">
        <v>15</v>
      </c>
    </row>
    <row r="731" spans="1:13" x14ac:dyDescent="0.3">
      <c r="A731" s="14">
        <v>720</v>
      </c>
      <c r="B731" s="14">
        <v>0.57020768462507909</v>
      </c>
      <c r="C731" s="14">
        <v>1.096561287994291E-5</v>
      </c>
      <c r="D731" s="14">
        <v>51999.618340351968</v>
      </c>
      <c r="E731" s="14">
        <v>3.9075278852607198E-5</v>
      </c>
      <c r="F731" s="14">
        <v>14592.542941943291</v>
      </c>
      <c r="G731" s="14">
        <v>0.6150418811226227</v>
      </c>
      <c r="H731" s="14">
        <v>30.958101532649636</v>
      </c>
      <c r="I731" s="14">
        <v>30.95809957778653</v>
      </c>
      <c r="J731" s="14">
        <v>4.4834196497543569E-2</v>
      </c>
      <c r="K731" s="14">
        <v>30.958090567036756</v>
      </c>
      <c r="L731" s="14">
        <v>30.958060502507678</v>
      </c>
      <c r="M731" s="14">
        <v>12</v>
      </c>
    </row>
    <row r="732" spans="1:13" x14ac:dyDescent="0.3">
      <c r="A732" s="14">
        <v>721</v>
      </c>
      <c r="B732" s="14">
        <v>0.85458912029406775</v>
      </c>
      <c r="C732" s="14">
        <v>7.414627809509966E-6</v>
      </c>
      <c r="D732" s="14">
        <v>115257.18380604025</v>
      </c>
      <c r="E732" s="14">
        <v>4.7439120489656261E-5</v>
      </c>
      <c r="F732" s="14">
        <v>18014.438536658883</v>
      </c>
      <c r="G732" s="14">
        <v>0.89887551583918845</v>
      </c>
      <c r="H732" s="14">
        <v>30.958101104865825</v>
      </c>
      <c r="I732" s="14">
        <v>30.958097206523298</v>
      </c>
      <c r="J732" s="14">
        <v>4.4286395545120733E-2</v>
      </c>
      <c r="K732" s="14">
        <v>30.958093690238016</v>
      </c>
      <c r="L732" s="14">
        <v>30.958049767402809</v>
      </c>
      <c r="M732" s="14">
        <v>15</v>
      </c>
    </row>
    <row r="733" spans="1:13" x14ac:dyDescent="0.3">
      <c r="A733" s="14">
        <v>722</v>
      </c>
      <c r="B733" s="14">
        <v>0.43525623815762871</v>
      </c>
      <c r="C733" s="14">
        <v>1.6415233394795337E-4</v>
      </c>
      <c r="D733" s="14">
        <v>2651.538529422508</v>
      </c>
      <c r="E733" s="14">
        <v>1.862836638331089E-4</v>
      </c>
      <c r="F733" s="14">
        <v>2336.5239291598523</v>
      </c>
      <c r="G733" s="14">
        <v>0.56502465234038324</v>
      </c>
      <c r="H733" s="14">
        <v>30.958100786567872</v>
      </c>
      <c r="I733" s="14">
        <v>30.958100261641466</v>
      </c>
      <c r="J733" s="14">
        <v>0.12976841418275453</v>
      </c>
      <c r="K733" s="14">
        <v>30.957936634233924</v>
      </c>
      <c r="L733" s="14">
        <v>30.957913977977633</v>
      </c>
      <c r="M733" s="14">
        <v>14</v>
      </c>
    </row>
    <row r="734" spans="1:13" x14ac:dyDescent="0.3">
      <c r="A734" s="14">
        <v>723</v>
      </c>
      <c r="B734" s="14">
        <v>0.49687520440619876</v>
      </c>
      <c r="C734" s="14">
        <v>2.0697339440545193E-5</v>
      </c>
      <c r="D734" s="14">
        <v>24006.718633257842</v>
      </c>
      <c r="E734" s="14">
        <v>4.9161276848508351E-5</v>
      </c>
      <c r="F734" s="14">
        <v>10107.044329571252</v>
      </c>
      <c r="G734" s="14">
        <v>0.55254578448468727</v>
      </c>
      <c r="H734" s="14">
        <v>30.958100943138742</v>
      </c>
      <c r="I734" s="14">
        <v>30.958097944228953</v>
      </c>
      <c r="J734" s="14">
        <v>5.5670580078488505E-2</v>
      </c>
      <c r="K734" s="14">
        <v>30.958080245799302</v>
      </c>
      <c r="L734" s="14">
        <v>30.958048782952105</v>
      </c>
      <c r="M734" s="14">
        <v>14</v>
      </c>
    </row>
    <row r="735" spans="1:13" x14ac:dyDescent="0.3">
      <c r="A735" s="14">
        <v>724</v>
      </c>
      <c r="B735" s="14">
        <v>0.53372115892285954</v>
      </c>
      <c r="C735" s="14">
        <v>8.4301892886884389E-5</v>
      </c>
      <c r="D735" s="14">
        <v>6331.0696906770809</v>
      </c>
      <c r="E735" s="14">
        <v>1.1007654265426936E-4</v>
      </c>
      <c r="F735" s="14">
        <v>4848.6366491286144</v>
      </c>
      <c r="G735" s="14">
        <v>0.65579123874001788</v>
      </c>
      <c r="H735" s="14">
        <v>30.958100711972186</v>
      </c>
      <c r="I735" s="14">
        <v>30.958098834150409</v>
      </c>
      <c r="J735" s="14">
        <v>0.12207007981715833</v>
      </c>
      <c r="K735" s="14">
        <v>30.958016410079299</v>
      </c>
      <c r="L735" s="14">
        <v>30.957988757607755</v>
      </c>
      <c r="M735" s="14">
        <v>11</v>
      </c>
    </row>
    <row r="736" spans="1:13" x14ac:dyDescent="0.3">
      <c r="A736" s="14">
        <v>725</v>
      </c>
      <c r="B736" s="14">
        <v>0.4704091693957953</v>
      </c>
      <c r="C736" s="14">
        <v>1.7522942755476834E-5</v>
      </c>
      <c r="D736" s="14">
        <v>26845.3293467941</v>
      </c>
      <c r="E736" s="14">
        <v>3.9147714787191035E-5</v>
      </c>
      <c r="F736" s="14">
        <v>12016.261279948611</v>
      </c>
      <c r="G736" s="14">
        <v>0.57505181872293198</v>
      </c>
      <c r="H736" s="14">
        <v>30.95810108926041</v>
      </c>
      <c r="I736" s="14">
        <v>30.958099250529433</v>
      </c>
      <c r="J736" s="14">
        <v>0.10464264932713668</v>
      </c>
      <c r="K736" s="14">
        <v>30.958083566317654</v>
      </c>
      <c r="L736" s="14">
        <v>30.958060102814645</v>
      </c>
      <c r="M736" s="14">
        <v>13</v>
      </c>
    </row>
    <row r="737" spans="1:13" x14ac:dyDescent="0.3">
      <c r="A737" s="14">
        <v>726</v>
      </c>
      <c r="B737" s="14">
        <v>0.44558863415136352</v>
      </c>
      <c r="C737" s="14">
        <v>1.799369425725672E-5</v>
      </c>
      <c r="D737" s="14">
        <v>24763.599279878894</v>
      </c>
      <c r="E737" s="14">
        <v>3.2291688015106956E-5</v>
      </c>
      <c r="F737" s="14">
        <v>13798.864709175459</v>
      </c>
      <c r="G737" s="14">
        <v>0.50510300411070341</v>
      </c>
      <c r="H737" s="14">
        <v>30.958101433070954</v>
      </c>
      <c r="I737" s="14">
        <v>30.958100483532302</v>
      </c>
      <c r="J737" s="14">
        <v>5.9514369959339897E-2</v>
      </c>
      <c r="K737" s="14">
        <v>30.958083439376697</v>
      </c>
      <c r="L737" s="14">
        <v>30.958068191844287</v>
      </c>
      <c r="M737" s="14">
        <v>14</v>
      </c>
    </row>
    <row r="738" spans="1:13" x14ac:dyDescent="0.3">
      <c r="A738" s="14">
        <v>727</v>
      </c>
      <c r="B738" s="14">
        <v>0.71259130329480369</v>
      </c>
      <c r="C738" s="14">
        <v>4.1409492656185876E-5</v>
      </c>
      <c r="D738" s="14">
        <v>17208.404585182827</v>
      </c>
      <c r="E738" s="14">
        <v>6.3166325773522658E-5</v>
      </c>
      <c r="F738" s="14">
        <v>11281.18969353604</v>
      </c>
      <c r="G738" s="14">
        <v>0.8646259907834124</v>
      </c>
      <c r="H738" s="14">
        <v>30.958097778012839</v>
      </c>
      <c r="I738" s="14">
        <v>30.958095014355891</v>
      </c>
      <c r="J738" s="14">
        <v>0.15203468748860877</v>
      </c>
      <c r="K738" s="14">
        <v>30.958056368520182</v>
      </c>
      <c r="L738" s="14">
        <v>30.958031848030117</v>
      </c>
      <c r="M738" s="14">
        <v>11</v>
      </c>
    </row>
    <row r="739" spans="1:13" x14ac:dyDescent="0.3">
      <c r="A739" s="14">
        <v>728</v>
      </c>
      <c r="B739" s="14">
        <v>0.55058989897182042</v>
      </c>
      <c r="C739" s="14">
        <v>2.6585317897342975E-5</v>
      </c>
      <c r="D739" s="14">
        <v>20710.299613413619</v>
      </c>
      <c r="E739" s="14">
        <v>4.6783677898787346E-5</v>
      </c>
      <c r="F739" s="14">
        <v>11768.845967240468</v>
      </c>
      <c r="G739" s="14">
        <v>0.60798911137846123</v>
      </c>
      <c r="H739" s="14">
        <v>30.95810155141201</v>
      </c>
      <c r="I739" s="14">
        <v>30.958101152740902</v>
      </c>
      <c r="J739" s="14">
        <v>5.7399212406640775E-2</v>
      </c>
      <c r="K739" s="14">
        <v>30.958074966094113</v>
      </c>
      <c r="L739" s="14">
        <v>30.958054369063003</v>
      </c>
      <c r="M739" s="14">
        <v>13</v>
      </c>
    </row>
    <row r="740" spans="1:13" x14ac:dyDescent="0.3">
      <c r="A740" s="14">
        <v>729</v>
      </c>
      <c r="B740" s="14">
        <v>0.48412850634021259</v>
      </c>
      <c r="C740" s="14">
        <v>4.3161945480818531E-5</v>
      </c>
      <c r="D740" s="14">
        <v>11216.558960609473</v>
      </c>
      <c r="E740" s="14">
        <v>6.2381857777182859E-5</v>
      </c>
      <c r="F740" s="14">
        <v>7760.7260121914833</v>
      </c>
      <c r="G740" s="14">
        <v>0.68611867952707428</v>
      </c>
      <c r="H740" s="14">
        <v>30.95810077606064</v>
      </c>
      <c r="I740" s="14">
        <v>30.958098852302768</v>
      </c>
      <c r="J740" s="14">
        <v>0.20199017318686169</v>
      </c>
      <c r="K740" s="14">
        <v>30.958057614115159</v>
      </c>
      <c r="L740" s="14">
        <v>30.958036470444991</v>
      </c>
      <c r="M740" s="14">
        <v>11</v>
      </c>
    </row>
    <row r="741" spans="1:13" x14ac:dyDescent="0.3">
      <c r="A741" s="14">
        <v>730</v>
      </c>
      <c r="B741" s="14">
        <v>0.4032063632722161</v>
      </c>
      <c r="C741" s="14">
        <v>1.0064445855562099E-4</v>
      </c>
      <c r="D741" s="14">
        <v>4006.2450437783896</v>
      </c>
      <c r="E741" s="14">
        <v>1.1726180117932472E-4</v>
      </c>
      <c r="F741" s="14">
        <v>3438.5141556507861</v>
      </c>
      <c r="G741" s="14">
        <v>0.58250411603708907</v>
      </c>
      <c r="H741" s="14">
        <v>30.95810144559762</v>
      </c>
      <c r="I741" s="14">
        <v>30.958100567080283</v>
      </c>
      <c r="J741" s="14">
        <v>0.17929775276487298</v>
      </c>
      <c r="K741" s="14">
        <v>30.958000801139065</v>
      </c>
      <c r="L741" s="14">
        <v>30.957983305279104</v>
      </c>
      <c r="M741" s="14">
        <v>11</v>
      </c>
    </row>
    <row r="742" spans="1:13" x14ac:dyDescent="0.3">
      <c r="A742" s="14">
        <v>731</v>
      </c>
      <c r="B742" s="14">
        <v>0.89599210356793368</v>
      </c>
      <c r="C742" s="14">
        <v>1.7660992696733047E-5</v>
      </c>
      <c r="D742" s="14">
        <v>50732.827930656211</v>
      </c>
      <c r="E742" s="14">
        <v>5.2970941823105022E-5</v>
      </c>
      <c r="F742" s="14">
        <v>16914.78521488393</v>
      </c>
      <c r="G742" s="14">
        <v>0.95903612042815845</v>
      </c>
      <c r="H742" s="14">
        <v>30.958101442541565</v>
      </c>
      <c r="I742" s="14">
        <v>30.958098580440456</v>
      </c>
      <c r="J742" s="14">
        <v>6.3044016860224719E-2</v>
      </c>
      <c r="K742" s="14">
        <v>30.958083781548869</v>
      </c>
      <c r="L742" s="14">
        <v>30.958045609498633</v>
      </c>
      <c r="M742" s="14">
        <v>12</v>
      </c>
    </row>
    <row r="743" spans="1:13" x14ac:dyDescent="0.3">
      <c r="A743" s="14">
        <v>732</v>
      </c>
      <c r="B743" s="14">
        <v>0.70012230621306804</v>
      </c>
      <c r="C743" s="14">
        <v>1.8081999961339079E-5</v>
      </c>
      <c r="D743" s="14">
        <v>38719.295858311671</v>
      </c>
      <c r="E743" s="14">
        <v>3.1058698660046957E-5</v>
      </c>
      <c r="F743" s="14">
        <v>22541.907305140438</v>
      </c>
      <c r="G743" s="14">
        <v>0.74185924289731986</v>
      </c>
      <c r="H743" s="14">
        <v>30.95810130010322</v>
      </c>
      <c r="I743" s="14">
        <v>30.958100512180458</v>
      </c>
      <c r="J743" s="14">
        <v>4.173693668425181E-2</v>
      </c>
      <c r="K743" s="14">
        <v>30.958083218103258</v>
      </c>
      <c r="L743" s="14">
        <v>30.958069453481798</v>
      </c>
      <c r="M743" s="14">
        <v>12</v>
      </c>
    </row>
    <row r="744" spans="1:13" x14ac:dyDescent="0.3">
      <c r="A744" s="14">
        <v>733</v>
      </c>
      <c r="B744" s="14">
        <v>0.65430596748499259</v>
      </c>
      <c r="C744" s="14">
        <v>9.0311467282333524E-5</v>
      </c>
      <c r="D744" s="14">
        <v>7244.9932126502617</v>
      </c>
      <c r="E744" s="14">
        <v>1.0609176208831173E-4</v>
      </c>
      <c r="F744" s="14">
        <v>6167.3588467721229</v>
      </c>
      <c r="G744" s="14">
        <v>0.79759730904219295</v>
      </c>
      <c r="H744" s="14">
        <v>30.958096239265313</v>
      </c>
      <c r="I744" s="14">
        <v>30.958094115782046</v>
      </c>
      <c r="J744" s="14">
        <v>0.14329134155720033</v>
      </c>
      <c r="K744" s="14">
        <v>30.95800592779803</v>
      </c>
      <c r="L744" s="14">
        <v>30.957988024019958</v>
      </c>
      <c r="M744" s="14">
        <v>11</v>
      </c>
    </row>
    <row r="745" spans="1:13" x14ac:dyDescent="0.3">
      <c r="A745" s="14">
        <v>734</v>
      </c>
      <c r="B745" s="14">
        <v>0.3002399652790787</v>
      </c>
      <c r="C745" s="14">
        <v>1.170508023307093E-5</v>
      </c>
      <c r="D745" s="14">
        <v>25650.397887132476</v>
      </c>
      <c r="E745" s="14">
        <v>2.2063730529708891E-5</v>
      </c>
      <c r="F745" s="14">
        <v>13607.851350196855</v>
      </c>
      <c r="G745" s="14">
        <v>0.3624491997589826</v>
      </c>
      <c r="H745" s="14">
        <v>30.958097607407826</v>
      </c>
      <c r="I745" s="14">
        <v>30.958093959172992</v>
      </c>
      <c r="J745" s="14">
        <v>6.2209234479903869E-2</v>
      </c>
      <c r="K745" s="14">
        <v>30.958085902327593</v>
      </c>
      <c r="L745" s="14">
        <v>30.958071895442462</v>
      </c>
      <c r="M745" s="14">
        <v>12</v>
      </c>
    </row>
    <row r="746" spans="1:13" x14ac:dyDescent="0.3">
      <c r="A746" s="14">
        <v>735</v>
      </c>
      <c r="B746" s="14">
        <v>0.3170823948016519</v>
      </c>
      <c r="C746" s="14">
        <v>8.918064608565146E-5</v>
      </c>
      <c r="D746" s="14">
        <v>3555.5068136321593</v>
      </c>
      <c r="E746" s="14">
        <v>1.0010469002708078E-4</v>
      </c>
      <c r="F746" s="14">
        <v>3167.5078831558571</v>
      </c>
      <c r="G746" s="14">
        <v>0.58925620798113842</v>
      </c>
      <c r="H746" s="14">
        <v>30.958101551449793</v>
      </c>
      <c r="I746" s="14">
        <v>30.958100275040021</v>
      </c>
      <c r="J746" s="14">
        <v>0.27217381317948652</v>
      </c>
      <c r="K746" s="14">
        <v>30.958012370803708</v>
      </c>
      <c r="L746" s="14">
        <v>30.958000170349994</v>
      </c>
      <c r="M746" s="14">
        <v>15</v>
      </c>
    </row>
    <row r="747" spans="1:13" x14ac:dyDescent="0.3">
      <c r="A747" s="14">
        <v>736</v>
      </c>
      <c r="B747" s="14">
        <v>0.38087292388266358</v>
      </c>
      <c r="C747" s="14">
        <v>3.6930801165624416E-5</v>
      </c>
      <c r="D747" s="14">
        <v>10313.150862190992</v>
      </c>
      <c r="E747" s="14">
        <v>4.8342087861641403E-5</v>
      </c>
      <c r="F747" s="14">
        <v>7878.7024046778824</v>
      </c>
      <c r="G747" s="14">
        <v>0.46496414977037631</v>
      </c>
      <c r="H747" s="14">
        <v>30.958097991298814</v>
      </c>
      <c r="I747" s="14">
        <v>30.958096534478962</v>
      </c>
      <c r="J747" s="14">
        <v>8.4091225887712701E-2</v>
      </c>
      <c r="K747" s="14">
        <v>30.958061060497648</v>
      </c>
      <c r="L747" s="14">
        <v>30.9580481923911</v>
      </c>
      <c r="M747" s="14">
        <v>10</v>
      </c>
    </row>
    <row r="748" spans="1:13" x14ac:dyDescent="0.3">
      <c r="A748" s="14">
        <v>737</v>
      </c>
      <c r="B748" s="14">
        <v>0.31863515840654677</v>
      </c>
      <c r="C748" s="14">
        <v>1.8876863606465122E-5</v>
      </c>
      <c r="D748" s="14">
        <v>16879.666296757987</v>
      </c>
      <c r="E748" s="14">
        <v>2.6350552357001789E-5</v>
      </c>
      <c r="F748" s="14">
        <v>12092.162399088382</v>
      </c>
      <c r="G748" s="14">
        <v>0.34716039375133823</v>
      </c>
      <c r="H748" s="14">
        <v>30.958100806012116</v>
      </c>
      <c r="I748" s="14">
        <v>30.958100094289893</v>
      </c>
      <c r="J748" s="14">
        <v>2.8525235344791473E-2</v>
      </c>
      <c r="K748" s="14">
        <v>30.958081929148509</v>
      </c>
      <c r="L748" s="14">
        <v>30.958073743737536</v>
      </c>
      <c r="M748" s="14">
        <v>12</v>
      </c>
    </row>
    <row r="749" spans="1:13" x14ac:dyDescent="0.3">
      <c r="A749" s="14">
        <v>738</v>
      </c>
      <c r="B749" s="14">
        <v>0.44529876276088842</v>
      </c>
      <c r="C749" s="14">
        <v>3.9354946252956324E-6</v>
      </c>
      <c r="D749" s="14">
        <v>113149.37642112465</v>
      </c>
      <c r="E749" s="14">
        <v>2.0298475369884272E-5</v>
      </c>
      <c r="F749" s="14">
        <v>21937.547261384647</v>
      </c>
      <c r="G749" s="14">
        <v>0.4723846459536743</v>
      </c>
      <c r="H749" s="14">
        <v>30.958101460606201</v>
      </c>
      <c r="I749" s="14">
        <v>30.958100802420642</v>
      </c>
      <c r="J749" s="14">
        <v>2.7085883192785883E-2</v>
      </c>
      <c r="K749" s="14">
        <v>30.958097525111576</v>
      </c>
      <c r="L749" s="14">
        <v>30.958080503945272</v>
      </c>
      <c r="M749" s="14">
        <v>11</v>
      </c>
    </row>
    <row r="750" spans="1:13" x14ac:dyDescent="0.3">
      <c r="A750" s="14">
        <v>739</v>
      </c>
      <c r="B750" s="14">
        <v>0.56086192600074913</v>
      </c>
      <c r="C750" s="14">
        <v>6.4710819451363477E-5</v>
      </c>
      <c r="D750" s="14">
        <v>8667.2048160708564</v>
      </c>
      <c r="E750" s="14">
        <v>8.9596012223580601E-5</v>
      </c>
      <c r="F750" s="14">
        <v>6259.8983155763372</v>
      </c>
      <c r="G750" s="14">
        <v>0.7634609916800541</v>
      </c>
      <c r="H750" s="14">
        <v>30.958101174581273</v>
      </c>
      <c r="I750" s="14">
        <v>30.958099972655646</v>
      </c>
      <c r="J750" s="14">
        <v>0.20259906567930494</v>
      </c>
      <c r="K750" s="14">
        <v>30.958036463761822</v>
      </c>
      <c r="L750" s="14">
        <v>30.958010376643422</v>
      </c>
      <c r="M750" s="14">
        <v>12</v>
      </c>
    </row>
    <row r="751" spans="1:13" x14ac:dyDescent="0.3">
      <c r="A751" s="14">
        <v>740</v>
      </c>
      <c r="B751" s="14">
        <v>0.704972367096798</v>
      </c>
      <c r="C751" s="14">
        <v>4.3700945173696937E-5</v>
      </c>
      <c r="D751" s="14">
        <v>16131.741871823684</v>
      </c>
      <c r="E751" s="14">
        <v>7.1779519359438382E-5</v>
      </c>
      <c r="F751" s="14">
        <v>9821.3581448856585</v>
      </c>
      <c r="G751" s="14">
        <v>0.80925075944239844</v>
      </c>
      <c r="H751" s="14">
        <v>30.958098556463693</v>
      </c>
      <c r="I751" s="14">
        <v>30.958096587506297</v>
      </c>
      <c r="J751" s="14">
        <v>0.10427839234560046</v>
      </c>
      <c r="K751" s="14">
        <v>30.958054855518519</v>
      </c>
      <c r="L751" s="14">
        <v>30.958024807986938</v>
      </c>
      <c r="M751" s="14">
        <v>10</v>
      </c>
    </row>
    <row r="752" spans="1:13" x14ac:dyDescent="0.3">
      <c r="A752" s="14">
        <v>741</v>
      </c>
      <c r="B752" s="14">
        <v>0.3330870214538999</v>
      </c>
      <c r="C752" s="14">
        <v>4.7873251897811997E-5</v>
      </c>
      <c r="D752" s="14">
        <v>6957.6853096357827</v>
      </c>
      <c r="E752" s="14">
        <v>6.9491896695694777E-5</v>
      </c>
      <c r="F752" s="14">
        <v>4793.1778709752152</v>
      </c>
      <c r="G752" s="14">
        <v>0.47178631442656604</v>
      </c>
      <c r="H752" s="14">
        <v>30.958100763019651</v>
      </c>
      <c r="I752" s="14">
        <v>30.958100002825269</v>
      </c>
      <c r="J752" s="14">
        <v>0.13869929297266617</v>
      </c>
      <c r="K752" s="14">
        <v>30.958052889767753</v>
      </c>
      <c r="L752" s="14">
        <v>30.958030510928573</v>
      </c>
      <c r="M752" s="14">
        <v>11</v>
      </c>
    </row>
    <row r="753" spans="1:13" x14ac:dyDescent="0.3">
      <c r="A753" s="14">
        <v>742</v>
      </c>
      <c r="B753" s="14">
        <v>0.52560701789317787</v>
      </c>
      <c r="C753" s="14">
        <v>2.4374933413895405E-5</v>
      </c>
      <c r="D753" s="14">
        <v>21563.423742259143</v>
      </c>
      <c r="E753" s="14">
        <v>5.0040102340886961E-5</v>
      </c>
      <c r="F753" s="14">
        <v>10503.715885962783</v>
      </c>
      <c r="G753" s="14">
        <v>0.5734652140410843</v>
      </c>
      <c r="H753" s="14">
        <v>30.958100854833305</v>
      </c>
      <c r="I753" s="14">
        <v>30.958099244757463</v>
      </c>
      <c r="J753" s="14">
        <v>4.7858196147906436E-2</v>
      </c>
      <c r="K753" s="14">
        <v>30.958076479899891</v>
      </c>
      <c r="L753" s="14">
        <v>30.958049204655122</v>
      </c>
      <c r="M753" s="14">
        <v>12</v>
      </c>
    </row>
    <row r="754" spans="1:13" x14ac:dyDescent="0.3">
      <c r="A754" s="14">
        <v>743</v>
      </c>
      <c r="B754" s="14">
        <v>7.675511251433581E-2</v>
      </c>
      <c r="C754" s="14">
        <v>1.8693039560702118E-5</v>
      </c>
      <c r="D754" s="14">
        <v>4106.0798199826231</v>
      </c>
      <c r="E754" s="14">
        <v>3.2267675969421816E-5</v>
      </c>
      <c r="F754" s="14">
        <v>2378.6997423388075</v>
      </c>
      <c r="G754" s="14">
        <v>0.39884502577869152</v>
      </c>
      <c r="H754" s="14">
        <v>30.958100966191406</v>
      </c>
      <c r="I754" s="14">
        <v>30.958100123539396</v>
      </c>
      <c r="J754" s="14">
        <v>0.32208991326435571</v>
      </c>
      <c r="K754" s="14">
        <v>30.958082273151845</v>
      </c>
      <c r="L754" s="14">
        <v>30.958067855863426</v>
      </c>
      <c r="M754" s="14">
        <v>9</v>
      </c>
    </row>
    <row r="755" spans="1:13" x14ac:dyDescent="0.3">
      <c r="A755" s="14">
        <v>744</v>
      </c>
      <c r="B755" s="14">
        <v>0.61506611108396858</v>
      </c>
      <c r="C755" s="14">
        <v>1.7583695058220883E-5</v>
      </c>
      <c r="D755" s="14">
        <v>34979.343593450656</v>
      </c>
      <c r="E755" s="14">
        <v>3.9758318269633719E-5</v>
      </c>
      <c r="F755" s="14">
        <v>15470.123935139851</v>
      </c>
      <c r="G755" s="14">
        <v>0.6726466350608945</v>
      </c>
      <c r="H755" s="14">
        <v>30.958101355912245</v>
      </c>
      <c r="I755" s="14">
        <v>30.958099633469459</v>
      </c>
      <c r="J755" s="14">
        <v>5.7580523976925896E-2</v>
      </c>
      <c r="K755" s="14">
        <v>30.958083772217186</v>
      </c>
      <c r="L755" s="14">
        <v>30.958059875151189</v>
      </c>
      <c r="M755" s="14">
        <v>10</v>
      </c>
    </row>
    <row r="756" spans="1:13" x14ac:dyDescent="0.3">
      <c r="A756" s="14">
        <v>745</v>
      </c>
      <c r="B756" s="14">
        <v>0.34928089551822505</v>
      </c>
      <c r="C756" s="14">
        <v>2.8442955112950585E-5</v>
      </c>
      <c r="D756" s="14">
        <v>12280.04945798305</v>
      </c>
      <c r="E756" s="14">
        <v>4.1532303075797472E-5</v>
      </c>
      <c r="F756" s="14">
        <v>8409.8609913536184</v>
      </c>
      <c r="G756" s="14">
        <v>0.41395622476498378</v>
      </c>
      <c r="H756" s="14">
        <v>30.958100815067219</v>
      </c>
      <c r="I756" s="14">
        <v>30.958100184413993</v>
      </c>
      <c r="J756" s="14">
        <v>6.4675329246758714E-2</v>
      </c>
      <c r="K756" s="14">
        <v>30.958072372112106</v>
      </c>
      <c r="L756" s="14">
        <v>30.958058652110918</v>
      </c>
      <c r="M756" s="14">
        <v>9</v>
      </c>
    </row>
    <row r="757" spans="1:13" x14ac:dyDescent="0.3">
      <c r="A757" s="14">
        <v>746</v>
      </c>
      <c r="B757" s="14">
        <v>0.76883123284582244</v>
      </c>
      <c r="C757" s="14">
        <v>6.4519747436264652E-5</v>
      </c>
      <c r="D757" s="14">
        <v>11916.21578502468</v>
      </c>
      <c r="E757" s="14">
        <v>8.8127269300741773E-5</v>
      </c>
      <c r="F757" s="14">
        <v>8724.1013927496242</v>
      </c>
      <c r="G757" s="14">
        <v>0.90988725422318106</v>
      </c>
      <c r="H757" s="14">
        <v>30.958099445453495</v>
      </c>
      <c r="I757" s="14">
        <v>30.958098137561013</v>
      </c>
      <c r="J757" s="14">
        <v>0.14105602137735859</v>
      </c>
      <c r="K757" s="14">
        <v>30.958034925706059</v>
      </c>
      <c r="L757" s="14">
        <v>30.958010010291712</v>
      </c>
      <c r="M757" s="14">
        <v>14</v>
      </c>
    </row>
    <row r="758" spans="1:13" x14ac:dyDescent="0.3">
      <c r="A758" s="14">
        <v>747</v>
      </c>
      <c r="B758" s="14">
        <v>0.4175846402219201</v>
      </c>
      <c r="C758" s="14">
        <v>8.3774838930850137E-5</v>
      </c>
      <c r="D758" s="14">
        <v>4984.6069004872097</v>
      </c>
      <c r="E758" s="14">
        <v>1.0526563736235062E-4</v>
      </c>
      <c r="F758" s="14">
        <v>3966.9606405791233</v>
      </c>
      <c r="G758" s="14">
        <v>0.70425764615004227</v>
      </c>
      <c r="H758" s="14">
        <v>30.958101204822466</v>
      </c>
      <c r="I758" s="14">
        <v>30.958098525318775</v>
      </c>
      <c r="J758" s="14">
        <v>0.28667300592812217</v>
      </c>
      <c r="K758" s="14">
        <v>30.958017429983535</v>
      </c>
      <c r="L758" s="14">
        <v>30.957993259681412</v>
      </c>
      <c r="M758" s="14">
        <v>15</v>
      </c>
    </row>
    <row r="759" spans="1:13" x14ac:dyDescent="0.3">
      <c r="A759" s="14">
        <v>748</v>
      </c>
      <c r="B759" s="14">
        <v>0.38129588255307367</v>
      </c>
      <c r="C759" s="14">
        <v>8.9392435722146502E-5</v>
      </c>
      <c r="D759" s="14">
        <v>4265.4155183581115</v>
      </c>
      <c r="E759" s="14">
        <v>1.0407316239025022E-4</v>
      </c>
      <c r="F759" s="14">
        <v>3663.7291862363377</v>
      </c>
      <c r="G759" s="14">
        <v>0.64548743189461011</v>
      </c>
      <c r="H759" s="14">
        <v>30.95810139267957</v>
      </c>
      <c r="I759" s="14">
        <v>30.958100445268926</v>
      </c>
      <c r="J759" s="14">
        <v>0.26419154934153644</v>
      </c>
      <c r="K759" s="14">
        <v>30.958012000243848</v>
      </c>
      <c r="L759" s="14">
        <v>30.957996372106535</v>
      </c>
      <c r="M759" s="14">
        <v>12</v>
      </c>
    </row>
    <row r="760" spans="1:13" x14ac:dyDescent="0.3">
      <c r="A760" s="14">
        <v>749</v>
      </c>
      <c r="B760" s="14">
        <v>0.56408295515719076</v>
      </c>
      <c r="C760" s="14">
        <v>1.0050354735113842E-5</v>
      </c>
      <c r="D760" s="14">
        <v>56125.676160106334</v>
      </c>
      <c r="E760" s="14">
        <v>3.8689721169049562E-5</v>
      </c>
      <c r="F760" s="14">
        <v>14579.659354289624</v>
      </c>
      <c r="G760" s="14">
        <v>0.59248541942177013</v>
      </c>
      <c r="H760" s="14">
        <v>30.958101484499739</v>
      </c>
      <c r="I760" s="14">
        <v>30.958100502107413</v>
      </c>
      <c r="J760" s="14">
        <v>2.8402464264579364E-2</v>
      </c>
      <c r="K760" s="14">
        <v>30.958091434145004</v>
      </c>
      <c r="L760" s="14">
        <v>30.958061812386244</v>
      </c>
      <c r="M760" s="14">
        <v>10</v>
      </c>
    </row>
    <row r="761" spans="1:13" x14ac:dyDescent="0.3">
      <c r="A761" s="14">
        <v>750</v>
      </c>
      <c r="B761" s="14">
        <v>0.58830103634099651</v>
      </c>
      <c r="C761" s="14">
        <v>1.5635387548229573E-5</v>
      </c>
      <c r="D761" s="14">
        <v>37626.252277169238</v>
      </c>
      <c r="E761" s="14">
        <v>4.117825151439547E-5</v>
      </c>
      <c r="F761" s="14">
        <v>14286.692967896726</v>
      </c>
      <c r="G761" s="14">
        <v>0.63783901119509201</v>
      </c>
      <c r="H761" s="14">
        <v>30.958101434922817</v>
      </c>
      <c r="I761" s="14">
        <v>30.958099799625256</v>
      </c>
      <c r="J761" s="14">
        <v>4.9537974854095453E-2</v>
      </c>
      <c r="K761" s="14">
        <v>30.958085799535269</v>
      </c>
      <c r="L761" s="14">
        <v>30.958058621373741</v>
      </c>
      <c r="M761" s="14">
        <v>11</v>
      </c>
    </row>
    <row r="762" spans="1:13" x14ac:dyDescent="0.3">
      <c r="A762" s="14">
        <v>751</v>
      </c>
      <c r="B762" s="14">
        <v>0.81043300721340628</v>
      </c>
      <c r="C762" s="14">
        <v>2.0460186732407237E-5</v>
      </c>
      <c r="D762" s="14">
        <v>39610.244902102859</v>
      </c>
      <c r="E762" s="14">
        <v>4.3380468298437336E-5</v>
      </c>
      <c r="F762" s="14">
        <v>18681.979217882254</v>
      </c>
      <c r="G762" s="14">
        <v>0.93810479999861096</v>
      </c>
      <c r="H762" s="14">
        <v>30.958101413417786</v>
      </c>
      <c r="I762" s="14">
        <v>30.958100689879661</v>
      </c>
      <c r="J762" s="14">
        <v>0.12767179278520474</v>
      </c>
      <c r="K762" s="14">
        <v>30.958080953231054</v>
      </c>
      <c r="L762" s="14">
        <v>30.958057309411362</v>
      </c>
      <c r="M762" s="14">
        <v>11</v>
      </c>
    </row>
    <row r="763" spans="1:13" x14ac:dyDescent="0.3">
      <c r="A763" s="14">
        <v>752</v>
      </c>
      <c r="B763" s="14">
        <v>0.62164990157270961</v>
      </c>
      <c r="C763" s="14">
        <v>1.1224060096637345E-4</v>
      </c>
      <c r="D763" s="14">
        <v>5538.5475150739067</v>
      </c>
      <c r="E763" s="14">
        <v>1.4111912927816661E-4</v>
      </c>
      <c r="F763" s="14">
        <v>4405.1426957669646</v>
      </c>
      <c r="G763" s="14">
        <v>0.79812388070324625</v>
      </c>
      <c r="H763" s="14">
        <v>30.958096137509507</v>
      </c>
      <c r="I763" s="14">
        <v>30.958093844334893</v>
      </c>
      <c r="J763" s="14">
        <v>0.17647397913053667</v>
      </c>
      <c r="K763" s="14">
        <v>30.957983896908541</v>
      </c>
      <c r="L763" s="14">
        <v>30.957952725205615</v>
      </c>
      <c r="M763" s="14">
        <v>9</v>
      </c>
    </row>
    <row r="764" spans="1:13" x14ac:dyDescent="0.3">
      <c r="A764" s="14">
        <v>753</v>
      </c>
      <c r="B764" s="14">
        <v>0.3187044330960932</v>
      </c>
      <c r="C764" s="14">
        <v>2.818880078692132E-5</v>
      </c>
      <c r="D764" s="14">
        <v>11306.065678535768</v>
      </c>
      <c r="E764" s="14">
        <v>4.1968603248676573E-5</v>
      </c>
      <c r="F764" s="14">
        <v>7593.8775281053258</v>
      </c>
      <c r="G764" s="14">
        <v>0.38108840700805768</v>
      </c>
      <c r="H764" s="14">
        <v>30.958101543249843</v>
      </c>
      <c r="I764" s="14">
        <v>30.958101274125841</v>
      </c>
      <c r="J764" s="14">
        <v>6.2383973911964499E-2</v>
      </c>
      <c r="K764" s="14">
        <v>30.958073354449056</v>
      </c>
      <c r="L764" s="14">
        <v>30.958059305522593</v>
      </c>
      <c r="M764" s="14">
        <v>12</v>
      </c>
    </row>
    <row r="765" spans="1:13" x14ac:dyDescent="0.3">
      <c r="A765" s="14">
        <v>754</v>
      </c>
      <c r="B765" s="14">
        <v>0.62187740478789055</v>
      </c>
      <c r="C765" s="14">
        <v>7.4131959770795675E-6</v>
      </c>
      <c r="D765" s="14">
        <v>83887.894871609678</v>
      </c>
      <c r="E765" s="14">
        <v>2.6445510563632979E-5</v>
      </c>
      <c r="F765" s="14">
        <v>23515.424415480051</v>
      </c>
      <c r="G765" s="14">
        <v>0.67480836387736765</v>
      </c>
      <c r="H765" s="14">
        <v>30.958101539836946</v>
      </c>
      <c r="I765" s="14">
        <v>30.958101334408326</v>
      </c>
      <c r="J765" s="14">
        <v>5.293095908947712E-2</v>
      </c>
      <c r="K765" s="14">
        <v>30.958094126640969</v>
      </c>
      <c r="L765" s="14">
        <v>30.958074888897762</v>
      </c>
      <c r="M765" s="14">
        <v>10</v>
      </c>
    </row>
    <row r="766" spans="1:13" x14ac:dyDescent="0.3">
      <c r="A766" s="14">
        <v>755</v>
      </c>
      <c r="B766" s="14">
        <v>0.35969222532809675</v>
      </c>
      <c r="C766" s="14">
        <v>4.2699800751222483E-5</v>
      </c>
      <c r="D766" s="14">
        <v>8423.7448184766727</v>
      </c>
      <c r="E766" s="14">
        <v>5.7169209373597596E-5</v>
      </c>
      <c r="F766" s="14">
        <v>6291.7124317310063</v>
      </c>
      <c r="G766" s="14">
        <v>0.45318844880755516</v>
      </c>
      <c r="H766" s="14">
        <v>30.958101548397281</v>
      </c>
      <c r="I766" s="14">
        <v>30.958101192882904</v>
      </c>
      <c r="J766" s="14">
        <v>9.3496223479458379E-2</v>
      </c>
      <c r="K766" s="14">
        <v>30.958058848596529</v>
      </c>
      <c r="L766" s="14">
        <v>30.95804402367353</v>
      </c>
      <c r="M766" s="14">
        <v>14</v>
      </c>
    </row>
    <row r="767" spans="1:13" x14ac:dyDescent="0.3">
      <c r="A767" s="14">
        <v>756</v>
      </c>
      <c r="B767" s="14">
        <v>0.35251712285987469</v>
      </c>
      <c r="C767" s="14">
        <v>1.3653104549149475E-5</v>
      </c>
      <c r="D767" s="14">
        <v>25819.557858863307</v>
      </c>
      <c r="E767" s="14">
        <v>2.2248507725919353E-5</v>
      </c>
      <c r="F767" s="14">
        <v>15844.528864702002</v>
      </c>
      <c r="G767" s="14">
        <v>0.46817359804773223</v>
      </c>
      <c r="H767" s="14">
        <v>30.958097196413245</v>
      </c>
      <c r="I767" s="14">
        <v>30.958093751708915</v>
      </c>
      <c r="J767" s="14">
        <v>0.11565647518785756</v>
      </c>
      <c r="K767" s="14">
        <v>30.958083543308696</v>
      </c>
      <c r="L767" s="14">
        <v>30.95807150320119</v>
      </c>
      <c r="M767" s="14">
        <v>9</v>
      </c>
    </row>
    <row r="768" spans="1:13" x14ac:dyDescent="0.3">
      <c r="A768" s="14">
        <v>757</v>
      </c>
      <c r="B768" s="14">
        <v>0.4348220589086087</v>
      </c>
      <c r="C768" s="14">
        <v>1.8502160397559919E-5</v>
      </c>
      <c r="D768" s="14">
        <v>23501.150652977445</v>
      </c>
      <c r="E768" s="14">
        <v>4.0035117489622962E-5</v>
      </c>
      <c r="F768" s="14">
        <v>10861.016182138441</v>
      </c>
      <c r="G768" s="14">
        <v>0.47042558224595576</v>
      </c>
      <c r="H768" s="14">
        <v>30.958101488198789</v>
      </c>
      <c r="I768" s="14">
        <v>30.958101167427788</v>
      </c>
      <c r="J768" s="14">
        <v>3.5603523337347051E-2</v>
      </c>
      <c r="K768" s="14">
        <v>30.958082986038391</v>
      </c>
      <c r="L768" s="14">
        <v>30.958061132310299</v>
      </c>
      <c r="M768" s="14">
        <v>12</v>
      </c>
    </row>
    <row r="769" spans="1:13" x14ac:dyDescent="0.3">
      <c r="A769" s="14">
        <v>758</v>
      </c>
      <c r="B769" s="14">
        <v>0.62505360209437577</v>
      </c>
      <c r="C769" s="14">
        <v>1.6742245971812508E-5</v>
      </c>
      <c r="D769" s="14">
        <v>37333.915840606169</v>
      </c>
      <c r="E769" s="14">
        <v>3.1162274634510823E-5</v>
      </c>
      <c r="F769" s="14">
        <v>20058.022382042578</v>
      </c>
      <c r="G769" s="14">
        <v>0.72137778249396245</v>
      </c>
      <c r="H769" s="14">
        <v>30.958101425870915</v>
      </c>
      <c r="I769" s="14">
        <v>30.958100783824012</v>
      </c>
      <c r="J769" s="14">
        <v>9.6324180399586679E-2</v>
      </c>
      <c r="K769" s="14">
        <v>30.958084683624943</v>
      </c>
      <c r="L769" s="14">
        <v>30.958069621549377</v>
      </c>
      <c r="M769" s="14">
        <v>12</v>
      </c>
    </row>
    <row r="770" spans="1:13" x14ac:dyDescent="0.3">
      <c r="A770" s="14">
        <v>759</v>
      </c>
      <c r="B770" s="14">
        <v>0.12615044347763305</v>
      </c>
      <c r="C770" s="14">
        <v>5.0486357267232052E-5</v>
      </c>
      <c r="D770" s="14">
        <v>2498.7036163036946</v>
      </c>
      <c r="E770" s="14">
        <v>6.6089353868648004E-5</v>
      </c>
      <c r="F770" s="14">
        <v>1908.7861522803796</v>
      </c>
      <c r="G770" s="14">
        <v>0.65811523612762923</v>
      </c>
      <c r="H770" s="14">
        <v>30.958101325092755</v>
      </c>
      <c r="I770" s="14">
        <v>30.958100401574391</v>
      </c>
      <c r="J770" s="14">
        <v>0.53196479264999619</v>
      </c>
      <c r="K770" s="14">
        <v>30.958050838735488</v>
      </c>
      <c r="L770" s="14">
        <v>30.958034312220523</v>
      </c>
      <c r="M770" s="14">
        <v>10</v>
      </c>
    </row>
    <row r="771" spans="1:13" x14ac:dyDescent="0.3">
      <c r="A771" s="14">
        <v>760</v>
      </c>
      <c r="B771" s="14">
        <v>0.44049601441123865</v>
      </c>
      <c r="C771" s="14">
        <v>2.8864524416860604E-5</v>
      </c>
      <c r="D771" s="14">
        <v>15260.809707085704</v>
      </c>
      <c r="E771" s="14">
        <v>4.9586350304053894E-5</v>
      </c>
      <c r="F771" s="14">
        <v>8883.4127075334727</v>
      </c>
      <c r="G771" s="14">
        <v>0.51139276042611925</v>
      </c>
      <c r="H771" s="14">
        <v>30.958099569380281</v>
      </c>
      <c r="I771" s="14">
        <v>30.958096535721818</v>
      </c>
      <c r="J771" s="14">
        <v>7.0896746014880607E-2</v>
      </c>
      <c r="K771" s="14">
        <v>30.958070704855864</v>
      </c>
      <c r="L771" s="14">
        <v>30.958046949371514</v>
      </c>
      <c r="M771" s="14">
        <v>11</v>
      </c>
    </row>
    <row r="772" spans="1:13" x14ac:dyDescent="0.3">
      <c r="A772" s="14">
        <v>761</v>
      </c>
      <c r="B772" s="14">
        <v>0.53380232829670082</v>
      </c>
      <c r="C772" s="14">
        <v>6.5766153088731016E-5</v>
      </c>
      <c r="D772" s="14">
        <v>8116.6725317885057</v>
      </c>
      <c r="E772" s="14">
        <v>7.8047955405224911E-5</v>
      </c>
      <c r="F772" s="14">
        <v>6839.4146332879527</v>
      </c>
      <c r="G772" s="14">
        <v>0.64286780981575298</v>
      </c>
      <c r="H772" s="14">
        <v>30.958099007978188</v>
      </c>
      <c r="I772" s="14">
        <v>30.958097496597624</v>
      </c>
      <c r="J772" s="14">
        <v>0.10906548151905217</v>
      </c>
      <c r="K772" s="14">
        <v>30.958033241825099</v>
      </c>
      <c r="L772" s="14">
        <v>30.958019448642219</v>
      </c>
      <c r="M772" s="14">
        <v>13</v>
      </c>
    </row>
    <row r="773" spans="1:13" x14ac:dyDescent="0.3">
      <c r="A773" s="14">
        <v>762</v>
      </c>
      <c r="B773" s="14">
        <v>0.46338226671699423</v>
      </c>
      <c r="C773" s="14">
        <v>6.6547949924000704E-5</v>
      </c>
      <c r="D773" s="14">
        <v>6963.1336088668013</v>
      </c>
      <c r="E773" s="14">
        <v>9.5484110818944146E-5</v>
      </c>
      <c r="F773" s="14">
        <v>4852.9777650195047</v>
      </c>
      <c r="G773" s="14">
        <v>0.82344242144660351</v>
      </c>
      <c r="H773" s="14">
        <v>30.958099796044255</v>
      </c>
      <c r="I773" s="14">
        <v>30.958098997606783</v>
      </c>
      <c r="J773" s="14">
        <v>0.36006015472960928</v>
      </c>
      <c r="K773" s="14">
        <v>30.958033248094331</v>
      </c>
      <c r="L773" s="14">
        <v>30.958003513495964</v>
      </c>
      <c r="M773" s="14">
        <v>13</v>
      </c>
    </row>
    <row r="774" spans="1:13" x14ac:dyDescent="0.3">
      <c r="A774" s="14">
        <v>763</v>
      </c>
      <c r="B774" s="14">
        <v>0.45644237375489949</v>
      </c>
      <c r="C774" s="14">
        <v>7.0322442077497271E-5</v>
      </c>
      <c r="D774" s="14">
        <v>6490.7070953521124</v>
      </c>
      <c r="E774" s="14">
        <v>1.0298595649516074E-4</v>
      </c>
      <c r="F774" s="14">
        <v>4432.0836479908548</v>
      </c>
      <c r="G774" s="14">
        <v>0.56937688208553838</v>
      </c>
      <c r="H774" s="14">
        <v>30.958100492766228</v>
      </c>
      <c r="I774" s="14">
        <v>30.958099791029955</v>
      </c>
      <c r="J774" s="14">
        <v>0.11293450833063889</v>
      </c>
      <c r="K774" s="14">
        <v>30.95803017032415</v>
      </c>
      <c r="L774" s="14">
        <v>30.95799680507346</v>
      </c>
      <c r="M774" s="14">
        <v>9</v>
      </c>
    </row>
    <row r="775" spans="1:13" x14ac:dyDescent="0.3">
      <c r="A775" s="14">
        <v>764</v>
      </c>
      <c r="B775" s="14">
        <v>0.53026790284274905</v>
      </c>
      <c r="C775" s="14">
        <v>4.7269003044192459E-5</v>
      </c>
      <c r="D775" s="14">
        <v>11218.089417857916</v>
      </c>
      <c r="E775" s="14">
        <v>7.6787369572173247E-5</v>
      </c>
      <c r="F775" s="14">
        <v>6905.6656817023113</v>
      </c>
      <c r="G775" s="14">
        <v>0.72376385007581034</v>
      </c>
      <c r="H775" s="14">
        <v>30.958101283660973</v>
      </c>
      <c r="I775" s="14">
        <v>30.958100518218835</v>
      </c>
      <c r="J775" s="14">
        <v>0.19349594723306129</v>
      </c>
      <c r="K775" s="14">
        <v>30.958054014657929</v>
      </c>
      <c r="L775" s="14">
        <v>30.958023730849263</v>
      </c>
      <c r="M775" s="14">
        <v>10</v>
      </c>
    </row>
    <row r="776" spans="1:13" x14ac:dyDescent="0.3">
      <c r="A776" s="14">
        <v>765</v>
      </c>
      <c r="B776" s="14">
        <v>0.18402381007233315</v>
      </c>
      <c r="C776" s="14">
        <v>7.6531987957650927E-5</v>
      </c>
      <c r="D776" s="14">
        <v>2404.5345610800409</v>
      </c>
      <c r="E776" s="14">
        <v>8.985882893242092E-5</v>
      </c>
      <c r="F776" s="14">
        <v>2047.9213034339652</v>
      </c>
      <c r="G776" s="14">
        <v>0.3692603475920454</v>
      </c>
      <c r="H776" s="14">
        <v>30.958100701854672</v>
      </c>
      <c r="I776" s="14">
        <v>30.958099063594055</v>
      </c>
      <c r="J776" s="14">
        <v>0.18523653751971225</v>
      </c>
      <c r="K776" s="14">
        <v>30.958024169866714</v>
      </c>
      <c r="L776" s="14">
        <v>30.958009204765123</v>
      </c>
      <c r="M776" s="14">
        <v>11</v>
      </c>
    </row>
    <row r="777" spans="1:13" x14ac:dyDescent="0.3">
      <c r="A777" s="14">
        <v>766</v>
      </c>
      <c r="B777" s="14">
        <v>1.0394063879846585</v>
      </c>
      <c r="C777" s="14">
        <v>2.2280611730707278E-5</v>
      </c>
      <c r="D777" s="14">
        <v>46650.711414361307</v>
      </c>
      <c r="E777" s="14">
        <v>5.3807649578629935E-5</v>
      </c>
      <c r="F777" s="14">
        <v>19317.074730531727</v>
      </c>
      <c r="G777" s="14">
        <v>1.0931129967419433</v>
      </c>
      <c r="H777" s="14">
        <v>30.958101535121688</v>
      </c>
      <c r="I777" s="14">
        <v>30.958099411030815</v>
      </c>
      <c r="J777" s="14">
        <v>5.3706608757284842E-2</v>
      </c>
      <c r="K777" s="14">
        <v>30.958079254509958</v>
      </c>
      <c r="L777" s="14">
        <v>30.958045603381237</v>
      </c>
      <c r="M777" s="14">
        <v>15</v>
      </c>
    </row>
    <row r="778" spans="1:13" x14ac:dyDescent="0.3">
      <c r="A778" s="14">
        <v>767</v>
      </c>
      <c r="B778" s="14">
        <v>0.3953025937695992</v>
      </c>
      <c r="C778" s="14">
        <v>1.0168117370668028E-4</v>
      </c>
      <c r="D778" s="14">
        <v>3887.6674939839772</v>
      </c>
      <c r="E778" s="14">
        <v>1.2058679834581199E-4</v>
      </c>
      <c r="F778" s="14">
        <v>3278.1581333304234</v>
      </c>
      <c r="G778" s="14">
        <v>0.6985839971090706</v>
      </c>
      <c r="H778" s="14">
        <v>30.958097965382336</v>
      </c>
      <c r="I778" s="14">
        <v>30.95809595476122</v>
      </c>
      <c r="J778" s="14">
        <v>0.3032814033394714</v>
      </c>
      <c r="K778" s="14">
        <v>30.95799628420863</v>
      </c>
      <c r="L778" s="14">
        <v>30.957975367962874</v>
      </c>
      <c r="M778" s="14">
        <v>15</v>
      </c>
    </row>
    <row r="779" spans="1:13" x14ac:dyDescent="0.3">
      <c r="A779" s="14">
        <v>768</v>
      </c>
      <c r="B779" s="14">
        <v>0.29322308736537339</v>
      </c>
      <c r="C779" s="14">
        <v>1.3809786403129465E-4</v>
      </c>
      <c r="D779" s="14">
        <v>2123.2992227810669</v>
      </c>
      <c r="E779" s="14">
        <v>1.5101999398225985E-4</v>
      </c>
      <c r="F779" s="14">
        <v>1941.6176602405242</v>
      </c>
      <c r="G779" s="14">
        <v>0.8061166493416605</v>
      </c>
      <c r="H779" s="14">
        <v>30.95810043853422</v>
      </c>
      <c r="I779" s="14">
        <v>30.958098608755943</v>
      </c>
      <c r="J779" s="14">
        <v>0.5128935619762871</v>
      </c>
      <c r="K779" s="14">
        <v>30.957962340670189</v>
      </c>
      <c r="L779" s="14">
        <v>30.957947588761961</v>
      </c>
      <c r="M779" s="14">
        <v>10</v>
      </c>
    </row>
    <row r="780" spans="1:13" x14ac:dyDescent="0.3">
      <c r="A780" s="14">
        <v>769</v>
      </c>
      <c r="B780" s="14">
        <v>0.26824946799217042</v>
      </c>
      <c r="C780" s="14">
        <v>1.8824279020179802E-4</v>
      </c>
      <c r="D780" s="14">
        <v>1425.0185502701299</v>
      </c>
      <c r="E780" s="14">
        <v>2.0031331455783175E-4</v>
      </c>
      <c r="F780" s="14">
        <v>1339.1494648486039</v>
      </c>
      <c r="G780" s="14">
        <v>0.63541309189419182</v>
      </c>
      <c r="H780" s="14">
        <v>30.958101550899919</v>
      </c>
      <c r="I780" s="14">
        <v>30.95810000185967</v>
      </c>
      <c r="J780" s="14">
        <v>0.3671636239020214</v>
      </c>
      <c r="K780" s="14">
        <v>30.957913308109717</v>
      </c>
      <c r="L780" s="14">
        <v>30.957899688545112</v>
      </c>
      <c r="M780" s="14">
        <v>11</v>
      </c>
    </row>
    <row r="781" spans="1:13" x14ac:dyDescent="0.3">
      <c r="A781" s="14">
        <v>770</v>
      </c>
      <c r="B781" s="14">
        <v>0.22253835508539288</v>
      </c>
      <c r="C781" s="14">
        <v>7.8779744686841013E-5</v>
      </c>
      <c r="D781" s="14">
        <v>2824.8169116314057</v>
      </c>
      <c r="E781" s="14">
        <v>9.2290935608474456E-5</v>
      </c>
      <c r="F781" s="14">
        <v>2411.2699001066221</v>
      </c>
      <c r="G781" s="14">
        <v>0.75739137814001234</v>
      </c>
      <c r="H781" s="14">
        <v>30.95809086475581</v>
      </c>
      <c r="I781" s="14">
        <v>30.958088610383097</v>
      </c>
      <c r="J781" s="14">
        <v>0.53485302305461946</v>
      </c>
      <c r="K781" s="14">
        <v>30.958012085011124</v>
      </c>
      <c r="L781" s="14">
        <v>30.957996319447489</v>
      </c>
      <c r="M781" s="14">
        <v>12</v>
      </c>
    </row>
    <row r="782" spans="1:13" x14ac:dyDescent="0.3">
      <c r="A782" s="14">
        <v>771</v>
      </c>
      <c r="B782" s="14">
        <v>0.48047922179473646</v>
      </c>
      <c r="C782" s="14">
        <v>4.7241294964806002E-5</v>
      </c>
      <c r="D782" s="14">
        <v>10170.746211607571</v>
      </c>
      <c r="E782" s="14">
        <v>6.7663117722105426E-5</v>
      </c>
      <c r="F782" s="14">
        <v>7101.0505866442618</v>
      </c>
      <c r="G782" s="14">
        <v>0.65967361142869807</v>
      </c>
      <c r="H782" s="14">
        <v>30.95809611565652</v>
      </c>
      <c r="I782" s="14">
        <v>30.958091644015948</v>
      </c>
      <c r="J782" s="14">
        <v>0.17919438963396159</v>
      </c>
      <c r="K782" s="14">
        <v>30.958048874361555</v>
      </c>
      <c r="L782" s="14">
        <v>30.958023980898226</v>
      </c>
      <c r="M782" s="14">
        <v>14</v>
      </c>
    </row>
    <row r="783" spans="1:13" x14ac:dyDescent="0.3">
      <c r="A783" s="14">
        <v>772</v>
      </c>
      <c r="B783" s="14">
        <v>0.82208277478070002</v>
      </c>
      <c r="C783" s="14">
        <v>3.4212838713187921E-5</v>
      </c>
      <c r="D783" s="14">
        <v>24028.487716917047</v>
      </c>
      <c r="E783" s="14">
        <v>6.7575227269855986E-5</v>
      </c>
      <c r="F783" s="14">
        <v>12165.445948080671</v>
      </c>
      <c r="G783" s="14">
        <v>0.98393028462663956</v>
      </c>
      <c r="H783" s="14">
        <v>30.958095667093151</v>
      </c>
      <c r="I783" s="14">
        <v>30.958089338260613</v>
      </c>
      <c r="J783" s="14">
        <v>0.16184750984593954</v>
      </c>
      <c r="K783" s="14">
        <v>30.958061454254437</v>
      </c>
      <c r="L783" s="14">
        <v>30.958021763033344</v>
      </c>
      <c r="M783" s="14">
        <v>15</v>
      </c>
    </row>
    <row r="784" spans="1:13" x14ac:dyDescent="0.3">
      <c r="A784" s="14">
        <v>773</v>
      </c>
      <c r="B784" s="14">
        <v>0.6372012991546141</v>
      </c>
      <c r="C784" s="14">
        <v>4.4096436727869559E-5</v>
      </c>
      <c r="D784" s="14">
        <v>14450.176622817555</v>
      </c>
      <c r="E784" s="14">
        <v>6.7086912313385483E-5</v>
      </c>
      <c r="F784" s="14">
        <v>9498.1461686302246</v>
      </c>
      <c r="G784" s="14">
        <v>0.79013207189280654</v>
      </c>
      <c r="H784" s="14">
        <v>30.958101551409605</v>
      </c>
      <c r="I784" s="14">
        <v>30.958100306765562</v>
      </c>
      <c r="J784" s="14">
        <v>0.1529307727381925</v>
      </c>
      <c r="K784" s="14">
        <v>30.958057454972877</v>
      </c>
      <c r="L784" s="14">
        <v>30.958033219853249</v>
      </c>
      <c r="M784" s="14">
        <v>13</v>
      </c>
    </row>
    <row r="785" spans="1:13" x14ac:dyDescent="0.3">
      <c r="A785" s="14">
        <v>774</v>
      </c>
      <c r="B785" s="14">
        <v>0.26202361326216356</v>
      </c>
      <c r="C785" s="14">
        <v>5.0355932792456315E-5</v>
      </c>
      <c r="D785" s="14">
        <v>5203.4308319161273</v>
      </c>
      <c r="E785" s="14">
        <v>5.817017770581856E-5</v>
      </c>
      <c r="F785" s="14">
        <v>4504.4320577338422</v>
      </c>
      <c r="G785" s="14">
        <v>0.62149955886253594</v>
      </c>
      <c r="H785" s="14">
        <v>30.958100052651986</v>
      </c>
      <c r="I785" s="14">
        <v>30.958099374512273</v>
      </c>
      <c r="J785" s="14">
        <v>0.35947594560037238</v>
      </c>
      <c r="K785" s="14">
        <v>30.958049696719193</v>
      </c>
      <c r="L785" s="14">
        <v>30.958041204334567</v>
      </c>
      <c r="M785" s="14">
        <v>14</v>
      </c>
    </row>
    <row r="786" spans="1:13" x14ac:dyDescent="0.3">
      <c r="A786" s="14">
        <v>775</v>
      </c>
      <c r="B786" s="14">
        <v>0.34726913748109678</v>
      </c>
      <c r="C786" s="14">
        <v>3.3418298045262418E-5</v>
      </c>
      <c r="D786" s="14">
        <v>10391.586579626181</v>
      </c>
      <c r="E786" s="14">
        <v>4.9491701684445388E-5</v>
      </c>
      <c r="F786" s="14">
        <v>7016.7144321537653</v>
      </c>
      <c r="G786" s="14">
        <v>0.47403553809135024</v>
      </c>
      <c r="H786" s="14">
        <v>30.958098976148076</v>
      </c>
      <c r="I786" s="14">
        <v>30.958096235468933</v>
      </c>
      <c r="J786" s="14">
        <v>0.12676640061025346</v>
      </c>
      <c r="K786" s="14">
        <v>30.958065557850031</v>
      </c>
      <c r="L786" s="14">
        <v>30.958046743767248</v>
      </c>
      <c r="M786" s="14">
        <v>14</v>
      </c>
    </row>
    <row r="787" spans="1:13" x14ac:dyDescent="0.3">
      <c r="A787" s="14">
        <v>776</v>
      </c>
      <c r="B787" s="14">
        <v>0.36216542272692837</v>
      </c>
      <c r="C787" s="14">
        <v>1.6668232397876181E-5</v>
      </c>
      <c r="D787" s="14">
        <v>21727.884162034748</v>
      </c>
      <c r="E787" s="14">
        <v>2.4663942351565993E-5</v>
      </c>
      <c r="F787" s="14">
        <v>14684.003780276973</v>
      </c>
      <c r="G787" s="14">
        <v>0.42815960026757927</v>
      </c>
      <c r="H787" s="14">
        <v>30.958100995395693</v>
      </c>
      <c r="I787" s="14">
        <v>30.95810024387869</v>
      </c>
      <c r="J787" s="14">
        <v>6.5994177540650914E-2</v>
      </c>
      <c r="K787" s="14">
        <v>30.958084327163295</v>
      </c>
      <c r="L787" s="14">
        <v>30.958075579936338</v>
      </c>
      <c r="M787" s="14">
        <v>9</v>
      </c>
    </row>
    <row r="788" spans="1:13" x14ac:dyDescent="0.3">
      <c r="A788" s="14">
        <v>777</v>
      </c>
      <c r="B788" s="14">
        <v>0.50799212304879426</v>
      </c>
      <c r="C788" s="14">
        <v>1.6150464471564874E-5</v>
      </c>
      <c r="D788" s="14">
        <v>31453.716018086332</v>
      </c>
      <c r="E788" s="14">
        <v>3.5677229078601158E-5</v>
      </c>
      <c r="F788" s="14">
        <v>14238.553165931902</v>
      </c>
      <c r="G788" s="14">
        <v>0.53781688400543437</v>
      </c>
      <c r="H788" s="14">
        <v>30.958099224685192</v>
      </c>
      <c r="I788" s="14">
        <v>30.958094757827485</v>
      </c>
      <c r="J788" s="14">
        <v>2.9824760956640141E-2</v>
      </c>
      <c r="K788" s="14">
        <v>30.95808307422072</v>
      </c>
      <c r="L788" s="14">
        <v>30.958059080598407</v>
      </c>
      <c r="M788" s="14">
        <v>9</v>
      </c>
    </row>
    <row r="789" spans="1:13" x14ac:dyDescent="0.3">
      <c r="A789" s="14">
        <v>778</v>
      </c>
      <c r="B789" s="14">
        <v>0.63373860155879136</v>
      </c>
      <c r="C789" s="14">
        <v>3.0372650190457762E-5</v>
      </c>
      <c r="D789" s="14">
        <v>20865.43642338772</v>
      </c>
      <c r="E789" s="14">
        <v>6.4471362932749798E-5</v>
      </c>
      <c r="F789" s="14">
        <v>9829.7689505935414</v>
      </c>
      <c r="G789" s="14">
        <v>0.73012280900639137</v>
      </c>
      <c r="H789" s="14">
        <v>30.958100205934389</v>
      </c>
      <c r="I789" s="14">
        <v>30.958096708127545</v>
      </c>
      <c r="J789" s="14">
        <v>9.6384207447599998E-2</v>
      </c>
      <c r="K789" s="14">
        <v>30.958069833284199</v>
      </c>
      <c r="L789" s="14">
        <v>30.958032236764613</v>
      </c>
      <c r="M789" s="14">
        <v>14</v>
      </c>
    </row>
    <row r="790" spans="1:13" x14ac:dyDescent="0.3">
      <c r="A790" s="14">
        <v>779</v>
      </c>
      <c r="B790" s="14">
        <v>0.64419796770060611</v>
      </c>
      <c r="C790" s="14">
        <v>5.2884089690508063E-5</v>
      </c>
      <c r="D790" s="14">
        <v>12181.31902185754</v>
      </c>
      <c r="E790" s="14">
        <v>7.1473954758261016E-5</v>
      </c>
      <c r="F790" s="14">
        <v>9013.0449599355525</v>
      </c>
      <c r="G790" s="14">
        <v>0.82617751294488651</v>
      </c>
      <c r="H790" s="14">
        <v>30.95810066395061</v>
      </c>
      <c r="I790" s="14">
        <v>30.958099841532963</v>
      </c>
      <c r="J790" s="14">
        <v>0.18197954524428037</v>
      </c>
      <c r="K790" s="14">
        <v>30.958047779860919</v>
      </c>
      <c r="L790" s="14">
        <v>30.958028367578205</v>
      </c>
      <c r="M790" s="14">
        <v>15</v>
      </c>
    </row>
    <row r="791" spans="1:13" x14ac:dyDescent="0.3">
      <c r="A791" s="14">
        <v>780</v>
      </c>
      <c r="B791" s="14">
        <v>0.25764740506236961</v>
      </c>
      <c r="C791" s="14">
        <v>5.1366002221442386E-5</v>
      </c>
      <c r="D791" s="14">
        <v>5015.9131316397534</v>
      </c>
      <c r="E791" s="14">
        <v>6.3209101920591593E-5</v>
      </c>
      <c r="F791" s="14">
        <v>4076.1124147286132</v>
      </c>
      <c r="G791" s="14">
        <v>0.44361112435385852</v>
      </c>
      <c r="H791" s="14">
        <v>30.958098744399344</v>
      </c>
      <c r="I791" s="14">
        <v>30.958097518978899</v>
      </c>
      <c r="J791" s="14">
        <v>0.18596371929148894</v>
      </c>
      <c r="K791" s="14">
        <v>30.958047378397122</v>
      </c>
      <c r="L791" s="14">
        <v>30.958034309876979</v>
      </c>
      <c r="M791" s="14">
        <v>15</v>
      </c>
    </row>
    <row r="792" spans="1:13" x14ac:dyDescent="0.3">
      <c r="A792" s="14">
        <v>781</v>
      </c>
      <c r="B792" s="14">
        <v>0.62819243100363953</v>
      </c>
      <c r="C792" s="14">
        <v>1.6259491136594306E-5</v>
      </c>
      <c r="D792" s="14">
        <v>38635.429960646354</v>
      </c>
      <c r="E792" s="14">
        <v>4.9026038581700959E-5</v>
      </c>
      <c r="F792" s="14">
        <v>12813.444634258361</v>
      </c>
      <c r="G792" s="14">
        <v>0.70692673154045182</v>
      </c>
      <c r="H792" s="14">
        <v>30.958101180242767</v>
      </c>
      <c r="I792" s="14">
        <v>30.958099169462781</v>
      </c>
      <c r="J792" s="14">
        <v>7.8734300536812352E-2</v>
      </c>
      <c r="K792" s="14">
        <v>30.958084920751631</v>
      </c>
      <c r="L792" s="14">
        <v>30.958050143424199</v>
      </c>
      <c r="M792" s="14">
        <v>12</v>
      </c>
    </row>
    <row r="793" spans="1:13" x14ac:dyDescent="0.3">
      <c r="A793" s="14">
        <v>782</v>
      </c>
      <c r="B793" s="14">
        <v>0.41507180177306213</v>
      </c>
      <c r="C793" s="14">
        <v>5.2290485008654741E-6</v>
      </c>
      <c r="D793" s="14">
        <v>79378.074558758148</v>
      </c>
      <c r="E793" s="14">
        <v>2.557300992123146E-5</v>
      </c>
      <c r="F793" s="14">
        <v>16230.854445821702</v>
      </c>
      <c r="G793" s="14">
        <v>0.43554279712678123</v>
      </c>
      <c r="H793" s="14">
        <v>30.958101479126064</v>
      </c>
      <c r="I793" s="14">
        <v>30.958100860349127</v>
      </c>
      <c r="J793" s="14">
        <v>2.0470995353719088E-2</v>
      </c>
      <c r="K793" s="14">
        <v>30.958096250077563</v>
      </c>
      <c r="L793" s="14">
        <v>30.958075287339206</v>
      </c>
      <c r="M793" s="14">
        <v>9</v>
      </c>
    </row>
    <row r="794" spans="1:13" x14ac:dyDescent="0.3">
      <c r="A794" s="14">
        <v>783</v>
      </c>
      <c r="B794" s="14">
        <v>0.38845948294561861</v>
      </c>
      <c r="C794" s="14">
        <v>8.4865962211466694E-5</v>
      </c>
      <c r="D794" s="14">
        <v>4577.3296245397632</v>
      </c>
      <c r="E794" s="14">
        <v>1.0253980264707252E-4</v>
      </c>
      <c r="F794" s="14">
        <v>3788.3775169983614</v>
      </c>
      <c r="G794" s="14">
        <v>0.46527881541638066</v>
      </c>
      <c r="H794" s="14">
        <v>30.958101340096199</v>
      </c>
      <c r="I794" s="14">
        <v>30.958100926136009</v>
      </c>
      <c r="J794" s="14">
        <v>7.6819332470762045E-2</v>
      </c>
      <c r="K794" s="14">
        <v>30.958016474133988</v>
      </c>
      <c r="L794" s="14">
        <v>30.957998386333362</v>
      </c>
      <c r="M794" s="14">
        <v>11</v>
      </c>
    </row>
    <row r="795" spans="1:13" x14ac:dyDescent="0.3">
      <c r="A795" s="14">
        <v>784</v>
      </c>
      <c r="B795" s="14">
        <v>0.36821702883485541</v>
      </c>
      <c r="C795" s="14">
        <v>1.7200981559994943E-5</v>
      </c>
      <c r="D795" s="14">
        <v>21406.745164545344</v>
      </c>
      <c r="E795" s="14">
        <v>3.0001724983463873E-5</v>
      </c>
      <c r="F795" s="14">
        <v>12273.19525919948</v>
      </c>
      <c r="G795" s="14">
        <v>0.42678905053006821</v>
      </c>
      <c r="H795" s="14">
        <v>30.958099028811784</v>
      </c>
      <c r="I795" s="14">
        <v>30.958096688212038</v>
      </c>
      <c r="J795" s="14">
        <v>5.857202169521282E-2</v>
      </c>
      <c r="K795" s="14">
        <v>30.958081827830224</v>
      </c>
      <c r="L795" s="14">
        <v>30.958066686487054</v>
      </c>
      <c r="M795" s="14">
        <v>13</v>
      </c>
    </row>
    <row r="796" spans="1:13" x14ac:dyDescent="0.3">
      <c r="A796" s="14">
        <v>785</v>
      </c>
      <c r="B796" s="14">
        <v>0.41475398895554222</v>
      </c>
      <c r="C796" s="14">
        <v>5.254097586515627E-5</v>
      </c>
      <c r="D796" s="14">
        <v>7893.9148374401557</v>
      </c>
      <c r="E796" s="14">
        <v>6.3826412919354425E-5</v>
      </c>
      <c r="F796" s="14">
        <v>6498.1560138682671</v>
      </c>
      <c r="G796" s="14">
        <v>0.51588541683847444</v>
      </c>
      <c r="H796" s="14">
        <v>30.958101491608698</v>
      </c>
      <c r="I796" s="14">
        <v>30.958100943131832</v>
      </c>
      <c r="J796" s="14">
        <v>0.10113142788293224</v>
      </c>
      <c r="K796" s="14">
        <v>30.958048950632833</v>
      </c>
      <c r="L796" s="14">
        <v>30.958037116718913</v>
      </c>
      <c r="M796" s="14">
        <v>11</v>
      </c>
    </row>
    <row r="797" spans="1:13" x14ac:dyDescent="0.3">
      <c r="A797" s="14">
        <v>786</v>
      </c>
      <c r="B797" s="14">
        <v>0.33409267757236205</v>
      </c>
      <c r="C797" s="14">
        <v>6.2891003889120611E-5</v>
      </c>
      <c r="D797" s="14">
        <v>5312.2490803514756</v>
      </c>
      <c r="E797" s="14">
        <v>8.2257268324781307E-5</v>
      </c>
      <c r="F797" s="14">
        <v>4061.5581379780797</v>
      </c>
      <c r="G797" s="14">
        <v>0.4148740247524722</v>
      </c>
      <c r="H797" s="14">
        <v>30.958101533356977</v>
      </c>
      <c r="I797" s="14">
        <v>30.958099585700076</v>
      </c>
      <c r="J797" s="14">
        <v>8.0781347180110166E-2</v>
      </c>
      <c r="K797" s="14">
        <v>30.958038642353088</v>
      </c>
      <c r="L797" s="14">
        <v>30.958017328431751</v>
      </c>
      <c r="M797" s="14">
        <v>12</v>
      </c>
    </row>
    <row r="798" spans="1:13" x14ac:dyDescent="0.3">
      <c r="A798" s="14">
        <v>787</v>
      </c>
      <c r="B798" s="14">
        <v>0.49984068805225135</v>
      </c>
      <c r="C798" s="14">
        <v>6.657477499061315E-5</v>
      </c>
      <c r="D798" s="14">
        <v>7507.9591049722276</v>
      </c>
      <c r="E798" s="14">
        <v>7.6771201900527331E-5</v>
      </c>
      <c r="F798" s="14">
        <v>6510.7836751064078</v>
      </c>
      <c r="G798" s="14">
        <v>0.61104201274083403</v>
      </c>
      <c r="H798" s="14">
        <v>30.958101304405211</v>
      </c>
      <c r="I798" s="14">
        <v>30.958100981844208</v>
      </c>
      <c r="J798" s="14">
        <v>0.11120132468858265</v>
      </c>
      <c r="K798" s="14">
        <v>30.958034729630221</v>
      </c>
      <c r="L798" s="14">
        <v>30.958024210642307</v>
      </c>
      <c r="M798" s="14">
        <v>11</v>
      </c>
    </row>
    <row r="799" spans="1:13" x14ac:dyDescent="0.3">
      <c r="A799" s="14">
        <v>788</v>
      </c>
      <c r="B799" s="14">
        <v>0.5300484653527554</v>
      </c>
      <c r="C799" s="14">
        <v>2.1543536664836438E-5</v>
      </c>
      <c r="D799" s="14">
        <v>24603.595667646598</v>
      </c>
      <c r="E799" s="14">
        <v>5.7441988726480986E-5</v>
      </c>
      <c r="F799" s="14">
        <v>9227.5437724947878</v>
      </c>
      <c r="G799" s="14">
        <v>0.64936044698001971</v>
      </c>
      <c r="H799" s="14">
        <v>30.958099926303149</v>
      </c>
      <c r="I799" s="14">
        <v>30.958095508753033</v>
      </c>
      <c r="J799" s="14">
        <v>0.11931198162726427</v>
      </c>
      <c r="K799" s="14">
        <v>30.958078382766484</v>
      </c>
      <c r="L799" s="14">
        <v>30.958038066764306</v>
      </c>
      <c r="M799" s="14">
        <v>14</v>
      </c>
    </row>
    <row r="800" spans="1:13" x14ac:dyDescent="0.3">
      <c r="A800" s="14">
        <v>789</v>
      </c>
      <c r="B800" s="14">
        <v>7.7209640087007647E-2</v>
      </c>
      <c r="C800" s="14">
        <v>4.0826961900108927E-5</v>
      </c>
      <c r="D800" s="14">
        <v>1891.1434134118524</v>
      </c>
      <c r="E800" s="14">
        <v>5.8124803501868882E-5</v>
      </c>
      <c r="F800" s="14">
        <v>1328.3423845815691</v>
      </c>
      <c r="G800" s="14">
        <v>0.46737438089522593</v>
      </c>
      <c r="H800" s="14">
        <v>30.95810113180103</v>
      </c>
      <c r="I800" s="14">
        <v>30.958100131430172</v>
      </c>
      <c r="J800" s="14">
        <v>0.39016474080821828</v>
      </c>
      <c r="K800" s="14">
        <v>30.95806030483913</v>
      </c>
      <c r="L800" s="14">
        <v>30.95804200662667</v>
      </c>
      <c r="M800" s="14">
        <v>15</v>
      </c>
    </row>
    <row r="801" spans="1:13" x14ac:dyDescent="0.3">
      <c r="A801" s="14">
        <v>790</v>
      </c>
      <c r="B801" s="14">
        <v>0.8140493140733307</v>
      </c>
      <c r="C801" s="14">
        <v>8.5483497944238707E-5</v>
      </c>
      <c r="D801" s="14">
        <v>9522.8825872841444</v>
      </c>
      <c r="E801" s="14">
        <v>1.0768324949594898E-4</v>
      </c>
      <c r="F801" s="14">
        <v>7559.6652021905693</v>
      </c>
      <c r="G801" s="14">
        <v>0.96753140965831264</v>
      </c>
      <c r="H801" s="14">
        <v>30.958100427917003</v>
      </c>
      <c r="I801" s="14">
        <v>30.958099825121643</v>
      </c>
      <c r="J801" s="14">
        <v>0.15348209558498199</v>
      </c>
      <c r="K801" s="14">
        <v>30.958014944419059</v>
      </c>
      <c r="L801" s="14">
        <v>30.957992141872147</v>
      </c>
      <c r="M801" s="14">
        <v>13</v>
      </c>
    </row>
    <row r="802" spans="1:13" x14ac:dyDescent="0.3">
      <c r="A802" s="14">
        <v>791</v>
      </c>
      <c r="B802" s="14">
        <v>0.64999812079282715</v>
      </c>
      <c r="C802" s="14">
        <v>1.2358120573097153E-4</v>
      </c>
      <c r="D802" s="14">
        <v>5259.6842452551555</v>
      </c>
      <c r="E802" s="14">
        <v>1.7090317175316727E-4</v>
      </c>
      <c r="F802" s="14">
        <v>3803.3122154784178</v>
      </c>
      <c r="G802" s="14">
        <v>0.79528065943581561</v>
      </c>
      <c r="H802" s="14">
        <v>30.958101551454213</v>
      </c>
      <c r="I802" s="14">
        <v>30.958099053622995</v>
      </c>
      <c r="J802" s="14">
        <v>0.14528253864298851</v>
      </c>
      <c r="K802" s="14">
        <v>30.957977970248482</v>
      </c>
      <c r="L802" s="14">
        <v>30.957928150451242</v>
      </c>
      <c r="M802" s="14">
        <v>13</v>
      </c>
    </row>
    <row r="803" spans="1:13" x14ac:dyDescent="0.3">
      <c r="A803" s="14">
        <v>792</v>
      </c>
      <c r="B803" s="14">
        <v>0.65407636003919523</v>
      </c>
      <c r="C803" s="14">
        <v>1.9942908590309116E-5</v>
      </c>
      <c r="D803" s="14">
        <v>32797.440607887627</v>
      </c>
      <c r="E803" s="14">
        <v>3.6525186594360548E-5</v>
      </c>
      <c r="F803" s="14">
        <v>17907.54328795637</v>
      </c>
      <c r="G803" s="14">
        <v>0.68245368796468242</v>
      </c>
      <c r="H803" s="14">
        <v>30.958101078288486</v>
      </c>
      <c r="I803" s="14">
        <v>30.958099151640077</v>
      </c>
      <c r="J803" s="14">
        <v>2.8377327925487229E-2</v>
      </c>
      <c r="K803" s="14">
        <v>30.958081135379896</v>
      </c>
      <c r="L803" s="14">
        <v>30.958062626453483</v>
      </c>
      <c r="M803" s="14">
        <v>13</v>
      </c>
    </row>
    <row r="804" spans="1:13" x14ac:dyDescent="0.3">
      <c r="A804" s="14">
        <v>793</v>
      </c>
      <c r="B804" s="14">
        <v>0.22098358294642234</v>
      </c>
      <c r="C804" s="14">
        <v>1.7343671359526525E-5</v>
      </c>
      <c r="D804" s="14">
        <v>12741.453546110961</v>
      </c>
      <c r="E804" s="14">
        <v>2.5741628498110458E-5</v>
      </c>
      <c r="F804" s="14">
        <v>8584.6776540436604</v>
      </c>
      <c r="G804" s="14">
        <v>0.2435339559452602</v>
      </c>
      <c r="H804" s="14">
        <v>30.958101518648533</v>
      </c>
      <c r="I804" s="14">
        <v>30.958101109029428</v>
      </c>
      <c r="J804" s="14">
        <v>2.2550372998837848E-2</v>
      </c>
      <c r="K804" s="14">
        <v>30.958084174977174</v>
      </c>
      <c r="L804" s="14">
        <v>30.95807536740093</v>
      </c>
      <c r="M804" s="14">
        <v>9</v>
      </c>
    </row>
    <row r="805" spans="1:13" x14ac:dyDescent="0.3">
      <c r="A805" s="14">
        <v>794</v>
      </c>
      <c r="B805" s="14">
        <v>0.44770084362517903</v>
      </c>
      <c r="C805" s="14">
        <v>2.4087862811938976E-5</v>
      </c>
      <c r="D805" s="14">
        <v>18586.158810373137</v>
      </c>
      <c r="E805" s="14">
        <v>4.3050303588643146E-5</v>
      </c>
      <c r="F805" s="14">
        <v>10399.48168317411</v>
      </c>
      <c r="G805" s="14">
        <v>0.52267826849346066</v>
      </c>
      <c r="H805" s="14">
        <v>30.958101515658775</v>
      </c>
      <c r="I805" s="14">
        <v>30.958100306524102</v>
      </c>
      <c r="J805" s="14">
        <v>7.4977424868281656E-2</v>
      </c>
      <c r="K805" s="14">
        <v>30.958077427795963</v>
      </c>
      <c r="L805" s="14">
        <v>30.958057256220513</v>
      </c>
      <c r="M805" s="14">
        <v>10</v>
      </c>
    </row>
    <row r="806" spans="1:13" x14ac:dyDescent="0.3">
      <c r="A806" s="14">
        <v>795</v>
      </c>
      <c r="B806" s="14">
        <v>0.39919021800426169</v>
      </c>
      <c r="C806" s="14">
        <v>3.1808663937482606E-5</v>
      </c>
      <c r="D806" s="14">
        <v>12549.732324150371</v>
      </c>
      <c r="E806" s="14">
        <v>5.2202412753388217E-5</v>
      </c>
      <c r="F806" s="14">
        <v>7646.9687309300107</v>
      </c>
      <c r="G806" s="14">
        <v>0.5121126255894336</v>
      </c>
      <c r="H806" s="14">
        <v>30.958101490839848</v>
      </c>
      <c r="I806" s="14">
        <v>30.958101254457514</v>
      </c>
      <c r="J806" s="14">
        <v>0.11292240758517191</v>
      </c>
      <c r="K806" s="14">
        <v>30.95806968217591</v>
      </c>
      <c r="L806" s="14">
        <v>30.95804905204476</v>
      </c>
      <c r="M806" s="14">
        <v>13</v>
      </c>
    </row>
    <row r="807" spans="1:13" x14ac:dyDescent="0.3">
      <c r="A807" s="14">
        <v>796</v>
      </c>
      <c r="B807" s="14">
        <v>0.52657748080601474</v>
      </c>
      <c r="C807" s="14">
        <v>3.1281717610909254E-5</v>
      </c>
      <c r="D807" s="14">
        <v>16833.394104368967</v>
      </c>
      <c r="E807" s="14">
        <v>6.5176108471121097E-5</v>
      </c>
      <c r="F807" s="14">
        <v>8079.3022651749161</v>
      </c>
      <c r="G807" s="14">
        <v>0.58019808431181641</v>
      </c>
      <c r="H807" s="14">
        <v>30.958101266022137</v>
      </c>
      <c r="I807" s="14">
        <v>30.958099935658275</v>
      </c>
      <c r="J807" s="14">
        <v>5.3620603505801653E-2</v>
      </c>
      <c r="K807" s="14">
        <v>30.958069984304526</v>
      </c>
      <c r="L807" s="14">
        <v>30.958034759549804</v>
      </c>
      <c r="M807" s="14">
        <v>15</v>
      </c>
    </row>
    <row r="808" spans="1:13" x14ac:dyDescent="0.3">
      <c r="A808" s="14">
        <v>797</v>
      </c>
      <c r="B808" s="14">
        <v>0.36310693457949217</v>
      </c>
      <c r="C808" s="14">
        <v>2.4626441636144136E-5</v>
      </c>
      <c r="D808" s="14">
        <v>14744.596070532638</v>
      </c>
      <c r="E808" s="14">
        <v>3.5358838896826228E-5</v>
      </c>
      <c r="F808" s="14">
        <v>10269.198477896973</v>
      </c>
      <c r="G808" s="14">
        <v>0.40436355904168275</v>
      </c>
      <c r="H808" s="14">
        <v>30.958101520066673</v>
      </c>
      <c r="I808" s="14">
        <v>30.958101169092853</v>
      </c>
      <c r="J808" s="14">
        <v>4.1256624462190569E-2</v>
      </c>
      <c r="K808" s="14">
        <v>30.958076893625037</v>
      </c>
      <c r="L808" s="14">
        <v>30.958065810253956</v>
      </c>
      <c r="M808" s="14">
        <v>15</v>
      </c>
    </row>
    <row r="809" spans="1:13" x14ac:dyDescent="0.3">
      <c r="A809" s="14">
        <v>798</v>
      </c>
      <c r="B809" s="14">
        <v>0.17403235588041049</v>
      </c>
      <c r="C809" s="14">
        <v>6.5103912604058678E-5</v>
      </c>
      <c r="D809" s="14">
        <v>2673.147418018023</v>
      </c>
      <c r="E809" s="14">
        <v>8.0413523090072658E-5</v>
      </c>
      <c r="F809" s="14">
        <v>2164.2175245259887</v>
      </c>
      <c r="G809" s="14">
        <v>0.41619851892930548</v>
      </c>
      <c r="H809" s="14">
        <v>30.958099849307878</v>
      </c>
      <c r="I809" s="14">
        <v>30.958098476333689</v>
      </c>
      <c r="J809" s="14">
        <v>0.24216616304889499</v>
      </c>
      <c r="K809" s="14">
        <v>30.958034745395274</v>
      </c>
      <c r="L809" s="14">
        <v>30.958018062810599</v>
      </c>
      <c r="M809" s="14">
        <v>12</v>
      </c>
    </row>
    <row r="810" spans="1:13" x14ac:dyDescent="0.3">
      <c r="A810" s="14">
        <v>799</v>
      </c>
      <c r="B810" s="14">
        <v>0.41595776685115438</v>
      </c>
      <c r="C810" s="14">
        <v>7.0742275784851927E-5</v>
      </c>
      <c r="D810" s="14">
        <v>5879.9036677333415</v>
      </c>
      <c r="E810" s="14">
        <v>8.0298828983416115E-5</v>
      </c>
      <c r="F810" s="14">
        <v>5180.122451562288</v>
      </c>
      <c r="G810" s="14">
        <v>0.55637210977533214</v>
      </c>
      <c r="H810" s="14">
        <v>30.958101544489903</v>
      </c>
      <c r="I810" s="14">
        <v>30.958100695633515</v>
      </c>
      <c r="J810" s="14">
        <v>0.14041434292417773</v>
      </c>
      <c r="K810" s="14">
        <v>30.958030802214118</v>
      </c>
      <c r="L810" s="14">
        <v>30.958020396804532</v>
      </c>
      <c r="M810" s="14">
        <v>10</v>
      </c>
    </row>
    <row r="811" spans="1:13" x14ac:dyDescent="0.3">
      <c r="A811" s="14">
        <v>800</v>
      </c>
      <c r="B811" s="14">
        <v>0.47332604264616118</v>
      </c>
      <c r="C811" s="14">
        <v>2.9456887659762288E-5</v>
      </c>
      <c r="D811" s="14">
        <v>16068.433573609278</v>
      </c>
      <c r="E811" s="14">
        <v>3.9826689842925589E-5</v>
      </c>
      <c r="F811" s="14">
        <v>11884.644305437752</v>
      </c>
      <c r="G811" s="14">
        <v>0.54891660625127769</v>
      </c>
      <c r="H811" s="14">
        <v>30.958101420397828</v>
      </c>
      <c r="I811" s="14">
        <v>30.958100678525909</v>
      </c>
      <c r="J811" s="14">
        <v>7.5590563605116498E-2</v>
      </c>
      <c r="K811" s="14">
        <v>30.958071963510168</v>
      </c>
      <c r="L811" s="14">
        <v>30.958060851836066</v>
      </c>
      <c r="M811" s="14">
        <v>14</v>
      </c>
    </row>
    <row r="812" spans="1:13" x14ac:dyDescent="0.3">
      <c r="A812" s="14">
        <v>801</v>
      </c>
      <c r="B812" s="14">
        <v>0.6381440283888532</v>
      </c>
      <c r="C812" s="14">
        <v>3.7022779853401744E-5</v>
      </c>
      <c r="D812" s="14">
        <v>17236.523862219357</v>
      </c>
      <c r="E812" s="14">
        <v>6.9673749063525747E-5</v>
      </c>
      <c r="F812" s="14">
        <v>9159.0310119097921</v>
      </c>
      <c r="G812" s="14">
        <v>0.70746290309500437</v>
      </c>
      <c r="H812" s="14">
        <v>30.9581014559955</v>
      </c>
      <c r="I812" s="14">
        <v>30.958101144731383</v>
      </c>
      <c r="J812" s="14">
        <v>6.9318874706151168E-2</v>
      </c>
      <c r="K812" s="14">
        <v>30.958064433215647</v>
      </c>
      <c r="L812" s="14">
        <v>30.95803147098232</v>
      </c>
      <c r="M812" s="14">
        <v>13</v>
      </c>
    </row>
    <row r="813" spans="1:13" x14ac:dyDescent="0.3">
      <c r="A813" s="14">
        <v>802</v>
      </c>
      <c r="B813" s="14">
        <v>0.31392460070422873</v>
      </c>
      <c r="C813" s="14">
        <v>6.4441133297066244E-5</v>
      </c>
      <c r="D813" s="14">
        <v>4871.4941007798898</v>
      </c>
      <c r="E813" s="14">
        <v>7.5125566446843095E-5</v>
      </c>
      <c r="F813" s="14">
        <v>4178.6653405981788</v>
      </c>
      <c r="G813" s="14">
        <v>0.50609445457139801</v>
      </c>
      <c r="H813" s="14">
        <v>30.9580999694514</v>
      </c>
      <c r="I813" s="14">
        <v>30.958099554084779</v>
      </c>
      <c r="J813" s="14">
        <v>0.19216985386716928</v>
      </c>
      <c r="K813" s="14">
        <v>30.958035528318103</v>
      </c>
      <c r="L813" s="14">
        <v>30.958024428518332</v>
      </c>
      <c r="M813" s="14">
        <v>11</v>
      </c>
    </row>
    <row r="814" spans="1:13" x14ac:dyDescent="0.3">
      <c r="A814" s="14">
        <v>803</v>
      </c>
      <c r="B814" s="14">
        <v>0.45990125191070441</v>
      </c>
      <c r="C814" s="14">
        <v>4.831736774235651E-6</v>
      </c>
      <c r="D814" s="14">
        <v>95183.424387488034</v>
      </c>
      <c r="E814" s="14">
        <v>1.8947068650021492E-5</v>
      </c>
      <c r="F814" s="14">
        <v>24272.950101449213</v>
      </c>
      <c r="G814" s="14">
        <v>0.48004688344325869</v>
      </c>
      <c r="H814" s="14">
        <v>30.958101540070839</v>
      </c>
      <c r="I814" s="14">
        <v>30.958101223544688</v>
      </c>
      <c r="J814" s="14">
        <v>2.0145631532554248E-2</v>
      </c>
      <c r="K814" s="14">
        <v>30.958096708334065</v>
      </c>
      <c r="L814" s="14">
        <v>30.958082276476038</v>
      </c>
      <c r="M814" s="14">
        <v>11</v>
      </c>
    </row>
    <row r="815" spans="1:13" x14ac:dyDescent="0.3">
      <c r="A815" s="14">
        <v>804</v>
      </c>
      <c r="B815" s="14">
        <v>0.32314703025323843</v>
      </c>
      <c r="C815" s="14">
        <v>4.7407713136493612E-5</v>
      </c>
      <c r="D815" s="14">
        <v>6816.3387110205413</v>
      </c>
      <c r="E815" s="14">
        <v>7.4121311147479219E-5</v>
      </c>
      <c r="F815" s="14">
        <v>4359.7047225766501</v>
      </c>
      <c r="G815" s="14">
        <v>0.4507242924330539</v>
      </c>
      <c r="H815" s="14">
        <v>30.958098079616583</v>
      </c>
      <c r="I815" s="14">
        <v>30.958095539358478</v>
      </c>
      <c r="J815" s="14">
        <v>0.12757726217981546</v>
      </c>
      <c r="K815" s="14">
        <v>30.958050671903447</v>
      </c>
      <c r="L815" s="14">
        <v>30.958021418047331</v>
      </c>
      <c r="M815" s="14">
        <v>10</v>
      </c>
    </row>
    <row r="816" spans="1:13" x14ac:dyDescent="0.3">
      <c r="A816" s="14">
        <v>805</v>
      </c>
      <c r="B816" s="14">
        <v>0.36562302320489609</v>
      </c>
      <c r="C816" s="14">
        <v>3.6402883385022733E-5</v>
      </c>
      <c r="D816" s="14">
        <v>10043.792941833961</v>
      </c>
      <c r="E816" s="14">
        <v>5.408361439407372E-5</v>
      </c>
      <c r="F816" s="14">
        <v>6760.3289332851928</v>
      </c>
      <c r="G816" s="14">
        <v>0.4687231748016828</v>
      </c>
      <c r="H816" s="14">
        <v>30.958095795785567</v>
      </c>
      <c r="I816" s="14">
        <v>30.958092157673196</v>
      </c>
      <c r="J816" s="14">
        <v>0.1031001515967867</v>
      </c>
      <c r="K816" s="14">
        <v>30.958059392902182</v>
      </c>
      <c r="L816" s="14">
        <v>30.958038074058802</v>
      </c>
      <c r="M816" s="14">
        <v>9</v>
      </c>
    </row>
    <row r="817" spans="1:13" x14ac:dyDescent="0.3">
      <c r="A817" s="14">
        <v>806</v>
      </c>
      <c r="B817" s="14">
        <v>0.7671539295461931</v>
      </c>
      <c r="C817" s="14">
        <v>5.242392646209737E-6</v>
      </c>
      <c r="D817" s="14">
        <v>146336.60263903494</v>
      </c>
      <c r="E817" s="14">
        <v>3.6019442138268687E-5</v>
      </c>
      <c r="F817" s="14">
        <v>21298.329013572755</v>
      </c>
      <c r="G817" s="14">
        <v>0.7863284143253817</v>
      </c>
      <c r="H817" s="14">
        <v>30.9581014399919</v>
      </c>
      <c r="I817" s="14">
        <v>30.958099573878528</v>
      </c>
      <c r="J817" s="14">
        <v>1.9174484779188608E-2</v>
      </c>
      <c r="K817" s="14">
        <v>30.958096197599254</v>
      </c>
      <c r="L817" s="14">
        <v>30.958063554436389</v>
      </c>
      <c r="M817" s="14">
        <v>9</v>
      </c>
    </row>
    <row r="818" spans="1:13" x14ac:dyDescent="0.3">
      <c r="A818" s="14">
        <v>807</v>
      </c>
      <c r="B818" s="14">
        <v>0.33508307551735367</v>
      </c>
      <c r="C818" s="14">
        <v>5.2031697105547892E-5</v>
      </c>
      <c r="D818" s="14">
        <v>6439.9797461464186</v>
      </c>
      <c r="E818" s="14">
        <v>6.8709608466832606E-5</v>
      </c>
      <c r="F818" s="14">
        <v>4876.8008287968114</v>
      </c>
      <c r="G818" s="14">
        <v>0.41540480318316114</v>
      </c>
      <c r="H818" s="14">
        <v>30.958099947213928</v>
      </c>
      <c r="I818" s="14">
        <v>30.958098041365755</v>
      </c>
      <c r="J818" s="14">
        <v>8.0321727665807474E-2</v>
      </c>
      <c r="K818" s="14">
        <v>30.958047915516822</v>
      </c>
      <c r="L818" s="14">
        <v>30.958029331757288</v>
      </c>
      <c r="M818" s="14">
        <v>10</v>
      </c>
    </row>
    <row r="819" spans="1:13" x14ac:dyDescent="0.3">
      <c r="A819" s="14">
        <v>808</v>
      </c>
      <c r="B819" s="14">
        <v>0.45542989216091517</v>
      </c>
      <c r="C819" s="14">
        <v>5.1863393188966711E-6</v>
      </c>
      <c r="D819" s="14">
        <v>87813.362018473214</v>
      </c>
      <c r="E819" s="14">
        <v>2.7176845517118409E-5</v>
      </c>
      <c r="F819" s="14">
        <v>16758.011590198894</v>
      </c>
      <c r="G819" s="14">
        <v>0.4793113942927637</v>
      </c>
      <c r="H819" s="14">
        <v>30.958101551454217</v>
      </c>
      <c r="I819" s="14">
        <v>30.958100436859986</v>
      </c>
      <c r="J819" s="14">
        <v>2.388150213184851E-2</v>
      </c>
      <c r="K819" s="14">
        <v>30.958096365114898</v>
      </c>
      <c r="L819" s="14">
        <v>30.958073260014469</v>
      </c>
      <c r="M819" s="14">
        <v>10</v>
      </c>
    </row>
    <row r="820" spans="1:13" x14ac:dyDescent="0.3">
      <c r="A820" s="14">
        <v>809</v>
      </c>
      <c r="B820" s="14">
        <v>1.0639973602756223</v>
      </c>
      <c r="C820" s="14">
        <v>5.2001455372874261E-6</v>
      </c>
      <c r="D820" s="14">
        <v>204609.15038747928</v>
      </c>
      <c r="E820" s="14">
        <v>5.1319012936090758E-5</v>
      </c>
      <c r="F820" s="14">
        <v>20733.005165174414</v>
      </c>
      <c r="G820" s="14">
        <v>1.1011622815862998</v>
      </c>
      <c r="H820" s="14">
        <v>30.958101422126266</v>
      </c>
      <c r="I820" s="14">
        <v>30.958096753558124</v>
      </c>
      <c r="J820" s="14">
        <v>3.7164921310677605E-2</v>
      </c>
      <c r="K820" s="14">
        <v>30.958096221980728</v>
      </c>
      <c r="L820" s="14">
        <v>30.958045434545188</v>
      </c>
      <c r="M820" s="14">
        <v>15</v>
      </c>
    </row>
    <row r="821" spans="1:13" x14ac:dyDescent="0.3">
      <c r="A821" s="14">
        <v>810</v>
      </c>
      <c r="B821" s="14">
        <v>0.83164206474592239</v>
      </c>
      <c r="C821" s="14">
        <v>6.8236685734746061E-5</v>
      </c>
      <c r="D821" s="14">
        <v>12187.609286575462</v>
      </c>
      <c r="E821" s="14">
        <v>9.4764248107281901E-5</v>
      </c>
      <c r="F821" s="14">
        <v>8775.9052739428334</v>
      </c>
      <c r="G821" s="14">
        <v>1.1373775208530965</v>
      </c>
      <c r="H821" s="14">
        <v>30.958101550938984</v>
      </c>
      <c r="I821" s="14">
        <v>30.95810034375846</v>
      </c>
      <c r="J821" s="14">
        <v>0.30573545610717406</v>
      </c>
      <c r="K821" s="14">
        <v>30.95803331425325</v>
      </c>
      <c r="L821" s="14">
        <v>30.958005579510353</v>
      </c>
      <c r="M821" s="14">
        <v>13</v>
      </c>
    </row>
    <row r="822" spans="1:13" x14ac:dyDescent="0.3">
      <c r="A822" s="14">
        <v>811</v>
      </c>
      <c r="B822" s="14">
        <v>0.50817413717431414</v>
      </c>
      <c r="C822" s="14">
        <v>2.193461561361687E-5</v>
      </c>
      <c r="D822" s="14">
        <v>23167.679166387712</v>
      </c>
      <c r="E822" s="14">
        <v>3.6565956264666966E-5</v>
      </c>
      <c r="F822" s="14">
        <v>13897.466088295736</v>
      </c>
      <c r="G822" s="14">
        <v>0.55757499068462657</v>
      </c>
      <c r="H822" s="14">
        <v>30.958101458915333</v>
      </c>
      <c r="I822" s="14">
        <v>30.958101170671654</v>
      </c>
      <c r="J822" s="14">
        <v>4.9400853510312412E-2</v>
      </c>
      <c r="K822" s="14">
        <v>30.95807952429972</v>
      </c>
      <c r="L822" s="14">
        <v>30.958064604715389</v>
      </c>
      <c r="M822" s="14">
        <v>14</v>
      </c>
    </row>
    <row r="823" spans="1:13" x14ac:dyDescent="0.3">
      <c r="A823" s="14">
        <v>812</v>
      </c>
      <c r="B823" s="14">
        <v>0.28222167099750139</v>
      </c>
      <c r="C823" s="14">
        <v>3.9294215305574198E-5</v>
      </c>
      <c r="D823" s="14">
        <v>7182.2701841170501</v>
      </c>
      <c r="E823" s="14">
        <v>5.4528393437891509E-5</v>
      </c>
      <c r="F823" s="14">
        <v>5175.6828544555465</v>
      </c>
      <c r="G823" s="14">
        <v>0.50404408760497021</v>
      </c>
      <c r="H823" s="14">
        <v>30.95809891979432</v>
      </c>
      <c r="I823" s="14">
        <v>30.958096908500266</v>
      </c>
      <c r="J823" s="14">
        <v>0.22182241660746882</v>
      </c>
      <c r="K823" s="14">
        <v>30.958059625579015</v>
      </c>
      <c r="L823" s="14">
        <v>30.958042380106829</v>
      </c>
      <c r="M823" s="14">
        <v>14</v>
      </c>
    </row>
    <row r="824" spans="1:13" x14ac:dyDescent="0.3">
      <c r="A824" s="14">
        <v>813</v>
      </c>
      <c r="B824" s="14">
        <v>0.20009200370398908</v>
      </c>
      <c r="C824" s="14">
        <v>1.7510865872694126E-4</v>
      </c>
      <c r="D824" s="14">
        <v>1142.6733843927502</v>
      </c>
      <c r="E824" s="14">
        <v>1.8098177356762335E-4</v>
      </c>
      <c r="F824" s="14">
        <v>1105.5920149286483</v>
      </c>
      <c r="G824" s="14">
        <v>0.34208995030470174</v>
      </c>
      <c r="H824" s="14">
        <v>30.958082410519907</v>
      </c>
      <c r="I824" s="14">
        <v>30.958081206453031</v>
      </c>
      <c r="J824" s="14">
        <v>0.14199794660071266</v>
      </c>
      <c r="K824" s="14">
        <v>30.95790730186118</v>
      </c>
      <c r="L824" s="14">
        <v>30.957900224679463</v>
      </c>
      <c r="M824" s="14">
        <v>9</v>
      </c>
    </row>
    <row r="825" spans="1:13" x14ac:dyDescent="0.3">
      <c r="A825" s="14">
        <v>814</v>
      </c>
      <c r="B825" s="14">
        <v>0.38635601860566426</v>
      </c>
      <c r="C825" s="14">
        <v>1.710317156167207E-5</v>
      </c>
      <c r="D825" s="14">
        <v>22589.729466988556</v>
      </c>
      <c r="E825" s="14">
        <v>3.2824316509305618E-5</v>
      </c>
      <c r="F825" s="14">
        <v>11770.4208249434</v>
      </c>
      <c r="G825" s="14">
        <v>0.41736132415741944</v>
      </c>
      <c r="H825" s="14">
        <v>30.958101051810811</v>
      </c>
      <c r="I825" s="14">
        <v>30.958100115909552</v>
      </c>
      <c r="J825" s="14">
        <v>3.1005305551755208E-2</v>
      </c>
      <c r="K825" s="14">
        <v>30.958083948639249</v>
      </c>
      <c r="L825" s="14">
        <v>30.958067291593043</v>
      </c>
      <c r="M825" s="14">
        <v>9</v>
      </c>
    </row>
    <row r="826" spans="1:13" x14ac:dyDescent="0.3">
      <c r="A826" s="14">
        <v>815</v>
      </c>
      <c r="B826" s="14">
        <v>0.10643288108849025</v>
      </c>
      <c r="C826" s="14">
        <v>5.6074030513997286E-5</v>
      </c>
      <c r="D826" s="14">
        <v>1898.0779536067469</v>
      </c>
      <c r="E826" s="14">
        <v>7.3075746339412717E-5</v>
      </c>
      <c r="F826" s="14">
        <v>1456.4734049262345</v>
      </c>
      <c r="G826" s="14">
        <v>0.80767791121200039</v>
      </c>
      <c r="H826" s="14">
        <v>30.958100980682474</v>
      </c>
      <c r="I826" s="14">
        <v>30.958099530750115</v>
      </c>
      <c r="J826" s="14">
        <v>0.70124503012351014</v>
      </c>
      <c r="K826" s="14">
        <v>30.95804490665196</v>
      </c>
      <c r="L826" s="14">
        <v>30.958026455003775</v>
      </c>
      <c r="M826" s="14">
        <v>15</v>
      </c>
    </row>
    <row r="827" spans="1:13" x14ac:dyDescent="0.3">
      <c r="A827" s="14">
        <v>816</v>
      </c>
      <c r="B827" s="14">
        <v>0.57715532299721306</v>
      </c>
      <c r="C827" s="14">
        <v>6.3792970859566367E-5</v>
      </c>
      <c r="D827" s="14">
        <v>9047.3184619001495</v>
      </c>
      <c r="E827" s="14">
        <v>9.4003012119259211E-5</v>
      </c>
      <c r="F827" s="14">
        <v>6139.7535034833872</v>
      </c>
      <c r="G827" s="14">
        <v>0.86074563546985505</v>
      </c>
      <c r="H827" s="14">
        <v>30.958099340327081</v>
      </c>
      <c r="I827" s="14">
        <v>30.958098101155642</v>
      </c>
      <c r="J827" s="14">
        <v>0.28359031247264205</v>
      </c>
      <c r="K827" s="14">
        <v>30.958035547356221</v>
      </c>
      <c r="L827" s="14">
        <v>30.958004098143522</v>
      </c>
      <c r="M827" s="14">
        <v>11</v>
      </c>
    </row>
    <row r="828" spans="1:13" x14ac:dyDescent="0.3">
      <c r="A828" s="14">
        <v>817</v>
      </c>
      <c r="B828" s="14">
        <v>0.66361034097843252</v>
      </c>
      <c r="C828" s="14">
        <v>1.3107514263310804E-5</v>
      </c>
      <c r="D828" s="14">
        <v>50628.237181167278</v>
      </c>
      <c r="E828" s="14">
        <v>3.3626807756093058E-5</v>
      </c>
      <c r="F828" s="14">
        <v>19734.562548780406</v>
      </c>
      <c r="G828" s="14">
        <v>0.72458211595879773</v>
      </c>
      <c r="H828" s="14">
        <v>30.958101357598714</v>
      </c>
      <c r="I828" s="14">
        <v>30.958100272729123</v>
      </c>
      <c r="J828" s="14">
        <v>6.097177498036517E-2</v>
      </c>
      <c r="K828" s="14">
        <v>30.958088250084451</v>
      </c>
      <c r="L828" s="14">
        <v>30.958066645921367</v>
      </c>
      <c r="M828" s="14">
        <v>10</v>
      </c>
    </row>
    <row r="829" spans="1:13" x14ac:dyDescent="0.3">
      <c r="A829" s="14">
        <v>818</v>
      </c>
      <c r="B829" s="14">
        <v>0.41156403749929016</v>
      </c>
      <c r="C829" s="14">
        <v>7.4912886965705638E-5</v>
      </c>
      <c r="D829" s="14">
        <v>5493.901705960151</v>
      </c>
      <c r="E829" s="14">
        <v>9.1495779471983951E-5</v>
      </c>
      <c r="F829" s="14">
        <v>4498.175105719617</v>
      </c>
      <c r="G829" s="14">
        <v>0.58061863753845167</v>
      </c>
      <c r="H829" s="14">
        <v>30.958101390703519</v>
      </c>
      <c r="I829" s="14">
        <v>30.958100076665854</v>
      </c>
      <c r="J829" s="14">
        <v>0.16905460003916148</v>
      </c>
      <c r="K829" s="14">
        <v>30.958026477816553</v>
      </c>
      <c r="L829" s="14">
        <v>30.958008580886382</v>
      </c>
      <c r="M829" s="14">
        <v>10</v>
      </c>
    </row>
    <row r="830" spans="1:13" x14ac:dyDescent="0.3">
      <c r="A830" s="14">
        <v>819</v>
      </c>
      <c r="B830" s="14">
        <v>0.42362150226456474</v>
      </c>
      <c r="C830" s="14">
        <v>5.3035907374265889E-5</v>
      </c>
      <c r="D830" s="14">
        <v>7987.4470568616043</v>
      </c>
      <c r="E830" s="14">
        <v>7.1299865254559336E-5</v>
      </c>
      <c r="F830" s="14">
        <v>5941.4067719780978</v>
      </c>
      <c r="G830" s="14">
        <v>0.49540570141914092</v>
      </c>
      <c r="H830" s="14">
        <v>30.958100231357413</v>
      </c>
      <c r="I830" s="14">
        <v>30.958099512366342</v>
      </c>
      <c r="J830" s="14">
        <v>7.1784199154576178E-2</v>
      </c>
      <c r="K830" s="14">
        <v>30.958047195450039</v>
      </c>
      <c r="L830" s="14">
        <v>30.958028212501087</v>
      </c>
      <c r="M830" s="14">
        <v>13</v>
      </c>
    </row>
    <row r="831" spans="1:13" x14ac:dyDescent="0.3">
      <c r="A831" s="14">
        <v>820</v>
      </c>
      <c r="B831" s="14">
        <v>0.54164508379053222</v>
      </c>
      <c r="C831" s="14">
        <v>9.8462653355113616E-6</v>
      </c>
      <c r="D831" s="14">
        <v>55010.20593432973</v>
      </c>
      <c r="E831" s="14">
        <v>3.9346926950400984E-5</v>
      </c>
      <c r="F831" s="14">
        <v>13765.880229307522</v>
      </c>
      <c r="G831" s="14">
        <v>0.56602885978376771</v>
      </c>
      <c r="H831" s="14">
        <v>30.958100882031903</v>
      </c>
      <c r="I831" s="14">
        <v>30.958098789090684</v>
      </c>
      <c r="J831" s="14">
        <v>2.4383775993235546E-2</v>
      </c>
      <c r="K831" s="14">
        <v>30.958091035766568</v>
      </c>
      <c r="L831" s="14">
        <v>30.958059442163734</v>
      </c>
      <c r="M831" s="14">
        <v>11</v>
      </c>
    </row>
    <row r="832" spans="1:13" x14ac:dyDescent="0.3">
      <c r="A832" s="14">
        <v>821</v>
      </c>
      <c r="B832" s="14">
        <v>0.51663727404987758</v>
      </c>
      <c r="C832" s="14">
        <v>3.159284721832023E-5</v>
      </c>
      <c r="D832" s="14">
        <v>16352.982384895249</v>
      </c>
      <c r="E832" s="14">
        <v>7.1108023590227276E-5</v>
      </c>
      <c r="F832" s="14">
        <v>7265.52712288971</v>
      </c>
      <c r="G832" s="14">
        <v>0.60505082390260134</v>
      </c>
      <c r="H832" s="14">
        <v>30.958100346628932</v>
      </c>
      <c r="I832" s="14">
        <v>30.958098371315408</v>
      </c>
      <c r="J832" s="14">
        <v>8.8413549852723733E-2</v>
      </c>
      <c r="K832" s="14">
        <v>30.958068753781713</v>
      </c>
      <c r="L832" s="14">
        <v>30.958027263291818</v>
      </c>
      <c r="M832" s="14">
        <v>12</v>
      </c>
    </row>
    <row r="833" spans="1:13" x14ac:dyDescent="0.3">
      <c r="A833" s="14">
        <v>822</v>
      </c>
      <c r="B833" s="14">
        <v>0.83561271727421127</v>
      </c>
      <c r="C833" s="14">
        <v>1.032986547038206E-4</v>
      </c>
      <c r="D833" s="14">
        <v>8089.2894459283343</v>
      </c>
      <c r="E833" s="14">
        <v>1.2852578233335521E-4</v>
      </c>
      <c r="F833" s="14">
        <v>6501.5182331813885</v>
      </c>
      <c r="G833" s="14">
        <v>1.0509652048058358</v>
      </c>
      <c r="H833" s="14">
        <v>30.958088459063131</v>
      </c>
      <c r="I833" s="14">
        <v>30.958083709805589</v>
      </c>
      <c r="J833" s="14">
        <v>0.2153524875316245</v>
      </c>
      <c r="K833" s="14">
        <v>30.957985160408427</v>
      </c>
      <c r="L833" s="14">
        <v>30.957955184023255</v>
      </c>
      <c r="M833" s="14">
        <v>10</v>
      </c>
    </row>
    <row r="834" spans="1:13" x14ac:dyDescent="0.3">
      <c r="A834" s="14">
        <v>823</v>
      </c>
      <c r="B834" s="14">
        <v>0.43181408341607258</v>
      </c>
      <c r="C834" s="14">
        <v>2.5296381572559312E-5</v>
      </c>
      <c r="D834" s="14">
        <v>17070.191725938006</v>
      </c>
      <c r="E834" s="14">
        <v>4.1401266891227806E-5</v>
      </c>
      <c r="F834" s="14">
        <v>10429.972699882919</v>
      </c>
      <c r="G834" s="14">
        <v>0.55912157066638768</v>
      </c>
      <c r="H834" s="14">
        <v>30.958100612760173</v>
      </c>
      <c r="I834" s="14">
        <v>30.958099580137091</v>
      </c>
      <c r="J834" s="14">
        <v>0.1273074872503151</v>
      </c>
      <c r="K834" s="14">
        <v>30.958075316378601</v>
      </c>
      <c r="L834" s="14">
        <v>30.9580581788702</v>
      </c>
      <c r="M834" s="14">
        <v>9</v>
      </c>
    </row>
    <row r="835" spans="1:13" x14ac:dyDescent="0.3">
      <c r="A835" s="14">
        <v>824</v>
      </c>
      <c r="B835" s="14">
        <v>0.7261243648416803</v>
      </c>
      <c r="C835" s="14">
        <v>5.4977753300988752E-6</v>
      </c>
      <c r="D835" s="14">
        <v>132076.03462192067</v>
      </c>
      <c r="E835" s="14">
        <v>2.8594574274620754E-5</v>
      </c>
      <c r="F835" s="14">
        <v>25393.781277105962</v>
      </c>
      <c r="G835" s="14">
        <v>0.75187953411941755</v>
      </c>
      <c r="H835" s="14">
        <v>30.958101549581343</v>
      </c>
      <c r="I835" s="14">
        <v>30.958100233719279</v>
      </c>
      <c r="J835" s="14">
        <v>2.5755169277737296E-2</v>
      </c>
      <c r="K835" s="14">
        <v>30.958096051806013</v>
      </c>
      <c r="L835" s="14">
        <v>30.958071639145004</v>
      </c>
      <c r="M835" s="14">
        <v>9</v>
      </c>
    </row>
    <row r="836" spans="1:13" x14ac:dyDescent="0.3">
      <c r="A836" s="14">
        <v>825</v>
      </c>
      <c r="B836" s="14">
        <v>0.48407995989453323</v>
      </c>
      <c r="C836" s="14">
        <v>3.2040829530899373E-5</v>
      </c>
      <c r="D836" s="14">
        <v>15108.221821401305</v>
      </c>
      <c r="E836" s="14">
        <v>4.6249588152136312E-5</v>
      </c>
      <c r="F836" s="14">
        <v>10466.686931398612</v>
      </c>
      <c r="G836" s="14">
        <v>0.59517383614231167</v>
      </c>
      <c r="H836" s="14">
        <v>30.958101158881014</v>
      </c>
      <c r="I836" s="14">
        <v>30.958099800602341</v>
      </c>
      <c r="J836" s="14">
        <v>0.11109387624777842</v>
      </c>
      <c r="K836" s="14">
        <v>30.958069118051483</v>
      </c>
      <c r="L836" s="14">
        <v>30.958053551014189</v>
      </c>
      <c r="M836" s="14">
        <v>13</v>
      </c>
    </row>
    <row r="837" spans="1:13" x14ac:dyDescent="0.3">
      <c r="A837" s="14">
        <v>826</v>
      </c>
      <c r="B837" s="14">
        <v>0.49276371725826285</v>
      </c>
      <c r="C837" s="14">
        <v>1.7139713701652681E-5</v>
      </c>
      <c r="D837" s="14">
        <v>28749.821953604078</v>
      </c>
      <c r="E837" s="14">
        <v>3.6277033991893859E-5</v>
      </c>
      <c r="F837" s="14">
        <v>13583.351863009842</v>
      </c>
      <c r="G837" s="14">
        <v>0.55073135593104905</v>
      </c>
      <c r="H837" s="14">
        <v>30.958101140061817</v>
      </c>
      <c r="I837" s="14">
        <v>30.958099580617692</v>
      </c>
      <c r="J837" s="14">
        <v>5.7967638672786224E-2</v>
      </c>
      <c r="K837" s="14">
        <v>30.958084000348116</v>
      </c>
      <c r="L837" s="14">
        <v>30.9580633035837</v>
      </c>
      <c r="M837" s="14">
        <v>11</v>
      </c>
    </row>
    <row r="838" spans="1:13" x14ac:dyDescent="0.3">
      <c r="A838" s="14">
        <v>827</v>
      </c>
      <c r="B838" s="14">
        <v>0.5112607022185951</v>
      </c>
      <c r="C838" s="14">
        <v>1.8976030524697762E-5</v>
      </c>
      <c r="D838" s="14">
        <v>26942.4472917651</v>
      </c>
      <c r="E838" s="14">
        <v>3.847991481364943E-5</v>
      </c>
      <c r="F838" s="14">
        <v>13286.430198573176</v>
      </c>
      <c r="G838" s="14">
        <v>0.54940532642905771</v>
      </c>
      <c r="H838" s="14">
        <v>30.958101465416327</v>
      </c>
      <c r="I838" s="14">
        <v>30.958100333532581</v>
      </c>
      <c r="J838" s="14">
        <v>3.8144624210462573E-2</v>
      </c>
      <c r="K838" s="14">
        <v>30.958082489385802</v>
      </c>
      <c r="L838" s="14">
        <v>30.958061853617767</v>
      </c>
      <c r="M838" s="14">
        <v>15</v>
      </c>
    </row>
    <row r="839" spans="1:13" x14ac:dyDescent="0.3">
      <c r="A839" s="14">
        <v>828</v>
      </c>
      <c r="B839" s="14">
        <v>0.42229758697573239</v>
      </c>
      <c r="C839" s="14">
        <v>1.6640322581196187E-5</v>
      </c>
      <c r="D839" s="14">
        <v>25377.968781262385</v>
      </c>
      <c r="E839" s="14">
        <v>3.5475313001853692E-5</v>
      </c>
      <c r="F839" s="14">
        <v>11903.98480638257</v>
      </c>
      <c r="G839" s="14">
        <v>0.45823207173726666</v>
      </c>
      <c r="H839" s="14">
        <v>30.958101081319931</v>
      </c>
      <c r="I839" s="14">
        <v>30.958099572563874</v>
      </c>
      <c r="J839" s="14">
        <v>3.593448476153429E-2</v>
      </c>
      <c r="K839" s="14">
        <v>30.95808444099735</v>
      </c>
      <c r="L839" s="14">
        <v>30.958064097250872</v>
      </c>
      <c r="M839" s="14">
        <v>13</v>
      </c>
    </row>
    <row r="840" spans="1:13" x14ac:dyDescent="0.3">
      <c r="A840" s="14">
        <v>829</v>
      </c>
      <c r="B840" s="14">
        <v>0.51445550568749243</v>
      </c>
      <c r="C840" s="14">
        <v>3.1903544790878868E-5</v>
      </c>
      <c r="D840" s="14">
        <v>16125.339960171879</v>
      </c>
      <c r="E840" s="14">
        <v>4.9234579680756951E-5</v>
      </c>
      <c r="F840" s="14">
        <v>10449.068703811121</v>
      </c>
      <c r="G840" s="14">
        <v>0.68030342613953565</v>
      </c>
      <c r="H840" s="14">
        <v>30.958100751614531</v>
      </c>
      <c r="I840" s="14">
        <v>30.958099015948385</v>
      </c>
      <c r="J840" s="14">
        <v>0.16584792045204322</v>
      </c>
      <c r="K840" s="14">
        <v>30.95806884806974</v>
      </c>
      <c r="L840" s="14">
        <v>30.958049781368704</v>
      </c>
      <c r="M840" s="14">
        <v>13</v>
      </c>
    </row>
    <row r="841" spans="1:13" x14ac:dyDescent="0.3">
      <c r="A841" s="14">
        <v>830</v>
      </c>
      <c r="B841" s="14">
        <v>0.18958275242867562</v>
      </c>
      <c r="C841" s="14">
        <v>7.3755179503365298E-5</v>
      </c>
      <c r="D841" s="14">
        <v>2570.4330693144789</v>
      </c>
      <c r="E841" s="14">
        <v>8.2428228683539828E-5</v>
      </c>
      <c r="F841" s="14">
        <v>2299.9736310788098</v>
      </c>
      <c r="G841" s="14">
        <v>0.45105253556011626</v>
      </c>
      <c r="H841" s="14">
        <v>30.958099771347158</v>
      </c>
      <c r="I841" s="14">
        <v>30.958099545136708</v>
      </c>
      <c r="J841" s="14">
        <v>0.26146978313144065</v>
      </c>
      <c r="K841" s="14">
        <v>30.958026016167654</v>
      </c>
      <c r="L841" s="14">
        <v>30.958017116908024</v>
      </c>
      <c r="M841" s="14">
        <v>15</v>
      </c>
    </row>
    <row r="842" spans="1:13" x14ac:dyDescent="0.3">
      <c r="A842" s="14">
        <v>831</v>
      </c>
      <c r="B842" s="14">
        <v>0.65151851684701123</v>
      </c>
      <c r="C842" s="14">
        <v>1.7807348744014462E-5</v>
      </c>
      <c r="D842" s="14">
        <v>36587.058871748355</v>
      </c>
      <c r="E842" s="14">
        <v>3.9298588262681733E-5</v>
      </c>
      <c r="F842" s="14">
        <v>16578.674849388895</v>
      </c>
      <c r="G842" s="14">
        <v>0.80230275227512993</v>
      </c>
      <c r="H842" s="14">
        <v>30.958101516265671</v>
      </c>
      <c r="I842" s="14">
        <v>30.958100421951126</v>
      </c>
      <c r="J842" s="14">
        <v>0.15078423542811864</v>
      </c>
      <c r="K842" s="14">
        <v>30.958083708916927</v>
      </c>
      <c r="L842" s="14">
        <v>30.958061123362864</v>
      </c>
      <c r="M842" s="14">
        <v>9</v>
      </c>
    </row>
    <row r="843" spans="1:13" x14ac:dyDescent="0.3">
      <c r="A843" s="14">
        <v>832</v>
      </c>
      <c r="B843" s="14">
        <v>0.67477173550990444</v>
      </c>
      <c r="C843" s="14">
        <v>6.5592438712513967E-5</v>
      </c>
      <c r="D843" s="14">
        <v>10287.340259863962</v>
      </c>
      <c r="E843" s="14">
        <v>8.4270382249229669E-5</v>
      </c>
      <c r="F843" s="14">
        <v>8007.222911535715</v>
      </c>
      <c r="G843" s="14">
        <v>0.84552751625624856</v>
      </c>
      <c r="H843" s="14">
        <v>30.958101284562989</v>
      </c>
      <c r="I843" s="14">
        <v>30.958100326967873</v>
      </c>
      <c r="J843" s="14">
        <v>0.17075578074634412</v>
      </c>
      <c r="K843" s="14">
        <v>30.958035692124277</v>
      </c>
      <c r="L843" s="14">
        <v>30.958016056585624</v>
      </c>
      <c r="M843" s="14">
        <v>9</v>
      </c>
    </row>
    <row r="844" spans="1:13" x14ac:dyDescent="0.3">
      <c r="A844" s="14">
        <v>833</v>
      </c>
      <c r="B844" s="14">
        <v>0.37219631891397525</v>
      </c>
      <c r="C844" s="14">
        <v>1.0037934337248089E-4</v>
      </c>
      <c r="D844" s="14">
        <v>3707.8975256179378</v>
      </c>
      <c r="E844" s="14">
        <v>1.1764387397050768E-4</v>
      </c>
      <c r="F844" s="14">
        <v>3163.7543575561076</v>
      </c>
      <c r="G844" s="14">
        <v>0.63251235075767642</v>
      </c>
      <c r="H844" s="14">
        <v>30.958093639988153</v>
      </c>
      <c r="I844" s="14">
        <v>30.958090765253456</v>
      </c>
      <c r="J844" s="14">
        <v>0.26031603184370117</v>
      </c>
      <c r="K844" s="14">
        <v>30.957993260644781</v>
      </c>
      <c r="L844" s="14">
        <v>30.957973121379485</v>
      </c>
      <c r="M844" s="14">
        <v>12</v>
      </c>
    </row>
    <row r="845" spans="1:13" x14ac:dyDescent="0.3">
      <c r="A845" s="14">
        <v>834</v>
      </c>
      <c r="B845" s="14">
        <v>0.54861009733544575</v>
      </c>
      <c r="C845" s="14">
        <v>4.3842301717944565E-5</v>
      </c>
      <c r="D845" s="14">
        <v>12513.259474032147</v>
      </c>
      <c r="E845" s="14">
        <v>5.8498884357049974E-5</v>
      </c>
      <c r="F845" s="14">
        <v>9378.1292304137787</v>
      </c>
      <c r="G845" s="14">
        <v>0.68915252674340621</v>
      </c>
      <c r="H845" s="14">
        <v>30.958100267216377</v>
      </c>
      <c r="I845" s="14">
        <v>30.958098772530413</v>
      </c>
      <c r="J845" s="14">
        <v>0.14054242940796041</v>
      </c>
      <c r="K845" s="14">
        <v>30.958056424914659</v>
      </c>
      <c r="L845" s="14">
        <v>30.958040273646056</v>
      </c>
      <c r="M845" s="14">
        <v>10</v>
      </c>
    </row>
    <row r="846" spans="1:13" x14ac:dyDescent="0.3">
      <c r="A846" s="14">
        <v>835</v>
      </c>
      <c r="B846" s="14">
        <v>0.32147076535518715</v>
      </c>
      <c r="C846" s="14">
        <v>9.5289695515532458E-5</v>
      </c>
      <c r="D846" s="14">
        <v>3373.6152016855444</v>
      </c>
      <c r="E846" s="14">
        <v>1.0366910448666999E-4</v>
      </c>
      <c r="F846" s="14">
        <v>3100.9312460736319</v>
      </c>
      <c r="G846" s="14">
        <v>0.626983307682212</v>
      </c>
      <c r="H846" s="14">
        <v>30.958088089016965</v>
      </c>
      <c r="I846" s="14">
        <v>30.958086635411853</v>
      </c>
      <c r="J846" s="14">
        <v>0.30551254232702485</v>
      </c>
      <c r="K846" s="14">
        <v>30.957992799321449</v>
      </c>
      <c r="L846" s="14">
        <v>30.957982966307366</v>
      </c>
      <c r="M846" s="14">
        <v>11</v>
      </c>
    </row>
    <row r="847" spans="1:13" x14ac:dyDescent="0.3">
      <c r="A847" s="14">
        <v>836</v>
      </c>
      <c r="B847" s="14">
        <v>0.48430270727189917</v>
      </c>
      <c r="C847" s="14">
        <v>1.0392483719812162E-5</v>
      </c>
      <c r="D847" s="14">
        <v>46601.247625591917</v>
      </c>
      <c r="E847" s="14">
        <v>2.8782295238727329E-5</v>
      </c>
      <c r="F847" s="14">
        <v>16826.410237785945</v>
      </c>
      <c r="G847" s="14">
        <v>0.5424320546847845</v>
      </c>
      <c r="H847" s="14">
        <v>30.958101424873007</v>
      </c>
      <c r="I847" s="14">
        <v>30.958100984157547</v>
      </c>
      <c r="J847" s="14">
        <v>5.8129347412885335E-2</v>
      </c>
      <c r="K847" s="14">
        <v>30.958091032389287</v>
      </c>
      <c r="L847" s="14">
        <v>30.958072201862308</v>
      </c>
      <c r="M847" s="14">
        <v>9</v>
      </c>
    </row>
    <row r="848" spans="1:13" x14ac:dyDescent="0.3">
      <c r="A848" s="14">
        <v>837</v>
      </c>
      <c r="B848" s="14">
        <v>0.77614415556683491</v>
      </c>
      <c r="C848" s="14">
        <v>8.7611713038171501E-5</v>
      </c>
      <c r="D848" s="14">
        <v>8858.9085711482094</v>
      </c>
      <c r="E848" s="14">
        <v>1.1642324529503867E-4</v>
      </c>
      <c r="F848" s="14">
        <v>6666.5737894519079</v>
      </c>
      <c r="G848" s="14">
        <v>1.0173254133283867</v>
      </c>
      <c r="H848" s="14">
        <v>30.958100979528819</v>
      </c>
      <c r="I848" s="14">
        <v>30.958098710111749</v>
      </c>
      <c r="J848" s="14">
        <v>0.24118125776155175</v>
      </c>
      <c r="K848" s="14">
        <v>30.958013367815781</v>
      </c>
      <c r="L848" s="14">
        <v>30.957982286866454</v>
      </c>
      <c r="M848" s="14">
        <v>12</v>
      </c>
    </row>
    <row r="849" spans="1:13" x14ac:dyDescent="0.3">
      <c r="A849" s="14">
        <v>838</v>
      </c>
      <c r="B849" s="14">
        <v>0.45002499325472478</v>
      </c>
      <c r="C849" s="14">
        <v>1.2519357955653732E-5</v>
      </c>
      <c r="D849" s="14">
        <v>35946.331660841592</v>
      </c>
      <c r="E849" s="14">
        <v>2.9451810256375666E-5</v>
      </c>
      <c r="F849" s="14">
        <v>15280.04524466554</v>
      </c>
      <c r="G849" s="14">
        <v>0.46635455490922706</v>
      </c>
      <c r="H849" s="14">
        <v>30.958101531647461</v>
      </c>
      <c r="I849" s="14">
        <v>30.958101173554727</v>
      </c>
      <c r="J849" s="14">
        <v>1.6329561654502261E-2</v>
      </c>
      <c r="K849" s="14">
        <v>30.958089012289506</v>
      </c>
      <c r="L849" s="14">
        <v>30.958071721744471</v>
      </c>
      <c r="M849" s="14">
        <v>10</v>
      </c>
    </row>
    <row r="850" spans="1:13" x14ac:dyDescent="0.3">
      <c r="A850" s="14">
        <v>839</v>
      </c>
      <c r="B850" s="14">
        <v>0.80139220502999065</v>
      </c>
      <c r="C850" s="14">
        <v>2.5102376486785261E-5</v>
      </c>
      <c r="D850" s="14">
        <v>31924.953617513886</v>
      </c>
      <c r="E850" s="14">
        <v>6.9065982508220713E-5</v>
      </c>
      <c r="F850" s="14">
        <v>11603.283931197291</v>
      </c>
      <c r="G850" s="14">
        <v>0.85040289837286409</v>
      </c>
      <c r="H850" s="14">
        <v>30.958101193093977</v>
      </c>
      <c r="I850" s="14">
        <v>30.958098011894837</v>
      </c>
      <c r="J850" s="14">
        <v>4.9010693342873481E-2</v>
      </c>
      <c r="K850" s="14">
        <v>30.958076090717491</v>
      </c>
      <c r="L850" s="14">
        <v>30.958028945912329</v>
      </c>
      <c r="M850" s="14">
        <v>9</v>
      </c>
    </row>
    <row r="851" spans="1:13" x14ac:dyDescent="0.3">
      <c r="A851" s="14">
        <v>840</v>
      </c>
      <c r="B851" s="14">
        <v>0.35404197590652259</v>
      </c>
      <c r="C851" s="14">
        <v>8.29631031962208E-6</v>
      </c>
      <c r="D851" s="14">
        <v>42674.630319596123</v>
      </c>
      <c r="E851" s="14">
        <v>3.2153638972687304E-5</v>
      </c>
      <c r="F851" s="14">
        <v>11010.945797060831</v>
      </c>
      <c r="G851" s="14">
        <v>0.41192899708026792</v>
      </c>
      <c r="H851" s="14">
        <v>30.958101056716256</v>
      </c>
      <c r="I851" s="14">
        <v>30.958099624813165</v>
      </c>
      <c r="J851" s="14">
        <v>5.7887021173745334E-2</v>
      </c>
      <c r="K851" s="14">
        <v>30.958092760405936</v>
      </c>
      <c r="L851" s="14">
        <v>30.958067471174193</v>
      </c>
      <c r="M851" s="14">
        <v>11</v>
      </c>
    </row>
    <row r="852" spans="1:13" x14ac:dyDescent="0.3">
      <c r="A852" s="14">
        <v>841</v>
      </c>
      <c r="B852" s="14">
        <v>0.40263530591073837</v>
      </c>
      <c r="C852" s="14">
        <v>2.7763443622319528E-5</v>
      </c>
      <c r="D852" s="14">
        <v>14502.354657008495</v>
      </c>
      <c r="E852" s="14">
        <v>4.6702637430229288E-5</v>
      </c>
      <c r="F852" s="14">
        <v>8621.254131787513</v>
      </c>
      <c r="G852" s="14">
        <v>0.43437822381984736</v>
      </c>
      <c r="H852" s="14">
        <v>30.958101543258461</v>
      </c>
      <c r="I852" s="14">
        <v>30.958100866512535</v>
      </c>
      <c r="J852" s="14">
        <v>3.1742917909108978E-2</v>
      </c>
      <c r="K852" s="14">
        <v>30.958073779814839</v>
      </c>
      <c r="L852" s="14">
        <v>30.958054163875104</v>
      </c>
      <c r="M852" s="14">
        <v>13</v>
      </c>
    </row>
    <row r="853" spans="1:13" x14ac:dyDescent="0.3">
      <c r="A853" s="14">
        <v>842</v>
      </c>
      <c r="B853" s="14">
        <v>0.30669997913067992</v>
      </c>
      <c r="C853" s="14">
        <v>8.0258087216122931E-6</v>
      </c>
      <c r="D853" s="14">
        <v>38214.214887128212</v>
      </c>
      <c r="E853" s="14">
        <v>1.913839926004357E-5</v>
      </c>
      <c r="F853" s="14">
        <v>16025.372601092955</v>
      </c>
      <c r="G853" s="14">
        <v>0.36272543776921073</v>
      </c>
      <c r="H853" s="14">
        <v>30.95810134535084</v>
      </c>
      <c r="I853" s="14">
        <v>30.958100478786083</v>
      </c>
      <c r="J853" s="14">
        <v>5.6025458638530826E-2</v>
      </c>
      <c r="K853" s="14">
        <v>30.958093319542119</v>
      </c>
      <c r="L853" s="14">
        <v>30.958081340386823</v>
      </c>
      <c r="M853" s="14">
        <v>12</v>
      </c>
    </row>
    <row r="854" spans="1:13" x14ac:dyDescent="0.3">
      <c r="A854" s="14">
        <v>843</v>
      </c>
      <c r="B854" s="14">
        <v>0.38243848602906849</v>
      </c>
      <c r="C854" s="14">
        <v>3.8898347501259423E-5</v>
      </c>
      <c r="D854" s="14">
        <v>9831.7412074301137</v>
      </c>
      <c r="E854" s="14">
        <v>5.1186244018452953E-5</v>
      </c>
      <c r="F854" s="14">
        <v>7471.5090619111861</v>
      </c>
      <c r="G854" s="14">
        <v>0.49129710745203159</v>
      </c>
      <c r="H854" s="14">
        <v>30.958101454039959</v>
      </c>
      <c r="I854" s="14">
        <v>30.95810078408077</v>
      </c>
      <c r="J854" s="14">
        <v>0.1088586214229631</v>
      </c>
      <c r="K854" s="14">
        <v>30.958062555692457</v>
      </c>
      <c r="L854" s="14">
        <v>30.958049597836752</v>
      </c>
      <c r="M854" s="14">
        <v>12</v>
      </c>
    </row>
    <row r="855" spans="1:13" x14ac:dyDescent="0.3">
      <c r="A855" s="14">
        <v>844</v>
      </c>
      <c r="B855" s="14">
        <v>0.79338395712075982</v>
      </c>
      <c r="C855" s="14">
        <v>6.7487466584026379E-5</v>
      </c>
      <c r="D855" s="14">
        <v>11756.019262227663</v>
      </c>
      <c r="E855" s="14">
        <v>1.0251717197817811E-4</v>
      </c>
      <c r="F855" s="14">
        <v>7739.0347569248224</v>
      </c>
      <c r="G855" s="14">
        <v>0.9582214527989118</v>
      </c>
      <c r="H855" s="14">
        <v>30.958099259196679</v>
      </c>
      <c r="I855" s="14">
        <v>30.958094075075575</v>
      </c>
      <c r="J855" s="14">
        <v>0.16483749567815201</v>
      </c>
      <c r="K855" s="14">
        <v>30.958031771730095</v>
      </c>
      <c r="L855" s="14">
        <v>30.957991557903597</v>
      </c>
      <c r="M855" s="14">
        <v>13</v>
      </c>
    </row>
    <row r="856" spans="1:13" x14ac:dyDescent="0.3">
      <c r="A856" s="14">
        <v>845</v>
      </c>
      <c r="B856" s="14">
        <v>0.60325638541979121</v>
      </c>
      <c r="C856" s="14">
        <v>5.5808102565890749E-6</v>
      </c>
      <c r="D856" s="14">
        <v>108094.76719039975</v>
      </c>
      <c r="E856" s="14">
        <v>2.4001721968147649E-5</v>
      </c>
      <c r="F856" s="14">
        <v>25133.87940333466</v>
      </c>
      <c r="G856" s="14">
        <v>0.63254309044947599</v>
      </c>
      <c r="H856" s="14">
        <v>30.958101375712111</v>
      </c>
      <c r="I856" s="14">
        <v>30.958099440898494</v>
      </c>
      <c r="J856" s="14">
        <v>2.9286705029684799E-2</v>
      </c>
      <c r="K856" s="14">
        <v>30.958095794901855</v>
      </c>
      <c r="L856" s="14">
        <v>30.958075439176525</v>
      </c>
      <c r="M856" s="14">
        <v>9</v>
      </c>
    </row>
    <row r="857" spans="1:13" x14ac:dyDescent="0.3">
      <c r="A857" s="14">
        <v>846</v>
      </c>
      <c r="B857" s="14">
        <v>0.67136301635286599</v>
      </c>
      <c r="C857" s="14">
        <v>8.9294932191563703E-5</v>
      </c>
      <c r="D857" s="14">
        <v>7518.4895701874357</v>
      </c>
      <c r="E857" s="14">
        <v>1.2503433964283772E-4</v>
      </c>
      <c r="F857" s="14">
        <v>5369.4290566145546</v>
      </c>
      <c r="G857" s="14">
        <v>1.0290460271516522</v>
      </c>
      <c r="H857" s="14">
        <v>30.95808810602006</v>
      </c>
      <c r="I857" s="14">
        <v>30.958081888700136</v>
      </c>
      <c r="J857" s="14">
        <v>0.35768301079878617</v>
      </c>
      <c r="K857" s="14">
        <v>30.957998811087869</v>
      </c>
      <c r="L857" s="14">
        <v>30.957956854360493</v>
      </c>
      <c r="M857" s="14">
        <v>12</v>
      </c>
    </row>
    <row r="858" spans="1:13" x14ac:dyDescent="0.3">
      <c r="A858" s="14">
        <v>847</v>
      </c>
      <c r="B858" s="14">
        <v>0.39171671115488615</v>
      </c>
      <c r="C858" s="14">
        <v>5.5586069233726221E-5</v>
      </c>
      <c r="D858" s="14">
        <v>7047.0302461541296</v>
      </c>
      <c r="E858" s="14">
        <v>8.0981640540045419E-5</v>
      </c>
      <c r="F858" s="14">
        <v>4837.1051579423392</v>
      </c>
      <c r="G858" s="14">
        <v>0.49226029128951349</v>
      </c>
      <c r="H858" s="14">
        <v>30.958101072534973</v>
      </c>
      <c r="I858" s="14">
        <v>30.958098389700421</v>
      </c>
      <c r="J858" s="14">
        <v>0.10054358013462736</v>
      </c>
      <c r="K858" s="14">
        <v>30.958045486465739</v>
      </c>
      <c r="L858" s="14">
        <v>30.958017408059881</v>
      </c>
      <c r="M858" s="14">
        <v>14</v>
      </c>
    </row>
    <row r="859" spans="1:13" x14ac:dyDescent="0.3">
      <c r="A859" s="14">
        <v>848</v>
      </c>
      <c r="B859" s="14">
        <v>0.4350765993704736</v>
      </c>
      <c r="C859" s="14">
        <v>1.2222800521044519E-5</v>
      </c>
      <c r="D859" s="14">
        <v>35595.492098671137</v>
      </c>
      <c r="E859" s="14">
        <v>2.4575635556800535E-5</v>
      </c>
      <c r="F859" s="14">
        <v>17703.574679275378</v>
      </c>
      <c r="G859" s="14">
        <v>0.49663723792505188</v>
      </c>
      <c r="H859" s="14">
        <v>30.958101342920759</v>
      </c>
      <c r="I859" s="14">
        <v>30.958100580220407</v>
      </c>
      <c r="J859" s="14">
        <v>6.156063855457828E-2</v>
      </c>
      <c r="K859" s="14">
        <v>30.958089120120238</v>
      </c>
      <c r="L859" s="14">
        <v>30.95807600458485</v>
      </c>
      <c r="M859" s="14">
        <v>14</v>
      </c>
    </row>
    <row r="860" spans="1:13" x14ac:dyDescent="0.3">
      <c r="A860" s="14">
        <v>849</v>
      </c>
      <c r="B860" s="14">
        <v>0.91058932051588792</v>
      </c>
      <c r="C860" s="14">
        <v>5.9932011041041733E-5</v>
      </c>
      <c r="D860" s="14">
        <v>15193.705412159654</v>
      </c>
      <c r="E860" s="14">
        <v>8.6359134748192901E-5</v>
      </c>
      <c r="F860" s="14">
        <v>10544.215422850128</v>
      </c>
      <c r="G860" s="14">
        <v>1.1228688619307516</v>
      </c>
      <c r="H860" s="14">
        <v>30.958098005327781</v>
      </c>
      <c r="I860" s="14">
        <v>30.958094586614042</v>
      </c>
      <c r="J860" s="14">
        <v>0.21227954141486366</v>
      </c>
      <c r="K860" s="14">
        <v>30.95803807331674</v>
      </c>
      <c r="L860" s="14">
        <v>30.958008227479294</v>
      </c>
      <c r="M860" s="14">
        <v>13</v>
      </c>
    </row>
    <row r="861" spans="1:13" x14ac:dyDescent="0.3">
      <c r="A861" s="14">
        <v>850</v>
      </c>
      <c r="B861" s="14">
        <v>0.54711675268445104</v>
      </c>
      <c r="C861" s="14">
        <v>7.8687540607802475E-6</v>
      </c>
      <c r="D861" s="14">
        <v>69530.290114341202</v>
      </c>
      <c r="E861" s="14">
        <v>2.8940812335065402E-5</v>
      </c>
      <c r="F861" s="14">
        <v>18904.678498659516</v>
      </c>
      <c r="G861" s="14">
        <v>0.58327608594061209</v>
      </c>
      <c r="H861" s="14">
        <v>30.958098860477598</v>
      </c>
      <c r="I861" s="14">
        <v>30.958090634231162</v>
      </c>
      <c r="J861" s="14">
        <v>3.6159333256161094E-2</v>
      </c>
      <c r="K861" s="14">
        <v>30.958090991723537</v>
      </c>
      <c r="L861" s="14">
        <v>30.958061693418827</v>
      </c>
      <c r="M861" s="14">
        <v>15</v>
      </c>
    </row>
    <row r="862" spans="1:13" x14ac:dyDescent="0.3">
      <c r="A862" s="14">
        <v>851</v>
      </c>
      <c r="B862" s="14">
        <v>0.46199850946432641</v>
      </c>
      <c r="C862" s="14">
        <v>3.1155823215556211E-5</v>
      </c>
      <c r="D862" s="14">
        <v>14828.640741344589</v>
      </c>
      <c r="E862" s="14">
        <v>4.4025747378384494E-5</v>
      </c>
      <c r="F862" s="14">
        <v>10493.825476570008</v>
      </c>
      <c r="G862" s="14">
        <v>0.54650678481408665</v>
      </c>
      <c r="H862" s="14">
        <v>30.958100809747926</v>
      </c>
      <c r="I862" s="14">
        <v>30.958099123426301</v>
      </c>
      <c r="J862" s="14">
        <v>8.4508275349760256E-2</v>
      </c>
      <c r="K862" s="14">
        <v>30.95806965392471</v>
      </c>
      <c r="L862" s="14">
        <v>30.958055097678923</v>
      </c>
      <c r="M862" s="14">
        <v>13</v>
      </c>
    </row>
    <row r="863" spans="1:13" x14ac:dyDescent="0.3">
      <c r="A863" s="14">
        <v>852</v>
      </c>
      <c r="B863" s="14">
        <v>0.22096201826660028</v>
      </c>
      <c r="C863" s="14">
        <v>6.0585312652960965E-5</v>
      </c>
      <c r="D863" s="14">
        <v>3647.1218615688908</v>
      </c>
      <c r="E863" s="14">
        <v>7.4796797747467281E-5</v>
      </c>
      <c r="F863" s="14">
        <v>2954.1641476767945</v>
      </c>
      <c r="G863" s="14">
        <v>0.43517964757815758</v>
      </c>
      <c r="H863" s="14">
        <v>30.958101504807981</v>
      </c>
      <c r="I863" s="14">
        <v>30.958100586334755</v>
      </c>
      <c r="J863" s="14">
        <v>0.2142176293115573</v>
      </c>
      <c r="K863" s="14">
        <v>30.958040919495328</v>
      </c>
      <c r="L863" s="14">
        <v>30.958025789537007</v>
      </c>
      <c r="M863" s="14">
        <v>12</v>
      </c>
    </row>
    <row r="864" spans="1:13" x14ac:dyDescent="0.3">
      <c r="A864" s="14">
        <v>853</v>
      </c>
      <c r="B864" s="14">
        <v>0.73347365933474706</v>
      </c>
      <c r="C864" s="14">
        <v>3.312453470272203E-5</v>
      </c>
      <c r="D864" s="14">
        <v>22142.912071591254</v>
      </c>
      <c r="E864" s="14">
        <v>7.6662594690191099E-5</v>
      </c>
      <c r="F864" s="14">
        <v>9567.5558895294507</v>
      </c>
      <c r="G864" s="14">
        <v>0.90247717523750592</v>
      </c>
      <c r="H864" s="14">
        <v>30.958100754502514</v>
      </c>
      <c r="I864" s="14">
        <v>30.958097251254927</v>
      </c>
      <c r="J864" s="14">
        <v>0.16900351590275892</v>
      </c>
      <c r="K864" s="14">
        <v>30.958067629967811</v>
      </c>
      <c r="L864" s="14">
        <v>30.958020588660236</v>
      </c>
      <c r="M864" s="14">
        <v>13</v>
      </c>
    </row>
    <row r="865" spans="1:13" x14ac:dyDescent="0.3">
      <c r="A865" s="14">
        <v>854</v>
      </c>
      <c r="B865" s="14">
        <v>0.37000422084588952</v>
      </c>
      <c r="C865" s="14">
        <v>5.3377337728477414E-5</v>
      </c>
      <c r="D865" s="14">
        <v>6931.8597852902667</v>
      </c>
      <c r="E865" s="14">
        <v>8.0670172962982178E-5</v>
      </c>
      <c r="F865" s="14">
        <v>4586.6298193717348</v>
      </c>
      <c r="G865" s="14">
        <v>0.53107864395793025</v>
      </c>
      <c r="H865" s="14">
        <v>30.958099299568385</v>
      </c>
      <c r="I865" s="14">
        <v>30.958095780877017</v>
      </c>
      <c r="J865" s="14">
        <v>0.16107442311204073</v>
      </c>
      <c r="K865" s="14">
        <v>30.958045922230657</v>
      </c>
      <c r="L865" s="14">
        <v>30.958015110704054</v>
      </c>
      <c r="M865" s="14">
        <v>10</v>
      </c>
    </row>
    <row r="866" spans="1:13" x14ac:dyDescent="0.3">
      <c r="A866" s="14">
        <v>855</v>
      </c>
      <c r="B866" s="14">
        <v>1.0521972161094157</v>
      </c>
      <c r="C866" s="14">
        <v>7.6530344017555763E-5</v>
      </c>
      <c r="D866" s="14">
        <v>13748.758477657513</v>
      </c>
      <c r="E866" s="14">
        <v>1.267889116149945E-4</v>
      </c>
      <c r="F866" s="14">
        <v>8298.8110135727293</v>
      </c>
      <c r="G866" s="14">
        <v>1.1878182146616665</v>
      </c>
      <c r="H866" s="14">
        <v>30.958100686850436</v>
      </c>
      <c r="I866" s="14">
        <v>30.95809929456254</v>
      </c>
      <c r="J866" s="14">
        <v>0.13562099855225063</v>
      </c>
      <c r="K866" s="14">
        <v>30.958024156506418</v>
      </c>
      <c r="L866" s="14">
        <v>30.957972505650925</v>
      </c>
      <c r="M866" s="14">
        <v>11</v>
      </c>
    </row>
    <row r="867" spans="1:13" x14ac:dyDescent="0.3">
      <c r="A867" s="14">
        <v>856</v>
      </c>
      <c r="B867" s="14">
        <v>0.3845682967056977</v>
      </c>
      <c r="C867" s="14">
        <v>4.725563140794975E-6</v>
      </c>
      <c r="D867" s="14">
        <v>81380.416523437307</v>
      </c>
      <c r="E867" s="14">
        <v>1.9572307156323632E-5</v>
      </c>
      <c r="F867" s="14">
        <v>19648.592965262516</v>
      </c>
      <c r="G867" s="14">
        <v>0.41445763905020877</v>
      </c>
      <c r="H867" s="14">
        <v>30.9581015106764</v>
      </c>
      <c r="I867" s="14">
        <v>30.958101353017078</v>
      </c>
      <c r="J867" s="14">
        <v>2.9889342344511082E-2</v>
      </c>
      <c r="K867" s="14">
        <v>30.958096785113259</v>
      </c>
      <c r="L867" s="14">
        <v>30.958081780709922</v>
      </c>
      <c r="M867" s="14">
        <v>11</v>
      </c>
    </row>
    <row r="868" spans="1:13" x14ac:dyDescent="0.3">
      <c r="A868" s="14">
        <v>857</v>
      </c>
      <c r="B868" s="14">
        <v>0.74643769919469871</v>
      </c>
      <c r="C868" s="14">
        <v>1.1104042275889014E-5</v>
      </c>
      <c r="D868" s="14">
        <v>67222.159340611586</v>
      </c>
      <c r="E868" s="14">
        <v>3.6672126224601698E-5</v>
      </c>
      <c r="F868" s="14">
        <v>20354.361092211417</v>
      </c>
      <c r="G868" s="14">
        <v>0.78519916559513658</v>
      </c>
      <c r="H868" s="14">
        <v>30.958101512613677</v>
      </c>
      <c r="I868" s="14">
        <v>30.95810016821094</v>
      </c>
      <c r="J868" s="14">
        <v>3.8761466400437823E-2</v>
      </c>
      <c r="K868" s="14">
        <v>30.958090408571401</v>
      </c>
      <c r="L868" s="14">
        <v>30.958063496084716</v>
      </c>
      <c r="M868" s="14">
        <v>10</v>
      </c>
    </row>
    <row r="869" spans="1:13" x14ac:dyDescent="0.3">
      <c r="A869" s="14">
        <v>858</v>
      </c>
      <c r="B869" s="14">
        <v>0.45905852627559018</v>
      </c>
      <c r="C869" s="14">
        <v>2.6271070613148595E-5</v>
      </c>
      <c r="D869" s="14">
        <v>17473.917718672368</v>
      </c>
      <c r="E869" s="14">
        <v>5.488980544399169E-5</v>
      </c>
      <c r="F869" s="14">
        <v>8363.2747932401235</v>
      </c>
      <c r="G869" s="14">
        <v>0.50505888811212762</v>
      </c>
      <c r="H869" s="14">
        <v>30.958097101918163</v>
      </c>
      <c r="I869" s="14">
        <v>30.958091570134041</v>
      </c>
      <c r="J869" s="14">
        <v>4.6000361836537454E-2</v>
      </c>
      <c r="K869" s="14">
        <v>30.95807083084755</v>
      </c>
      <c r="L869" s="14">
        <v>30.958036680328597</v>
      </c>
      <c r="M869" s="14">
        <v>11</v>
      </c>
    </row>
    <row r="870" spans="1:13" x14ac:dyDescent="0.3">
      <c r="A870" s="14">
        <v>859</v>
      </c>
      <c r="B870" s="14">
        <v>0.38528851427934696</v>
      </c>
      <c r="C870" s="14">
        <v>1.7776427231552816E-4</v>
      </c>
      <c r="D870" s="14">
        <v>2167.412547305722</v>
      </c>
      <c r="E870" s="14">
        <v>1.9429707294094101E-4</v>
      </c>
      <c r="F870" s="14">
        <v>1982.9867143518943</v>
      </c>
      <c r="G870" s="14">
        <v>0.53409390827195879</v>
      </c>
      <c r="H870" s="14">
        <v>30.958101402253593</v>
      </c>
      <c r="I870" s="14">
        <v>30.958100223809176</v>
      </c>
      <c r="J870" s="14">
        <v>0.14880539399261186</v>
      </c>
      <c r="K870" s="14">
        <v>30.957923637981278</v>
      </c>
      <c r="L870" s="14">
        <v>30.957905926736235</v>
      </c>
      <c r="M870" s="14">
        <v>14</v>
      </c>
    </row>
    <row r="871" spans="1:13" x14ac:dyDescent="0.3">
      <c r="A871" s="14">
        <v>860</v>
      </c>
      <c r="B871" s="14">
        <v>0.35815779913300838</v>
      </c>
      <c r="C871" s="14">
        <v>8.7047141001050932E-5</v>
      </c>
      <c r="D871" s="14">
        <v>4114.526853083943</v>
      </c>
      <c r="E871" s="14">
        <v>1.0032455258723871E-4</v>
      </c>
      <c r="F871" s="14">
        <v>3569.9914915799591</v>
      </c>
      <c r="G871" s="14">
        <v>0.54430905858397272</v>
      </c>
      <c r="H871" s="14">
        <v>30.95809509197797</v>
      </c>
      <c r="I871" s="14">
        <v>30.958092366866719</v>
      </c>
      <c r="J871" s="14">
        <v>0.18615125945096433</v>
      </c>
      <c r="K871" s="14">
        <v>30.958008044836969</v>
      </c>
      <c r="L871" s="14">
        <v>30.957992042314132</v>
      </c>
      <c r="M871" s="14">
        <v>13</v>
      </c>
    </row>
    <row r="872" spans="1:13" x14ac:dyDescent="0.3">
      <c r="A872" s="14">
        <v>861</v>
      </c>
      <c r="B872" s="14">
        <v>0.30250045022795724</v>
      </c>
      <c r="C872" s="14">
        <v>3.7048748239953966E-5</v>
      </c>
      <c r="D872" s="14">
        <v>8164.9303849282524</v>
      </c>
      <c r="E872" s="14">
        <v>5.26722137941249E-5</v>
      </c>
      <c r="F872" s="14">
        <v>5743.0745442049065</v>
      </c>
      <c r="G872" s="14">
        <v>0.48893223068635516</v>
      </c>
      <c r="H872" s="14">
        <v>30.958101496894734</v>
      </c>
      <c r="I872" s="14">
        <v>30.958100280263686</v>
      </c>
      <c r="J872" s="14">
        <v>0.18643178045839792</v>
      </c>
      <c r="K872" s="14">
        <v>30.958064448146494</v>
      </c>
      <c r="L872" s="14">
        <v>30.958047608049892</v>
      </c>
      <c r="M872" s="14">
        <v>10</v>
      </c>
    </row>
    <row r="873" spans="1:13" x14ac:dyDescent="0.3">
      <c r="A873" s="14">
        <v>862</v>
      </c>
      <c r="B873" s="14">
        <v>0.30806176240526073</v>
      </c>
      <c r="C873" s="14">
        <v>7.9345985817269593E-6</v>
      </c>
      <c r="D873" s="14">
        <v>38825.122560669137</v>
      </c>
      <c r="E873" s="14">
        <v>1.9512435081026069E-5</v>
      </c>
      <c r="F873" s="14">
        <v>15787.971164338202</v>
      </c>
      <c r="G873" s="14">
        <v>0.36300706225818707</v>
      </c>
      <c r="H873" s="14">
        <v>30.958101460109617</v>
      </c>
      <c r="I873" s="14">
        <v>30.958100211901023</v>
      </c>
      <c r="J873" s="14">
        <v>5.4945299852926351E-2</v>
      </c>
      <c r="K873" s="14">
        <v>30.958093525511035</v>
      </c>
      <c r="L873" s="14">
        <v>30.958080699465942</v>
      </c>
      <c r="M873" s="14">
        <v>14</v>
      </c>
    </row>
    <row r="874" spans="1:13" x14ac:dyDescent="0.3">
      <c r="A874" s="14">
        <v>863</v>
      </c>
      <c r="B874" s="14">
        <v>0.47321439031372781</v>
      </c>
      <c r="C874" s="14">
        <v>3.7351950158637237E-5</v>
      </c>
      <c r="D874" s="14">
        <v>12669.067834582716</v>
      </c>
      <c r="E874" s="14">
        <v>5.58730229727189E-5</v>
      </c>
      <c r="F874" s="14">
        <v>8469.4610231628958</v>
      </c>
      <c r="G874" s="14">
        <v>0.53644414772633242</v>
      </c>
      <c r="H874" s="14">
        <v>30.95810130189405</v>
      </c>
      <c r="I874" s="14">
        <v>30.958100054719303</v>
      </c>
      <c r="J874" s="14">
        <v>6.3229757412604629E-2</v>
      </c>
      <c r="K874" s="14">
        <v>30.958063949943892</v>
      </c>
      <c r="L874" s="14">
        <v>30.95804418169633</v>
      </c>
      <c r="M874" s="14">
        <v>10</v>
      </c>
    </row>
    <row r="875" spans="1:13" x14ac:dyDescent="0.3">
      <c r="A875" s="14">
        <v>864</v>
      </c>
      <c r="B875" s="14">
        <v>0.53978354069400458</v>
      </c>
      <c r="C875" s="14">
        <v>1.760470911094103E-5</v>
      </c>
      <c r="D875" s="14">
        <v>30661.3155203194</v>
      </c>
      <c r="E875" s="14">
        <v>4.1596414032341045E-5</v>
      </c>
      <c r="F875" s="14">
        <v>12976.684487136921</v>
      </c>
      <c r="G875" s="14">
        <v>0.61833491053651346</v>
      </c>
      <c r="H875" s="14">
        <v>30.958101233733167</v>
      </c>
      <c r="I875" s="14">
        <v>30.958100551154846</v>
      </c>
      <c r="J875" s="14">
        <v>7.8551369842508906E-2</v>
      </c>
      <c r="K875" s="14">
        <v>30.958083629024056</v>
      </c>
      <c r="L875" s="14">
        <v>30.958058954740814</v>
      </c>
      <c r="M875" s="14">
        <v>10</v>
      </c>
    </row>
    <row r="876" spans="1:13" x14ac:dyDescent="0.3">
      <c r="A876" s="14">
        <v>865</v>
      </c>
      <c r="B876" s="14">
        <v>0.74403286135406366</v>
      </c>
      <c r="C876" s="14">
        <v>1.1940615896577356E-4</v>
      </c>
      <c r="D876" s="14">
        <v>6231.10958260815</v>
      </c>
      <c r="E876" s="14">
        <v>1.564590478757566E-4</v>
      </c>
      <c r="F876" s="14">
        <v>4755.4479683712298</v>
      </c>
      <c r="G876" s="14">
        <v>1.1116436325199568</v>
      </c>
      <c r="H876" s="14">
        <v>30.958100327147982</v>
      </c>
      <c r="I876" s="14">
        <v>30.958099850993111</v>
      </c>
      <c r="J876" s="14">
        <v>0.36761077116589319</v>
      </c>
      <c r="K876" s="14">
        <v>30.957980920989016</v>
      </c>
      <c r="L876" s="14">
        <v>30.957943391945236</v>
      </c>
      <c r="M876" s="14">
        <v>12</v>
      </c>
    </row>
    <row r="877" spans="1:13" x14ac:dyDescent="0.3">
      <c r="A877" s="14">
        <v>866</v>
      </c>
      <c r="B877" s="14">
        <v>0.40668976518300504</v>
      </c>
      <c r="C877" s="14">
        <v>3.9467982624330489E-6</v>
      </c>
      <c r="D877" s="14">
        <v>103042.95739004822</v>
      </c>
      <c r="E877" s="14">
        <v>2.3451203915669794E-5</v>
      </c>
      <c r="F877" s="14">
        <v>17341.956798698091</v>
      </c>
      <c r="G877" s="14">
        <v>0.43073717639456333</v>
      </c>
      <c r="H877" s="14">
        <v>30.958101551190051</v>
      </c>
      <c r="I877" s="14">
        <v>30.958100429862341</v>
      </c>
      <c r="J877" s="14">
        <v>2.4047411211558282E-2</v>
      </c>
      <c r="K877" s="14">
        <v>30.958097604391789</v>
      </c>
      <c r="L877" s="14">
        <v>30.958076978658426</v>
      </c>
      <c r="M877" s="14">
        <v>12</v>
      </c>
    </row>
    <row r="878" spans="1:13" x14ac:dyDescent="0.3">
      <c r="A878" s="14">
        <v>867</v>
      </c>
      <c r="B878" s="14">
        <v>0.77708000883602679</v>
      </c>
      <c r="C878" s="14">
        <v>1.6220884965889582E-5</v>
      </c>
      <c r="D878" s="14">
        <v>47906.141401663677</v>
      </c>
      <c r="E878" s="14">
        <v>3.4323599233943014E-5</v>
      </c>
      <c r="F878" s="14">
        <v>22639.817099005257</v>
      </c>
      <c r="G878" s="14">
        <v>0.82777498711330932</v>
      </c>
      <c r="H878" s="14">
        <v>30.958101521934232</v>
      </c>
      <c r="I878" s="14">
        <v>30.958099490652177</v>
      </c>
      <c r="J878" s="14">
        <v>5.0694978277282532E-2</v>
      </c>
      <c r="K878" s="14">
        <v>30.958085301049266</v>
      </c>
      <c r="L878" s="14">
        <v>30.958065167052943</v>
      </c>
      <c r="M878" s="14">
        <v>11</v>
      </c>
    </row>
    <row r="879" spans="1:13" x14ac:dyDescent="0.3">
      <c r="A879" s="14">
        <v>868</v>
      </c>
      <c r="B879" s="14">
        <v>0.66921107887352904</v>
      </c>
      <c r="C879" s="14">
        <v>2.9528165718772925E-5</v>
      </c>
      <c r="D879" s="14">
        <v>22663.48290127853</v>
      </c>
      <c r="E879" s="14">
        <v>6.4510242435034115E-5</v>
      </c>
      <c r="F879" s="14">
        <v>10373.718244005466</v>
      </c>
      <c r="G879" s="14">
        <v>0.75278001647577564</v>
      </c>
      <c r="H879" s="14">
        <v>30.958100292943211</v>
      </c>
      <c r="I879" s="14">
        <v>30.958096110590375</v>
      </c>
      <c r="J879" s="14">
        <v>8.3568937602246623E-2</v>
      </c>
      <c r="K879" s="14">
        <v>30.958070764777492</v>
      </c>
      <c r="L879" s="14">
        <v>30.95803160034794</v>
      </c>
      <c r="M879" s="14">
        <v>9</v>
      </c>
    </row>
    <row r="880" spans="1:13" x14ac:dyDescent="0.3">
      <c r="A880" s="14">
        <v>869</v>
      </c>
      <c r="B880" s="14">
        <v>0.64075181708802642</v>
      </c>
      <c r="C880" s="14">
        <v>1.7351106926355442E-5</v>
      </c>
      <c r="D880" s="14">
        <v>36928.584430239272</v>
      </c>
      <c r="E880" s="14">
        <v>3.2325803918098472E-5</v>
      </c>
      <c r="F880" s="14">
        <v>19821.682353560409</v>
      </c>
      <c r="G880" s="14">
        <v>0.67780874631065524</v>
      </c>
      <c r="H880" s="14">
        <v>30.958101226854779</v>
      </c>
      <c r="I880" s="14">
        <v>30.958100533098555</v>
      </c>
      <c r="J880" s="14">
        <v>3.7056929222628834E-2</v>
      </c>
      <c r="K880" s="14">
        <v>30.958083875747853</v>
      </c>
      <c r="L880" s="14">
        <v>30.958068207294637</v>
      </c>
      <c r="M880" s="14">
        <v>9</v>
      </c>
    </row>
    <row r="881" spans="1:13" x14ac:dyDescent="0.3">
      <c r="A881" s="14">
        <v>870</v>
      </c>
      <c r="B881" s="14">
        <v>0.16191757292968245</v>
      </c>
      <c r="C881" s="14">
        <v>5.743291465165612E-5</v>
      </c>
      <c r="D881" s="14">
        <v>2819.2470103902942</v>
      </c>
      <c r="E881" s="14">
        <v>6.6800732181349076E-5</v>
      </c>
      <c r="F881" s="14">
        <v>2423.8891946590106</v>
      </c>
      <c r="G881" s="14">
        <v>0.54585875846529874</v>
      </c>
      <c r="H881" s="14">
        <v>30.958100755345882</v>
      </c>
      <c r="I881" s="14">
        <v>30.958099356303656</v>
      </c>
      <c r="J881" s="14">
        <v>0.38394118553561629</v>
      </c>
      <c r="K881" s="14">
        <v>30.95804332243123</v>
      </c>
      <c r="L881" s="14">
        <v>30.958032555571474</v>
      </c>
      <c r="M881" s="14">
        <v>15</v>
      </c>
    </row>
    <row r="882" spans="1:13" x14ac:dyDescent="0.3">
      <c r="A882" s="14">
        <v>871</v>
      </c>
      <c r="B882" s="14">
        <v>0.28370238422065658</v>
      </c>
      <c r="C882" s="14">
        <v>1.2040838967308787E-4</v>
      </c>
      <c r="D882" s="14">
        <v>2356.1679131405749</v>
      </c>
      <c r="E882" s="14">
        <v>1.2977695017823976E-4</v>
      </c>
      <c r="F882" s="14">
        <v>2186.0768328351896</v>
      </c>
      <c r="G882" s="14">
        <v>0.71383443926333778</v>
      </c>
      <c r="H882" s="14">
        <v>30.958101484205105</v>
      </c>
      <c r="I882" s="14">
        <v>30.958100268395423</v>
      </c>
      <c r="J882" s="14">
        <v>0.43013205504268121</v>
      </c>
      <c r="K882" s="14">
        <v>30.957981075815432</v>
      </c>
      <c r="L882" s="14">
        <v>30.957970491445245</v>
      </c>
      <c r="M882" s="14">
        <v>15</v>
      </c>
    </row>
    <row r="883" spans="1:13" x14ac:dyDescent="0.3">
      <c r="A883" s="14">
        <v>872</v>
      </c>
      <c r="B883" s="14">
        <v>0.70343878012633554</v>
      </c>
      <c r="C883" s="14">
        <v>3.0091491243666724E-5</v>
      </c>
      <c r="D883" s="14">
        <v>23376.66732533192</v>
      </c>
      <c r="E883" s="14">
        <v>5.7759000082313605E-5</v>
      </c>
      <c r="F883" s="14">
        <v>12178.860075898989</v>
      </c>
      <c r="G883" s="14">
        <v>0.82298063395521615</v>
      </c>
      <c r="H883" s="14">
        <v>30.958101489061519</v>
      </c>
      <c r="I883" s="14">
        <v>30.958100289647398</v>
      </c>
      <c r="J883" s="14">
        <v>0.11954185382888065</v>
      </c>
      <c r="K883" s="14">
        <v>30.958071397570276</v>
      </c>
      <c r="L883" s="14">
        <v>30.958042530647315</v>
      </c>
      <c r="M883" s="14">
        <v>14</v>
      </c>
    </row>
    <row r="884" spans="1:13" x14ac:dyDescent="0.3">
      <c r="A884" s="14">
        <v>873</v>
      </c>
      <c r="B884" s="14">
        <v>0.37722955987589779</v>
      </c>
      <c r="C884" s="14">
        <v>2.6238606924522401E-5</v>
      </c>
      <c r="D884" s="14">
        <v>14376.889785384983</v>
      </c>
      <c r="E884" s="14">
        <v>4.2783125728362847E-5</v>
      </c>
      <c r="F884" s="14">
        <v>8817.2510412397351</v>
      </c>
      <c r="G884" s="14">
        <v>0.40754389851020911</v>
      </c>
      <c r="H884" s="14">
        <v>30.958101335061926</v>
      </c>
      <c r="I884" s="14">
        <v>30.958101104041443</v>
      </c>
      <c r="J884" s="14">
        <v>3.031433863431135E-2</v>
      </c>
      <c r="K884" s="14">
        <v>30.958075096455001</v>
      </c>
      <c r="L884" s="14">
        <v>30.958058320915715</v>
      </c>
      <c r="M884" s="14">
        <v>13</v>
      </c>
    </row>
    <row r="885" spans="1:13" x14ac:dyDescent="0.3">
      <c r="A885" s="14">
        <v>874</v>
      </c>
      <c r="B885" s="14">
        <v>0.5948158929203734</v>
      </c>
      <c r="C885" s="14">
        <v>1.3514495666555604E-5</v>
      </c>
      <c r="D885" s="14">
        <v>44013.177228090542</v>
      </c>
      <c r="E885" s="14">
        <v>3.8363589787593355E-5</v>
      </c>
      <c r="F885" s="14">
        <v>15504.69849702998</v>
      </c>
      <c r="G885" s="14">
        <v>0.64630175510178767</v>
      </c>
      <c r="H885" s="14">
        <v>30.958100894744248</v>
      </c>
      <c r="I885" s="14">
        <v>30.958098212288419</v>
      </c>
      <c r="J885" s="14">
        <v>5.1485862181414231E-2</v>
      </c>
      <c r="K885" s="14">
        <v>30.958087380248582</v>
      </c>
      <c r="L885" s="14">
        <v>30.958059848698632</v>
      </c>
      <c r="M885" s="14">
        <v>11</v>
      </c>
    </row>
    <row r="886" spans="1:13" x14ac:dyDescent="0.3">
      <c r="A886" s="14">
        <v>875</v>
      </c>
      <c r="B886" s="14">
        <v>0.43499101870719631</v>
      </c>
      <c r="C886" s="14">
        <v>4.9876005498106224E-5</v>
      </c>
      <c r="D886" s="14">
        <v>8721.4486076619105</v>
      </c>
      <c r="E886" s="14">
        <v>7.008479959580427E-5</v>
      </c>
      <c r="F886" s="14">
        <v>6206.63854667336</v>
      </c>
      <c r="G886" s="14">
        <v>0.5395254531266912</v>
      </c>
      <c r="H886" s="14">
        <v>30.958100707474152</v>
      </c>
      <c r="I886" s="14">
        <v>30.958099695601646</v>
      </c>
      <c r="J886" s="14">
        <v>0.10453443441949491</v>
      </c>
      <c r="K886" s="14">
        <v>30.958050831468654</v>
      </c>
      <c r="L886" s="14">
        <v>30.958029610802051</v>
      </c>
      <c r="M886" s="14">
        <v>10</v>
      </c>
    </row>
    <row r="887" spans="1:13" x14ac:dyDescent="0.3">
      <c r="A887" s="14">
        <v>876</v>
      </c>
      <c r="B887" s="14">
        <v>0.19514227519473049</v>
      </c>
      <c r="C887" s="14">
        <v>1.2085405721506959E-4</v>
      </c>
      <c r="D887" s="14">
        <v>1614.6936204835804</v>
      </c>
      <c r="E887" s="14">
        <v>1.4144152945405608E-4</v>
      </c>
      <c r="F887" s="14">
        <v>1379.6674565663391</v>
      </c>
      <c r="G887" s="14">
        <v>0.76641276148895865</v>
      </c>
      <c r="H887" s="14">
        <v>30.95810138327446</v>
      </c>
      <c r="I887" s="14">
        <v>30.958100747251709</v>
      </c>
      <c r="J887" s="14">
        <v>0.57127048629422816</v>
      </c>
      <c r="K887" s="14">
        <v>30.957980529217245</v>
      </c>
      <c r="L887" s="14">
        <v>30.957959305722255</v>
      </c>
      <c r="M887" s="14">
        <v>15</v>
      </c>
    </row>
    <row r="888" spans="1:13" x14ac:dyDescent="0.3">
      <c r="A888" s="14">
        <v>877</v>
      </c>
      <c r="B888" s="14">
        <v>0.57777346403685537</v>
      </c>
      <c r="C888" s="14">
        <v>9.5817062444325529E-6</v>
      </c>
      <c r="D888" s="14">
        <v>60299.642808666824</v>
      </c>
      <c r="E888" s="14">
        <v>2.7627308103461701E-5</v>
      </c>
      <c r="F888" s="14">
        <v>20913.129207997663</v>
      </c>
      <c r="G888" s="14">
        <v>0.62040088849593544</v>
      </c>
      <c r="H888" s="14">
        <v>30.958101476377411</v>
      </c>
      <c r="I888" s="14">
        <v>30.958099814986515</v>
      </c>
      <c r="J888" s="14">
        <v>4.2627424459080077E-2</v>
      </c>
      <c r="K888" s="14">
        <v>30.958091894671167</v>
      </c>
      <c r="L888" s="14">
        <v>30.958072187678411</v>
      </c>
      <c r="M888" s="14">
        <v>13</v>
      </c>
    </row>
    <row r="889" spans="1:13" x14ac:dyDescent="0.3">
      <c r="A889" s="14">
        <v>878</v>
      </c>
      <c r="B889" s="14">
        <v>0.60782133430216312</v>
      </c>
      <c r="C889" s="14">
        <v>7.6723407083534312E-5</v>
      </c>
      <c r="D889" s="14">
        <v>7922.2411700302118</v>
      </c>
      <c r="E889" s="14">
        <v>1.2114626807857576E-4</v>
      </c>
      <c r="F889" s="14">
        <v>5017.2518224657879</v>
      </c>
      <c r="G889" s="14">
        <v>0.80845102781288469</v>
      </c>
      <c r="H889" s="14">
        <v>30.958101525195215</v>
      </c>
      <c r="I889" s="14">
        <v>30.958100501054542</v>
      </c>
      <c r="J889" s="14">
        <v>0.20062969351072155</v>
      </c>
      <c r="K889" s="14">
        <v>30.958024801788131</v>
      </c>
      <c r="L889" s="14">
        <v>30.957979354786463</v>
      </c>
      <c r="M889" s="14">
        <v>9</v>
      </c>
    </row>
    <row r="890" spans="1:13" x14ac:dyDescent="0.3">
      <c r="A890" s="14">
        <v>879</v>
      </c>
      <c r="B890" s="14">
        <v>0.57761766466152509</v>
      </c>
      <c r="C890" s="14">
        <v>3.939521608131713E-5</v>
      </c>
      <c r="D890" s="14">
        <v>14662.127083380961</v>
      </c>
      <c r="E890" s="14">
        <v>6.3267239205799797E-5</v>
      </c>
      <c r="F890" s="14">
        <v>9129.8067042662115</v>
      </c>
      <c r="G890" s="14">
        <v>0.6735253891409051</v>
      </c>
      <c r="H890" s="14">
        <v>30.958101480861053</v>
      </c>
      <c r="I890" s="14">
        <v>30.958101073194843</v>
      </c>
      <c r="J890" s="14">
        <v>9.590772447937998E-2</v>
      </c>
      <c r="K890" s="14">
        <v>30.958062085644972</v>
      </c>
      <c r="L890" s="14">
        <v>30.958037805955637</v>
      </c>
      <c r="M890" s="14">
        <v>9</v>
      </c>
    </row>
    <row r="891" spans="1:13" x14ac:dyDescent="0.3">
      <c r="A891" s="14">
        <v>880</v>
      </c>
      <c r="B891" s="14">
        <v>0.56571142109349903</v>
      </c>
      <c r="C891" s="14">
        <v>3.250555092293439E-5</v>
      </c>
      <c r="D891" s="14">
        <v>17403.532782284259</v>
      </c>
      <c r="E891" s="14">
        <v>5.2495558762188921E-5</v>
      </c>
      <c r="F891" s="14">
        <v>10776.367266728954</v>
      </c>
      <c r="G891" s="14">
        <v>0.67251626354936178</v>
      </c>
      <c r="H891" s="14">
        <v>30.958095378847592</v>
      </c>
      <c r="I891" s="14">
        <v>30.95808899095838</v>
      </c>
      <c r="J891" s="14">
        <v>0.10680484245586276</v>
      </c>
      <c r="K891" s="14">
        <v>30.958062873296669</v>
      </c>
      <c r="L891" s="14">
        <v>30.958036495399618</v>
      </c>
      <c r="M891" s="14">
        <v>15</v>
      </c>
    </row>
    <row r="892" spans="1:13" x14ac:dyDescent="0.3">
      <c r="A892" s="14">
        <v>881</v>
      </c>
      <c r="B892" s="14">
        <v>0.42047414166699992</v>
      </c>
      <c r="C892" s="14">
        <v>8.5260935236419755E-6</v>
      </c>
      <c r="D892" s="14">
        <v>49316.154051215672</v>
      </c>
      <c r="E892" s="14">
        <v>3.5142437763369117E-5</v>
      </c>
      <c r="F892" s="14">
        <v>11964.85413158455</v>
      </c>
      <c r="G892" s="14">
        <v>0.43958197959486484</v>
      </c>
      <c r="H892" s="14">
        <v>30.95810131929716</v>
      </c>
      <c r="I892" s="14">
        <v>30.95810047583328</v>
      </c>
      <c r="J892" s="14">
        <v>1.9107837927864892E-2</v>
      </c>
      <c r="K892" s="14">
        <v>30.958092793203637</v>
      </c>
      <c r="L892" s="14">
        <v>30.958065333395517</v>
      </c>
      <c r="M892" s="14">
        <v>13</v>
      </c>
    </row>
    <row r="893" spans="1:13" x14ac:dyDescent="0.3">
      <c r="A893" s="14">
        <v>882</v>
      </c>
      <c r="B893" s="14">
        <v>0.60262202069624493</v>
      </c>
      <c r="C893" s="14">
        <v>1.0848648617667322E-5</v>
      </c>
      <c r="D893" s="14">
        <v>55548.118658286934</v>
      </c>
      <c r="E893" s="14">
        <v>2.6084363287992574E-5</v>
      </c>
      <c r="F893" s="14">
        <v>23102.807380912771</v>
      </c>
      <c r="G893" s="14">
        <v>0.6738456214959101</v>
      </c>
      <c r="H893" s="14">
        <v>30.95810151708902</v>
      </c>
      <c r="I893" s="14">
        <v>30.958100970666028</v>
      </c>
      <c r="J893" s="14">
        <v>7.1223600799665165E-2</v>
      </c>
      <c r="K893" s="14">
        <v>30.958090668440402</v>
      </c>
      <c r="L893" s="14">
        <v>30.95807488630274</v>
      </c>
      <c r="M893" s="14">
        <v>14</v>
      </c>
    </row>
    <row r="894" spans="1:13" x14ac:dyDescent="0.3">
      <c r="A894" s="14">
        <v>883</v>
      </c>
      <c r="B894" s="14">
        <v>0.96516560337650315</v>
      </c>
      <c r="C894" s="14">
        <v>4.726832631263278E-5</v>
      </c>
      <c r="D894" s="14">
        <v>20418.865626696752</v>
      </c>
      <c r="E894" s="14">
        <v>7.883520224893914E-5</v>
      </c>
      <c r="F894" s="14">
        <v>12242.825233438036</v>
      </c>
      <c r="G894" s="14">
        <v>1.0849112036280102</v>
      </c>
      <c r="H894" s="14">
        <v>30.958101367781499</v>
      </c>
      <c r="I894" s="14">
        <v>30.958099316487782</v>
      </c>
      <c r="J894" s="14">
        <v>0.11974560025150709</v>
      </c>
      <c r="K894" s="14">
        <v>30.958054099455186</v>
      </c>
      <c r="L894" s="14">
        <v>30.958020481285534</v>
      </c>
      <c r="M894" s="14">
        <v>9</v>
      </c>
    </row>
    <row r="895" spans="1:13" x14ac:dyDescent="0.3">
      <c r="A895" s="14">
        <v>884</v>
      </c>
      <c r="B895" s="14">
        <v>0.40834452790180964</v>
      </c>
      <c r="C895" s="14">
        <v>1.1817923481061143E-4</v>
      </c>
      <c r="D895" s="14">
        <v>3455.2984587876513</v>
      </c>
      <c r="E895" s="14">
        <v>1.3369638663007777E-4</v>
      </c>
      <c r="F895" s="14">
        <v>3054.2674951392</v>
      </c>
      <c r="G895" s="14">
        <v>0.6952888877791602</v>
      </c>
      <c r="H895" s="14">
        <v>30.958099556153652</v>
      </c>
      <c r="I895" s="14">
        <v>30.95809767042957</v>
      </c>
      <c r="J895" s="14">
        <v>0.28694435987735056</v>
      </c>
      <c r="K895" s="14">
        <v>30.957981376918841</v>
      </c>
      <c r="L895" s="14">
        <v>30.95796397404294</v>
      </c>
      <c r="M895" s="14">
        <v>12</v>
      </c>
    </row>
    <row r="896" spans="1:13" x14ac:dyDescent="0.3">
      <c r="A896" s="14">
        <v>885</v>
      </c>
      <c r="B896" s="14">
        <v>0.57737547535410105</v>
      </c>
      <c r="C896" s="14">
        <v>3.6236215642304614E-5</v>
      </c>
      <c r="D896" s="14">
        <v>15933.658223405475</v>
      </c>
      <c r="E896" s="14">
        <v>5.3909861684076077E-5</v>
      </c>
      <c r="F896" s="14">
        <v>10710.015891668416</v>
      </c>
      <c r="G896" s="14">
        <v>0.72721558141915965</v>
      </c>
      <c r="H896" s="14">
        <v>30.958100191308553</v>
      </c>
      <c r="I896" s="14">
        <v>30.958097662243517</v>
      </c>
      <c r="J896" s="14">
        <v>0.14984010606505863</v>
      </c>
      <c r="K896" s="14">
        <v>30.958063955092911</v>
      </c>
      <c r="L896" s="14">
        <v>30.958043752381833</v>
      </c>
      <c r="M896" s="14">
        <v>13</v>
      </c>
    </row>
    <row r="897" spans="1:13" x14ac:dyDescent="0.3">
      <c r="A897" s="14">
        <v>886</v>
      </c>
      <c r="B897" s="14">
        <v>0.27463376818949858</v>
      </c>
      <c r="C897" s="14">
        <v>2.3451060407353452E-5</v>
      </c>
      <c r="D897" s="14">
        <v>11710.931762530568</v>
      </c>
      <c r="E897" s="14">
        <v>3.3180857165859834E-5</v>
      </c>
      <c r="F897" s="14">
        <v>8276.8738256729685</v>
      </c>
      <c r="G897" s="14">
        <v>0.30971894225582403</v>
      </c>
      <c r="H897" s="14">
        <v>30.958099406201093</v>
      </c>
      <c r="I897" s="14">
        <v>30.958097874098922</v>
      </c>
      <c r="J897" s="14">
        <v>3.5085174066325442E-2</v>
      </c>
      <c r="K897" s="14">
        <v>30.958075955140686</v>
      </c>
      <c r="L897" s="14">
        <v>30.958064693241756</v>
      </c>
      <c r="M897" s="14">
        <v>13</v>
      </c>
    </row>
    <row r="898" spans="1:13" x14ac:dyDescent="0.3">
      <c r="A898" s="14">
        <v>887</v>
      </c>
      <c r="B898" s="14">
        <v>0.45778266342488677</v>
      </c>
      <c r="C898" s="14">
        <v>1.1243089947043927E-5</v>
      </c>
      <c r="D898" s="14">
        <v>40716.801660494464</v>
      </c>
      <c r="E898" s="14">
        <v>2.6122799074101977E-5</v>
      </c>
      <c r="F898" s="14">
        <v>17524.257723159935</v>
      </c>
      <c r="G898" s="14">
        <v>0.51400117849441063</v>
      </c>
      <c r="H898" s="14">
        <v>30.958101432762035</v>
      </c>
      <c r="I898" s="14">
        <v>30.958099963115721</v>
      </c>
      <c r="J898" s="14">
        <v>5.6218515069523849E-2</v>
      </c>
      <c r="K898" s="14">
        <v>30.958090189672088</v>
      </c>
      <c r="L898" s="14">
        <v>30.958073840316647</v>
      </c>
      <c r="M898" s="14">
        <v>13</v>
      </c>
    </row>
    <row r="899" spans="1:13" x14ac:dyDescent="0.3">
      <c r="A899" s="14">
        <v>888</v>
      </c>
      <c r="B899" s="14">
        <v>0.48640378909500764</v>
      </c>
      <c r="C899" s="14">
        <v>2.1478006516417736E-5</v>
      </c>
      <c r="D899" s="14">
        <v>22646.598450522015</v>
      </c>
      <c r="E899" s="14">
        <v>4.5834180948389758E-5</v>
      </c>
      <c r="F899" s="14">
        <v>10612.250050736337</v>
      </c>
      <c r="G899" s="14">
        <v>0.54475220947462821</v>
      </c>
      <c r="H899" s="14">
        <v>30.958101332937467</v>
      </c>
      <c r="I899" s="14">
        <v>30.9581002751185</v>
      </c>
      <c r="J899" s="14">
        <v>5.8348420379620548E-2</v>
      </c>
      <c r="K899" s="14">
        <v>30.958079854930951</v>
      </c>
      <c r="L899" s="14">
        <v>30.958054440937552</v>
      </c>
      <c r="M899" s="14">
        <v>9</v>
      </c>
    </row>
    <row r="900" spans="1:13" x14ac:dyDescent="0.3">
      <c r="A900" s="14">
        <v>889</v>
      </c>
      <c r="B900" s="14">
        <v>0.36298423263925156</v>
      </c>
      <c r="C900" s="14">
        <v>5.7540506595898933E-5</v>
      </c>
      <c r="D900" s="14">
        <v>6308.3252844548715</v>
      </c>
      <c r="E900" s="14">
        <v>7.901812220723059E-5</v>
      </c>
      <c r="F900" s="14">
        <v>4593.6833538931724</v>
      </c>
      <c r="G900" s="14">
        <v>0.60745350334727188</v>
      </c>
      <c r="H900" s="14">
        <v>30.958098400749165</v>
      </c>
      <c r="I900" s="14">
        <v>30.958095950178844</v>
      </c>
      <c r="J900" s="14">
        <v>0.24446927070802033</v>
      </c>
      <c r="K900" s="14">
        <v>30.958040860242569</v>
      </c>
      <c r="L900" s="14">
        <v>30.958016932056637</v>
      </c>
      <c r="M900" s="14">
        <v>10</v>
      </c>
    </row>
    <row r="901" spans="1:13" x14ac:dyDescent="0.3">
      <c r="A901" s="14">
        <v>890</v>
      </c>
      <c r="B901" s="14">
        <v>0.58629959224903572</v>
      </c>
      <c r="C901" s="14">
        <v>7.8630300208715198E-5</v>
      </c>
      <c r="D901" s="14">
        <v>7456.4079075467098</v>
      </c>
      <c r="E901" s="14">
        <v>1.0749727309899981E-4</v>
      </c>
      <c r="F901" s="14">
        <v>5454.0880465784658</v>
      </c>
      <c r="G901" s="14">
        <v>0.88079176493917077</v>
      </c>
      <c r="H901" s="14">
        <v>30.958101410435727</v>
      </c>
      <c r="I901" s="14">
        <v>30.958100879656648</v>
      </c>
      <c r="J901" s="14">
        <v>0.294492172690135</v>
      </c>
      <c r="K901" s="14">
        <v>30.958022780135519</v>
      </c>
      <c r="L901" s="14">
        <v>30.957993382383549</v>
      </c>
      <c r="M901" s="14">
        <v>11</v>
      </c>
    </row>
    <row r="902" spans="1:13" x14ac:dyDescent="0.3">
      <c r="A902" s="14">
        <v>891</v>
      </c>
      <c r="B902" s="14">
        <v>0.35566903370636938</v>
      </c>
      <c r="C902" s="14">
        <v>3.8971808724141965E-5</v>
      </c>
      <c r="D902" s="14">
        <v>9126.3157998115239</v>
      </c>
      <c r="E902" s="14">
        <v>5.3020576398665753E-5</v>
      </c>
      <c r="F902" s="14">
        <v>6708.1321604666618</v>
      </c>
      <c r="G902" s="14">
        <v>0.62310699458692254</v>
      </c>
      <c r="H902" s="14">
        <v>30.958101070035031</v>
      </c>
      <c r="I902" s="14">
        <v>30.958100437634304</v>
      </c>
      <c r="J902" s="14">
        <v>0.26743796088055316</v>
      </c>
      <c r="K902" s="14">
        <v>30.958062098226307</v>
      </c>
      <c r="L902" s="14">
        <v>30.958047417057905</v>
      </c>
      <c r="M902" s="14">
        <v>9</v>
      </c>
    </row>
    <row r="903" spans="1:13" x14ac:dyDescent="0.3">
      <c r="A903" s="14">
        <v>892</v>
      </c>
      <c r="B903" s="14">
        <v>0.23982185560401248</v>
      </c>
      <c r="C903" s="14">
        <v>4.3714357087054623E-5</v>
      </c>
      <c r="D903" s="14">
        <v>5486.1119225983603</v>
      </c>
      <c r="E903" s="14">
        <v>6.0958097925833954E-5</v>
      </c>
      <c r="F903" s="14">
        <v>3934.2083129922648</v>
      </c>
      <c r="G903" s="14">
        <v>0.49852661502888973</v>
      </c>
      <c r="H903" s="14">
        <v>30.958101025618863</v>
      </c>
      <c r="I903" s="14">
        <v>30.95809965498194</v>
      </c>
      <c r="J903" s="14">
        <v>0.25870475942487725</v>
      </c>
      <c r="K903" s="14">
        <v>30.958057311261776</v>
      </c>
      <c r="L903" s="14">
        <v>30.958038696884014</v>
      </c>
      <c r="M903" s="14">
        <v>15</v>
      </c>
    </row>
    <row r="904" spans="1:13" x14ac:dyDescent="0.3">
      <c r="A904" s="14">
        <v>893</v>
      </c>
      <c r="B904" s="14">
        <v>0.65592890284538963</v>
      </c>
      <c r="C904" s="14">
        <v>6.1542694247407326E-5</v>
      </c>
      <c r="D904" s="14">
        <v>10658.111590118151</v>
      </c>
      <c r="E904" s="14">
        <v>9.3216419262631689E-5</v>
      </c>
      <c r="F904" s="14">
        <v>7036.6241058600326</v>
      </c>
      <c r="G904" s="14">
        <v>0.81472308997513265</v>
      </c>
      <c r="H904" s="14">
        <v>30.958099036423679</v>
      </c>
      <c r="I904" s="14">
        <v>30.958096185665347</v>
      </c>
      <c r="J904" s="14">
        <v>0.15879418712974303</v>
      </c>
      <c r="K904" s="14">
        <v>30.958037493729432</v>
      </c>
      <c r="L904" s="14">
        <v>30.958002969246085</v>
      </c>
      <c r="M904" s="14">
        <v>15</v>
      </c>
    </row>
    <row r="905" spans="1:13" x14ac:dyDescent="0.3">
      <c r="A905" s="14">
        <v>894</v>
      </c>
      <c r="B905" s="14">
        <v>0.62088936471656409</v>
      </c>
      <c r="C905" s="14">
        <v>4.1082977197959281E-5</v>
      </c>
      <c r="D905" s="14">
        <v>15113.056722369322</v>
      </c>
      <c r="E905" s="14">
        <v>7.069681959137597E-5</v>
      </c>
      <c r="F905" s="14">
        <v>8782.4228629416866</v>
      </c>
      <c r="G905" s="14">
        <v>0.72754802097287929</v>
      </c>
      <c r="H905" s="14">
        <v>30.958101551454209</v>
      </c>
      <c r="I905" s="14">
        <v>30.95810002312006</v>
      </c>
      <c r="J905" s="14">
        <v>0.10665865625631517</v>
      </c>
      <c r="K905" s="14">
        <v>30.958060468477012</v>
      </c>
      <c r="L905" s="14">
        <v>30.958029326300469</v>
      </c>
      <c r="M905" s="14">
        <v>12</v>
      </c>
    </row>
    <row r="906" spans="1:13" x14ac:dyDescent="0.3">
      <c r="A906" s="14">
        <v>895</v>
      </c>
      <c r="B906" s="14">
        <v>0.5189180675301579</v>
      </c>
      <c r="C906" s="14">
        <v>4.0565106857570754E-5</v>
      </c>
      <c r="D906" s="14">
        <v>12792.227303927613</v>
      </c>
      <c r="E906" s="14">
        <v>6.1101015639053458E-5</v>
      </c>
      <c r="F906" s="14">
        <v>8492.7895568152398</v>
      </c>
      <c r="G906" s="14">
        <v>0.6689380302137653</v>
      </c>
      <c r="H906" s="14">
        <v>30.958101506908569</v>
      </c>
      <c r="I906" s="14">
        <v>30.95810036055374</v>
      </c>
      <c r="J906" s="14">
        <v>0.15001996268360743</v>
      </c>
      <c r="K906" s="14">
        <v>30.958060941801712</v>
      </c>
      <c r="L906" s="14">
        <v>30.958039259538101</v>
      </c>
      <c r="M906" s="14">
        <v>14</v>
      </c>
    </row>
    <row r="907" spans="1:13" x14ac:dyDescent="0.3">
      <c r="A907" s="14">
        <v>896</v>
      </c>
      <c r="B907" s="14">
        <v>0.36000139709279955</v>
      </c>
      <c r="C907" s="14">
        <v>1.465810185372618E-4</v>
      </c>
      <c r="D907" s="14">
        <v>2455.9891907237975</v>
      </c>
      <c r="E907" s="14">
        <v>1.5376621967178039E-4</v>
      </c>
      <c r="F907" s="14">
        <v>2341.2255166397122</v>
      </c>
      <c r="G907" s="14">
        <v>0.47242446769504498</v>
      </c>
      <c r="H907" s="14">
        <v>30.958096342602015</v>
      </c>
      <c r="I907" s="14">
        <v>30.958095391661907</v>
      </c>
      <c r="J907" s="14">
        <v>0.11242307060224542</v>
      </c>
      <c r="K907" s="14">
        <v>30.957949761583478</v>
      </c>
      <c r="L907" s="14">
        <v>30.957941625442235</v>
      </c>
      <c r="M907" s="14">
        <v>9</v>
      </c>
    </row>
    <row r="908" spans="1:13" x14ac:dyDescent="0.3">
      <c r="A908" s="14">
        <v>897</v>
      </c>
      <c r="B908" s="14">
        <v>0.54775401142947089</v>
      </c>
      <c r="C908" s="14">
        <v>9.0480931760339445E-6</v>
      </c>
      <c r="D908" s="14">
        <v>60538.060425850766</v>
      </c>
      <c r="E908" s="14">
        <v>1.9401822974884908E-5</v>
      </c>
      <c r="F908" s="14">
        <v>28232.08995044035</v>
      </c>
      <c r="G908" s="14">
        <v>0.58115444587755871</v>
      </c>
      <c r="H908" s="14">
        <v>30.958101449628973</v>
      </c>
      <c r="I908" s="14">
        <v>30.958100760274494</v>
      </c>
      <c r="J908" s="14">
        <v>3.340043444808781E-2</v>
      </c>
      <c r="K908" s="14">
        <v>30.958092401535797</v>
      </c>
      <c r="L908" s="14">
        <v>30.958081358451519</v>
      </c>
      <c r="M908" s="14">
        <v>10</v>
      </c>
    </row>
    <row r="909" spans="1:13" x14ac:dyDescent="0.3">
      <c r="A909" s="14">
        <v>898</v>
      </c>
      <c r="B909" s="14">
        <v>0.30812129484367112</v>
      </c>
      <c r="C909" s="14">
        <v>1.2312040019679671E-4</v>
      </c>
      <c r="D909" s="14">
        <v>2502.6014726330272</v>
      </c>
      <c r="E909" s="14">
        <v>1.4480884824052964E-4</v>
      </c>
      <c r="F909" s="14">
        <v>2127.7794733363053</v>
      </c>
      <c r="G909" s="14">
        <v>0.53459359744620583</v>
      </c>
      <c r="H909" s="14">
        <v>30.958101550487179</v>
      </c>
      <c r="I909" s="14">
        <v>30.958100655202561</v>
      </c>
      <c r="J909" s="14">
        <v>0.2264723026025347</v>
      </c>
      <c r="K909" s="14">
        <v>30.957978430086982</v>
      </c>
      <c r="L909" s="14">
        <v>30.95795584635432</v>
      </c>
      <c r="M909" s="14">
        <v>10</v>
      </c>
    </row>
    <row r="910" spans="1:13" x14ac:dyDescent="0.3">
      <c r="A910" s="14">
        <v>899</v>
      </c>
      <c r="B910" s="14">
        <v>0.34674708363653139</v>
      </c>
      <c r="C910" s="14">
        <v>1.6687094520762003E-4</v>
      </c>
      <c r="D910" s="14">
        <v>2077.9356358598579</v>
      </c>
      <c r="E910" s="14">
        <v>1.8051767871796187E-4</v>
      </c>
      <c r="F910" s="14">
        <v>1920.8483407228157</v>
      </c>
      <c r="G910" s="14">
        <v>0.62951663268294511</v>
      </c>
      <c r="H910" s="14">
        <v>30.958099824951717</v>
      </c>
      <c r="I910" s="14">
        <v>30.958099040835975</v>
      </c>
      <c r="J910" s="14">
        <v>0.28276954904641372</v>
      </c>
      <c r="K910" s="14">
        <v>30.957932954006509</v>
      </c>
      <c r="L910" s="14">
        <v>30.957918523157257</v>
      </c>
      <c r="M910" s="14">
        <v>13</v>
      </c>
    </row>
    <row r="911" spans="1:13" x14ac:dyDescent="0.3">
      <c r="A911" s="14">
        <v>900</v>
      </c>
      <c r="B911" s="14">
        <v>0.50813909047570682</v>
      </c>
      <c r="C911" s="14">
        <v>4.1245314335469629E-5</v>
      </c>
      <c r="D911" s="14">
        <v>12319.922848514303</v>
      </c>
      <c r="E911" s="14">
        <v>5.8427629085144872E-5</v>
      </c>
      <c r="F911" s="14">
        <v>8696.8973143717776</v>
      </c>
      <c r="G911" s="14">
        <v>0.63484123472921483</v>
      </c>
      <c r="H911" s="14">
        <v>30.958100161230529</v>
      </c>
      <c r="I911" s="14">
        <v>30.958097705200565</v>
      </c>
      <c r="J911" s="14">
        <v>0.12670214425350806</v>
      </c>
      <c r="K911" s="14">
        <v>30.958058915916194</v>
      </c>
      <c r="L911" s="14">
        <v>30.95803927757148</v>
      </c>
      <c r="M911" s="14">
        <v>11</v>
      </c>
    </row>
    <row r="912" spans="1:13" x14ac:dyDescent="0.3">
      <c r="A912" s="14">
        <v>901</v>
      </c>
      <c r="B912" s="14">
        <v>0.48254754376651587</v>
      </c>
      <c r="C912" s="14">
        <v>3.0810859723118256E-5</v>
      </c>
      <c r="D912" s="14">
        <v>15661.605943583809</v>
      </c>
      <c r="E912" s="14">
        <v>4.5581491637136651E-5</v>
      </c>
      <c r="F912" s="14">
        <v>10586.47987231224</v>
      </c>
      <c r="G912" s="14">
        <v>0.60901221699232189</v>
      </c>
      <c r="H912" s="14">
        <v>30.958101531153353</v>
      </c>
      <c r="I912" s="14">
        <v>30.958101394405393</v>
      </c>
      <c r="J912" s="14">
        <v>0.12646467322580601</v>
      </c>
      <c r="K912" s="14">
        <v>30.95807072029363</v>
      </c>
      <c r="L912" s="14">
        <v>30.958055812913756</v>
      </c>
      <c r="M912" s="14">
        <v>10</v>
      </c>
    </row>
    <row r="913" spans="1:13" x14ac:dyDescent="0.3">
      <c r="A913" s="14">
        <v>902</v>
      </c>
      <c r="B913" s="14">
        <v>0.77471123890745675</v>
      </c>
      <c r="C913" s="14">
        <v>2.0262948197569131E-5</v>
      </c>
      <c r="D913" s="14">
        <v>38232.898359795239</v>
      </c>
      <c r="E913" s="14">
        <v>5.4207096152225631E-5</v>
      </c>
      <c r="F913" s="14">
        <v>14291.694148896937</v>
      </c>
      <c r="G913" s="14">
        <v>0.82250035995121396</v>
      </c>
      <c r="H913" s="14">
        <v>30.958101091738239</v>
      </c>
      <c r="I913" s="14">
        <v>30.95810013028099</v>
      </c>
      <c r="J913" s="14">
        <v>4.7789121043757259E-2</v>
      </c>
      <c r="K913" s="14">
        <v>30.958080828790042</v>
      </c>
      <c r="L913" s="14">
        <v>30.958045923184837</v>
      </c>
      <c r="M913" s="14">
        <v>9</v>
      </c>
    </row>
    <row r="914" spans="1:13" x14ac:dyDescent="0.3">
      <c r="A914" s="14">
        <v>903</v>
      </c>
      <c r="B914" s="14">
        <v>0.6605993806469912</v>
      </c>
      <c r="C914" s="14">
        <v>1.0043408983406721E-4</v>
      </c>
      <c r="D914" s="14">
        <v>6577.4418002732391</v>
      </c>
      <c r="E914" s="14">
        <v>1.2165360636728906E-4</v>
      </c>
      <c r="F914" s="14">
        <v>5430.1668513841696</v>
      </c>
      <c r="G914" s="14">
        <v>0.82785842757242478</v>
      </c>
      <c r="H914" s="14">
        <v>30.958099801641815</v>
      </c>
      <c r="I914" s="14">
        <v>30.958098103647359</v>
      </c>
      <c r="J914" s="14">
        <v>0.16725904692543361</v>
      </c>
      <c r="K914" s="14">
        <v>30.957999367551981</v>
      </c>
      <c r="L914" s="14">
        <v>30.957976450040992</v>
      </c>
      <c r="M914" s="14">
        <v>12</v>
      </c>
    </row>
    <row r="915" spans="1:13" x14ac:dyDescent="0.3">
      <c r="A915" s="14">
        <v>904</v>
      </c>
      <c r="B915" s="14">
        <v>0.33502363446128763</v>
      </c>
      <c r="C915" s="14">
        <v>1.2367695543247237E-5</v>
      </c>
      <c r="D915" s="14">
        <v>27088.606223348583</v>
      </c>
      <c r="E915" s="14">
        <v>3.1183651159949477E-5</v>
      </c>
      <c r="F915" s="14">
        <v>10743.566644677359</v>
      </c>
      <c r="G915" s="14">
        <v>0.37051508996957605</v>
      </c>
      <c r="H915" s="14">
        <v>30.958101244836406</v>
      </c>
      <c r="I915" s="14">
        <v>30.958100754583519</v>
      </c>
      <c r="J915" s="14">
        <v>3.549145550828843E-2</v>
      </c>
      <c r="K915" s="14">
        <v>30.958088877140863</v>
      </c>
      <c r="L915" s="14">
        <v>30.958069570932359</v>
      </c>
      <c r="M915" s="14">
        <v>12</v>
      </c>
    </row>
    <row r="916" spans="1:13" x14ac:dyDescent="0.3">
      <c r="A916" s="14">
        <v>905</v>
      </c>
      <c r="B916" s="14">
        <v>0.64515404277781263</v>
      </c>
      <c r="C916" s="14">
        <v>7.7280848362448751E-5</v>
      </c>
      <c r="D916" s="14">
        <v>8348.1749547058153</v>
      </c>
      <c r="E916" s="14">
        <v>1.0245942539555131E-4</v>
      </c>
      <c r="F916" s="14">
        <v>6296.6783220494681</v>
      </c>
      <c r="G916" s="14">
        <v>0.81560711997429314</v>
      </c>
      <c r="H916" s="14">
        <v>30.958101413094507</v>
      </c>
      <c r="I916" s="14">
        <v>30.958101076751181</v>
      </c>
      <c r="J916" s="14">
        <v>0.17045307719648048</v>
      </c>
      <c r="K916" s="14">
        <v>30.958024132246145</v>
      </c>
      <c r="L916" s="14">
        <v>30.957998617325785</v>
      </c>
      <c r="M916" s="14">
        <v>15</v>
      </c>
    </row>
    <row r="917" spans="1:13" x14ac:dyDescent="0.3">
      <c r="A917" s="14">
        <v>906</v>
      </c>
      <c r="B917" s="14">
        <v>0.40918770029892282</v>
      </c>
      <c r="C917" s="14">
        <v>2.0527576012341342E-5</v>
      </c>
      <c r="D917" s="14">
        <v>19933.561568736412</v>
      </c>
      <c r="E917" s="14">
        <v>4.0940892240826088E-5</v>
      </c>
      <c r="F917" s="14">
        <v>9994.5965488969614</v>
      </c>
      <c r="G917" s="14">
        <v>0.46912912050349542</v>
      </c>
      <c r="H917" s="14">
        <v>30.958101539127032</v>
      </c>
      <c r="I917" s="14">
        <v>30.958100874997747</v>
      </c>
      <c r="J917" s="14">
        <v>5.9941420204572618E-2</v>
      </c>
      <c r="K917" s="14">
        <v>30.95808101155102</v>
      </c>
      <c r="L917" s="14">
        <v>30.958059934105506</v>
      </c>
      <c r="M917" s="14">
        <v>15</v>
      </c>
    </row>
    <row r="918" spans="1:13" x14ac:dyDescent="0.3">
      <c r="A918" s="14">
        <v>907</v>
      </c>
      <c r="B918" s="14">
        <v>0.83900022269169172</v>
      </c>
      <c r="C918" s="14">
        <v>1.8181171789422024E-5</v>
      </c>
      <c r="D918" s="14">
        <v>46146.652834545566</v>
      </c>
      <c r="E918" s="14">
        <v>4.6614690898394429E-5</v>
      </c>
      <c r="F918" s="14">
        <v>17998.622462614887</v>
      </c>
      <c r="G918" s="14">
        <v>0.92922400177203324</v>
      </c>
      <c r="H918" s="14">
        <v>30.958100981057928</v>
      </c>
      <c r="I918" s="14">
        <v>30.958098592687286</v>
      </c>
      <c r="J918" s="14">
        <v>9.0223779080341515E-2</v>
      </c>
      <c r="K918" s="14">
        <v>30.958082799886139</v>
      </c>
      <c r="L918" s="14">
        <v>30.958051977996387</v>
      </c>
      <c r="M918" s="14">
        <v>11</v>
      </c>
    </row>
    <row r="919" spans="1:13" x14ac:dyDescent="0.3">
      <c r="A919" s="14">
        <v>908</v>
      </c>
      <c r="B919" s="14">
        <v>1.1210794613627826</v>
      </c>
      <c r="C919" s="14">
        <v>1.5617349859553542E-5</v>
      </c>
      <c r="D919" s="14">
        <v>71784.231732312051</v>
      </c>
      <c r="E919" s="14">
        <v>3.2367068676819599E-5</v>
      </c>
      <c r="F919" s="14">
        <v>34636.422363625061</v>
      </c>
      <c r="G919" s="14">
        <v>1.1587516060010787</v>
      </c>
      <c r="H919" s="14">
        <v>30.958101382293524</v>
      </c>
      <c r="I919" s="14">
        <v>30.958099736535811</v>
      </c>
      <c r="J919" s="14">
        <v>3.7672144638296191E-2</v>
      </c>
      <c r="K919" s="14">
        <v>30.958085764943664</v>
      </c>
      <c r="L919" s="14">
        <v>30.958067369467134</v>
      </c>
      <c r="M919" s="14">
        <v>12</v>
      </c>
    </row>
    <row r="920" spans="1:13" x14ac:dyDescent="0.3">
      <c r="A920" s="14">
        <v>909</v>
      </c>
      <c r="B920" s="14">
        <v>0.73521960709566903</v>
      </c>
      <c r="C920" s="14">
        <v>3.4352552720662288E-5</v>
      </c>
      <c r="D920" s="14">
        <v>21402.18262887494</v>
      </c>
      <c r="E920" s="14">
        <v>6.8578093056714806E-5</v>
      </c>
      <c r="F920" s="14">
        <v>10720.910633773889</v>
      </c>
      <c r="G920" s="14">
        <v>0.79954095012649917</v>
      </c>
      <c r="H920" s="14">
        <v>30.958101366283444</v>
      </c>
      <c r="I920" s="14">
        <v>30.958101139651856</v>
      </c>
      <c r="J920" s="14">
        <v>6.4321343030830147E-2</v>
      </c>
      <c r="K920" s="14">
        <v>30.958067013730723</v>
      </c>
      <c r="L920" s="14">
        <v>30.958032561558799</v>
      </c>
      <c r="M920" s="14">
        <v>10</v>
      </c>
    </row>
    <row r="921" spans="1:13" x14ac:dyDescent="0.3">
      <c r="A921" s="14">
        <v>910</v>
      </c>
      <c r="B921" s="14">
        <v>0.48352950555054114</v>
      </c>
      <c r="C921" s="14">
        <v>1.0014335756380888E-4</v>
      </c>
      <c r="D921" s="14">
        <v>4828.3732172895052</v>
      </c>
      <c r="E921" s="14">
        <v>1.0936345962164751E-4</v>
      </c>
      <c r="F921" s="14">
        <v>4421.3076947579557</v>
      </c>
      <c r="G921" s="14">
        <v>0.66985415153972372</v>
      </c>
      <c r="H921" s="14">
        <v>30.958095927415425</v>
      </c>
      <c r="I921" s="14">
        <v>30.958094921898592</v>
      </c>
      <c r="J921" s="14">
        <v>0.18632464598918258</v>
      </c>
      <c r="K921" s="14">
        <v>30.957995784057861</v>
      </c>
      <c r="L921" s="14">
        <v>30.95798555843897</v>
      </c>
      <c r="M921" s="14">
        <v>15</v>
      </c>
    </row>
    <row r="922" spans="1:13" x14ac:dyDescent="0.3">
      <c r="A922" s="14">
        <v>911</v>
      </c>
      <c r="B922" s="14">
        <v>0.71392905128698614</v>
      </c>
      <c r="C922" s="14">
        <v>3.0534274777949122E-5</v>
      </c>
      <c r="D922" s="14">
        <v>23381.234906635571</v>
      </c>
      <c r="E922" s="14">
        <v>6.7192752069900052E-5</v>
      </c>
      <c r="F922" s="14">
        <v>10625.090196399335</v>
      </c>
      <c r="G922" s="14">
        <v>0.75935256369955972</v>
      </c>
      <c r="H922" s="14">
        <v>30.958101530704486</v>
      </c>
      <c r="I922" s="14">
        <v>30.958099309393891</v>
      </c>
      <c r="J922" s="14">
        <v>4.5423512412573613E-2</v>
      </c>
      <c r="K922" s="14">
        <v>30.958070996429708</v>
      </c>
      <c r="L922" s="14">
        <v>30.958032116641821</v>
      </c>
      <c r="M922" s="14">
        <v>15</v>
      </c>
    </row>
    <row r="923" spans="1:13" x14ac:dyDescent="0.3">
      <c r="A923" s="14">
        <v>912</v>
      </c>
      <c r="B923" s="14">
        <v>0.46060418595253944</v>
      </c>
      <c r="C923" s="14">
        <v>2.4589485224879581E-5</v>
      </c>
      <c r="D923" s="14">
        <v>18731.753907824848</v>
      </c>
      <c r="E923" s="14">
        <v>5.0066147657901183E-5</v>
      </c>
      <c r="F923" s="14">
        <v>9199.9126655363762</v>
      </c>
      <c r="G923" s="14">
        <v>0.51085459850000303</v>
      </c>
      <c r="H923" s="14">
        <v>30.958100896342348</v>
      </c>
      <c r="I923" s="14">
        <v>30.958098901135095</v>
      </c>
      <c r="J923" s="14">
        <v>5.025041254746359E-2</v>
      </c>
      <c r="K923" s="14">
        <v>30.958076306857123</v>
      </c>
      <c r="L923" s="14">
        <v>30.958048834987437</v>
      </c>
      <c r="M923" s="14">
        <v>10</v>
      </c>
    </row>
    <row r="924" spans="1:13" x14ac:dyDescent="0.3">
      <c r="A924" s="14">
        <v>913</v>
      </c>
      <c r="B924" s="14">
        <v>0.15041039952111979</v>
      </c>
      <c r="C924" s="14">
        <v>7.2745118391281949E-5</v>
      </c>
      <c r="D924" s="14">
        <v>2067.6356413648446</v>
      </c>
      <c r="E924" s="14">
        <v>8.9127090500795703E-5</v>
      </c>
      <c r="F924" s="14">
        <v>1687.5946322939485</v>
      </c>
      <c r="G924" s="14">
        <v>0.74813945477836852</v>
      </c>
      <c r="H924" s="14">
        <v>30.958094371210365</v>
      </c>
      <c r="I924" s="14">
        <v>30.958091967713074</v>
      </c>
      <c r="J924" s="14">
        <v>0.59772905525724873</v>
      </c>
      <c r="K924" s="14">
        <v>30.958021626091973</v>
      </c>
      <c r="L924" s="14">
        <v>30.958002840622573</v>
      </c>
      <c r="M924" s="14">
        <v>12</v>
      </c>
    </row>
    <row r="925" spans="1:13" x14ac:dyDescent="0.3">
      <c r="A925" s="14">
        <v>914</v>
      </c>
      <c r="B925" s="14">
        <v>0.39297656065196912</v>
      </c>
      <c r="C925" s="14">
        <v>8.0198963559041658E-6</v>
      </c>
      <c r="D925" s="14">
        <v>49000.204393248023</v>
      </c>
      <c r="E925" s="14">
        <v>3.3848847593276332E-5</v>
      </c>
      <c r="F925" s="14">
        <v>11609.747113813979</v>
      </c>
      <c r="G925" s="14">
        <v>0.4192084808101173</v>
      </c>
      <c r="H925" s="14">
        <v>30.958101184154078</v>
      </c>
      <c r="I925" s="14">
        <v>30.958099390611093</v>
      </c>
      <c r="J925" s="14">
        <v>2.6231920158148164E-2</v>
      </c>
      <c r="K925" s="14">
        <v>30.958093164257722</v>
      </c>
      <c r="L925" s="14">
        <v>30.958065541763499</v>
      </c>
      <c r="M925" s="14">
        <v>14</v>
      </c>
    </row>
    <row r="926" spans="1:13" x14ac:dyDescent="0.3">
      <c r="A926" s="14">
        <v>915</v>
      </c>
      <c r="B926" s="14">
        <v>0.57307751604361246</v>
      </c>
      <c r="C926" s="14">
        <v>4.7426134806016762E-6</v>
      </c>
      <c r="D926" s="14">
        <v>120835.80464392144</v>
      </c>
      <c r="E926" s="14">
        <v>3.5488006538741956E-5</v>
      </c>
      <c r="F926" s="14">
        <v>16148.484289135502</v>
      </c>
      <c r="G926" s="14">
        <v>0.59760590896305366</v>
      </c>
      <c r="H926" s="14">
        <v>30.958101463523924</v>
      </c>
      <c r="I926" s="14">
        <v>30.958100438831028</v>
      </c>
      <c r="J926" s="14">
        <v>2.4528392919441186E-2</v>
      </c>
      <c r="K926" s="14">
        <v>30.958096720910444</v>
      </c>
      <c r="L926" s="14">
        <v>30.95806495082449</v>
      </c>
      <c r="M926" s="14">
        <v>12</v>
      </c>
    </row>
    <row r="927" spans="1:13" x14ac:dyDescent="0.3">
      <c r="A927" s="14">
        <v>916</v>
      </c>
      <c r="B927" s="14">
        <v>0.39757885783946062</v>
      </c>
      <c r="C927" s="14">
        <v>3.8778416495688361E-6</v>
      </c>
      <c r="D927" s="14">
        <v>102525.8104295378</v>
      </c>
      <c r="E927" s="14">
        <v>2.8297214054617825E-5</v>
      </c>
      <c r="F927" s="14">
        <v>14050.106030652854</v>
      </c>
      <c r="G927" s="14">
        <v>0.4094254819374018</v>
      </c>
      <c r="H927" s="14">
        <v>30.958101080220594</v>
      </c>
      <c r="I927" s="14">
        <v>30.958097151816613</v>
      </c>
      <c r="J927" s="14">
        <v>1.1846624097941171E-2</v>
      </c>
      <c r="K927" s="14">
        <v>30.958097202378944</v>
      </c>
      <c r="L927" s="14">
        <v>30.958068854602558</v>
      </c>
      <c r="M927" s="14">
        <v>10</v>
      </c>
    </row>
    <row r="928" spans="1:13" x14ac:dyDescent="0.3">
      <c r="A928" s="14">
        <v>917</v>
      </c>
      <c r="B928" s="14">
        <v>0.63969677084322973</v>
      </c>
      <c r="C928" s="14">
        <v>6.9524851618041339E-6</v>
      </c>
      <c r="D928" s="14">
        <v>92009.800230516674</v>
      </c>
      <c r="E928" s="14">
        <v>2.9122138087700478E-5</v>
      </c>
      <c r="F928" s="14">
        <v>21965.99607201921</v>
      </c>
      <c r="G928" s="14">
        <v>0.66468894920856292</v>
      </c>
      <c r="H928" s="14">
        <v>30.958101513854874</v>
      </c>
      <c r="I928" s="14">
        <v>30.958100828935077</v>
      </c>
      <c r="J928" s="14">
        <v>2.4992178365333212E-2</v>
      </c>
      <c r="K928" s="14">
        <v>30.958094561369712</v>
      </c>
      <c r="L928" s="14">
        <v>30.958071706796989</v>
      </c>
      <c r="M928" s="14">
        <v>13</v>
      </c>
    </row>
    <row r="929" spans="1:13" x14ac:dyDescent="0.3">
      <c r="A929" s="14">
        <v>918</v>
      </c>
      <c r="B929" s="14">
        <v>0.45070516181575282</v>
      </c>
      <c r="C929" s="14">
        <v>4.0642262831624976E-5</v>
      </c>
      <c r="D929" s="14">
        <v>11089.568602096768</v>
      </c>
      <c r="E929" s="14">
        <v>6.0963221240939447E-5</v>
      </c>
      <c r="F929" s="14">
        <v>7393.0667153310587</v>
      </c>
      <c r="G929" s="14">
        <v>0.56467965415328392</v>
      </c>
      <c r="H929" s="14">
        <v>30.958100255137023</v>
      </c>
      <c r="I929" s="14">
        <v>30.958098284792619</v>
      </c>
      <c r="J929" s="14">
        <v>0.11397449233753108</v>
      </c>
      <c r="K929" s="14">
        <v>30.958059612874191</v>
      </c>
      <c r="L929" s="14">
        <v>30.958037321571378</v>
      </c>
      <c r="M929" s="14">
        <v>15</v>
      </c>
    </row>
    <row r="930" spans="1:13" x14ac:dyDescent="0.3">
      <c r="A930" s="14">
        <v>919</v>
      </c>
      <c r="B930" s="14">
        <v>0.54408274977673821</v>
      </c>
      <c r="C930" s="14">
        <v>3.4738434102621341E-5</v>
      </c>
      <c r="D930" s="14">
        <v>15662.270445739005</v>
      </c>
      <c r="E930" s="14">
        <v>5.8646212117707819E-5</v>
      </c>
      <c r="F930" s="14">
        <v>9277.372401899016</v>
      </c>
      <c r="G930" s="14">
        <v>0.59708371604747346</v>
      </c>
      <c r="H930" s="14">
        <v>30.95810119697342</v>
      </c>
      <c r="I930" s="14">
        <v>30.958100277441794</v>
      </c>
      <c r="J930" s="14">
        <v>5.3000966270735236E-2</v>
      </c>
      <c r="K930" s="14">
        <v>30.958066458539317</v>
      </c>
      <c r="L930" s="14">
        <v>30.958041631229676</v>
      </c>
      <c r="M930" s="14">
        <v>14</v>
      </c>
    </row>
    <row r="931" spans="1:13" x14ac:dyDescent="0.3">
      <c r="A931" s="14">
        <v>920</v>
      </c>
      <c r="B931" s="14">
        <v>0.43685903909876261</v>
      </c>
      <c r="C931" s="14">
        <v>3.6358430115512874E-6</v>
      </c>
      <c r="D931" s="14">
        <v>120153.43833901401</v>
      </c>
      <c r="E931" s="14">
        <v>1.9034833695030784E-5</v>
      </c>
      <c r="F931" s="14">
        <v>22950.504643116932</v>
      </c>
      <c r="G931" s="14">
        <v>0.47571170574859079</v>
      </c>
      <c r="H931" s="14">
        <v>30.958099789931506</v>
      </c>
      <c r="I931" s="14">
        <v>30.958091743552437</v>
      </c>
      <c r="J931" s="14">
        <v>3.8852666649828185E-2</v>
      </c>
      <c r="K931" s="14">
        <v>30.958096154088494</v>
      </c>
      <c r="L931" s="14">
        <v>30.958072708718742</v>
      </c>
      <c r="M931" s="14">
        <v>14</v>
      </c>
    </row>
    <row r="932" spans="1:13" x14ac:dyDescent="0.3">
      <c r="A932" s="14">
        <v>921</v>
      </c>
      <c r="B932" s="14">
        <v>1.0643050742687998</v>
      </c>
      <c r="C932" s="14">
        <v>3.90507109564453E-5</v>
      </c>
      <c r="D932" s="14">
        <v>27254.43527662937</v>
      </c>
      <c r="E932" s="14">
        <v>6.5094927137465675E-5</v>
      </c>
      <c r="F932" s="14">
        <v>16350.046325748697</v>
      </c>
      <c r="G932" s="14">
        <v>1.2122351248646515</v>
      </c>
      <c r="H932" s="14">
        <v>30.958100289082918</v>
      </c>
      <c r="I932" s="14">
        <v>30.95809807441141</v>
      </c>
      <c r="J932" s="14">
        <v>0.1479300505958516</v>
      </c>
      <c r="K932" s="14">
        <v>30.958061238371961</v>
      </c>
      <c r="L932" s="14">
        <v>30.958032979484273</v>
      </c>
      <c r="M932" s="14">
        <v>11</v>
      </c>
    </row>
    <row r="933" spans="1:13" x14ac:dyDescent="0.3">
      <c r="A933" s="14">
        <v>922</v>
      </c>
      <c r="B933" s="14">
        <v>0.88381234508360795</v>
      </c>
      <c r="C933" s="14">
        <v>1.8901102340151965E-5</v>
      </c>
      <c r="D933" s="14">
        <v>46759.83067961644</v>
      </c>
      <c r="E933" s="14">
        <v>4.9745023197544924E-5</v>
      </c>
      <c r="F933" s="14">
        <v>17766.84959164371</v>
      </c>
      <c r="G933" s="14">
        <v>0.98871397953139539</v>
      </c>
      <c r="H933" s="14">
        <v>30.958098763530931</v>
      </c>
      <c r="I933" s="14">
        <v>30.958092064715185</v>
      </c>
      <c r="J933" s="14">
        <v>0.1049016344477875</v>
      </c>
      <c r="K933" s="14">
        <v>30.95807986242859</v>
      </c>
      <c r="L933" s="14">
        <v>30.958042319691987</v>
      </c>
      <c r="M933" s="14">
        <v>14</v>
      </c>
    </row>
    <row r="934" spans="1:13" x14ac:dyDescent="0.3">
      <c r="A934" s="14">
        <v>923</v>
      </c>
      <c r="B934" s="14">
        <v>0.29852171391136745</v>
      </c>
      <c r="C934" s="14">
        <v>4.7893057377734749E-5</v>
      </c>
      <c r="D934" s="14">
        <v>6233.0895176917384</v>
      </c>
      <c r="E934" s="14">
        <v>6.9849817233347267E-5</v>
      </c>
      <c r="F934" s="14">
        <v>4273.7651397726067</v>
      </c>
      <c r="G934" s="14">
        <v>0.50057941511445159</v>
      </c>
      <c r="H934" s="14">
        <v>30.958101502979854</v>
      </c>
      <c r="I934" s="14">
        <v>30.958100564623702</v>
      </c>
      <c r="J934" s="14">
        <v>0.20205770120308414</v>
      </c>
      <c r="K934" s="14">
        <v>30.958053609922477</v>
      </c>
      <c r="L934" s="14">
        <v>30.958030714806469</v>
      </c>
      <c r="M934" s="14">
        <v>15</v>
      </c>
    </row>
    <row r="935" spans="1:13" x14ac:dyDescent="0.3">
      <c r="A935" s="14">
        <v>924</v>
      </c>
      <c r="B935" s="14">
        <v>0.63500725857056795</v>
      </c>
      <c r="C935" s="14">
        <v>2.1254679483106997E-4</v>
      </c>
      <c r="D935" s="14">
        <v>2987.6115472607585</v>
      </c>
      <c r="E935" s="14">
        <v>2.2415150501586822E-4</v>
      </c>
      <c r="F935" s="14">
        <v>2832.9377423792639</v>
      </c>
      <c r="G935" s="14">
        <v>1.0453439109693656</v>
      </c>
      <c r="H935" s="14">
        <v>30.95809864821603</v>
      </c>
      <c r="I935" s="14">
        <v>30.958096773635933</v>
      </c>
      <c r="J935" s="14">
        <v>0.41033665239879769</v>
      </c>
      <c r="K935" s="14">
        <v>30.957886101421199</v>
      </c>
      <c r="L935" s="14">
        <v>30.957872622130918</v>
      </c>
      <c r="M935" s="14">
        <v>14</v>
      </c>
    </row>
    <row r="936" spans="1:13" x14ac:dyDescent="0.3">
      <c r="A936" s="14">
        <v>925</v>
      </c>
      <c r="B936" s="14">
        <v>9.3176620056494908E-2</v>
      </c>
      <c r="C936" s="14">
        <v>2.0791558295485402E-5</v>
      </c>
      <c r="D936" s="14">
        <v>4481.4640024709888</v>
      </c>
      <c r="E936" s="14">
        <v>4.1278362772345645E-5</v>
      </c>
      <c r="F936" s="14">
        <v>2257.2750903511705</v>
      </c>
      <c r="G936" s="14">
        <v>0.51866043091145075</v>
      </c>
      <c r="H936" s="14">
        <v>30.958100641811455</v>
      </c>
      <c r="I936" s="14">
        <v>30.958099510775941</v>
      </c>
      <c r="J936" s="14">
        <v>0.42548381085495585</v>
      </c>
      <c r="K936" s="14">
        <v>30.95807985025316</v>
      </c>
      <c r="L936" s="14">
        <v>30.958058232413169</v>
      </c>
      <c r="M936" s="14">
        <v>13</v>
      </c>
    </row>
    <row r="937" spans="1:13" x14ac:dyDescent="0.3">
      <c r="A937" s="14">
        <v>926</v>
      </c>
      <c r="B937" s="14">
        <v>0.7676635337242308</v>
      </c>
      <c r="C937" s="14">
        <v>2.6024828333248706E-5</v>
      </c>
      <c r="D937" s="14">
        <v>29497.352447219873</v>
      </c>
      <c r="E937" s="14">
        <v>6.9375727843379309E-5</v>
      </c>
      <c r="F937" s="14">
        <v>11065.30421500278</v>
      </c>
      <c r="G937" s="14">
        <v>0.85020196789902069</v>
      </c>
      <c r="H937" s="14">
        <v>30.95810154623792</v>
      </c>
      <c r="I937" s="14">
        <v>30.958098982045261</v>
      </c>
      <c r="J937" s="14">
        <v>8.2538434174789954E-2</v>
      </c>
      <c r="K937" s="14">
        <v>30.958075521409587</v>
      </c>
      <c r="L937" s="14">
        <v>30.958029606317417</v>
      </c>
      <c r="M937" s="14">
        <v>14</v>
      </c>
    </row>
    <row r="938" spans="1:13" x14ac:dyDescent="0.3">
      <c r="A938" s="14">
        <v>927</v>
      </c>
      <c r="B938" s="14">
        <v>0.27838725284774268</v>
      </c>
      <c r="C938" s="14">
        <v>2.6840463444699481E-5</v>
      </c>
      <c r="D938" s="14">
        <v>10371.924218868853</v>
      </c>
      <c r="E938" s="14">
        <v>4.0524210646708525E-5</v>
      </c>
      <c r="F938" s="14">
        <v>6869.6526941568936</v>
      </c>
      <c r="G938" s="14">
        <v>0.5020879773188841</v>
      </c>
      <c r="H938" s="14">
        <v>30.958100383220444</v>
      </c>
      <c r="I938" s="14">
        <v>30.958098573270423</v>
      </c>
      <c r="J938" s="14">
        <v>0.22370072447114139</v>
      </c>
      <c r="K938" s="14">
        <v>30.958073542756999</v>
      </c>
      <c r="L938" s="14">
        <v>30.958058049059776</v>
      </c>
      <c r="M938" s="14">
        <v>11</v>
      </c>
    </row>
    <row r="939" spans="1:13" x14ac:dyDescent="0.3">
      <c r="A939" s="14">
        <v>928</v>
      </c>
      <c r="B939" s="14">
        <v>0.10483266110143358</v>
      </c>
      <c r="C939" s="14">
        <v>2.6430749890948846E-5</v>
      </c>
      <c r="D939" s="14">
        <v>3966.3142942960276</v>
      </c>
      <c r="E939" s="14">
        <v>4.0132403292147956E-5</v>
      </c>
      <c r="F939" s="14">
        <v>2612.1700297461243</v>
      </c>
      <c r="G939" s="14">
        <v>0.53562093558062773</v>
      </c>
      <c r="H939" s="14">
        <v>30.95810154178071</v>
      </c>
      <c r="I939" s="14">
        <v>30.958100513772287</v>
      </c>
      <c r="J939" s="14">
        <v>0.43078827447919416</v>
      </c>
      <c r="K939" s="14">
        <v>30.958075111030819</v>
      </c>
      <c r="L939" s="14">
        <v>30.958060381368995</v>
      </c>
      <c r="M939" s="14">
        <v>13</v>
      </c>
    </row>
    <row r="940" spans="1:13" x14ac:dyDescent="0.3">
      <c r="A940" s="14">
        <v>929</v>
      </c>
      <c r="B940" s="14">
        <v>0.44295416668360654</v>
      </c>
      <c r="C940" s="14">
        <v>1.5708159878613515E-5</v>
      </c>
      <c r="D940" s="14">
        <v>28198.985120254838</v>
      </c>
      <c r="E940" s="14">
        <v>3.9336789566135621E-5</v>
      </c>
      <c r="F940" s="14">
        <v>11260.557141779011</v>
      </c>
      <c r="G940" s="14">
        <v>0.48227808978575903</v>
      </c>
      <c r="H940" s="14">
        <v>30.958101550686923</v>
      </c>
      <c r="I940" s="14">
        <v>30.958100018178776</v>
      </c>
      <c r="J940" s="14">
        <v>3.9323923102152498E-2</v>
      </c>
      <c r="K940" s="14">
        <v>30.958085842527044</v>
      </c>
      <c r="L940" s="14">
        <v>30.95806068138921</v>
      </c>
      <c r="M940" s="14">
        <v>15</v>
      </c>
    </row>
    <row r="941" spans="1:13" x14ac:dyDescent="0.3">
      <c r="A941" s="14">
        <v>930</v>
      </c>
      <c r="B941" s="14">
        <v>0.46422976284888462</v>
      </c>
      <c r="C941" s="14">
        <v>2.1445129593899992E-5</v>
      </c>
      <c r="D941" s="14">
        <v>21647.328397629899</v>
      </c>
      <c r="E941" s="14">
        <v>5.2924541986243412E-5</v>
      </c>
      <c r="F941" s="14">
        <v>8771.5404881453887</v>
      </c>
      <c r="G941" s="14">
        <v>0.54303298508338771</v>
      </c>
      <c r="H941" s="14">
        <v>30.958101185772684</v>
      </c>
      <c r="I941" s="14">
        <v>30.95810000115803</v>
      </c>
      <c r="J941" s="14">
        <v>7.8803222234503117E-2</v>
      </c>
      <c r="K941" s="14">
        <v>30.95807974064309</v>
      </c>
      <c r="L941" s="14">
        <v>30.958047076616044</v>
      </c>
      <c r="M941" s="14">
        <v>14</v>
      </c>
    </row>
    <row r="942" spans="1:13" x14ac:dyDescent="0.3">
      <c r="A942" s="14">
        <v>931</v>
      </c>
      <c r="B942" s="14">
        <v>0.50528696034577514</v>
      </c>
      <c r="C942" s="14">
        <v>5.1799999607027303E-5</v>
      </c>
      <c r="D942" s="14">
        <v>9754.5745980512856</v>
      </c>
      <c r="E942" s="14">
        <v>8.6010699710925564E-5</v>
      </c>
      <c r="F942" s="14">
        <v>5874.6988693732337</v>
      </c>
      <c r="G942" s="14">
        <v>0.60195996502509763</v>
      </c>
      <c r="H942" s="14">
        <v>30.958101013246246</v>
      </c>
      <c r="I942" s="14">
        <v>30.958098588131115</v>
      </c>
      <c r="J942" s="14">
        <v>9.667300467932248E-2</v>
      </c>
      <c r="K942" s="14">
        <v>30.958049213246639</v>
      </c>
      <c r="L942" s="14">
        <v>30.958012577431404</v>
      </c>
      <c r="M942" s="14">
        <v>15</v>
      </c>
    </row>
    <row r="943" spans="1:13" x14ac:dyDescent="0.3">
      <c r="A943" s="14">
        <v>932</v>
      </c>
      <c r="B943" s="14">
        <v>0.40592353919012547</v>
      </c>
      <c r="C943" s="14">
        <v>3.1672363260071279E-5</v>
      </c>
      <c r="D943" s="14">
        <v>12816.332518573543</v>
      </c>
      <c r="E943" s="14">
        <v>4.7545532002146729E-5</v>
      </c>
      <c r="F943" s="14">
        <v>8537.5748697437575</v>
      </c>
      <c r="G943" s="14">
        <v>0.46928552723799788</v>
      </c>
      <c r="H943" s="14">
        <v>30.958099883314407</v>
      </c>
      <c r="I943" s="14">
        <v>30.958097944650664</v>
      </c>
      <c r="J943" s="14">
        <v>6.3361988047872436E-2</v>
      </c>
      <c r="K943" s="14">
        <v>30.958068210951147</v>
      </c>
      <c r="L943" s="14">
        <v>30.958050399118662</v>
      </c>
      <c r="M943" s="14">
        <v>11</v>
      </c>
    </row>
    <row r="944" spans="1:13" x14ac:dyDescent="0.3">
      <c r="A944" s="14">
        <v>933</v>
      </c>
      <c r="B944" s="14">
        <v>0.26732414778174929</v>
      </c>
      <c r="C944" s="14">
        <v>1.9102805307369408E-4</v>
      </c>
      <c r="D944" s="14">
        <v>1399.3973318600592</v>
      </c>
      <c r="E944" s="14">
        <v>2.1168314166786217E-4</v>
      </c>
      <c r="F944" s="14">
        <v>1262.8504361541916</v>
      </c>
      <c r="G944" s="14">
        <v>0.81187367667010757</v>
      </c>
      <c r="H944" s="14">
        <v>30.958099102647221</v>
      </c>
      <c r="I944" s="14">
        <v>30.958097967985012</v>
      </c>
      <c r="J944" s="14">
        <v>0.54454952888835828</v>
      </c>
      <c r="K944" s="14">
        <v>30.957908074594148</v>
      </c>
      <c r="L944" s="14">
        <v>30.957886284843344</v>
      </c>
      <c r="M944" s="14">
        <v>14</v>
      </c>
    </row>
    <row r="945" spans="1:13" x14ac:dyDescent="0.3">
      <c r="A945" s="14">
        <v>934</v>
      </c>
      <c r="B945" s="14">
        <v>0.32909231536224537</v>
      </c>
      <c r="C945" s="14">
        <v>9.5668127258363711E-5</v>
      </c>
      <c r="D945" s="14">
        <v>3439.9368399204736</v>
      </c>
      <c r="E945" s="14">
        <v>1.0730331633723722E-4</v>
      </c>
      <c r="F945" s="14">
        <v>3066.9351758706198</v>
      </c>
      <c r="G945" s="14">
        <v>0.49378515658980932</v>
      </c>
      <c r="H945" s="14">
        <v>30.958094666998711</v>
      </c>
      <c r="I945" s="14">
        <v>30.958093060920376</v>
      </c>
      <c r="J945" s="14">
        <v>0.16469284122756395</v>
      </c>
      <c r="K945" s="14">
        <v>30.957998998871453</v>
      </c>
      <c r="L945" s="14">
        <v>30.957985757604039</v>
      </c>
      <c r="M945" s="14">
        <v>11</v>
      </c>
    </row>
    <row r="946" spans="1:13" x14ac:dyDescent="0.3">
      <c r="A946" s="14">
        <v>935</v>
      </c>
      <c r="B946" s="14">
        <v>0.79161305001718274</v>
      </c>
      <c r="C946" s="14">
        <v>7.9445902407826452E-6</v>
      </c>
      <c r="D946" s="14">
        <v>99641.772076994952</v>
      </c>
      <c r="E946" s="14">
        <v>2.7168065368954331E-5</v>
      </c>
      <c r="F946" s="14">
        <v>29137.63049619941</v>
      </c>
      <c r="G946" s="14">
        <v>0.82354432235903618</v>
      </c>
      <c r="H946" s="14">
        <v>30.958101360118896</v>
      </c>
      <c r="I946" s="14">
        <v>30.95810023460006</v>
      </c>
      <c r="J946" s="14">
        <v>3.1931272341853389E-2</v>
      </c>
      <c r="K946" s="14">
        <v>30.958093415528655</v>
      </c>
      <c r="L946" s="14">
        <v>30.958073066534691</v>
      </c>
      <c r="M946" s="14">
        <v>11</v>
      </c>
    </row>
    <row r="947" spans="1:13" x14ac:dyDescent="0.3">
      <c r="A947" s="14">
        <v>936</v>
      </c>
      <c r="B947" s="14">
        <v>0.36005979822573347</v>
      </c>
      <c r="C947" s="14">
        <v>1.0284250777203852E-5</v>
      </c>
      <c r="D947" s="14">
        <v>35010.795246635251</v>
      </c>
      <c r="E947" s="14">
        <v>3.121772154557334E-5</v>
      </c>
      <c r="F947" s="14">
        <v>11533.826954670552</v>
      </c>
      <c r="G947" s="14">
        <v>0.39339922207197686</v>
      </c>
      <c r="H947" s="14">
        <v>30.958101545925594</v>
      </c>
      <c r="I947" s="14">
        <v>30.958101006921083</v>
      </c>
      <c r="J947" s="14">
        <v>3.3339423846243388E-2</v>
      </c>
      <c r="K947" s="14">
        <v>30.958091261674817</v>
      </c>
      <c r="L947" s="14">
        <v>30.958069789199538</v>
      </c>
      <c r="M947" s="14">
        <v>12</v>
      </c>
    </row>
    <row r="948" spans="1:13" x14ac:dyDescent="0.3">
      <c r="A948" s="14">
        <v>937</v>
      </c>
      <c r="B948" s="14">
        <v>0.1260602844837122</v>
      </c>
      <c r="C948" s="14">
        <v>5.9010617839305723E-5</v>
      </c>
      <c r="D948" s="14">
        <v>2136.2305479836227</v>
      </c>
      <c r="E948" s="14">
        <v>8.737704376571287E-5</v>
      </c>
      <c r="F948" s="14">
        <v>1442.7162908111434</v>
      </c>
      <c r="G948" s="14">
        <v>1.0418329593517559</v>
      </c>
      <c r="H948" s="14">
        <v>30.95810077741125</v>
      </c>
      <c r="I948" s="14">
        <v>30.95809740290164</v>
      </c>
      <c r="J948" s="14">
        <v>0.9157726748680437</v>
      </c>
      <c r="K948" s="14">
        <v>30.958041766793411</v>
      </c>
      <c r="L948" s="14">
        <v>30.958010025857874</v>
      </c>
      <c r="M948" s="14">
        <v>9</v>
      </c>
    </row>
    <row r="949" spans="1:13" x14ac:dyDescent="0.3">
      <c r="A949" s="14">
        <v>938</v>
      </c>
      <c r="B949" s="14">
        <v>0.47415995761348845</v>
      </c>
      <c r="C949" s="14">
        <v>1.1409949356178117E-4</v>
      </c>
      <c r="D949" s="14">
        <v>4155.6710096767101</v>
      </c>
      <c r="E949" s="14">
        <v>1.2906597548933973E-4</v>
      </c>
      <c r="F949" s="14">
        <v>3673.7796759816993</v>
      </c>
      <c r="G949" s="14">
        <v>0.69304240488458169</v>
      </c>
      <c r="H949" s="14">
        <v>30.958099086466095</v>
      </c>
      <c r="I949" s="14">
        <v>30.958097184001552</v>
      </c>
      <c r="J949" s="14">
        <v>0.21888244727109324</v>
      </c>
      <c r="K949" s="14">
        <v>30.957984986972534</v>
      </c>
      <c r="L949" s="14">
        <v>30.957968118026063</v>
      </c>
      <c r="M949" s="14">
        <v>15</v>
      </c>
    </row>
    <row r="950" spans="1:13" x14ac:dyDescent="0.3">
      <c r="A950" s="14">
        <v>939</v>
      </c>
      <c r="B950" s="14">
        <v>0.32037803548818033</v>
      </c>
      <c r="C950" s="14">
        <v>1.2532764905870408E-5</v>
      </c>
      <c r="D950" s="14">
        <v>25563.236675580956</v>
      </c>
      <c r="E950" s="14">
        <v>2.3459841347772681E-5</v>
      </c>
      <c r="F950" s="14">
        <v>13656.445102882062</v>
      </c>
      <c r="G950" s="14">
        <v>0.38894625273658207</v>
      </c>
      <c r="H950" s="14">
        <v>30.958101550829461</v>
      </c>
      <c r="I950" s="14">
        <v>30.958101188465101</v>
      </c>
      <c r="J950" s="14">
        <v>6.8568217248401744E-2</v>
      </c>
      <c r="K950" s="14">
        <v>30.958089018064555</v>
      </c>
      <c r="L950" s="14">
        <v>30.958077728623753</v>
      </c>
      <c r="M950" s="14">
        <v>10</v>
      </c>
    </row>
    <row r="951" spans="1:13" x14ac:dyDescent="0.3">
      <c r="A951" s="14">
        <v>940</v>
      </c>
      <c r="B951" s="14">
        <v>0.68605874776668418</v>
      </c>
      <c r="C951" s="14">
        <v>1.9615406088746568E-5</v>
      </c>
      <c r="D951" s="14">
        <v>34975.505715391671</v>
      </c>
      <c r="E951" s="14">
        <v>4.3399088326623314E-5</v>
      </c>
      <c r="F951" s="14">
        <v>15808.137318539459</v>
      </c>
      <c r="G951" s="14">
        <v>0.78223324587319776</v>
      </c>
      <c r="H951" s="14">
        <v>30.958101544660469</v>
      </c>
      <c r="I951" s="14">
        <v>30.958100774515554</v>
      </c>
      <c r="J951" s="14">
        <v>9.6174498106513517E-2</v>
      </c>
      <c r="K951" s="14">
        <v>30.95808192925438</v>
      </c>
      <c r="L951" s="14">
        <v>30.958057375427227</v>
      </c>
      <c r="M951" s="14">
        <v>15</v>
      </c>
    </row>
    <row r="952" spans="1:13" x14ac:dyDescent="0.3">
      <c r="A952" s="14">
        <v>941</v>
      </c>
      <c r="B952" s="14">
        <v>0.49287452693104389</v>
      </c>
      <c r="C952" s="14">
        <v>4.9850376061755242E-5</v>
      </c>
      <c r="D952" s="14">
        <v>9887.077407810626</v>
      </c>
      <c r="E952" s="14">
        <v>7.3272599635743063E-5</v>
      </c>
      <c r="F952" s="14">
        <v>6726.5871469178101</v>
      </c>
      <c r="G952" s="14">
        <v>0.55176592347848907</v>
      </c>
      <c r="H952" s="14">
        <v>30.958100957256949</v>
      </c>
      <c r="I952" s="14">
        <v>30.958099631683723</v>
      </c>
      <c r="J952" s="14">
        <v>5.8891396547445199E-2</v>
      </c>
      <c r="K952" s="14">
        <v>30.958051106880887</v>
      </c>
      <c r="L952" s="14">
        <v>30.958026359084087</v>
      </c>
      <c r="M952" s="14">
        <v>15</v>
      </c>
    </row>
    <row r="953" spans="1:13" x14ac:dyDescent="0.3">
      <c r="A953" s="14">
        <v>942</v>
      </c>
      <c r="B953" s="14">
        <v>0.34757072405756106</v>
      </c>
      <c r="C953" s="14">
        <v>8.4218119724255303E-5</v>
      </c>
      <c r="D953" s="14">
        <v>4127.0302067484736</v>
      </c>
      <c r="E953" s="14">
        <v>9.522827821584201E-5</v>
      </c>
      <c r="F953" s="14">
        <v>3649.8688264610437</v>
      </c>
      <c r="G953" s="14">
        <v>0.53232586288740258</v>
      </c>
      <c r="H953" s="14">
        <v>30.95810090255527</v>
      </c>
      <c r="I953" s="14">
        <v>30.958100147797353</v>
      </c>
      <c r="J953" s="14">
        <v>0.18475513882984154</v>
      </c>
      <c r="K953" s="14">
        <v>30.958016684435545</v>
      </c>
      <c r="L953" s="14">
        <v>30.958004919519137</v>
      </c>
      <c r="M953" s="14">
        <v>14</v>
      </c>
    </row>
    <row r="954" spans="1:13" x14ac:dyDescent="0.3">
      <c r="A954" s="14">
        <v>943</v>
      </c>
      <c r="B954" s="14">
        <v>0.82395803300160719</v>
      </c>
      <c r="C954" s="14">
        <v>1.9380865371232403E-5</v>
      </c>
      <c r="D954" s="14">
        <v>42513.996006836343</v>
      </c>
      <c r="E954" s="14">
        <v>4.723457291078148E-5</v>
      </c>
      <c r="F954" s="14">
        <v>17443.96068866615</v>
      </c>
      <c r="G954" s="14">
        <v>0.87705460121122647</v>
      </c>
      <c r="H954" s="14">
        <v>30.958101448472476</v>
      </c>
      <c r="I954" s="14">
        <v>30.958100458124544</v>
      </c>
      <c r="J954" s="14">
        <v>5.3096568209619228E-2</v>
      </c>
      <c r="K954" s="14">
        <v>30.958082067607105</v>
      </c>
      <c r="L954" s="14">
        <v>30.958053223551634</v>
      </c>
      <c r="M954" s="14">
        <v>14</v>
      </c>
    </row>
    <row r="955" spans="1:13" x14ac:dyDescent="0.3">
      <c r="A955" s="14">
        <v>944</v>
      </c>
      <c r="B955" s="14">
        <v>0.69776043764192719</v>
      </c>
      <c r="C955" s="14">
        <v>2.8839469809582852E-5</v>
      </c>
      <c r="D955" s="14">
        <v>24194.634722794854</v>
      </c>
      <c r="E955" s="14">
        <v>4.8589094291173751E-5</v>
      </c>
      <c r="F955" s="14">
        <v>14360.433093495138</v>
      </c>
      <c r="G955" s="14">
        <v>0.85504928739584996</v>
      </c>
      <c r="H955" s="14">
        <v>30.958101549388367</v>
      </c>
      <c r="I955" s="14">
        <v>30.958100571393949</v>
      </c>
      <c r="J955" s="14">
        <v>0.15728884975392274</v>
      </c>
      <c r="K955" s="14">
        <v>30.958072709918557</v>
      </c>
      <c r="L955" s="14">
        <v>30.958051982299658</v>
      </c>
      <c r="M955" s="14">
        <v>13</v>
      </c>
    </row>
    <row r="956" spans="1:13" x14ac:dyDescent="0.3">
      <c r="A956" s="14">
        <v>945</v>
      </c>
      <c r="B956" s="14">
        <v>0.42096824803918514</v>
      </c>
      <c r="C956" s="14">
        <v>1.5320323143441783E-5</v>
      </c>
      <c r="D956" s="14">
        <v>27477.765586125399</v>
      </c>
      <c r="E956" s="14">
        <v>3.4922478896248776E-5</v>
      </c>
      <c r="F956" s="14">
        <v>12054.363302497513</v>
      </c>
      <c r="G956" s="14">
        <v>0.47107879003412323</v>
      </c>
      <c r="H956" s="14">
        <v>30.958101548525214</v>
      </c>
      <c r="I956" s="14">
        <v>30.958099960057353</v>
      </c>
      <c r="J956" s="14">
        <v>5.0110541994938085E-2</v>
      </c>
      <c r="K956" s="14">
        <v>30.95808622820207</v>
      </c>
      <c r="L956" s="14">
        <v>30.958065037578457</v>
      </c>
      <c r="M956" s="14">
        <v>12</v>
      </c>
    </row>
    <row r="957" spans="1:13" x14ac:dyDescent="0.3">
      <c r="A957" s="14">
        <v>946</v>
      </c>
      <c r="B957" s="14">
        <v>0.70064718027024786</v>
      </c>
      <c r="C957" s="14">
        <v>9.3307648860729842E-6</v>
      </c>
      <c r="D957" s="14">
        <v>75090.004820079383</v>
      </c>
      <c r="E957" s="14">
        <v>2.710911974546093E-5</v>
      </c>
      <c r="F957" s="14">
        <v>25845.441934261333</v>
      </c>
      <c r="G957" s="14">
        <v>0.77886487465228194</v>
      </c>
      <c r="H957" s="14">
        <v>30.958099346597191</v>
      </c>
      <c r="I957" s="14">
        <v>30.958094657557677</v>
      </c>
      <c r="J957" s="14">
        <v>7.8217694382034061E-2</v>
      </c>
      <c r="K957" s="14">
        <v>30.958090015832305</v>
      </c>
      <c r="L957" s="14">
        <v>30.958067548437931</v>
      </c>
      <c r="M957" s="14">
        <v>11</v>
      </c>
    </row>
    <row r="958" spans="1:13" x14ac:dyDescent="0.3">
      <c r="A958" s="14">
        <v>947</v>
      </c>
      <c r="B958" s="14">
        <v>0.40930744907899075</v>
      </c>
      <c r="C958" s="14">
        <v>5.4811093892936924E-5</v>
      </c>
      <c r="D958" s="14">
        <v>7467.6022682286766</v>
      </c>
      <c r="E958" s="14">
        <v>6.6442258606969062E-5</v>
      </c>
      <c r="F958" s="14">
        <v>6160.3482130280699</v>
      </c>
      <c r="G958" s="14">
        <v>0.49189103078071145</v>
      </c>
      <c r="H958" s="14">
        <v>30.958101539591269</v>
      </c>
      <c r="I958" s="14">
        <v>30.958100408282835</v>
      </c>
      <c r="J958" s="14">
        <v>8.2583581701720712E-2</v>
      </c>
      <c r="K958" s="14">
        <v>30.958046728497376</v>
      </c>
      <c r="L958" s="14">
        <v>30.958033966024228</v>
      </c>
      <c r="M958" s="14">
        <v>14</v>
      </c>
    </row>
    <row r="959" spans="1:13" x14ac:dyDescent="0.3">
      <c r="A959" s="14">
        <v>948</v>
      </c>
      <c r="B959" s="14">
        <v>0.53276921246226738</v>
      </c>
      <c r="C959" s="14">
        <v>6.4332526939381296E-5</v>
      </c>
      <c r="D959" s="14">
        <v>8281.4905275566216</v>
      </c>
      <c r="E959" s="14">
        <v>1.0549847313967575E-4</v>
      </c>
      <c r="F959" s="14">
        <v>5050.0182287652851</v>
      </c>
      <c r="G959" s="14">
        <v>0.63282408670728818</v>
      </c>
      <c r="H959" s="14">
        <v>30.958101440279808</v>
      </c>
      <c r="I959" s="14">
        <v>30.958101320473382</v>
      </c>
      <c r="J959" s="14">
        <v>0.10005487424502085</v>
      </c>
      <c r="K959" s="14">
        <v>30.958037107752869</v>
      </c>
      <c r="L959" s="14">
        <v>30.957995822000242</v>
      </c>
      <c r="M959" s="14">
        <v>12</v>
      </c>
    </row>
    <row r="960" spans="1:13" x14ac:dyDescent="0.3">
      <c r="A960" s="14">
        <v>949</v>
      </c>
      <c r="B960" s="14">
        <v>0.47440681424068293</v>
      </c>
      <c r="C960" s="14">
        <v>1.2605868801784936E-4</v>
      </c>
      <c r="D960" s="14">
        <v>3763.3805467934822</v>
      </c>
      <c r="E960" s="14">
        <v>1.4327204346287203E-4</v>
      </c>
      <c r="F960" s="14">
        <v>3311.2308778064034</v>
      </c>
      <c r="G960" s="14">
        <v>0.85485160416633543</v>
      </c>
      <c r="H960" s="14">
        <v>30.958095513435328</v>
      </c>
      <c r="I960" s="14">
        <v>30.958093397316741</v>
      </c>
      <c r="J960" s="14">
        <v>0.3804447899256525</v>
      </c>
      <c r="K960" s="14">
        <v>30.95796945474731</v>
      </c>
      <c r="L960" s="14">
        <v>30.957950125273278</v>
      </c>
      <c r="M960" s="14">
        <v>11</v>
      </c>
    </row>
    <row r="961" spans="1:13" x14ac:dyDescent="0.3">
      <c r="A961" s="14">
        <v>950</v>
      </c>
      <c r="B961" s="14">
        <v>0.76620431225916485</v>
      </c>
      <c r="C961" s="14">
        <v>1.677518464049399E-5</v>
      </c>
      <c r="D961" s="14">
        <v>45674.866100108804</v>
      </c>
      <c r="E961" s="14">
        <v>4.4493928488265055E-5</v>
      </c>
      <c r="F961" s="14">
        <v>17220.423961018536</v>
      </c>
      <c r="G961" s="14">
        <v>0.89448266926020881</v>
      </c>
      <c r="H961" s="14">
        <v>30.958101212069536</v>
      </c>
      <c r="I961" s="14">
        <v>30.958099831772202</v>
      </c>
      <c r="J961" s="14">
        <v>0.12827835700104395</v>
      </c>
      <c r="K961" s="14">
        <v>30.958084436884896</v>
      </c>
      <c r="L961" s="14">
        <v>30.958055337843714</v>
      </c>
      <c r="M961" s="14">
        <v>10</v>
      </c>
    </row>
    <row r="962" spans="1:13" x14ac:dyDescent="0.3">
      <c r="A962" s="14">
        <v>951</v>
      </c>
      <c r="B962" s="14">
        <v>0.57010917828353469</v>
      </c>
      <c r="C962" s="14">
        <v>3.8138542979737622E-5</v>
      </c>
      <c r="D962" s="14">
        <v>14948.373318467469</v>
      </c>
      <c r="E962" s="14">
        <v>5.6801915846449447E-5</v>
      </c>
      <c r="F962" s="14">
        <v>10036.794882494634</v>
      </c>
      <c r="G962" s="14">
        <v>0.62457913680730159</v>
      </c>
      <c r="H962" s="14">
        <v>30.958101503149216</v>
      </c>
      <c r="I962" s="14">
        <v>30.958099332550802</v>
      </c>
      <c r="J962" s="14">
        <v>5.4469958523766952E-2</v>
      </c>
      <c r="K962" s="14">
        <v>30.958063364606236</v>
      </c>
      <c r="L962" s="14">
        <v>30.958042530634955</v>
      </c>
      <c r="M962" s="14">
        <v>13</v>
      </c>
    </row>
    <row r="963" spans="1:13" x14ac:dyDescent="0.3">
      <c r="A963" s="14">
        <v>952</v>
      </c>
      <c r="B963" s="14">
        <v>0.29416715032921054</v>
      </c>
      <c r="C963" s="14">
        <v>1.7709436804125289E-5</v>
      </c>
      <c r="D963" s="14">
        <v>16610.756941784075</v>
      </c>
      <c r="E963" s="14">
        <v>3.3409441908105464E-5</v>
      </c>
      <c r="F963" s="14">
        <v>8804.9106338960628</v>
      </c>
      <c r="G963" s="14">
        <v>0.32453091617126806</v>
      </c>
      <c r="H963" s="14">
        <v>30.958100513161742</v>
      </c>
      <c r="I963" s="14">
        <v>30.958098697963017</v>
      </c>
      <c r="J963" s="14">
        <v>3.0363765842057515E-2</v>
      </c>
      <c r="K963" s="14">
        <v>30.958082803724938</v>
      </c>
      <c r="L963" s="14">
        <v>30.958065288521109</v>
      </c>
      <c r="M963" s="14">
        <v>10</v>
      </c>
    </row>
    <row r="964" spans="1:13" x14ac:dyDescent="0.3">
      <c r="A964" s="14">
        <v>953</v>
      </c>
      <c r="B964" s="14">
        <v>0.81491339087367498</v>
      </c>
      <c r="C964" s="14">
        <v>2.3874779881083441E-5</v>
      </c>
      <c r="D964" s="14">
        <v>34132.812739327092</v>
      </c>
      <c r="E964" s="14">
        <v>5.1365083731269578E-5</v>
      </c>
      <c r="F964" s="14">
        <v>15865.123381032849</v>
      </c>
      <c r="G964" s="14">
        <v>0.89634052834135935</v>
      </c>
      <c r="H964" s="14">
        <v>30.958101528857888</v>
      </c>
      <c r="I964" s="14">
        <v>30.958099769659864</v>
      </c>
      <c r="J964" s="14">
        <v>8.1427137467684402E-2</v>
      </c>
      <c r="K964" s="14">
        <v>30.958077654078007</v>
      </c>
      <c r="L964" s="14">
        <v>30.958048404576132</v>
      </c>
      <c r="M964" s="14">
        <v>12</v>
      </c>
    </row>
    <row r="965" spans="1:13" x14ac:dyDescent="0.3">
      <c r="A965" s="14">
        <v>954</v>
      </c>
      <c r="B965" s="14">
        <v>0.58245666292087594</v>
      </c>
      <c r="C965" s="14">
        <v>1.1889459317160345E-4</v>
      </c>
      <c r="D965" s="14">
        <v>4898.9331422346695</v>
      </c>
      <c r="E965" s="14">
        <v>1.4752160276643167E-4</v>
      </c>
      <c r="F965" s="14">
        <v>3948.2804687464604</v>
      </c>
      <c r="G965" s="14">
        <v>0.81198251847800418</v>
      </c>
      <c r="H965" s="14">
        <v>30.958096511082349</v>
      </c>
      <c r="I965" s="14">
        <v>30.958094109397102</v>
      </c>
      <c r="J965" s="14">
        <v>0.22952585555712823</v>
      </c>
      <c r="K965" s="14">
        <v>30.957977616489178</v>
      </c>
      <c r="L965" s="14">
        <v>30.957946587794336</v>
      </c>
      <c r="M965" s="14">
        <v>12</v>
      </c>
    </row>
    <row r="966" spans="1:13" x14ac:dyDescent="0.3">
      <c r="A966" s="14">
        <v>955</v>
      </c>
      <c r="B966" s="14">
        <v>0.36251569853808857</v>
      </c>
      <c r="C966" s="14">
        <v>3.296926848506132E-5</v>
      </c>
      <c r="D966" s="14">
        <v>10995.563905287974</v>
      </c>
      <c r="E966" s="14">
        <v>3.8640558120306423E-5</v>
      </c>
      <c r="F966" s="14">
        <v>9381.7407452916414</v>
      </c>
      <c r="G966" s="14">
        <v>0.39214584640676914</v>
      </c>
      <c r="H966" s="14">
        <v>30.958101519610295</v>
      </c>
      <c r="I966" s="14">
        <v>30.958101374134486</v>
      </c>
      <c r="J966" s="14">
        <v>2.9630147868680543E-2</v>
      </c>
      <c r="K966" s="14">
        <v>30.95806855034181</v>
      </c>
      <c r="L966" s="14">
        <v>30.958062733576366</v>
      </c>
      <c r="M966" s="14">
        <v>15</v>
      </c>
    </row>
    <row r="967" spans="1:13" x14ac:dyDescent="0.3">
      <c r="A967" s="14">
        <v>956</v>
      </c>
      <c r="B967" s="14">
        <v>0.47062142758325282</v>
      </c>
      <c r="C967" s="14">
        <v>2.2649458983892146E-5</v>
      </c>
      <c r="D967" s="14">
        <v>20778.484286002134</v>
      </c>
      <c r="E967" s="14">
        <v>4.1086668069567622E-5</v>
      </c>
      <c r="F967" s="14">
        <v>11454.358547312728</v>
      </c>
      <c r="G967" s="14">
        <v>0.56103321517455229</v>
      </c>
      <c r="H967" s="14">
        <v>30.958101548568415</v>
      </c>
      <c r="I967" s="14">
        <v>30.958100747264023</v>
      </c>
      <c r="J967" s="14">
        <v>9.0411787591299461E-2</v>
      </c>
      <c r="K967" s="14">
        <v>30.958078899109431</v>
      </c>
      <c r="L967" s="14">
        <v>30.958059660595953</v>
      </c>
      <c r="M967" s="14">
        <v>15</v>
      </c>
    </row>
    <row r="968" spans="1:13" x14ac:dyDescent="0.3">
      <c r="A968" s="14">
        <v>957</v>
      </c>
      <c r="B968" s="14">
        <v>0.81327207855900063</v>
      </c>
      <c r="C968" s="14">
        <v>2.1711279437397479E-5</v>
      </c>
      <c r="D968" s="14">
        <v>37458.505423597788</v>
      </c>
      <c r="E968" s="14">
        <v>6.0431401220029102E-5</v>
      </c>
      <c r="F968" s="14">
        <v>13457.772981266791</v>
      </c>
      <c r="G968" s="14">
        <v>0.84426829659596225</v>
      </c>
      <c r="H968" s="14">
        <v>30.958101313558711</v>
      </c>
      <c r="I968" s="14">
        <v>30.958098517249571</v>
      </c>
      <c r="J968" s="14">
        <v>3.0996218036961648E-2</v>
      </c>
      <c r="K968" s="14">
        <v>30.958079602279273</v>
      </c>
      <c r="L968" s="14">
        <v>30.958038085848351</v>
      </c>
      <c r="M968" s="14">
        <v>12</v>
      </c>
    </row>
    <row r="969" spans="1:13" x14ac:dyDescent="0.3">
      <c r="A969" s="14">
        <v>958</v>
      </c>
      <c r="B969" s="14">
        <v>0.32580414092704507</v>
      </c>
      <c r="C969" s="14">
        <v>1.3633312161687172E-4</v>
      </c>
      <c r="D969" s="14">
        <v>2389.7651360366535</v>
      </c>
      <c r="E969" s="14">
        <v>1.4935795663717499E-4</v>
      </c>
      <c r="F969" s="14">
        <v>2181.3644767415949</v>
      </c>
      <c r="G969" s="14">
        <v>0.52438127494576703</v>
      </c>
      <c r="H969" s="14">
        <v>30.958101551454213</v>
      </c>
      <c r="I969" s="14">
        <v>30.958100248776983</v>
      </c>
      <c r="J969" s="14">
        <v>0.19857713401872196</v>
      </c>
      <c r="K969" s="14">
        <v>30.957965218332596</v>
      </c>
      <c r="L969" s="14">
        <v>30.957950890820346</v>
      </c>
      <c r="M969" s="14">
        <v>10</v>
      </c>
    </row>
    <row r="970" spans="1:13" x14ac:dyDescent="0.3">
      <c r="A970" s="14">
        <v>959</v>
      </c>
      <c r="B970" s="14">
        <v>0.55295734815422593</v>
      </c>
      <c r="C970" s="14">
        <v>7.6898925151169806E-5</v>
      </c>
      <c r="D970" s="14">
        <v>7190.7032129149884</v>
      </c>
      <c r="E970" s="14">
        <v>1.1184307420109008E-4</v>
      </c>
      <c r="F970" s="14">
        <v>4944.0463980811837</v>
      </c>
      <c r="G970" s="14">
        <v>0.84318237182982969</v>
      </c>
      <c r="H970" s="14">
        <v>30.958096713219955</v>
      </c>
      <c r="I970" s="14">
        <v>30.95809345947568</v>
      </c>
      <c r="J970" s="14">
        <v>0.29022502367560377</v>
      </c>
      <c r="K970" s="14">
        <v>30.958019814294804</v>
      </c>
      <c r="L970" s="14">
        <v>30.957981616401479</v>
      </c>
      <c r="M970" s="14">
        <v>13</v>
      </c>
    </row>
    <row r="971" spans="1:13" x14ac:dyDescent="0.3">
      <c r="A971" s="14">
        <v>960</v>
      </c>
      <c r="B971" s="14">
        <v>0.26471653862678368</v>
      </c>
      <c r="C971" s="14">
        <v>1.1076243330521152E-4</v>
      </c>
      <c r="D971" s="14">
        <v>2389.9487464070403</v>
      </c>
      <c r="E971" s="14">
        <v>1.2360680717549144E-4</v>
      </c>
      <c r="F971" s="14">
        <v>2141.6016211061169</v>
      </c>
      <c r="G971" s="14">
        <v>0.58886046025940508</v>
      </c>
      <c r="H971" s="14">
        <v>30.958099788684102</v>
      </c>
      <c r="I971" s="14">
        <v>30.958099102369562</v>
      </c>
      <c r="J971" s="14">
        <v>0.3241439216326214</v>
      </c>
      <c r="K971" s="14">
        <v>30.957989026250797</v>
      </c>
      <c r="L971" s="14">
        <v>30.957975495562387</v>
      </c>
      <c r="M971" s="14">
        <v>11</v>
      </c>
    </row>
    <row r="972" spans="1:13" x14ac:dyDescent="0.3">
      <c r="A972" s="14">
        <v>961</v>
      </c>
      <c r="B972" s="14">
        <v>0.53640212719516367</v>
      </c>
      <c r="C972" s="14">
        <v>2.2191090810252945E-5</v>
      </c>
      <c r="D972" s="14">
        <v>24171.958547766833</v>
      </c>
      <c r="E972" s="14">
        <v>3.9215374940226866E-5</v>
      </c>
      <c r="F972" s="14">
        <v>13678.362836330452</v>
      </c>
      <c r="G972" s="14">
        <v>0.69302622346134146</v>
      </c>
      <c r="H972" s="14">
        <v>30.958101043850505</v>
      </c>
      <c r="I972" s="14">
        <v>30.958100104817476</v>
      </c>
      <c r="J972" s="14">
        <v>0.15662409626617782</v>
      </c>
      <c r="K972" s="14">
        <v>30.958078852759694</v>
      </c>
      <c r="L972" s="14">
        <v>30.958060889442535</v>
      </c>
      <c r="M972" s="14">
        <v>13</v>
      </c>
    </row>
    <row r="973" spans="1:13" x14ac:dyDescent="0.3">
      <c r="A973" s="14">
        <v>962</v>
      </c>
      <c r="B973" s="14">
        <v>0.60088836904456866</v>
      </c>
      <c r="C973" s="14">
        <v>1.4433172140115857E-5</v>
      </c>
      <c r="D973" s="14">
        <v>41632.453573698265</v>
      </c>
      <c r="E973" s="14">
        <v>4.1157594974805534E-5</v>
      </c>
      <c r="F973" s="14">
        <v>14599.695862024984</v>
      </c>
      <c r="G973" s="14">
        <v>0.62776449592679939</v>
      </c>
      <c r="H973" s="14">
        <v>30.958101545050226</v>
      </c>
      <c r="I973" s="14">
        <v>30.958100448932385</v>
      </c>
      <c r="J973" s="14">
        <v>2.6876126882230771E-2</v>
      </c>
      <c r="K973" s="14">
        <v>30.958087111878086</v>
      </c>
      <c r="L973" s="14">
        <v>30.95805929133741</v>
      </c>
      <c r="M973" s="14">
        <v>11</v>
      </c>
    </row>
    <row r="974" spans="1:13" x14ac:dyDescent="0.3">
      <c r="A974" s="14">
        <v>963</v>
      </c>
      <c r="B974" s="14">
        <v>0.42531371659521555</v>
      </c>
      <c r="C974" s="14">
        <v>6.1591078711842329E-5</v>
      </c>
      <c r="D974" s="14">
        <v>6905.4435397222396</v>
      </c>
      <c r="E974" s="14">
        <v>7.9336795209883348E-5</v>
      </c>
      <c r="F974" s="14">
        <v>5360.8633354808399</v>
      </c>
      <c r="G974" s="14">
        <v>0.57368492867699661</v>
      </c>
      <c r="H974" s="14">
        <v>30.958101549744253</v>
      </c>
      <c r="I974" s="14">
        <v>30.958100648871699</v>
      </c>
      <c r="J974" s="14">
        <v>0.14837121208178106</v>
      </c>
      <c r="K974" s="14">
        <v>30.958039958665541</v>
      </c>
      <c r="L974" s="14">
        <v>30.95802131207649</v>
      </c>
      <c r="M974" s="14">
        <v>12</v>
      </c>
    </row>
    <row r="975" spans="1:13" x14ac:dyDescent="0.3">
      <c r="A975" s="14">
        <v>964</v>
      </c>
      <c r="B975" s="14">
        <v>0.40038386508779644</v>
      </c>
      <c r="C975" s="14">
        <v>2.7987450909705558E-5</v>
      </c>
      <c r="D975" s="14">
        <v>14305.835368127446</v>
      </c>
      <c r="E975" s="14">
        <v>6.3525933288843817E-5</v>
      </c>
      <c r="F975" s="14">
        <v>6302.6837129224887</v>
      </c>
      <c r="G975" s="14">
        <v>0.44152552394145689</v>
      </c>
      <c r="H975" s="14">
        <v>30.958099986648001</v>
      </c>
      <c r="I975" s="14">
        <v>30.958096694473628</v>
      </c>
      <c r="J975" s="14">
        <v>4.1141658853660439E-2</v>
      </c>
      <c r="K975" s="14">
        <v>30.958071999197092</v>
      </c>
      <c r="L975" s="14">
        <v>30.958033168540339</v>
      </c>
      <c r="M975" s="14">
        <v>9</v>
      </c>
    </row>
    <row r="976" spans="1:13" x14ac:dyDescent="0.3">
      <c r="A976" s="14">
        <v>965</v>
      </c>
      <c r="B976" s="14">
        <v>0.54154919958330139</v>
      </c>
      <c r="C976" s="14">
        <v>1.4118151518971445E-5</v>
      </c>
      <c r="D976" s="14">
        <v>38358.364326632123</v>
      </c>
      <c r="E976" s="14">
        <v>4.9641012086709679E-5</v>
      </c>
      <c r="F976" s="14">
        <v>10909.310201761371</v>
      </c>
      <c r="G976" s="14">
        <v>0.59980398153383474</v>
      </c>
      <c r="H976" s="14">
        <v>30.958101260560813</v>
      </c>
      <c r="I976" s="14">
        <v>30.958099913644407</v>
      </c>
      <c r="J976" s="14">
        <v>5.825478195053338E-2</v>
      </c>
      <c r="K976" s="14">
        <v>30.958087142409294</v>
      </c>
      <c r="L976" s="14">
        <v>30.95805027263232</v>
      </c>
      <c r="M976" s="14">
        <v>15</v>
      </c>
    </row>
    <row r="977" spans="1:13" x14ac:dyDescent="0.3">
      <c r="A977" s="14">
        <v>966</v>
      </c>
      <c r="B977" s="14">
        <v>0.52786294412697354</v>
      </c>
      <c r="C977" s="14">
        <v>7.0229044787595285E-5</v>
      </c>
      <c r="D977" s="14">
        <v>7516.3053366804606</v>
      </c>
      <c r="E977" s="14">
        <v>8.9468544331339217E-5</v>
      </c>
      <c r="F977" s="14">
        <v>5899.9835983927223</v>
      </c>
      <c r="G977" s="14">
        <v>0.8082769435386733</v>
      </c>
      <c r="H977" s="14">
        <v>30.95809926540219</v>
      </c>
      <c r="I977" s="14">
        <v>30.958097316803507</v>
      </c>
      <c r="J977" s="14">
        <v>0.28041399941169975</v>
      </c>
      <c r="K977" s="14">
        <v>30.958029036357402</v>
      </c>
      <c r="L977" s="14">
        <v>30.958007848259175</v>
      </c>
      <c r="M977" s="14">
        <v>9</v>
      </c>
    </row>
    <row r="978" spans="1:13" x14ac:dyDescent="0.3">
      <c r="A978" s="14">
        <v>967</v>
      </c>
      <c r="B978" s="14">
        <v>0.48954540387520706</v>
      </c>
      <c r="C978" s="14">
        <v>4.173835572629514E-5</v>
      </c>
      <c r="D978" s="14">
        <v>11728.909664900713</v>
      </c>
      <c r="E978" s="14">
        <v>7.864331402629432E-5</v>
      </c>
      <c r="F978" s="14">
        <v>6224.8826862958495</v>
      </c>
      <c r="G978" s="14">
        <v>0.70725882663122153</v>
      </c>
      <c r="H978" s="14">
        <v>30.958101492193503</v>
      </c>
      <c r="I978" s="14">
        <v>30.958099344064205</v>
      </c>
      <c r="J978" s="14">
        <v>0.21771342275601446</v>
      </c>
      <c r="K978" s="14">
        <v>30.958059753837777</v>
      </c>
      <c r="L978" s="14">
        <v>30.958020700750179</v>
      </c>
      <c r="M978" s="14">
        <v>10</v>
      </c>
    </row>
    <row r="979" spans="1:13" x14ac:dyDescent="0.3">
      <c r="A979" s="14">
        <v>968</v>
      </c>
      <c r="B979" s="14">
        <v>0.54791732229943335</v>
      </c>
      <c r="C979" s="14">
        <v>7.860640041101874E-5</v>
      </c>
      <c r="D979" s="14">
        <v>6970.3906989058414</v>
      </c>
      <c r="E979" s="14">
        <v>1.0145036000253072E-4</v>
      </c>
      <c r="F979" s="14">
        <v>5400.8415769620269</v>
      </c>
      <c r="G979" s="14">
        <v>0.86215309651651106</v>
      </c>
      <c r="H979" s="14">
        <v>30.958093288850776</v>
      </c>
      <c r="I979" s="14">
        <v>30.958089247035481</v>
      </c>
      <c r="J979" s="14">
        <v>0.31423577421707771</v>
      </c>
      <c r="K979" s="14">
        <v>30.958014682450365</v>
      </c>
      <c r="L979" s="14">
        <v>30.957987796675479</v>
      </c>
      <c r="M979" s="14">
        <v>14</v>
      </c>
    </row>
    <row r="980" spans="1:13" x14ac:dyDescent="0.3">
      <c r="A980" s="14">
        <v>969</v>
      </c>
      <c r="B980" s="14">
        <v>0.33129666542026848</v>
      </c>
      <c r="C980" s="14">
        <v>3.6766035901081295E-5</v>
      </c>
      <c r="D980" s="14">
        <v>9010.9433149556644</v>
      </c>
      <c r="E980" s="14">
        <v>5.3774539999551507E-5</v>
      </c>
      <c r="F980" s="14">
        <v>6160.8461071546417</v>
      </c>
      <c r="G980" s="14">
        <v>0.43270089573103632</v>
      </c>
      <c r="H980" s="14">
        <v>30.958099378614854</v>
      </c>
      <c r="I980" s="14">
        <v>30.958097472103098</v>
      </c>
      <c r="J980" s="14">
        <v>0.10140423031076784</v>
      </c>
      <c r="K980" s="14">
        <v>30.958062612578953</v>
      </c>
      <c r="L980" s="14">
        <v>30.958043697563099</v>
      </c>
      <c r="M980" s="14">
        <v>12</v>
      </c>
    </row>
    <row r="981" spans="1:13" x14ac:dyDescent="0.3">
      <c r="A981" s="14">
        <v>970</v>
      </c>
      <c r="B981" s="14">
        <v>0.44193722259651508</v>
      </c>
      <c r="C981" s="14">
        <v>7.3561506749086902E-5</v>
      </c>
      <c r="D981" s="14">
        <v>6007.7239051659408</v>
      </c>
      <c r="E981" s="14">
        <v>1.0109248483658462E-4</v>
      </c>
      <c r="F981" s="14">
        <v>4371.6130166441544</v>
      </c>
      <c r="G981" s="14">
        <v>0.65674193959798433</v>
      </c>
      <c r="H981" s="14">
        <v>30.958100832040689</v>
      </c>
      <c r="I981" s="14">
        <v>30.95810053724848</v>
      </c>
      <c r="J981" s="14">
        <v>0.21480471700146925</v>
      </c>
      <c r="K981" s="14">
        <v>30.95802727053394</v>
      </c>
      <c r="L981" s="14">
        <v>30.957999444763644</v>
      </c>
      <c r="M981" s="14">
        <v>13</v>
      </c>
    </row>
    <row r="982" spans="1:13" x14ac:dyDescent="0.3">
      <c r="A982" s="14">
        <v>971</v>
      </c>
      <c r="B982" s="14">
        <v>0.43390866251032945</v>
      </c>
      <c r="C982" s="14">
        <v>2.2307452806558103E-4</v>
      </c>
      <c r="D982" s="14">
        <v>1945.1286808629532</v>
      </c>
      <c r="E982" s="14">
        <v>2.3829587335910674E-4</v>
      </c>
      <c r="F982" s="14">
        <v>1820.8819833671164</v>
      </c>
      <c r="G982" s="14">
        <v>0.67529931017378442</v>
      </c>
      <c r="H982" s="14">
        <v>30.958098183531906</v>
      </c>
      <c r="I982" s="14">
        <v>30.958096464779949</v>
      </c>
      <c r="J982" s="14">
        <v>0.241390647663455</v>
      </c>
      <c r="K982" s="14">
        <v>30.95787510900384</v>
      </c>
      <c r="L982" s="14">
        <v>30.95785816890659</v>
      </c>
      <c r="M982" s="14">
        <v>11</v>
      </c>
    </row>
    <row r="983" spans="1:13" x14ac:dyDescent="0.3">
      <c r="A983" s="14">
        <v>972</v>
      </c>
      <c r="B983" s="14">
        <v>0.52364049937251889</v>
      </c>
      <c r="C983" s="14">
        <v>2.8949877943773572E-5</v>
      </c>
      <c r="D983" s="14">
        <v>18087.830988079917</v>
      </c>
      <c r="E983" s="14">
        <v>4.7719159230297237E-5</v>
      </c>
      <c r="F983" s="14">
        <v>10973.380667613603</v>
      </c>
      <c r="G983" s="14">
        <v>0.6716196897836787</v>
      </c>
      <c r="H983" s="14">
        <v>30.958101478562348</v>
      </c>
      <c r="I983" s="14">
        <v>30.958100109006502</v>
      </c>
      <c r="J983" s="14">
        <v>0.14797919041115978</v>
      </c>
      <c r="K983" s="14">
        <v>30.958072528684404</v>
      </c>
      <c r="L983" s="14">
        <v>30.958052389847271</v>
      </c>
      <c r="M983" s="14">
        <v>14</v>
      </c>
    </row>
    <row r="984" spans="1:13" x14ac:dyDescent="0.3">
      <c r="A984" s="14">
        <v>973</v>
      </c>
      <c r="B984" s="14">
        <v>0.61569250677275822</v>
      </c>
      <c r="C984" s="14">
        <v>2.261361204602963E-5</v>
      </c>
      <c r="D984" s="14">
        <v>27226.632592773167</v>
      </c>
      <c r="E984" s="14">
        <v>3.8829878199919676E-5</v>
      </c>
      <c r="F984" s="14">
        <v>15856.153439441689</v>
      </c>
      <c r="G984" s="14">
        <v>0.70774308239951589</v>
      </c>
      <c r="H984" s="14">
        <v>30.958101549647022</v>
      </c>
      <c r="I984" s="14">
        <v>30.958101322898855</v>
      </c>
      <c r="J984" s="14">
        <v>9.2050575626757628E-2</v>
      </c>
      <c r="K984" s="14">
        <v>30.958078936034976</v>
      </c>
      <c r="L984" s="14">
        <v>30.958062493020655</v>
      </c>
      <c r="M984" s="14">
        <v>10</v>
      </c>
    </row>
    <row r="985" spans="1:13" x14ac:dyDescent="0.3">
      <c r="A985" s="14">
        <v>974</v>
      </c>
      <c r="B985" s="14">
        <v>0.65565020544819153</v>
      </c>
      <c r="C985" s="14">
        <v>2.7310263948976399E-5</v>
      </c>
      <c r="D985" s="14">
        <v>24007.464983609781</v>
      </c>
      <c r="E985" s="14">
        <v>5.5940014348720979E-5</v>
      </c>
      <c r="F985" s="14">
        <v>11720.594159325281</v>
      </c>
      <c r="G985" s="14">
        <v>0.70606999061042808</v>
      </c>
      <c r="H985" s="14">
        <v>30.958101367083728</v>
      </c>
      <c r="I985" s="14">
        <v>30.958100677306955</v>
      </c>
      <c r="J985" s="14">
        <v>5.0419785162236531E-2</v>
      </c>
      <c r="K985" s="14">
        <v>30.958074056819779</v>
      </c>
      <c r="L985" s="14">
        <v>30.958044737292607</v>
      </c>
      <c r="M985" s="14">
        <v>10</v>
      </c>
    </row>
    <row r="986" spans="1:13" x14ac:dyDescent="0.3">
      <c r="A986" s="14">
        <v>975</v>
      </c>
      <c r="B986" s="14">
        <v>0.39035991150143479</v>
      </c>
      <c r="C986" s="14">
        <v>7.0460894825430387E-6</v>
      </c>
      <c r="D986" s="14">
        <v>55400.930185256191</v>
      </c>
      <c r="E986" s="14">
        <v>2.0985724816569018E-5</v>
      </c>
      <c r="F986" s="14">
        <v>18601.211771977061</v>
      </c>
      <c r="G986" s="14">
        <v>0.42126377661819459</v>
      </c>
      <c r="H986" s="14">
        <v>30.958101445358224</v>
      </c>
      <c r="I986" s="14">
        <v>30.958100338264192</v>
      </c>
      <c r="J986" s="14">
        <v>3.0903865116759775E-2</v>
      </c>
      <c r="K986" s="14">
        <v>30.958094399268742</v>
      </c>
      <c r="L986" s="14">
        <v>30.958079352539375</v>
      </c>
      <c r="M986" s="14">
        <v>11</v>
      </c>
    </row>
    <row r="987" spans="1:13" x14ac:dyDescent="0.3">
      <c r="A987" s="14">
        <v>976</v>
      </c>
      <c r="B987" s="14">
        <v>0.40756278433747678</v>
      </c>
      <c r="C987" s="14">
        <v>2.4782954852753392E-5</v>
      </c>
      <c r="D987" s="14">
        <v>16445.286155706184</v>
      </c>
      <c r="E987" s="14">
        <v>4.1843149073628183E-5</v>
      </c>
      <c r="F987" s="14">
        <v>9740.2512325331863</v>
      </c>
      <c r="G987" s="14">
        <v>0.60324360327902382</v>
      </c>
      <c r="H987" s="14">
        <v>30.958100110438167</v>
      </c>
      <c r="I987" s="14">
        <v>30.958098030589944</v>
      </c>
      <c r="J987" s="14">
        <v>0.19568081894154704</v>
      </c>
      <c r="K987" s="14">
        <v>30.958075327483314</v>
      </c>
      <c r="L987" s="14">
        <v>30.958056187440871</v>
      </c>
      <c r="M987" s="14">
        <v>9</v>
      </c>
    </row>
    <row r="988" spans="1:13" x14ac:dyDescent="0.3">
      <c r="A988" s="14">
        <v>977</v>
      </c>
      <c r="B988" s="14">
        <v>0.60735763867844283</v>
      </c>
      <c r="C988" s="14">
        <v>6.1734911618316346E-5</v>
      </c>
      <c r="D988" s="14">
        <v>9838.1551500957157</v>
      </c>
      <c r="E988" s="14">
        <v>1.0209260446814028E-4</v>
      </c>
      <c r="F988" s="14">
        <v>5949.0855566132514</v>
      </c>
      <c r="G988" s="14">
        <v>0.69234334890369831</v>
      </c>
      <c r="H988" s="14">
        <v>30.958101147803969</v>
      </c>
      <c r="I988" s="14">
        <v>30.958100600888827</v>
      </c>
      <c r="J988" s="14">
        <v>8.4985710225255431E-2</v>
      </c>
      <c r="K988" s="14">
        <v>30.958039412892351</v>
      </c>
      <c r="L988" s="14">
        <v>30.957998508284359</v>
      </c>
      <c r="M988" s="14">
        <v>15</v>
      </c>
    </row>
    <row r="989" spans="1:13" x14ac:dyDescent="0.3">
      <c r="A989" s="14">
        <v>978</v>
      </c>
      <c r="B989" s="14">
        <v>0.84870572301117342</v>
      </c>
      <c r="C989" s="14">
        <v>2.527417544229138E-5</v>
      </c>
      <c r="D989" s="14">
        <v>33579.956938616117</v>
      </c>
      <c r="E989" s="14">
        <v>6.5126559832151543E-5</v>
      </c>
      <c r="F989" s="14">
        <v>13031.637556144738</v>
      </c>
      <c r="G989" s="14">
        <v>0.89425764209746439</v>
      </c>
      <c r="H989" s="14">
        <v>30.958101354744056</v>
      </c>
      <c r="I989" s="14">
        <v>30.958099004641113</v>
      </c>
      <c r="J989" s="14">
        <v>4.5551919086290936E-2</v>
      </c>
      <c r="K989" s="14">
        <v>30.958076080568613</v>
      </c>
      <c r="L989" s="14">
        <v>30.958033878081281</v>
      </c>
      <c r="M989" s="14">
        <v>11</v>
      </c>
    </row>
    <row r="990" spans="1:13" x14ac:dyDescent="0.3">
      <c r="A990" s="14">
        <v>979</v>
      </c>
      <c r="B990" s="14">
        <v>0.40756153209445412</v>
      </c>
      <c r="C990" s="14">
        <v>5.9603376790562379E-5</v>
      </c>
      <c r="D990" s="14">
        <v>6837.8933214902609</v>
      </c>
      <c r="E990" s="14">
        <v>7.4466419544449991E-5</v>
      </c>
      <c r="F990" s="14">
        <v>5473.0915570766128</v>
      </c>
      <c r="G990" s="14">
        <v>0.70481324663417744</v>
      </c>
      <c r="H990" s="14">
        <v>30.9581006218658</v>
      </c>
      <c r="I990" s="14">
        <v>30.958098555790116</v>
      </c>
      <c r="J990" s="14">
        <v>0.29725171453972332</v>
      </c>
      <c r="K990" s="14">
        <v>30.958041018489009</v>
      </c>
      <c r="L990" s="14">
        <v>30.958024089370571</v>
      </c>
      <c r="M990" s="14">
        <v>10</v>
      </c>
    </row>
    <row r="991" spans="1:13" x14ac:dyDescent="0.3">
      <c r="A991" s="14">
        <v>980</v>
      </c>
      <c r="B991" s="14">
        <v>0.75875106915186386</v>
      </c>
      <c r="C991" s="14">
        <v>1.8789352516535018E-5</v>
      </c>
      <c r="D991" s="14">
        <v>40381.96997390662</v>
      </c>
      <c r="E991" s="14">
        <v>5.173395063096109E-5</v>
      </c>
      <c r="F991" s="14">
        <v>14666.404941009396</v>
      </c>
      <c r="G991" s="14">
        <v>0.8203359263899207</v>
      </c>
      <c r="H991" s="14">
        <v>30.958101336813499</v>
      </c>
      <c r="I991" s="14">
        <v>30.958099418582176</v>
      </c>
      <c r="J991" s="14">
        <v>6.1584857238056845E-2</v>
      </c>
      <c r="K991" s="14">
        <v>30.958082547460982</v>
      </c>
      <c r="L991" s="14">
        <v>30.958047684631545</v>
      </c>
      <c r="M991" s="14">
        <v>14</v>
      </c>
    </row>
    <row r="992" spans="1:13" x14ac:dyDescent="0.3">
      <c r="A992" s="14">
        <v>981</v>
      </c>
      <c r="B992" s="14">
        <v>0.58999250578082985</v>
      </c>
      <c r="C992" s="14">
        <v>1.7595436784034746E-5</v>
      </c>
      <c r="D992" s="14">
        <v>33530.995167801731</v>
      </c>
      <c r="E992" s="14">
        <v>4.8452778653285122E-5</v>
      </c>
      <c r="F992" s="14">
        <v>12176.64955817406</v>
      </c>
      <c r="G992" s="14">
        <v>0.63441467778642369</v>
      </c>
      <c r="H992" s="14">
        <v>30.958100782268183</v>
      </c>
      <c r="I992" s="14">
        <v>30.958098826747577</v>
      </c>
      <c r="J992" s="14">
        <v>4.4422172005593855E-2</v>
      </c>
      <c r="K992" s="14">
        <v>30.958083186831399</v>
      </c>
      <c r="L992" s="14">
        <v>30.958050373968923</v>
      </c>
      <c r="M992" s="14">
        <v>14</v>
      </c>
    </row>
    <row r="993" spans="1:13" x14ac:dyDescent="0.3">
      <c r="A993" s="14">
        <v>982</v>
      </c>
      <c r="B993" s="14">
        <v>0.62595187450672962</v>
      </c>
      <c r="C993" s="14">
        <v>5.3135779104707126E-5</v>
      </c>
      <c r="D993" s="14">
        <v>11780.233301430571</v>
      </c>
      <c r="E993" s="14">
        <v>7.5415514036336617E-5</v>
      </c>
      <c r="F993" s="14">
        <v>8300.0412117476808</v>
      </c>
      <c r="G993" s="14">
        <v>0.72135914233359233</v>
      </c>
      <c r="H993" s="14">
        <v>30.9581015137158</v>
      </c>
      <c r="I993" s="14">
        <v>30.958099379482221</v>
      </c>
      <c r="J993" s="14">
        <v>9.5407267826862707E-2</v>
      </c>
      <c r="K993" s="14">
        <v>30.958048377936695</v>
      </c>
      <c r="L993" s="14">
        <v>30.958023963968184</v>
      </c>
      <c r="M993" s="14">
        <v>15</v>
      </c>
    </row>
    <row r="994" spans="1:13" x14ac:dyDescent="0.3">
      <c r="A994" s="14">
        <v>983</v>
      </c>
      <c r="B994" s="14">
        <v>0.43759087577921058</v>
      </c>
      <c r="C994" s="14">
        <v>3.6131602776379168E-5</v>
      </c>
      <c r="D994" s="14">
        <v>12111.028632952955</v>
      </c>
      <c r="E994" s="14">
        <v>5.5210567563079849E-5</v>
      </c>
      <c r="F994" s="14">
        <v>7925.8536018353543</v>
      </c>
      <c r="G994" s="14">
        <v>0.4913151005473988</v>
      </c>
      <c r="H994" s="14">
        <v>30.958100914206415</v>
      </c>
      <c r="I994" s="14">
        <v>30.958099935119979</v>
      </c>
      <c r="J994" s="14">
        <v>5.3724224768188222E-2</v>
      </c>
      <c r="K994" s="14">
        <v>30.958064782603639</v>
      </c>
      <c r="L994" s="14">
        <v>30.958044724552416</v>
      </c>
      <c r="M994" s="14">
        <v>11</v>
      </c>
    </row>
    <row r="995" spans="1:13" x14ac:dyDescent="0.3">
      <c r="A995" s="14">
        <v>984</v>
      </c>
      <c r="B995" s="14">
        <v>0.50811982970579961</v>
      </c>
      <c r="C995" s="14">
        <v>1.0713930958772266E-4</v>
      </c>
      <c r="D995" s="14">
        <v>4742.6087741377996</v>
      </c>
      <c r="E995" s="14">
        <v>1.2211538610884531E-4</v>
      </c>
      <c r="F995" s="14">
        <v>4160.9812317417254</v>
      </c>
      <c r="G995" s="14">
        <v>0.78041907463936455</v>
      </c>
      <c r="H995" s="14">
        <v>30.958098399079109</v>
      </c>
      <c r="I995" s="14">
        <v>30.958096461493096</v>
      </c>
      <c r="J995" s="14">
        <v>0.272299244933565</v>
      </c>
      <c r="K995" s="14">
        <v>30.957991259769521</v>
      </c>
      <c r="L995" s="14">
        <v>30.957974346106987</v>
      </c>
      <c r="M995" s="14">
        <v>14</v>
      </c>
    </row>
    <row r="996" spans="1:13" x14ac:dyDescent="0.3">
      <c r="A996" s="14">
        <v>985</v>
      </c>
      <c r="B996" s="14">
        <v>0.5991309587031618</v>
      </c>
      <c r="C996" s="14">
        <v>8.9616844931583728E-6</v>
      </c>
      <c r="D996" s="14">
        <v>66854.725711506238</v>
      </c>
      <c r="E996" s="14">
        <v>2.6311800422007536E-5</v>
      </c>
      <c r="F996" s="14">
        <v>22770.428062461313</v>
      </c>
      <c r="G996" s="14">
        <v>0.62952328196344776</v>
      </c>
      <c r="H996" s="14">
        <v>30.958101551012358</v>
      </c>
      <c r="I996" s="14">
        <v>30.958100638060493</v>
      </c>
      <c r="J996" s="14">
        <v>3.0392323260285965E-2</v>
      </c>
      <c r="K996" s="14">
        <v>30.958092589327865</v>
      </c>
      <c r="L996" s="14">
        <v>30.958074326260071</v>
      </c>
      <c r="M996" s="14">
        <v>15</v>
      </c>
    </row>
    <row r="997" spans="1:13" x14ac:dyDescent="0.3">
      <c r="A997" s="14">
        <v>986</v>
      </c>
      <c r="B997" s="14">
        <v>0.52220526094404462</v>
      </c>
      <c r="C997" s="14">
        <v>1.2422484115148791E-5</v>
      </c>
      <c r="D997" s="14">
        <v>42037.104342700128</v>
      </c>
      <c r="E997" s="14">
        <v>2.6868960009807097E-5</v>
      </c>
      <c r="F997" s="14">
        <v>19435.261385384514</v>
      </c>
      <c r="G997" s="14">
        <v>0.59174663778004644</v>
      </c>
      <c r="H997" s="14">
        <v>30.958101351552301</v>
      </c>
      <c r="I997" s="14">
        <v>30.958100164341495</v>
      </c>
      <c r="J997" s="14">
        <v>6.9541376836001867E-2</v>
      </c>
      <c r="K997" s="14">
        <v>30.958088929068186</v>
      </c>
      <c r="L997" s="14">
        <v>30.958073295381485</v>
      </c>
      <c r="M997" s="14">
        <v>12</v>
      </c>
    </row>
    <row r="998" spans="1:13" x14ac:dyDescent="0.3">
      <c r="A998" s="14">
        <v>987</v>
      </c>
      <c r="B998" s="14">
        <v>0.54943006434844299</v>
      </c>
      <c r="C998" s="14">
        <v>1.6833245158665022E-5</v>
      </c>
      <c r="D998" s="14">
        <v>32639.580732632548</v>
      </c>
      <c r="E998" s="14">
        <v>3.9873291598269134E-5</v>
      </c>
      <c r="F998" s="14">
        <v>13779.400754872549</v>
      </c>
      <c r="G998" s="14">
        <v>0.58517282512872748</v>
      </c>
      <c r="H998" s="14">
        <v>30.958101550125509</v>
      </c>
      <c r="I998" s="14">
        <v>30.958099886286131</v>
      </c>
      <c r="J998" s="14">
        <v>3.5742760780284537E-2</v>
      </c>
      <c r="K998" s="14">
        <v>30.95808471688035</v>
      </c>
      <c r="L998" s="14">
        <v>30.958060012994533</v>
      </c>
      <c r="M998" s="14">
        <v>14</v>
      </c>
    </row>
    <row r="999" spans="1:13" x14ac:dyDescent="0.3">
      <c r="A999" s="14">
        <v>988</v>
      </c>
      <c r="B999" s="14">
        <v>0.74670254442523532</v>
      </c>
      <c r="C999" s="14">
        <v>4.0683783783634908E-5</v>
      </c>
      <c r="D999" s="14">
        <v>18353.812624616228</v>
      </c>
      <c r="E999" s="14">
        <v>6.3355120420993671E-5</v>
      </c>
      <c r="F999" s="14">
        <v>11785.985717703792</v>
      </c>
      <c r="G999" s="14">
        <v>0.93262119627506501</v>
      </c>
      <c r="H999" s="14">
        <v>30.958100438189653</v>
      </c>
      <c r="I999" s="14">
        <v>30.958099462329201</v>
      </c>
      <c r="J999" s="14">
        <v>0.18591865184982972</v>
      </c>
      <c r="K999" s="14">
        <v>30.95805975440587</v>
      </c>
      <c r="L999" s="14">
        <v>30.95803610720878</v>
      </c>
      <c r="M999" s="14">
        <v>13</v>
      </c>
    </row>
    <row r="1000" spans="1:13" x14ac:dyDescent="0.3">
      <c r="A1000" s="14">
        <v>989</v>
      </c>
      <c r="B1000" s="14">
        <v>0.33249668186512937</v>
      </c>
      <c r="C1000" s="14">
        <v>5.8188671346215415E-5</v>
      </c>
      <c r="D1000" s="14">
        <v>5714.1136611766769</v>
      </c>
      <c r="E1000" s="14">
        <v>7.3887982665610252E-5</v>
      </c>
      <c r="F1000" s="14">
        <v>4500.010284079438</v>
      </c>
      <c r="G1000" s="14">
        <v>0.48805498601228647</v>
      </c>
      <c r="H1000" s="14">
        <v>30.958101408954676</v>
      </c>
      <c r="I1000" s="14">
        <v>30.958100728925576</v>
      </c>
      <c r="J1000" s="14">
        <v>0.15555830414715707</v>
      </c>
      <c r="K1000" s="14">
        <v>30.958043220283329</v>
      </c>
      <c r="L1000" s="14">
        <v>30.95802684094291</v>
      </c>
      <c r="M1000" s="14">
        <v>9</v>
      </c>
    </row>
    <row r="1001" spans="1:13" x14ac:dyDescent="0.3">
      <c r="A1001" s="14">
        <v>990</v>
      </c>
      <c r="B1001" s="14">
        <v>0.75789100999646042</v>
      </c>
      <c r="C1001" s="14">
        <v>3.4314537945334678E-5</v>
      </c>
      <c r="D1001" s="14">
        <v>22086.586484242649</v>
      </c>
      <c r="E1001" s="14">
        <v>7.3524840797034585E-5</v>
      </c>
      <c r="F1001" s="14">
        <v>10307.958531846665</v>
      </c>
      <c r="G1001" s="14">
        <v>0.88811868025930685</v>
      </c>
      <c r="H1001" s="14">
        <v>30.958099993555848</v>
      </c>
      <c r="I1001" s="14">
        <v>30.958096212752718</v>
      </c>
      <c r="J1001" s="14">
        <v>0.13022767026284648</v>
      </c>
      <c r="K1001" s="14">
        <v>30.958065679017903</v>
      </c>
      <c r="L1001" s="14">
        <v>30.958022687911921</v>
      </c>
      <c r="M1001" s="14">
        <v>15</v>
      </c>
    </row>
    <row r="1002" spans="1:13" x14ac:dyDescent="0.3">
      <c r="A1002" s="14">
        <v>991</v>
      </c>
      <c r="B1002" s="14">
        <v>0.47749209653083996</v>
      </c>
      <c r="C1002" s="14">
        <v>4.1721628356583551E-5</v>
      </c>
      <c r="D1002" s="14">
        <v>11444.713817251888</v>
      </c>
      <c r="E1002" s="14">
        <v>5.7581750009916277E-5</v>
      </c>
      <c r="F1002" s="14">
        <v>8292.4207140041763</v>
      </c>
      <c r="G1002" s="14">
        <v>0.58408186984259813</v>
      </c>
      <c r="H1002" s="14">
        <v>30.958101161333303</v>
      </c>
      <c r="I1002" s="14">
        <v>30.958099769862887</v>
      </c>
      <c r="J1002" s="14">
        <v>0.10658977331175816</v>
      </c>
      <c r="K1002" s="14">
        <v>30.958059439704947</v>
      </c>
      <c r="L1002" s="14">
        <v>30.958042188112877</v>
      </c>
      <c r="M1002" s="14">
        <v>12</v>
      </c>
    </row>
    <row r="1003" spans="1:13" x14ac:dyDescent="0.3">
      <c r="A1003" s="14">
        <v>992</v>
      </c>
      <c r="B1003" s="14">
        <v>0.7333786385541452</v>
      </c>
      <c r="C1003" s="14">
        <v>5.4619695223578901E-5</v>
      </c>
      <c r="D1003" s="14">
        <v>13426.99983132735</v>
      </c>
      <c r="E1003" s="14">
        <v>7.8842053333971762E-5</v>
      </c>
      <c r="F1003" s="14">
        <v>9301.8713686664505</v>
      </c>
      <c r="G1003" s="14">
        <v>0.86921543293455361</v>
      </c>
      <c r="H1003" s="14">
        <v>30.958101511893432</v>
      </c>
      <c r="I1003" s="14">
        <v>30.958100669427594</v>
      </c>
      <c r="J1003" s="14">
        <v>0.13583679438040835</v>
      </c>
      <c r="K1003" s="14">
        <v>30.958046892198208</v>
      </c>
      <c r="L1003" s="14">
        <v>30.95802182737426</v>
      </c>
      <c r="M1003" s="14">
        <v>14</v>
      </c>
    </row>
    <row r="1004" spans="1:13" x14ac:dyDescent="0.3">
      <c r="A1004" s="14">
        <v>993</v>
      </c>
      <c r="B1004" s="14">
        <v>0.74359520848424365</v>
      </c>
      <c r="C1004" s="14">
        <v>1.7127456672483277E-5</v>
      </c>
      <c r="D1004" s="14">
        <v>43415.389844710153</v>
      </c>
      <c r="E1004" s="14">
        <v>3.4307372001052272E-5</v>
      </c>
      <c r="F1004" s="14">
        <v>21674.502158353494</v>
      </c>
      <c r="G1004" s="14">
        <v>0.81382427564413118</v>
      </c>
      <c r="H1004" s="14">
        <v>30.958101550659208</v>
      </c>
      <c r="I1004" s="14">
        <v>30.958100048593572</v>
      </c>
      <c r="J1004" s="14">
        <v>7.0229067159887582E-2</v>
      </c>
      <c r="K1004" s="14">
        <v>30.958084423202536</v>
      </c>
      <c r="L1004" s="14">
        <v>30.958065741221571</v>
      </c>
      <c r="M1004" s="14">
        <v>13</v>
      </c>
    </row>
    <row r="1005" spans="1:13" x14ac:dyDescent="0.3">
      <c r="A1005" s="14">
        <v>994</v>
      </c>
      <c r="B1005" s="14">
        <v>0.36792823375786532</v>
      </c>
      <c r="C1005" s="14">
        <v>3.6824763846254882E-5</v>
      </c>
      <c r="D1005" s="14">
        <v>9991.3263610863323</v>
      </c>
      <c r="E1005" s="14">
        <v>4.9299255522328167E-5</v>
      </c>
      <c r="F1005" s="14">
        <v>7463.1600388210045</v>
      </c>
      <c r="G1005" s="14">
        <v>0.44930589684526162</v>
      </c>
      <c r="H1005" s="14">
        <v>30.958099938144166</v>
      </c>
      <c r="I1005" s="14">
        <v>30.958097992516979</v>
      </c>
      <c r="J1005" s="14">
        <v>8.1377663087396329E-2</v>
      </c>
      <c r="K1005" s="14">
        <v>30.958063113380319</v>
      </c>
      <c r="L1005" s="14">
        <v>30.958048693261457</v>
      </c>
      <c r="M1005" s="14">
        <v>12</v>
      </c>
    </row>
    <row r="1006" spans="1:13" x14ac:dyDescent="0.3">
      <c r="A1006" s="14">
        <v>995</v>
      </c>
      <c r="B1006" s="14">
        <v>0.62414880785635285</v>
      </c>
      <c r="C1006" s="14">
        <v>3.5188197845315017E-5</v>
      </c>
      <c r="D1006" s="14">
        <v>17737.447385059888</v>
      </c>
      <c r="E1006" s="14">
        <v>7.1475622480221546E-5</v>
      </c>
      <c r="F1006" s="14">
        <v>8732.3311948638839</v>
      </c>
      <c r="G1006" s="14">
        <v>0.7142381191425683</v>
      </c>
      <c r="H1006" s="14">
        <v>30.958101304483542</v>
      </c>
      <c r="I1006" s="14">
        <v>30.958099309993202</v>
      </c>
      <c r="J1006" s="14">
        <v>9.0089311286215418E-2</v>
      </c>
      <c r="K1006" s="14">
        <v>30.958066116285696</v>
      </c>
      <c r="L1006" s="14">
        <v>30.958027834370721</v>
      </c>
      <c r="M1006" s="14">
        <v>12</v>
      </c>
    </row>
    <row r="1007" spans="1:13" x14ac:dyDescent="0.3">
      <c r="A1007" s="14">
        <v>996</v>
      </c>
      <c r="B1007" s="14">
        <v>0.26411672718828372</v>
      </c>
      <c r="C1007" s="14">
        <v>2.6324917673292703E-5</v>
      </c>
      <c r="D1007" s="14">
        <v>10032.955485981893</v>
      </c>
      <c r="E1007" s="14">
        <v>3.715027117578984E-5</v>
      </c>
      <c r="F1007" s="14">
        <v>7109.4158623639823</v>
      </c>
      <c r="G1007" s="14">
        <v>0.38459281630124759</v>
      </c>
      <c r="H1007" s="14">
        <v>30.958100626575391</v>
      </c>
      <c r="I1007" s="14">
        <v>30.958099603484392</v>
      </c>
      <c r="J1007" s="14">
        <v>0.12047608911296386</v>
      </c>
      <c r="K1007" s="14">
        <v>30.958074301657717</v>
      </c>
      <c r="L1007" s="14">
        <v>30.958062453213216</v>
      </c>
      <c r="M1007" s="14">
        <v>14</v>
      </c>
    </row>
    <row r="1008" spans="1:13" x14ac:dyDescent="0.3">
      <c r="A1008" s="14">
        <v>997</v>
      </c>
      <c r="B1008" s="14">
        <v>0.37902761012746422</v>
      </c>
      <c r="C1008" s="14">
        <v>7.1264579830199182E-5</v>
      </c>
      <c r="D1008" s="14">
        <v>5318.5974158630615</v>
      </c>
      <c r="E1008" s="14">
        <v>8.2390883790139924E-5</v>
      </c>
      <c r="F1008" s="14">
        <v>4600.358591769641</v>
      </c>
      <c r="G1008" s="14">
        <v>0.47240897907124535</v>
      </c>
      <c r="H1008" s="14">
        <v>30.958064500758034</v>
      </c>
      <c r="I1008" s="14">
        <v>30.958057040709466</v>
      </c>
      <c r="J1008" s="14">
        <v>9.3381368943781143E-2</v>
      </c>
      <c r="K1008" s="14">
        <v>30.957993236178204</v>
      </c>
      <c r="L1008" s="14">
        <v>30.957974649825676</v>
      </c>
      <c r="M1008" s="14">
        <v>11</v>
      </c>
    </row>
    <row r="1009" spans="1:13" x14ac:dyDescent="0.3">
      <c r="A1009" s="14">
        <v>998</v>
      </c>
      <c r="B1009" s="14">
        <v>0.29589534007990392</v>
      </c>
      <c r="C1009" s="14">
        <v>4.3778474708489057E-5</v>
      </c>
      <c r="D1009" s="14">
        <v>6758.9230106851355</v>
      </c>
      <c r="E1009" s="14">
        <v>5.7533804351805884E-5</v>
      </c>
      <c r="F1009" s="14">
        <v>5142.9823460060534</v>
      </c>
      <c r="G1009" s="14">
        <v>0.37661536068446355</v>
      </c>
      <c r="H1009" s="14">
        <v>30.958098994556806</v>
      </c>
      <c r="I1009" s="14">
        <v>30.95809737142039</v>
      </c>
      <c r="J1009" s="14">
        <v>8.0720020604559656E-2</v>
      </c>
      <c r="K1009" s="14">
        <v>30.958055216082098</v>
      </c>
      <c r="L1009" s="14">
        <v>30.958039837616038</v>
      </c>
      <c r="M1009" s="14">
        <v>12</v>
      </c>
    </row>
    <row r="1010" spans="1:13" x14ac:dyDescent="0.3">
      <c r="A1010" s="14">
        <v>999</v>
      </c>
      <c r="B1010" s="14">
        <v>0.54041520344787397</v>
      </c>
      <c r="C1010" s="14">
        <v>3.7893648645592748E-5</v>
      </c>
      <c r="D1010" s="14">
        <v>14261.366291280252</v>
      </c>
      <c r="E1010" s="14">
        <v>5.8779242444018109E-5</v>
      </c>
      <c r="F1010" s="14">
        <v>9193.9804083485833</v>
      </c>
      <c r="G1010" s="14">
        <v>0.68150064363695217</v>
      </c>
      <c r="H1010" s="14">
        <v>30.958101520260247</v>
      </c>
      <c r="I1010" s="14">
        <v>30.958100363161307</v>
      </c>
      <c r="J1010" s="14">
        <v>0.14108544018907823</v>
      </c>
      <c r="K1010" s="14">
        <v>30.958063626611601</v>
      </c>
      <c r="L1010" s="14">
        <v>30.958041583918863</v>
      </c>
      <c r="M1010" s="14">
        <v>11</v>
      </c>
    </row>
    <row r="1011" spans="1:13" x14ac:dyDescent="0.3">
      <c r="A1011" s="14">
        <v>1000</v>
      </c>
      <c r="B1011" s="14">
        <v>0.31740390422396098</v>
      </c>
      <c r="C1011" s="14">
        <v>9.5047343933174488E-6</v>
      </c>
      <c r="D1011" s="14">
        <v>33394.294999670907</v>
      </c>
      <c r="E1011" s="14">
        <v>1.9214766016517615E-5</v>
      </c>
      <c r="F1011" s="14">
        <v>16518.749380091886</v>
      </c>
      <c r="G1011" s="14">
        <v>0.34668649681836011</v>
      </c>
      <c r="H1011" s="14">
        <v>30.958101551334384</v>
      </c>
      <c r="I1011" s="14">
        <v>30.958101293282912</v>
      </c>
      <c r="J1011" s="14">
        <v>2.9282592594399134E-2</v>
      </c>
      <c r="K1011" s="14">
        <v>30.95809204659999</v>
      </c>
      <c r="L1011" s="14">
        <v>30.958082078516895</v>
      </c>
      <c r="M1011" s="14">
        <v>15</v>
      </c>
    </row>
  </sheetData>
  <conditionalFormatting sqref="E12:E101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Resultados">
    <tabColor theme="6" tint="-0.249977111117893"/>
  </sheetPr>
  <dimension ref="B2:J19"/>
  <sheetViews>
    <sheetView topLeftCell="A10" workbookViewId="0">
      <selection activeCell="I24" sqref="I24"/>
    </sheetView>
  </sheetViews>
  <sheetFormatPr baseColWidth="10" defaultColWidth="11.5546875" defaultRowHeight="14.4" x14ac:dyDescent="0.3"/>
  <cols>
    <col min="1" max="1" width="11.5546875" style="2"/>
    <col min="2" max="2" width="2.6640625" style="2" customWidth="1"/>
    <col min="3" max="3" width="12.33203125" style="2" bestFit="1" customWidth="1"/>
    <col min="4" max="5" width="28.33203125" style="2" bestFit="1" customWidth="1"/>
    <col min="6" max="6" width="26.33203125" style="2" bestFit="1" customWidth="1"/>
    <col min="7" max="7" width="33.109375" style="2" bestFit="1" customWidth="1"/>
    <col min="8" max="8" width="3.5546875" style="2" customWidth="1"/>
    <col min="9" max="9" width="13.5546875" style="2" bestFit="1" customWidth="1"/>
    <col min="10" max="10" width="18.33203125" style="2" bestFit="1" customWidth="1"/>
    <col min="11" max="11" width="14.5546875" style="2" bestFit="1" customWidth="1"/>
    <col min="12" max="12" width="17.33203125" style="2" bestFit="1" customWidth="1"/>
    <col min="13" max="13" width="10.44140625" style="2" bestFit="1" customWidth="1"/>
    <col min="14" max="14" width="21.33203125" style="2" bestFit="1" customWidth="1"/>
    <col min="15" max="17" width="11.5546875" style="2"/>
    <col min="18" max="18" width="13" style="2" bestFit="1" customWidth="1"/>
    <col min="19" max="16384" width="11.5546875" style="2"/>
  </cols>
  <sheetData>
    <row r="2" spans="2:10" x14ac:dyDescent="0.3">
      <c r="B2" s="11"/>
      <c r="C2" s="11" t="str">
        <f>Localization!$B$19</f>
        <v>PSA</v>
      </c>
      <c r="D2" s="11"/>
    </row>
    <row r="3" spans="2:10" x14ac:dyDescent="0.3">
      <c r="B3" s="3"/>
      <c r="C3" s="3"/>
      <c r="D3" s="3"/>
      <c r="E3" s="3"/>
      <c r="F3" s="3"/>
      <c r="G3" s="3"/>
      <c r="H3" s="3"/>
    </row>
    <row r="4" spans="2:10" x14ac:dyDescent="0.3">
      <c r="B4" s="3"/>
      <c r="C4" s="3"/>
      <c r="D4" s="11" t="str">
        <f>intervention1</f>
        <v>A</v>
      </c>
      <c r="E4" s="11" t="str">
        <f>intervention2</f>
        <v>B</v>
      </c>
      <c r="F4" s="11" t="s">
        <v>17</v>
      </c>
      <c r="G4" s="3"/>
      <c r="H4" s="3"/>
    </row>
    <row r="5" spans="2:10" x14ac:dyDescent="0.3">
      <c r="B5" s="3"/>
      <c r="C5" s="11" t="str">
        <f>Localization!$B$4</f>
        <v>Cost</v>
      </c>
      <c r="D5" s="93">
        <f ca="1">Process!$G$2</f>
        <v>0.65539027292716223</v>
      </c>
      <c r="E5" s="93">
        <f ca="1">Process!$J$2</f>
        <v>0.14018473019866709</v>
      </c>
      <c r="F5" s="94">
        <f ca="1">Process!B$2</f>
        <v>0.51520554272849406</v>
      </c>
      <c r="G5" s="3"/>
      <c r="H5" s="3"/>
    </row>
    <row r="6" spans="2:10" x14ac:dyDescent="0.3">
      <c r="B6" s="3"/>
      <c r="C6" s="11"/>
      <c r="D6" s="70" t="str">
        <f ca="1">"["&amp;DOLLAR(Process!$G$5,roundCost)&amp;"; "&amp;DOLLAR(Process!$G$6,roundCost)&amp;"]"</f>
        <v>[0.35 €; 1.09 €]</v>
      </c>
      <c r="E6" s="70" t="str">
        <f ca="1">"["&amp;DOLLAR(Process!$J$5,roundCost)&amp;"; "&amp;DOLLAR(Process!$J$6,roundCost)&amp;"]"</f>
        <v>[0.02 €; 0.50 €]</v>
      </c>
      <c r="F6" s="70" t="str">
        <f ca="1">"["&amp;DOLLAR(Process!$B$5,roundCost)&amp;"; "&amp;DOLLAR(Process!$B$6,roundCost)&amp;"]"</f>
        <v>[0.16 €; 0.93 €]</v>
      </c>
      <c r="G6" s="11" t="str">
        <f>Localization!$B$13</f>
        <v>ICER</v>
      </c>
      <c r="H6" s="3"/>
    </row>
    <row r="7" spans="2:10" x14ac:dyDescent="0.3">
      <c r="B7" s="3"/>
      <c r="C7" s="11" t="str">
        <f>Localization!$B$6</f>
        <v>LY</v>
      </c>
      <c r="D7" s="69" t="str">
        <f ca="1">FIXED(Process!H$2,roundQALE) &amp; " "&amp;unitLE</f>
        <v>30.958 LY</v>
      </c>
      <c r="E7" s="69" t="str">
        <f ca="1">FIXED(Process!K$2,roundQALE) &amp; " "&amp;unitLE</f>
        <v>30.958 LY</v>
      </c>
      <c r="F7" s="69" t="str">
        <f ca="1">FIXED(Process!C$2, roundQALE) &amp; " "&amp;unitLE</f>
        <v>0.000 LY</v>
      </c>
      <c r="G7" s="69" t="str">
        <f ca="1">DOLLAR(Process!B$2/Process!C$2,roundCost) &amp; "/"&amp;unitLE</f>
        <v>11,103.44 €/LY</v>
      </c>
      <c r="H7" s="3"/>
    </row>
    <row r="8" spans="2:10" x14ac:dyDescent="0.3">
      <c r="B8" s="3"/>
      <c r="C8" s="11"/>
      <c r="D8" s="69" t="str">
        <f ca="1">"["&amp;FIXED(Process!$H$5,roundQALE)&amp;" "&amp;unitLE&amp;"; "&amp;FIXED(Process!$H$6,roundQALE)&amp;" "&amp;unitLE&amp;"]"</f>
        <v>[30.958 LY; 30.958 LY]</v>
      </c>
      <c r="E8" s="69" t="str">
        <f ca="1">"["&amp;FIXED(Process!K$5,roundQALE)&amp;" "&amp;unitLE&amp;"; "&amp;FIXED(Process!K$6,roundQALE)&amp;" "&amp;unitLE&amp;"]"</f>
        <v>[30.958 LY; 30.958 LY]</v>
      </c>
      <c r="F8" s="69" t="str">
        <f ca="1">"["&amp;FIXED(Process!$C$5,roundQALE)&amp;" "&amp;unitLE&amp;"; "&amp;FIXED(Process!$C$6,roundQALE)&amp;" "&amp;unitLE&amp;"]"</f>
        <v>[0.000 LY; 0.000 LY]</v>
      </c>
      <c r="G8" s="69" t="str">
        <f ca="1">"["&amp;IF(Process!$C$6 = 0, "UNDEF",DOLLAR(Process!B$5/Process!$C$6,roundCost) &amp; "/" &amp;unitLE) &amp; "; " &amp; IF(Process!$C$5 = 0, "UNDEF",DOLLAR(Process!B$6/Process!$C$5,roundCost) &amp; "/"&amp;unitLE) &amp; "]"</f>
        <v>[981.03 €/LY; 194,522.06 €/LY]</v>
      </c>
      <c r="H8" s="3"/>
      <c r="J8" s="70" t="str">
        <f ca="1">"["&amp;IF(Process!$C$6 = 0, "UNDEF",DOLLAR(Process!$D$5,roundCost) &amp; "/"&amp;unitLE) &amp; "; " &amp; IF(Process!$C$5 = 0, "UNDEF",DOLLAR(Process!$D$6,roundCost) &amp; "/"&amp;unitLE) &amp; "]"</f>
        <v>[1,973.72 €/LY; 115,288.05 €/LY]</v>
      </c>
    </row>
    <row r="9" spans="2:10" x14ac:dyDescent="0.3">
      <c r="B9" s="3"/>
      <c r="C9" s="11" t="str">
        <f>Localization!$B$7</f>
        <v>QALY</v>
      </c>
      <c r="D9" s="70" t="str">
        <f ca="1">FIXED(Process!I$2,roundQALE) &amp; " "&amp;unitQALE</f>
        <v>30.958 QALY</v>
      </c>
      <c r="E9" s="70" t="str">
        <f ca="1">FIXED(Process!L$2,roundQALE) &amp; " "&amp;unitQALE</f>
        <v>30.958 QALY</v>
      </c>
      <c r="F9" s="70" t="str">
        <f ca="1">FIXED(Process!E$2, roundQALE) &amp; " "&amp;unitQALE</f>
        <v>0.000 QALY</v>
      </c>
      <c r="G9" s="70" t="str">
        <f ca="1">DOLLAR(Process!B$2/Process!E$2,roundCost) &amp; "/"&amp;unitQALE</f>
        <v>7,556.10 €/QALY</v>
      </c>
      <c r="H9" s="3"/>
    </row>
    <row r="10" spans="2:10" x14ac:dyDescent="0.3">
      <c r="B10" s="3"/>
      <c r="C10" s="11"/>
      <c r="D10" s="70" t="str">
        <f ca="1">"["&amp;FIXED(Process!$I$5,roundQALE)&amp;" "&amp;unitQALE&amp;"; "&amp;FIXED(Process!$I$6,roundQALE)&amp;" "&amp;unitQALE&amp;"]"</f>
        <v>[30.958 QALY; 30.958 QALY]</v>
      </c>
      <c r="E10" s="70" t="str">
        <f ca="1">"["&amp;FIXED(Process!$L$5,roundQALE)&amp;" "&amp;unitQALE&amp;"; "&amp;FIXED(Process!$L$6,roundQALE)&amp;" "&amp;unitQALE&amp;"]"</f>
        <v>[30.958 QALY; 30.958 QALY]</v>
      </c>
      <c r="F10" s="70" t="str">
        <f ca="1">"["&amp;FIXED(Process!$E$5,roundQALE)&amp;" "&amp;unitQALE&amp;"; "&amp;FIXED(Process!$E$6,roundQALE)&amp;" "&amp;unitQALE&amp;"]"</f>
        <v>[0.000 QALY; 0.000 QALY]</v>
      </c>
      <c r="G10" s="70" t="str">
        <f ca="1">"["&amp;IF(Process!$E$6 = 0, "UNDEF",DOLLAR(Process!B$5/Process!$E$6,roundCost) &amp; "/"&amp;unitQALE) &amp; "; " &amp; IF(Process!$E$5 = 0, "UNDEF",DOLLAR(Process!B$6/Process!$E$5,roundCost) &amp; "/"&amp;unitQALE) &amp; "]"</f>
        <v>[892.07 €/QALY; 45,470.38 €/QALY]</v>
      </c>
      <c r="H10" s="3"/>
      <c r="J10" s="70" t="str">
        <f ca="1">"["&amp;IF(Process!$E$6 = 0, "UNDEF",DOLLAR(Process!$F$5,roundCost) &amp; "/"&amp;unitQALE) &amp; "; " &amp; IF(Process!$E$5 = 0, "UNDEF",DOLLAR(Process!$F$6,roundCost) &amp; "/"&amp;unitQALE) &amp; "]"</f>
        <v>[1,629.47 €/QALY; 23,838.81 €/QALY]</v>
      </c>
    </row>
    <row r="11" spans="2:10" x14ac:dyDescent="0.3">
      <c r="B11" s="3"/>
      <c r="C11" s="3"/>
      <c r="D11" s="3"/>
      <c r="E11" s="3"/>
      <c r="F11" s="3"/>
      <c r="G11" s="3"/>
      <c r="H11" s="3"/>
    </row>
    <row r="13" spans="2:10" x14ac:dyDescent="0.3">
      <c r="B13" s="11"/>
      <c r="C13" s="11" t="str">
        <f>Localization!$B$20</f>
        <v>Base case</v>
      </c>
      <c r="D13" s="11"/>
    </row>
    <row r="14" spans="2:10" x14ac:dyDescent="0.3">
      <c r="B14" s="3"/>
      <c r="C14" s="3"/>
      <c r="D14" s="3"/>
      <c r="E14" s="3"/>
      <c r="F14" s="3"/>
      <c r="G14" s="3"/>
      <c r="H14" s="3"/>
    </row>
    <row r="15" spans="2:10" x14ac:dyDescent="0.3">
      <c r="B15" s="3"/>
      <c r="C15" s="3"/>
      <c r="D15" s="11" t="str">
        <f>intervention1</f>
        <v>A</v>
      </c>
      <c r="E15" s="11" t="str">
        <f>intervention2</f>
        <v>B</v>
      </c>
      <c r="F15" s="11" t="s">
        <v>17</v>
      </c>
      <c r="G15" s="3"/>
      <c r="H15" s="3"/>
    </row>
    <row r="16" spans="2:10" x14ac:dyDescent="0.3">
      <c r="B16" s="3"/>
      <c r="C16" s="11" t="str">
        <f>Localization!$B$4</f>
        <v>Cost</v>
      </c>
      <c r="D16" s="94" t="e">
        <f ca="1">Process!$G$11</f>
        <v>#REF!</v>
      </c>
      <c r="E16" s="94" t="e">
        <f ca="1">Process!$J$11</f>
        <v>#REF!</v>
      </c>
      <c r="F16" s="94" t="e">
        <f ca="1">D16-E16</f>
        <v>#REF!</v>
      </c>
      <c r="G16" s="11" t="str">
        <f>Localization!$B$13</f>
        <v>ICER</v>
      </c>
      <c r="H16" s="3"/>
    </row>
    <row r="17" spans="2:8" x14ac:dyDescent="0.3">
      <c r="B17" s="3"/>
      <c r="C17" s="11" t="str">
        <f>Localization!$B$6</f>
        <v>LY</v>
      </c>
      <c r="D17" s="69" t="e">
        <f ca="1">FIXED(Process!$H$11,roundQALE) &amp; " "&amp;unitLE</f>
        <v>#REF!</v>
      </c>
      <c r="E17" s="69" t="e">
        <f ca="1">FIXED(Process!$K$11,roundQALE) &amp; " "&amp;unitLE</f>
        <v>#REF!</v>
      </c>
      <c r="F17" s="69" t="e">
        <f ca="1">FIXED(Process!$H$11-Process!$K$11, roundQALE) &amp; " "&amp;unitLE</f>
        <v>#REF!</v>
      </c>
      <c r="G17" s="69" t="e">
        <f ca="1">IF(AND(F$16&lt;0,F17&gt;0),Localization!$B$88,IF(AND(F$16&gt;0,F17&lt;0),Localization!$B$89,DOLLAR(F$16/(Process!$H$11-Process!$K$11),2)&amp;"/"&amp;unitLE))</f>
        <v>#REF!</v>
      </c>
      <c r="H17" s="3"/>
    </row>
    <row r="18" spans="2:8" x14ac:dyDescent="0.3">
      <c r="B18" s="3"/>
      <c r="C18" s="11" t="str">
        <f>Localization!$B$7</f>
        <v>QALY</v>
      </c>
      <c r="D18" s="70" t="e">
        <f ca="1">FIXED(Process!$I$11,roundQALE) &amp; " "&amp;unitQALE</f>
        <v>#REF!</v>
      </c>
      <c r="E18" s="70" t="e">
        <f ca="1">FIXED(Process!$L$11,roundQALE) &amp; " "&amp;unitQALE</f>
        <v>#REF!</v>
      </c>
      <c r="F18" s="70" t="e">
        <f ca="1">FIXED(Process!$I$11-Process!$L$11, roundQALE) &amp; " "&amp;unitQALE</f>
        <v>#REF!</v>
      </c>
      <c r="G18" s="70" t="e">
        <f ca="1">IF(AND(F$16&lt;0,F18&gt;0),Localization!$B$88,IF(AND(F$16&gt;0,F18&lt;0),Localization!$B$89,DOLLAR(F$16/(Process!$I$11-Process!$L$11),2)&amp;"/"&amp;unitQALE))</f>
        <v>#REF!</v>
      </c>
      <c r="H18" s="3"/>
    </row>
    <row r="19" spans="2:8" x14ac:dyDescent="0.3">
      <c r="B19" s="3"/>
      <c r="C19" s="3"/>
      <c r="D19" s="3"/>
      <c r="E19" s="3"/>
      <c r="F19" s="3"/>
      <c r="G19" s="3"/>
      <c r="H1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CE">
    <tabColor theme="6" tint="-0.249977111117893"/>
  </sheetPr>
  <dimension ref="B3:E41"/>
  <sheetViews>
    <sheetView zoomScale="70" zoomScaleNormal="70" workbookViewId="0">
      <selection activeCell="W20" sqref="W20"/>
    </sheetView>
  </sheetViews>
  <sheetFormatPr baseColWidth="10" defaultRowHeight="14.4" x14ac:dyDescent="0.3"/>
  <cols>
    <col min="4" max="4" width="11.88671875" bestFit="1" customWidth="1"/>
  </cols>
  <sheetData>
    <row r="3" spans="2:5" x14ac:dyDescent="0.3">
      <c r="B3" t="str">
        <f>Localization!$B$8</f>
        <v>Willingness to pay</v>
      </c>
      <c r="C3" s="85" t="str">
        <f>$B$3&amp;" "&amp;FIXED(C4,0,FALSE)</f>
        <v>Willingness to pay 30,000</v>
      </c>
      <c r="D3" s="85" t="str">
        <f>$B$3&amp;" "&amp;FIXED(D4,0,FALSE)</f>
        <v>Willingness to pay 20,000</v>
      </c>
      <c r="E3" s="85" t="str">
        <f>$B$3&amp;" "&amp;FIXED(E4,0,FALSE)</f>
        <v>Willingness to pay 10,000</v>
      </c>
    </row>
    <row r="4" spans="2:5" x14ac:dyDescent="0.3">
      <c r="B4" t="s">
        <v>5</v>
      </c>
      <c r="C4">
        <v>30000</v>
      </c>
      <c r="D4">
        <v>20000</v>
      </c>
      <c r="E4">
        <v>10000</v>
      </c>
    </row>
    <row r="5" spans="2:5" x14ac:dyDescent="0.3">
      <c r="B5" t="s">
        <v>6</v>
      </c>
      <c r="C5" t="s">
        <v>7</v>
      </c>
      <c r="D5" t="s">
        <v>7</v>
      </c>
      <c r="E5" t="s">
        <v>7</v>
      </c>
    </row>
    <row r="6" spans="2:5" x14ac:dyDescent="0.3">
      <c r="B6">
        <v>-5.0000000000000001E-4</v>
      </c>
      <c r="C6">
        <f t="shared" ref="C6:E7" si="0">$B6*C$4</f>
        <v>-15</v>
      </c>
      <c r="D6">
        <f t="shared" si="0"/>
        <v>-10</v>
      </c>
      <c r="E6">
        <f t="shared" si="0"/>
        <v>-5</v>
      </c>
    </row>
    <row r="7" spans="2:5" x14ac:dyDescent="0.3">
      <c r="B7">
        <f>-B6</f>
        <v>5.0000000000000001E-4</v>
      </c>
      <c r="C7">
        <f t="shared" si="0"/>
        <v>15</v>
      </c>
      <c r="D7">
        <f t="shared" si="0"/>
        <v>10</v>
      </c>
      <c r="E7">
        <f t="shared" si="0"/>
        <v>5</v>
      </c>
    </row>
    <row r="10" spans="2:5" x14ac:dyDescent="0.3">
      <c r="B10" t="str">
        <f>Localization!$B$18&amp;" "&amp;(1-alfaElipse)*100&amp;"%"</f>
        <v>Confidence ellipse 95%</v>
      </c>
      <c r="C10" s="10" t="str">
        <f>unitQALE</f>
        <v>QALY</v>
      </c>
      <c r="D10" s="10" t="str">
        <f>unitLE</f>
        <v>LY</v>
      </c>
    </row>
    <row r="11" spans="2:5" x14ac:dyDescent="0.3">
      <c r="B11" s="7" t="s">
        <v>12</v>
      </c>
      <c r="C11" s="8">
        <f ca="1">CORREL(OFFSET(Process!E$12,0,0,nSim),OFFSET(Process!B$12,0,0,nSim))</f>
        <v>-4.5976580792422971E-2</v>
      </c>
      <c r="D11" s="8">
        <f ca="1">CORREL(OFFSET(Process!C$12,0,0,nSim),OFFSET(Process!B$12,0,0,nSim))</f>
        <v>-0.17266186694360602</v>
      </c>
    </row>
    <row r="12" spans="2:5" x14ac:dyDescent="0.3">
      <c r="B12" s="7" t="s">
        <v>13</v>
      </c>
      <c r="C12" s="9">
        <v>0.05</v>
      </c>
    </row>
    <row r="15" spans="2:5" x14ac:dyDescent="0.3">
      <c r="B15" s="10" t="s">
        <v>14</v>
      </c>
      <c r="C15" s="10" t="str">
        <f>unitQALE&amp;" (inc)"</f>
        <v>QALY (inc)</v>
      </c>
      <c r="D15" s="10" t="str">
        <f>unitLE&amp;" (inc)"</f>
        <v>LY (inc)</v>
      </c>
      <c r="E15" s="10" t="str">
        <f>Localization!$B$4&amp;" (inc)"</f>
        <v>Cost (inc)</v>
      </c>
    </row>
    <row r="16" spans="2:5" x14ac:dyDescent="0.3">
      <c r="B16" s="8">
        <v>0</v>
      </c>
      <c r="C16" s="8">
        <f ca="1">SQRT(-2*LOG(alfaElipse))*Process!$E$3*COS(B16+ACOS(corrElipse)/2)+Process!$E$2</f>
        <v>1.1377971616389447E-4</v>
      </c>
      <c r="D16" s="8">
        <f ca="1">SQRT(-2*LOG(alfaElipse))*Process!$C$3*COS(B16+ACOS(corrElipse2)/2)+Process!$C$2</f>
        <v>8.9613210759384606E-5</v>
      </c>
      <c r="E16" s="8">
        <f ca="1">SQRT(-2*LOG(alfaElipse))*Process!$B$3*COS(B16-ACOS(corrElipse)/2)+Process!$B$2</f>
        <v>0.72416450414923594</v>
      </c>
    </row>
    <row r="17" spans="2:5" x14ac:dyDescent="0.3">
      <c r="B17" s="8">
        <f>+B16+2*PI()/25</f>
        <v>0.25132741228718347</v>
      </c>
      <c r="C17" s="8">
        <f ca="1">SQRT(-2*LOG(alfaElipse))*Process!$E$3*COS(B17+ACOS(corrElipse)/2)+Process!$E$2</f>
        <v>1.0047417988021299E-4</v>
      </c>
      <c r="D17" s="8">
        <f ca="1">SQRT(-2*LOG(alfaElipse))*Process!$C$3*COS(B17+ACOS(corrElipse2)/2)+Process!$C$2</f>
        <v>7.5461380437801882E-5</v>
      </c>
      <c r="E17" s="8">
        <f ca="1">SQRT(-2*LOG(alfaElipse))*Process!$B$3*COS(B17-ACOS(corrElipse)/2)+Process!$B$2</f>
        <v>0.77201241326702252</v>
      </c>
    </row>
    <row r="18" spans="2:5" x14ac:dyDescent="0.3">
      <c r="B18" s="8">
        <f t="shared" ref="B18:B41" si="1">+B17+2*PI()/25</f>
        <v>0.50265482457436694</v>
      </c>
      <c r="C18" s="8">
        <f ca="1">SQRT(-2*LOG(alfaElipse))*Process!$E$3*COS(B18+ACOS(corrElipse)/2)+Process!$E$2</f>
        <v>8.513973788146986E-5</v>
      </c>
      <c r="D18" s="8">
        <f ca="1">SQRT(-2*LOG(alfaElipse))*Process!$C$3*COS(B18+ACOS(corrElipse2)/2)+Process!$C$2</f>
        <v>5.9483551407584482E-5</v>
      </c>
      <c r="E18" s="8">
        <f ca="1">SQRT(-2*LOG(alfaElipse))*Process!$B$3*COS(B18-ACOS(corrElipse)/2)+Process!$B$2</f>
        <v>0.80372420223927021</v>
      </c>
    </row>
    <row r="19" spans="2:5" x14ac:dyDescent="0.3">
      <c r="B19" s="8">
        <f t="shared" si="1"/>
        <v>0.75398223686155041</v>
      </c>
      <c r="C19" s="8">
        <f ca="1">SQRT(-2*LOG(alfaElipse))*Process!$E$3*COS(B19+ACOS(corrElipse)/2)+Process!$E$2</f>
        <v>6.8739909554578797E-5</v>
      </c>
      <c r="D19" s="8">
        <f ca="1">SQRT(-2*LOG(alfaElipse))*Process!$C$3*COS(B19+ACOS(corrElipse2)/2)+Process!$C$2</f>
        <v>4.2683669429045628E-5</v>
      </c>
      <c r="E19" s="8">
        <f ca="1">SQRT(-2*LOG(alfaElipse))*Process!$B$3*COS(B19-ACOS(corrElipse)/2)+Process!$B$2</f>
        <v>0.81730730273705121</v>
      </c>
    </row>
    <row r="20" spans="2:5" x14ac:dyDescent="0.3">
      <c r="B20" s="8">
        <f t="shared" si="1"/>
        <v>1.0053096491487339</v>
      </c>
      <c r="C20" s="8">
        <f ca="1">SQRT(-2*LOG(alfaElipse))*Process!$E$3*COS(B20+ACOS(corrElipse)/2)+Process!$E$2</f>
        <v>5.230515642766794E-5</v>
      </c>
      <c r="D20" s="8">
        <f ca="1">SQRT(-2*LOG(alfaElipse))*Process!$C$3*COS(B20+ACOS(corrElipse2)/2)+Process!$C$2</f>
        <v>2.6117332872540842E-5</v>
      </c>
      <c r="E20" s="8">
        <f ca="1">SQRT(-2*LOG(alfaElipse))*Process!$B$3*COS(B20-ACOS(corrElipse)/2)+Process!$B$2</f>
        <v>0.81190823860094052</v>
      </c>
    </row>
    <row r="21" spans="2:5" x14ac:dyDescent="0.3">
      <c r="B21" s="8">
        <f t="shared" si="1"/>
        <v>1.2566370614359172</v>
      </c>
      <c r="C21" s="8">
        <f ca="1">SQRT(-2*LOG(alfaElipse))*Process!$E$3*COS(B21+ACOS(corrElipse)/2)+Process!$E$2</f>
        <v>3.6868134482495019E-5</v>
      </c>
      <c r="D21" s="8">
        <f ca="1">SQRT(-2*LOG(alfaElipse))*Process!$C$3*COS(B21+ACOS(corrElipse2)/2)+Process!$C$2</f>
        <v>1.0825465590639304E-5</v>
      </c>
      <c r="E21" s="8">
        <f ca="1">SQRT(-2*LOG(alfaElipse))*Process!$B$3*COS(B21-ACOS(corrElipse)/2)+Process!$B$2</f>
        <v>0.78786625288697909</v>
      </c>
    </row>
    <row r="22" spans="2:5" x14ac:dyDescent="0.3">
      <c r="B22" s="8">
        <f t="shared" si="1"/>
        <v>1.5079644737231006</v>
      </c>
      <c r="C22" s="8">
        <f ca="1">SQRT(-2*LOG(alfaElipse))*Process!$E$3*COS(B22+ACOS(corrElipse)/2)+Process!$E$2</f>
        <v>2.3398808581270613E-5</v>
      </c>
      <c r="D22" s="8">
        <f ca="1">SQRT(-2*LOG(alfaElipse))*Process!$C$3*COS(B22+ACOS(corrElipse2)/2)+Process!$C$2</f>
        <v>-2.2310881557832438E-6</v>
      </c>
      <c r="E22" s="8">
        <f ca="1">SQRT(-2*LOG(alfaElipse))*Process!$B$3*COS(B22-ACOS(corrElipse)/2)+Process!$B$2</f>
        <v>0.74669199197781333</v>
      </c>
    </row>
    <row r="23" spans="2:5" x14ac:dyDescent="0.3">
      <c r="B23" s="8">
        <f t="shared" si="1"/>
        <v>1.759291886010284</v>
      </c>
      <c r="C23" s="8">
        <f ca="1">SQRT(-2*LOG(alfaElipse))*Process!$E$3*COS(B23+ACOS(corrElipse)/2)+Process!$E$2</f>
        <v>1.2743506007084164E-5</v>
      </c>
      <c r="D23" s="8">
        <f ca="1">SQRT(-2*LOG(alfaElipse))*Process!$C$3*COS(B23+ACOS(corrElipse2)/2)+Process!$C$2</f>
        <v>-1.2231937076193421E-5</v>
      </c>
      <c r="E23" s="8">
        <f ca="1">SQRT(-2*LOG(alfaElipse))*Process!$B$3*COS(B23-ACOS(corrElipse)/2)+Process!$B$2</f>
        <v>0.69097258611470525</v>
      </c>
    </row>
    <row r="24" spans="2:5" x14ac:dyDescent="0.3">
      <c r="B24" s="8">
        <f t="shared" si="1"/>
        <v>2.0106192982974673</v>
      </c>
      <c r="C24" s="8">
        <f ca="1">SQRT(-2*LOG(alfaElipse))*Process!$E$3*COS(B24+ACOS(corrElipse)/2)+Process!$E$2</f>
        <v>5.5717386081334676E-6</v>
      </c>
      <c r="D24" s="8">
        <f ca="1">SQRT(-2*LOG(alfaElipse))*Process!$C$3*COS(B24+ACOS(corrElipse2)/2)+Process!$C$2</f>
        <v>-1.8548691052372301E-5</v>
      </c>
      <c r="E24" s="8">
        <f ca="1">SQRT(-2*LOG(alfaElipse))*Process!$B$3*COS(B24-ACOS(corrElipse)/2)+Process!$B$2</f>
        <v>0.62420909048967421</v>
      </c>
    </row>
    <row r="25" spans="2:5" x14ac:dyDescent="0.3">
      <c r="B25" s="8">
        <f t="shared" si="1"/>
        <v>2.2619467105846507</v>
      </c>
      <c r="C25" s="8">
        <f ca="1">SQRT(-2*LOG(alfaElipse))*Process!$E$3*COS(B25+ACOS(corrElipse)/2)+Process!$E$2</f>
        <v>2.334134906010064E-6</v>
      </c>
      <c r="D25" s="8">
        <f ca="1">SQRT(-2*LOG(alfaElipse))*Process!$C$3*COS(B25+ACOS(corrElipse2)/2)+Process!$C$2</f>
        <v>-2.0784445200600563E-5</v>
      </c>
      <c r="E25" s="8">
        <f ca="1">SQRT(-2*LOG(alfaElipse))*Process!$B$3*COS(B25-ACOS(corrElipse)/2)+Process!$B$2</f>
        <v>0.55059650107180202</v>
      </c>
    </row>
    <row r="26" spans="2:5" x14ac:dyDescent="0.3">
      <c r="B26" s="8">
        <f t="shared" si="1"/>
        <v>2.513274122871834</v>
      </c>
      <c r="C26" s="8">
        <f ca="1">SQRT(-2*LOG(alfaElipse))*Process!$E$3*COS(B26+ACOS(corrElipse)/2)+Process!$E$2</f>
        <v>3.2341254483918578E-6</v>
      </c>
      <c r="D26" s="8">
        <f ca="1">SQRT(-2*LOG(alfaElipse))*Process!$C$3*COS(B26+ACOS(corrElipse2)/2)+Process!$C$2</f>
        <v>-1.8798718865216403E-5</v>
      </c>
      <c r="E26" s="8">
        <f ca="1">SQRT(-2*LOG(alfaElipse))*Process!$B$3*COS(B26-ACOS(corrElipse)/2)+Process!$B$2</f>
        <v>0.47476016758237982</v>
      </c>
    </row>
    <row r="27" spans="2:5" x14ac:dyDescent="0.3">
      <c r="B27" s="8">
        <f t="shared" si="1"/>
        <v>2.7646015351590174</v>
      </c>
      <c r="C27" s="8">
        <f ca="1">SQRT(-2*LOG(alfaElipse))*Process!$E$3*COS(B27+ACOS(corrElipse)/2)+Process!$E$2</f>
        <v>8.2151605195673395E-6</v>
      </c>
      <c r="D27" s="8">
        <f ca="1">SQRT(-2*LOG(alfaElipse))*Process!$C$3*COS(B27+ACOS(corrElipse2)/2)+Process!$C$2</f>
        <v>-1.271628253486261E-5</v>
      </c>
      <c r="E27" s="8">
        <f ca="1">SQRT(-2*LOG(alfaElipse))*Process!$B$3*COS(B27-ACOS(corrElipse)/2)+Process!$B$2</f>
        <v>0.40146516576107266</v>
      </c>
    </row>
    <row r="28" spans="2:5" x14ac:dyDescent="0.3">
      <c r="B28" s="8">
        <f t="shared" si="1"/>
        <v>3.0159289474462008</v>
      </c>
      <c r="C28" s="8">
        <f ca="1">SQRT(-2*LOG(alfaElipse))*Process!$E$3*COS(B28+ACOS(corrElipse)/2)+Process!$E$2</f>
        <v>1.6964263367048976E-5</v>
      </c>
      <c r="D28" s="8">
        <f ca="1">SQRT(-2*LOG(alfaElipse))*Process!$C$3*COS(B28+ACOS(corrElipse2)/2)+Process!$C$2</f>
        <v>-2.9193180538114071E-6</v>
      </c>
      <c r="E28" s="8">
        <f ca="1">SQRT(-2*LOG(alfaElipse))*Process!$B$3*COS(B28-ACOS(corrElipse)/2)+Process!$B$2</f>
        <v>0.33531689013247401</v>
      </c>
    </row>
    <row r="29" spans="2:5" x14ac:dyDescent="0.3">
      <c r="B29" s="8">
        <f t="shared" si="1"/>
        <v>3.2672563597333841</v>
      </c>
      <c r="C29" s="8">
        <f ca="1">SQRT(-2*LOG(alfaElipse))*Process!$E$3*COS(B29+ACOS(corrElipse)/2)+Process!$E$2</f>
        <v>2.8931695681980052E-5</v>
      </c>
      <c r="D29" s="8">
        <f ca="1">SQRT(-2*LOG(alfaElipse))*Process!$C$3*COS(B29+ACOS(corrElipse2)/2)+Process!$C$2</f>
        <v>9.9765952688778646E-6</v>
      </c>
      <c r="E29" s="8">
        <f ca="1">SQRT(-2*LOG(alfaElipse))*Process!$B$3*COS(B29-ACOS(corrElipse)/2)+Process!$B$2</f>
        <v>0.28047168013066892</v>
      </c>
    </row>
    <row r="30" spans="2:5" x14ac:dyDescent="0.3">
      <c r="B30" s="8">
        <f t="shared" si="1"/>
        <v>3.5185837720205675</v>
      </c>
      <c r="C30" s="8">
        <f ca="1">SQRT(-2*LOG(alfaElipse))*Process!$E$3*COS(B30+ACOS(corrElipse)/2)+Process!$E$2</f>
        <v>4.3365499678876186E-5</v>
      </c>
      <c r="D30" s="8">
        <f ca="1">SQRT(-2*LOG(alfaElipse))*Process!$C$3*COS(B30+ACOS(corrElipse2)/2)+Process!$C$2</f>
        <v>2.5161159771288978E-5</v>
      </c>
      <c r="E30" s="8">
        <f ca="1">SQRT(-2*LOG(alfaElipse))*Process!$B$3*COS(B30-ACOS(corrElipse)/2)+Process!$B$2</f>
        <v>0.24037566200664362</v>
      </c>
    </row>
    <row r="31" spans="2:5" x14ac:dyDescent="0.3">
      <c r="B31" s="8">
        <f t="shared" si="1"/>
        <v>3.7699111843077509</v>
      </c>
      <c r="C31" s="8">
        <f ca="1">SQRT(-2*LOG(alfaElipse))*Process!$E$3*COS(B31+ACOS(corrElipse)/2)+Process!$E$2</f>
        <v>5.9358746368794483E-5</v>
      </c>
      <c r="D31" s="8">
        <f ca="1">SQRT(-2*LOG(alfaElipse))*Process!$C$3*COS(B31+ACOS(corrElipse2)/2)+Process!$C$2</f>
        <v>4.1680273420813721E-5</v>
      </c>
      <c r="E31" s="8">
        <f ca="1">SQRT(-2*LOG(alfaElipse))*Process!$B$3*COS(B31-ACOS(corrElipse)/2)+Process!$B$2</f>
        <v>0.21754821604197017</v>
      </c>
    </row>
    <row r="32" spans="2:5" x14ac:dyDescent="0.3">
      <c r="B32" s="8">
        <f t="shared" si="1"/>
        <v>4.0212385965949347</v>
      </c>
      <c r="C32" s="8">
        <f ca="1">SQRT(-2*LOG(alfaElipse))*Process!$E$3*COS(B32+ACOS(corrElipse)/2)+Process!$E$2</f>
        <v>7.5906521243160614E-5</v>
      </c>
      <c r="D32" s="8">
        <f ca="1">SQRT(-2*LOG(alfaElipse))*Process!$C$3*COS(B32+ACOS(corrElipse2)/2)+Process!$C$2</f>
        <v>5.8495979553802141E-5</v>
      </c>
      <c r="E32" s="8">
        <f ca="1">SQRT(-2*LOG(alfaElipse))*Process!$B$3*COS(B32-ACOS(corrElipse)/2)+Process!$B$2</f>
        <v>0.21342367462008255</v>
      </c>
    </row>
    <row r="33" spans="2:5" x14ac:dyDescent="0.3">
      <c r="B33" s="8">
        <f t="shared" si="1"/>
        <v>4.2725660088821185</v>
      </c>
      <c r="C33" s="8">
        <f ca="1">SQRT(-2*LOG(alfaElipse))*Process!$E$3*COS(B33+ACOS(corrElipse)/2)+Process!$E$2</f>
        <v>9.1969066748159232E-5</v>
      </c>
      <c r="D33" s="8">
        <f ca="1">SQRT(-2*LOG(alfaElipse))*Process!$C$3*COS(B33+ACOS(corrElipse2)/2)+Process!$C$2</f>
        <v>7.4551685510077466E-5</v>
      </c>
      <c r="E33" s="8">
        <f ca="1">SQRT(-2*LOG(alfaElipse))*Process!$B$3*COS(B33-ACOS(corrElipse)/2)+Process!$B$2</f>
        <v>0.2282611978475203</v>
      </c>
    </row>
    <row r="34" spans="2:5" x14ac:dyDescent="0.3">
      <c r="B34" s="8">
        <f t="shared" si="1"/>
        <v>4.5238934211693023</v>
      </c>
      <c r="C34" s="8">
        <f ca="1">SQRT(-2*LOG(alfaElipse))*Process!$E$3*COS(B34+ACOS(corrElipse)/2)+Process!$E$2</f>
        <v>1.0653711407580121E-4</v>
      </c>
      <c r="D34" s="8">
        <f ca="1">SQRT(-2*LOG(alfaElipse))*Process!$C$3*COS(B34+ACOS(corrElipse2)/2)+Process!$C$2</f>
        <v>8.8838552235650931E-5</v>
      </c>
      <c r="E34" s="8">
        <f ca="1">SQRT(-2*LOG(alfaElipse))*Process!$B$3*COS(B34-ACOS(corrElipse)/2)+Process!$B$2</f>
        <v>0.26112848957131024</v>
      </c>
    </row>
    <row r="35" spans="2:5" x14ac:dyDescent="0.3">
      <c r="B35" s="8">
        <f t="shared" si="1"/>
        <v>4.7752208334564861</v>
      </c>
      <c r="C35" s="8">
        <f ca="1">SQRT(-2*LOG(alfaElipse))*Process!$E$3*COS(B35+ACOS(corrElipse)/2)+Process!$E$2</f>
        <v>1.186952992349605E-4</v>
      </c>
      <c r="D35" s="8">
        <f ca="1">SQRT(-2*LOG(alfaElipse))*Process!$C$3*COS(B35+ACOS(corrElipse2)/2)+Process!$C$2</f>
        <v>1.004588833507344E-4</v>
      </c>
      <c r="E35" s="8">
        <f ca="1">SQRT(-2*LOG(alfaElipse))*Process!$B$3*COS(B35-ACOS(corrElipse)/2)+Process!$B$2</f>
        <v>0.30996037697500317</v>
      </c>
    </row>
    <row r="36" spans="2:5" x14ac:dyDescent="0.3">
      <c r="B36" s="8">
        <f t="shared" si="1"/>
        <v>5.0265482457436699</v>
      </c>
      <c r="C36" s="8">
        <f ca="1">SQRT(-2*LOG(alfaElipse))*Process!$E$3*COS(B36+ACOS(corrElipse)/2)+Process!$E$2</f>
        <v>1.2767967873740998E-4</v>
      </c>
      <c r="D36" s="8">
        <f ca="1">SQRT(-2*LOG(alfaElipse))*Process!$C$3*COS(B36+ACOS(corrElipse2)/2)+Process!$C$2</f>
        <v>1.0868253071477885E-4</v>
      </c>
      <c r="E36" s="8">
        <f ca="1">SQRT(-2*LOG(alfaElipse))*Process!$B$3*COS(B36-ACOS(corrElipse)/2)+Process!$B$2</f>
        <v>0.37168857298190572</v>
      </c>
    </row>
    <row r="37" spans="2:5" x14ac:dyDescent="0.3">
      <c r="B37" s="8">
        <f t="shared" si="1"/>
        <v>5.2778756580308537</v>
      </c>
      <c r="C37" s="8">
        <f ca="1">SQRT(-2*LOG(alfaElipse))*Process!$E$3*COS(B37+ACOS(corrElipse)/2)+Process!$E$2</f>
        <v>1.3292573097677427E-4</v>
      </c>
      <c r="D37" s="8">
        <f ca="1">SQRT(-2*LOG(alfaElipse))*Process!$C$3*COS(B37+ACOS(corrElipse2)/2)+Process!$C$2</f>
        <v>1.1299277231944193E-4</v>
      </c>
      <c r="E37" s="8">
        <f ca="1">SQRT(-2*LOG(alfaElipse))*Process!$B$3*COS(B37-ACOS(corrElipse)/2)+Process!$B$2</f>
        <v>0.44243446801647973</v>
      </c>
    </row>
    <row r="38" spans="2:5" x14ac:dyDescent="0.3">
      <c r="B38" s="8">
        <f t="shared" si="1"/>
        <v>5.5292030703180375</v>
      </c>
      <c r="C38" s="8">
        <f ca="1">SQRT(-2*LOG(alfaElipse))*Process!$E$3*COS(B38+ACOS(corrElipse)/2)+Process!$E$2</f>
        <v>1.3410382719722359E-4</v>
      </c>
      <c r="D38" s="8">
        <f ca="1">SQRT(-2*LOG(alfaElipse))*Process!$C$3*COS(B38+ACOS(corrElipse2)/2)+Process!$C$2</f>
        <v>1.1311877983274295E-4</v>
      </c>
      <c r="E38" s="8">
        <f ca="1">SQRT(-2*LOG(alfaElipse))*Process!$B$3*COS(B38-ACOS(corrElipse)/2)+Process!$B$2</f>
        <v>0.51775283730850108</v>
      </c>
    </row>
    <row r="39" spans="2:5" x14ac:dyDescent="0.3">
      <c r="B39" s="8">
        <f t="shared" si="1"/>
        <v>5.7805304826052213</v>
      </c>
      <c r="C39" s="8">
        <f ca="1">SQRT(-2*LOG(alfaElipse))*Process!$E$3*COS(B39+ACOS(corrElipse)/2)+Process!$E$2</f>
        <v>1.3113994328049224E-4</v>
      </c>
      <c r="D39" s="8">
        <f ca="1">SQRT(-2*LOG(alfaElipse))*Process!$C$3*COS(B39+ACOS(corrElipse2)/2)+Process!$C$2</f>
        <v>1.0905263573919794E-4</v>
      </c>
      <c r="E39" s="8">
        <f ca="1">SQRT(-2*LOG(alfaElipse))*Process!$B$3*COS(B39-ACOS(corrElipse)/2)+Process!$B$2</f>
        <v>0.59291115071376654</v>
      </c>
    </row>
    <row r="40" spans="2:5" x14ac:dyDescent="0.3">
      <c r="B40" s="8">
        <f t="shared" si="1"/>
        <v>6.0318578948924051</v>
      </c>
      <c r="C40" s="8">
        <f ca="1">SQRT(-2*LOG(alfaElipse))*Process!$E$3*COS(B40+ACOS(corrElipse)/2)+Process!$E$2</f>
        <v>1.2422031095347109E-4</v>
      </c>
      <c r="D40" s="8">
        <f ca="1">SQRT(-2*LOG(alfaElipse))*Process!$C$3*COS(B40+ACOS(corrElipse2)/2)+Process!$C$2</f>
        <v>1.010498308264363E-4</v>
      </c>
      <c r="E40" s="8">
        <f ca="1">SQRT(-2*LOG(alfaElipse))*Process!$B$3*COS(B40-ACOS(corrElipse)/2)+Process!$B$2</f>
        <v>0.66318693498808179</v>
      </c>
    </row>
    <row r="41" spans="2:5" x14ac:dyDescent="0.3">
      <c r="B41" s="8">
        <f t="shared" si="1"/>
        <v>6.2831853071795889</v>
      </c>
      <c r="C41" s="8">
        <f ca="1">SQRT(-2*LOG(alfaElipse))*Process!$E$3*COS(B41+ACOS(corrElipse)/2)+Process!$E$2</f>
        <v>1.1377971616389435E-4</v>
      </c>
      <c r="D41" s="8">
        <f ca="1">SQRT(-2*LOG(alfaElipse))*Process!$C$3*COS(B41+ACOS(corrElipse2)/2)+Process!$C$2</f>
        <v>8.961321075938447E-5</v>
      </c>
      <c r="E41" s="8">
        <f ca="1">SQRT(-2*LOG(alfaElipse))*Process!$B$3*COS(B41-ACOS(corrElipse)/2)+Process!$B$2</f>
        <v>0.72416450414923639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Curva">
    <tabColor theme="6" tint="-0.249977111117893"/>
  </sheetPr>
  <dimension ref="B2:F55"/>
  <sheetViews>
    <sheetView topLeftCell="A27" workbookViewId="0">
      <selection activeCell="F3" sqref="F3"/>
    </sheetView>
  </sheetViews>
  <sheetFormatPr baseColWidth="10" defaultColWidth="11.5546875" defaultRowHeight="14.4" x14ac:dyDescent="0.3"/>
  <cols>
    <col min="1" max="1" width="11.5546875" style="2"/>
    <col min="2" max="2" width="13.6640625" style="2" customWidth="1"/>
    <col min="3" max="3" width="12.6640625" style="2" bestFit="1" customWidth="1"/>
    <col min="4" max="4" width="15.44140625" style="2" bestFit="1" customWidth="1"/>
    <col min="5" max="5" width="11.6640625" style="2" bestFit="1" customWidth="1"/>
    <col min="6" max="6" width="14.33203125" style="2" bestFit="1" customWidth="1"/>
    <col min="7" max="16384" width="11.5546875" style="2"/>
  </cols>
  <sheetData>
    <row r="2" spans="2:6" x14ac:dyDescent="0.3">
      <c r="B2" s="121" t="str">
        <f>Localization!$B$55</f>
        <v>Acceptability curve</v>
      </c>
      <c r="C2" s="5" t="str">
        <f>unitQALE</f>
        <v>QALY</v>
      </c>
      <c r="E2" s="5" t="str">
        <f>unitLE</f>
        <v>LY</v>
      </c>
    </row>
    <row r="3" spans="2:6" x14ac:dyDescent="0.3">
      <c r="B3" s="121"/>
      <c r="C3" s="5" t="str">
        <f>intervention1</f>
        <v>A</v>
      </c>
      <c r="D3" s="5" t="str">
        <f>intervention2</f>
        <v>B</v>
      </c>
      <c r="E3" s="5" t="str">
        <f>intervention1</f>
        <v>A</v>
      </c>
      <c r="F3" s="5" t="str">
        <f>intervention2</f>
        <v>B</v>
      </c>
    </row>
    <row r="4" spans="2:6" x14ac:dyDescent="0.3">
      <c r="B4" s="3">
        <v>0</v>
      </c>
      <c r="C4" s="6">
        <f ca="1">SUMPRODUCT((OFFSET(Process!$B$12,0,0,nSim)&lt;$B4*OFFSET(Process!$E$12,0,0,nSim))*1)/nSim</f>
        <v>0</v>
      </c>
      <c r="D4" s="2">
        <f ca="1">1-C4</f>
        <v>1</v>
      </c>
      <c r="E4" s="6">
        <f ca="1">SUMPRODUCT((OFFSET(Process!$B$12,0,0,nSim)&lt;$B4*OFFSET(Process!$C$12,0,0,nSim))*1)/nSim</f>
        <v>0</v>
      </c>
      <c r="F4" s="2">
        <f ca="1">1-E4</f>
        <v>1</v>
      </c>
    </row>
    <row r="5" spans="2:6" x14ac:dyDescent="0.3">
      <c r="B5" s="3">
        <f t="shared" ref="B5:B36" si="0">B4+thresholdGap</f>
        <v>2500</v>
      </c>
      <c r="C5" s="6">
        <f ca="1">SUMPRODUCT((OFFSET(Process!$B$12,0,0,nSim)&lt;$B5*OFFSET(Process!$E$12,0,0,nSim))*1)/nSim</f>
        <v>8.1000000000000003E-2</v>
      </c>
      <c r="D5" s="2">
        <f t="shared" ref="D5:D44" ca="1" si="1">1-C5</f>
        <v>0.91900000000000004</v>
      </c>
      <c r="E5" s="6">
        <f ca="1">SUMPRODUCT((OFFSET(Process!$B$12,0,0,nSim)&lt;$B5*OFFSET(Process!$C$12,0,0,nSim))*1)/nSim</f>
        <v>6.4000000000000001E-2</v>
      </c>
      <c r="F5" s="2">
        <f t="shared" ref="F5:F55" ca="1" si="2">1-E5</f>
        <v>0.93599999999999994</v>
      </c>
    </row>
    <row r="6" spans="2:6" x14ac:dyDescent="0.3">
      <c r="B6" s="3">
        <f t="shared" si="0"/>
        <v>5000</v>
      </c>
      <c r="C6" s="6">
        <f ca="1">SUMPRODUCT((OFFSET(Process!$B$12,0,0,nSim)&lt;$B6*OFFSET(Process!$E$12,0,0,nSim))*1)/nSim</f>
        <v>0.23</v>
      </c>
      <c r="D6" s="2">
        <f t="shared" ca="1" si="1"/>
        <v>0.77</v>
      </c>
      <c r="E6" s="6">
        <f ca="1">SUMPRODUCT((OFFSET(Process!$B$12,0,0,nSim)&lt;$B6*OFFSET(Process!$C$12,0,0,nSim))*1)/nSim</f>
        <v>0.17199999999999999</v>
      </c>
      <c r="F6" s="2">
        <f t="shared" ca="1" si="2"/>
        <v>0.82800000000000007</v>
      </c>
    </row>
    <row r="7" spans="2:6" x14ac:dyDescent="0.3">
      <c r="B7" s="3">
        <f t="shared" si="0"/>
        <v>7500</v>
      </c>
      <c r="C7" s="6">
        <f ca="1">SUMPRODUCT((OFFSET(Process!$B$12,0,0,nSim)&lt;$B7*OFFSET(Process!$E$12,0,0,nSim))*1)/nSim</f>
        <v>0.39200000000000002</v>
      </c>
      <c r="D7" s="2">
        <f t="shared" ca="1" si="1"/>
        <v>0.60799999999999998</v>
      </c>
      <c r="E7" s="6">
        <f ca="1">SUMPRODUCT((OFFSET(Process!$B$12,0,0,nSim)&lt;$B7*OFFSET(Process!$C$12,0,0,nSim))*1)/nSim</f>
        <v>0.26900000000000002</v>
      </c>
      <c r="F7" s="2">
        <f t="shared" ca="1" si="2"/>
        <v>0.73099999999999998</v>
      </c>
    </row>
    <row r="8" spans="2:6" x14ac:dyDescent="0.3">
      <c r="B8" s="3">
        <f t="shared" si="0"/>
        <v>10000</v>
      </c>
      <c r="C8" s="6">
        <f ca="1">SUMPRODUCT((OFFSET(Process!$B$12,0,0,nSim)&lt;$B8*OFFSET(Process!$E$12,0,0,nSim))*1)/nSim</f>
        <v>0.55600000000000005</v>
      </c>
      <c r="D8" s="2">
        <f t="shared" ca="1" si="1"/>
        <v>0.44399999999999995</v>
      </c>
      <c r="E8" s="6">
        <f ca="1">SUMPRODUCT((OFFSET(Process!$B$12,0,0,nSim)&lt;$B8*OFFSET(Process!$C$12,0,0,nSim))*1)/nSim</f>
        <v>0.35099999999999998</v>
      </c>
      <c r="F8" s="2">
        <f t="shared" ca="1" si="2"/>
        <v>0.64900000000000002</v>
      </c>
    </row>
    <row r="9" spans="2:6" x14ac:dyDescent="0.3">
      <c r="B9" s="3">
        <f t="shared" si="0"/>
        <v>12500</v>
      </c>
      <c r="C9" s="6">
        <f ca="1">SUMPRODUCT((OFFSET(Process!$B$12,0,0,nSim)&lt;$B9*OFFSET(Process!$E$12,0,0,nSim))*1)/nSim</f>
        <v>0.69899999999999995</v>
      </c>
      <c r="D9" s="2">
        <f t="shared" ca="1" si="1"/>
        <v>0.30100000000000005</v>
      </c>
      <c r="E9" s="6">
        <f ca="1">SUMPRODUCT((OFFSET(Process!$B$12,0,0,nSim)&lt;$B9*OFFSET(Process!$C$12,0,0,nSim))*1)/nSim</f>
        <v>0.42199999999999999</v>
      </c>
      <c r="F9" s="2">
        <f t="shared" ca="1" si="2"/>
        <v>0.57800000000000007</v>
      </c>
    </row>
    <row r="10" spans="2:6" x14ac:dyDescent="0.3">
      <c r="B10" s="3">
        <f t="shared" si="0"/>
        <v>15000</v>
      </c>
      <c r="C10" s="6">
        <f ca="1">SUMPRODUCT((OFFSET(Process!$B$12,0,0,nSim)&lt;$B10*OFFSET(Process!$E$12,0,0,nSim))*1)/nSim</f>
        <v>0.79200000000000004</v>
      </c>
      <c r="D10" s="2">
        <f t="shared" ca="1" si="1"/>
        <v>0.20799999999999996</v>
      </c>
      <c r="E10" s="6">
        <f ca="1">SUMPRODUCT((OFFSET(Process!$B$12,0,0,nSim)&lt;$B10*OFFSET(Process!$C$12,0,0,nSim))*1)/nSim</f>
        <v>0.48899999999999999</v>
      </c>
      <c r="F10" s="2">
        <f t="shared" ca="1" si="2"/>
        <v>0.51100000000000001</v>
      </c>
    </row>
    <row r="11" spans="2:6" x14ac:dyDescent="0.3">
      <c r="B11" s="3">
        <f t="shared" si="0"/>
        <v>17500</v>
      </c>
      <c r="C11" s="6">
        <f ca="1">SUMPRODUCT((OFFSET(Process!$B$12,0,0,nSim)&lt;$B11*OFFSET(Process!$E$12,0,0,nSim))*1)/nSim</f>
        <v>0.872</v>
      </c>
      <c r="D11" s="2">
        <f t="shared" ca="1" si="1"/>
        <v>0.128</v>
      </c>
      <c r="E11" s="6">
        <f ca="1">SUMPRODUCT((OFFSET(Process!$B$12,0,0,nSim)&lt;$B11*OFFSET(Process!$C$12,0,0,nSim))*1)/nSim</f>
        <v>0.55600000000000005</v>
      </c>
      <c r="F11" s="2">
        <f t="shared" ca="1" si="2"/>
        <v>0.44399999999999995</v>
      </c>
    </row>
    <row r="12" spans="2:6" x14ac:dyDescent="0.3">
      <c r="B12" s="3">
        <f t="shared" si="0"/>
        <v>20000</v>
      </c>
      <c r="C12" s="6">
        <f ca="1">SUMPRODUCT((OFFSET(Process!$B$12,0,0,nSim)&lt;$B12*OFFSET(Process!$E$12,0,0,nSim))*1)/nSim</f>
        <v>0.93400000000000005</v>
      </c>
      <c r="D12" s="2">
        <f t="shared" ca="1" si="1"/>
        <v>6.5999999999999948E-2</v>
      </c>
      <c r="E12" s="6">
        <f ca="1">SUMPRODUCT((OFFSET(Process!$B$12,0,0,nSim)&lt;$B12*OFFSET(Process!$C$12,0,0,nSim))*1)/nSim</f>
        <v>0.58899999999999997</v>
      </c>
      <c r="F12" s="2">
        <f t="shared" ca="1" si="2"/>
        <v>0.41100000000000003</v>
      </c>
    </row>
    <row r="13" spans="2:6" x14ac:dyDescent="0.3">
      <c r="B13" s="3">
        <f t="shared" si="0"/>
        <v>22500</v>
      </c>
      <c r="C13" s="6">
        <f ca="1">SUMPRODUCT((OFFSET(Process!$B$12,0,0,nSim)&lt;$B13*OFFSET(Process!$E$12,0,0,nSim))*1)/nSim</f>
        <v>0.96199999999999997</v>
      </c>
      <c r="D13" s="2">
        <f t="shared" ca="1" si="1"/>
        <v>3.8000000000000034E-2</v>
      </c>
      <c r="E13" s="6">
        <f ca="1">SUMPRODUCT((OFFSET(Process!$B$12,0,0,nSim)&lt;$B13*OFFSET(Process!$C$12,0,0,nSim))*1)/nSim</f>
        <v>0.63800000000000001</v>
      </c>
      <c r="F13" s="2">
        <f t="shared" ca="1" si="2"/>
        <v>0.36199999999999999</v>
      </c>
    </row>
    <row r="14" spans="2:6" x14ac:dyDescent="0.3">
      <c r="B14" s="3">
        <f t="shared" si="0"/>
        <v>25000</v>
      </c>
      <c r="C14" s="6">
        <f ca="1">SUMPRODUCT((OFFSET(Process!$B$12,0,0,nSim)&lt;$B14*OFFSET(Process!$E$12,0,0,nSim))*1)/nSim</f>
        <v>0.98199999999999998</v>
      </c>
      <c r="D14" s="2">
        <f t="shared" ca="1" si="1"/>
        <v>1.8000000000000016E-2</v>
      </c>
      <c r="E14" s="6">
        <f ca="1">SUMPRODUCT((OFFSET(Process!$B$12,0,0,nSim)&lt;$B14*OFFSET(Process!$C$12,0,0,nSim))*1)/nSim</f>
        <v>0.67500000000000004</v>
      </c>
      <c r="F14" s="2">
        <f t="shared" ca="1" si="2"/>
        <v>0.32499999999999996</v>
      </c>
    </row>
    <row r="15" spans="2:6" ht="15" thickBot="1" x14ac:dyDescent="0.35">
      <c r="B15" s="3">
        <f t="shared" si="0"/>
        <v>27500</v>
      </c>
      <c r="C15" s="6">
        <f ca="1">SUMPRODUCT((OFFSET(Process!$B$12,0,0,nSim)&lt;$B15*OFFSET(Process!$E$12,0,0,nSim))*1)/nSim</f>
        <v>0.99</v>
      </c>
      <c r="D15" s="2">
        <f t="shared" ca="1" si="1"/>
        <v>1.0000000000000009E-2</v>
      </c>
      <c r="E15" s="6">
        <f ca="1">SUMPRODUCT((OFFSET(Process!$B$12,0,0,nSim)&lt;$B15*OFFSET(Process!$C$12,0,0,nSim))*1)/nSim</f>
        <v>0.71099999999999997</v>
      </c>
      <c r="F15" s="2">
        <f t="shared" ca="1" si="2"/>
        <v>0.28900000000000003</v>
      </c>
    </row>
    <row r="16" spans="2:6" ht="15.6" thickTop="1" thickBot="1" x14ac:dyDescent="0.35">
      <c r="B16" s="57">
        <f t="shared" si="0"/>
        <v>30000</v>
      </c>
      <c r="C16" s="58">
        <f ca="1">SUMPRODUCT((OFFSET(Process!$B$12,0,0,nSim)&lt;$B16*OFFSET(Process!$E$12,0,0,nSim))*1)/nSim</f>
        <v>0.995</v>
      </c>
      <c r="D16" s="90">
        <f t="shared" ca="1" si="1"/>
        <v>5.0000000000000044E-3</v>
      </c>
      <c r="E16" s="58">
        <f ca="1">SUMPRODUCT((OFFSET(Process!$B$12,0,0,nSim)&lt;$B16*OFFSET(Process!$C$12,0,0,nSim))*1)/nSim</f>
        <v>0.73899999999999999</v>
      </c>
      <c r="F16" s="59">
        <f t="shared" ca="1" si="2"/>
        <v>0.26100000000000001</v>
      </c>
    </row>
    <row r="17" spans="2:6" ht="15" thickTop="1" x14ac:dyDescent="0.3">
      <c r="B17" s="3">
        <f t="shared" si="0"/>
        <v>32500</v>
      </c>
      <c r="C17" s="6">
        <f ca="1">SUMPRODUCT((OFFSET(Process!$B$12,0,0,nSim)&lt;$B17*OFFSET(Process!$E$12,0,0,nSim))*1)/nSim</f>
        <v>0.996</v>
      </c>
      <c r="D17" s="2">
        <f t="shared" ca="1" si="1"/>
        <v>4.0000000000000036E-3</v>
      </c>
      <c r="E17" s="6">
        <f ca="1">SUMPRODUCT((OFFSET(Process!$B$12,0,0,nSim)&lt;$B17*OFFSET(Process!$C$12,0,0,nSim))*1)/nSim</f>
        <v>0.75900000000000001</v>
      </c>
      <c r="F17" s="2">
        <f t="shared" ca="1" si="2"/>
        <v>0.24099999999999999</v>
      </c>
    </row>
    <row r="18" spans="2:6" x14ac:dyDescent="0.3">
      <c r="B18" s="3">
        <f t="shared" si="0"/>
        <v>35000</v>
      </c>
      <c r="C18" s="6">
        <f ca="1">SUMPRODUCT((OFFSET(Process!$B$12,0,0,nSim)&lt;$B18*OFFSET(Process!$E$12,0,0,nSim))*1)/nSim</f>
        <v>1</v>
      </c>
      <c r="D18" s="2">
        <f t="shared" ca="1" si="1"/>
        <v>0</v>
      </c>
      <c r="E18" s="6">
        <f ca="1">SUMPRODUCT((OFFSET(Process!$B$12,0,0,nSim)&lt;$B18*OFFSET(Process!$C$12,0,0,nSim))*1)/nSim</f>
        <v>0.77700000000000002</v>
      </c>
      <c r="F18" s="2">
        <f t="shared" ca="1" si="2"/>
        <v>0.22299999999999998</v>
      </c>
    </row>
    <row r="19" spans="2:6" x14ac:dyDescent="0.3">
      <c r="B19" s="3">
        <f t="shared" si="0"/>
        <v>37500</v>
      </c>
      <c r="C19" s="6">
        <f ca="1">SUMPRODUCT((OFFSET(Process!$B$12,0,0,nSim)&lt;$B19*OFFSET(Process!$E$12,0,0,nSim))*1)/nSim</f>
        <v>1</v>
      </c>
      <c r="D19" s="2">
        <f t="shared" ca="1" si="1"/>
        <v>0</v>
      </c>
      <c r="E19" s="6">
        <f ca="1">SUMPRODUCT((OFFSET(Process!$B$12,0,0,nSim)&lt;$B19*OFFSET(Process!$C$12,0,0,nSim))*1)/nSim</f>
        <v>0.79500000000000004</v>
      </c>
      <c r="F19" s="2">
        <f t="shared" ca="1" si="2"/>
        <v>0.20499999999999996</v>
      </c>
    </row>
    <row r="20" spans="2:6" x14ac:dyDescent="0.3">
      <c r="B20" s="3">
        <f t="shared" si="0"/>
        <v>40000</v>
      </c>
      <c r="C20" s="6">
        <f ca="1">SUMPRODUCT((OFFSET(Process!$B$12,0,0,nSim)&lt;$B20*OFFSET(Process!$E$12,0,0,nSim))*1)/nSim</f>
        <v>1</v>
      </c>
      <c r="D20" s="2">
        <f t="shared" ca="1" si="1"/>
        <v>0</v>
      </c>
      <c r="E20" s="6">
        <f ca="1">SUMPRODUCT((OFFSET(Process!$B$12,0,0,nSim)&lt;$B20*OFFSET(Process!$C$12,0,0,nSim))*1)/nSim</f>
        <v>0.81599999999999995</v>
      </c>
      <c r="F20" s="2">
        <f t="shared" ca="1" si="2"/>
        <v>0.18400000000000005</v>
      </c>
    </row>
    <row r="21" spans="2:6" x14ac:dyDescent="0.3">
      <c r="B21" s="3">
        <f t="shared" si="0"/>
        <v>42500</v>
      </c>
      <c r="C21" s="6">
        <f ca="1">SUMPRODUCT((OFFSET(Process!$B$12,0,0,nSim)&lt;$B21*OFFSET(Process!$E$12,0,0,nSim))*1)/nSim</f>
        <v>1</v>
      </c>
      <c r="D21" s="2">
        <f t="shared" ca="1" si="1"/>
        <v>0</v>
      </c>
      <c r="E21" s="6">
        <f ca="1">SUMPRODUCT((OFFSET(Process!$B$12,0,0,nSim)&lt;$B21*OFFSET(Process!$C$12,0,0,nSim))*1)/nSim</f>
        <v>0.83199999999999996</v>
      </c>
      <c r="F21" s="2">
        <f t="shared" ca="1" si="2"/>
        <v>0.16800000000000004</v>
      </c>
    </row>
    <row r="22" spans="2:6" x14ac:dyDescent="0.3">
      <c r="B22" s="3">
        <f t="shared" si="0"/>
        <v>45000</v>
      </c>
      <c r="C22" s="6">
        <f ca="1">SUMPRODUCT((OFFSET(Process!$B$12,0,0,nSim)&lt;$B22*OFFSET(Process!$E$12,0,0,nSim))*1)/nSim</f>
        <v>1</v>
      </c>
      <c r="D22" s="2">
        <f t="shared" ca="1" si="1"/>
        <v>0</v>
      </c>
      <c r="E22" s="6">
        <f ca="1">SUMPRODUCT((OFFSET(Process!$B$12,0,0,nSim)&lt;$B22*OFFSET(Process!$C$12,0,0,nSim))*1)/nSim</f>
        <v>0.84699999999999998</v>
      </c>
      <c r="F22" s="2">
        <f t="shared" ca="1" si="2"/>
        <v>0.15300000000000002</v>
      </c>
    </row>
    <row r="23" spans="2:6" x14ac:dyDescent="0.3">
      <c r="B23" s="3">
        <f t="shared" si="0"/>
        <v>47500</v>
      </c>
      <c r="C23" s="6">
        <f ca="1">SUMPRODUCT((OFFSET(Process!$B$12,0,0,nSim)&lt;$B23*OFFSET(Process!$E$12,0,0,nSim))*1)/nSim</f>
        <v>1</v>
      </c>
      <c r="D23" s="2">
        <f t="shared" ca="1" si="1"/>
        <v>0</v>
      </c>
      <c r="E23" s="6">
        <f ca="1">SUMPRODUCT((OFFSET(Process!$B$12,0,0,nSim)&lt;$B23*OFFSET(Process!$C$12,0,0,nSim))*1)/nSim</f>
        <v>0.85899999999999999</v>
      </c>
      <c r="F23" s="2">
        <f t="shared" ca="1" si="2"/>
        <v>0.14100000000000001</v>
      </c>
    </row>
    <row r="24" spans="2:6" x14ac:dyDescent="0.3">
      <c r="B24" s="3">
        <f t="shared" si="0"/>
        <v>50000</v>
      </c>
      <c r="C24" s="6">
        <f ca="1">SUMPRODUCT((OFFSET(Process!$B$12,0,0,nSim)&lt;$B24*OFFSET(Process!$E$12,0,0,nSim))*1)/nSim</f>
        <v>1</v>
      </c>
      <c r="D24" s="2">
        <f t="shared" ca="1" si="1"/>
        <v>0</v>
      </c>
      <c r="E24" s="6">
        <f ca="1">SUMPRODUCT((OFFSET(Process!$B$12,0,0,nSim)&lt;$B24*OFFSET(Process!$C$12,0,0,nSim))*1)/nSim</f>
        <v>0.872</v>
      </c>
      <c r="F24" s="2">
        <f t="shared" ca="1" si="2"/>
        <v>0.128</v>
      </c>
    </row>
    <row r="25" spans="2:6" x14ac:dyDescent="0.3">
      <c r="B25" s="3">
        <f t="shared" si="0"/>
        <v>52500</v>
      </c>
      <c r="C25" s="6">
        <f ca="1">SUMPRODUCT((OFFSET(Process!$B$12,0,0,nSim)&lt;$B25*OFFSET(Process!$E$12,0,0,nSim))*1)/nSim</f>
        <v>1</v>
      </c>
      <c r="D25" s="2">
        <f t="shared" ca="1" si="1"/>
        <v>0</v>
      </c>
      <c r="E25" s="6">
        <f ca="1">SUMPRODUCT((OFFSET(Process!$B$12,0,0,nSim)&lt;$B25*OFFSET(Process!$C$12,0,0,nSim))*1)/nSim</f>
        <v>0.88200000000000001</v>
      </c>
      <c r="F25" s="2">
        <f t="shared" ca="1" si="2"/>
        <v>0.11799999999999999</v>
      </c>
    </row>
    <row r="26" spans="2:6" x14ac:dyDescent="0.3">
      <c r="B26" s="3">
        <f t="shared" si="0"/>
        <v>55000</v>
      </c>
      <c r="C26" s="6">
        <f ca="1">SUMPRODUCT((OFFSET(Process!$B$12,0,0,nSim)&lt;$B26*OFFSET(Process!$E$12,0,0,nSim))*1)/nSim</f>
        <v>1</v>
      </c>
      <c r="D26" s="2">
        <f t="shared" ca="1" si="1"/>
        <v>0</v>
      </c>
      <c r="E26" s="6">
        <f ca="1">SUMPRODUCT((OFFSET(Process!$B$12,0,0,nSim)&lt;$B26*OFFSET(Process!$C$12,0,0,nSim))*1)/nSim</f>
        <v>0.89</v>
      </c>
      <c r="F26" s="2">
        <f t="shared" ca="1" si="2"/>
        <v>0.10999999999999999</v>
      </c>
    </row>
    <row r="27" spans="2:6" x14ac:dyDescent="0.3">
      <c r="B27" s="3">
        <f t="shared" si="0"/>
        <v>57500</v>
      </c>
      <c r="C27" s="6">
        <f ca="1">SUMPRODUCT((OFFSET(Process!$B$12,0,0,nSim)&lt;$B27*OFFSET(Process!$E$12,0,0,nSim))*1)/nSim</f>
        <v>1</v>
      </c>
      <c r="D27" s="2">
        <f t="shared" ca="1" si="1"/>
        <v>0</v>
      </c>
      <c r="E27" s="6">
        <f ca="1">SUMPRODUCT((OFFSET(Process!$B$12,0,0,nSim)&lt;$B27*OFFSET(Process!$C$12,0,0,nSim))*1)/nSim</f>
        <v>0.89800000000000002</v>
      </c>
      <c r="F27" s="2">
        <f t="shared" ca="1" si="2"/>
        <v>0.10199999999999998</v>
      </c>
    </row>
    <row r="28" spans="2:6" x14ac:dyDescent="0.3">
      <c r="B28" s="3">
        <f t="shared" si="0"/>
        <v>60000</v>
      </c>
      <c r="C28" s="6">
        <f ca="1">SUMPRODUCT((OFFSET(Process!$B$12,0,0,nSim)&lt;$B28*OFFSET(Process!$E$12,0,0,nSim))*1)/nSim</f>
        <v>1</v>
      </c>
      <c r="D28" s="2">
        <f t="shared" ca="1" si="1"/>
        <v>0</v>
      </c>
      <c r="E28" s="6">
        <f ca="1">SUMPRODUCT((OFFSET(Process!$B$12,0,0,nSim)&lt;$B28*OFFSET(Process!$C$12,0,0,nSim))*1)/nSim</f>
        <v>0.90800000000000003</v>
      </c>
      <c r="F28" s="2">
        <f t="shared" ca="1" si="2"/>
        <v>9.1999999999999971E-2</v>
      </c>
    </row>
    <row r="29" spans="2:6" x14ac:dyDescent="0.3">
      <c r="B29" s="3">
        <f t="shared" si="0"/>
        <v>62500</v>
      </c>
      <c r="C29" s="6">
        <f ca="1">SUMPRODUCT((OFFSET(Process!$B$12,0,0,nSim)&lt;$B29*OFFSET(Process!$E$12,0,0,nSim))*1)/nSim</f>
        <v>1</v>
      </c>
      <c r="D29" s="2">
        <f t="shared" ca="1" si="1"/>
        <v>0</v>
      </c>
      <c r="E29" s="6">
        <f ca="1">SUMPRODUCT((OFFSET(Process!$B$12,0,0,nSim)&lt;$B29*OFFSET(Process!$C$12,0,0,nSim))*1)/nSim</f>
        <v>0.91400000000000003</v>
      </c>
      <c r="F29" s="2">
        <f t="shared" ca="1" si="2"/>
        <v>8.5999999999999965E-2</v>
      </c>
    </row>
    <row r="30" spans="2:6" x14ac:dyDescent="0.3">
      <c r="B30" s="3">
        <f t="shared" si="0"/>
        <v>65000</v>
      </c>
      <c r="C30" s="6">
        <f ca="1">SUMPRODUCT((OFFSET(Process!$B$12,0,0,nSim)&lt;$B30*OFFSET(Process!$E$12,0,0,nSim))*1)/nSim</f>
        <v>1</v>
      </c>
      <c r="D30" s="2">
        <f t="shared" ca="1" si="1"/>
        <v>0</v>
      </c>
      <c r="E30" s="6">
        <f ca="1">SUMPRODUCT((OFFSET(Process!$B$12,0,0,nSim)&lt;$B30*OFFSET(Process!$C$12,0,0,nSim))*1)/nSim</f>
        <v>0.91700000000000004</v>
      </c>
      <c r="F30" s="2">
        <f t="shared" ca="1" si="2"/>
        <v>8.2999999999999963E-2</v>
      </c>
    </row>
    <row r="31" spans="2:6" x14ac:dyDescent="0.3">
      <c r="B31" s="3">
        <f t="shared" si="0"/>
        <v>67500</v>
      </c>
      <c r="C31" s="6">
        <f ca="1">SUMPRODUCT((OFFSET(Process!$B$12,0,0,nSim)&lt;$B31*OFFSET(Process!$E$12,0,0,nSim))*1)/nSim</f>
        <v>1</v>
      </c>
      <c r="D31" s="2">
        <f t="shared" ca="1" si="1"/>
        <v>0</v>
      </c>
      <c r="E31" s="6">
        <f ca="1">SUMPRODUCT((OFFSET(Process!$B$12,0,0,nSim)&lt;$B31*OFFSET(Process!$C$12,0,0,nSim))*1)/nSim</f>
        <v>0.92700000000000005</v>
      </c>
      <c r="F31" s="2">
        <f t="shared" ca="1" si="2"/>
        <v>7.2999999999999954E-2</v>
      </c>
    </row>
    <row r="32" spans="2:6" x14ac:dyDescent="0.3">
      <c r="B32" s="3">
        <f t="shared" si="0"/>
        <v>70000</v>
      </c>
      <c r="C32" s="6">
        <f ca="1">SUMPRODUCT((OFFSET(Process!$B$12,0,0,nSim)&lt;$B32*OFFSET(Process!$E$12,0,0,nSim))*1)/nSim</f>
        <v>1</v>
      </c>
      <c r="D32" s="2">
        <f t="shared" ca="1" si="1"/>
        <v>0</v>
      </c>
      <c r="E32" s="6">
        <f ca="1">SUMPRODUCT((OFFSET(Process!$B$12,0,0,nSim)&lt;$B32*OFFSET(Process!$C$12,0,0,nSim))*1)/nSim</f>
        <v>0.93100000000000005</v>
      </c>
      <c r="F32" s="2">
        <f t="shared" ca="1" si="2"/>
        <v>6.899999999999995E-2</v>
      </c>
    </row>
    <row r="33" spans="2:6" x14ac:dyDescent="0.3">
      <c r="B33" s="3">
        <f t="shared" si="0"/>
        <v>72500</v>
      </c>
      <c r="C33" s="6">
        <f ca="1">SUMPRODUCT((OFFSET(Process!$B$12,0,0,nSim)&lt;$B33*OFFSET(Process!$E$12,0,0,nSim))*1)/nSim</f>
        <v>1</v>
      </c>
      <c r="D33" s="2">
        <f t="shared" ca="1" si="1"/>
        <v>0</v>
      </c>
      <c r="E33" s="6">
        <f ca="1">SUMPRODUCT((OFFSET(Process!$B$12,0,0,nSim)&lt;$B33*OFFSET(Process!$C$12,0,0,nSim))*1)/nSim</f>
        <v>0.93700000000000006</v>
      </c>
      <c r="F33" s="2">
        <f t="shared" ca="1" si="2"/>
        <v>6.2999999999999945E-2</v>
      </c>
    </row>
    <row r="34" spans="2:6" x14ac:dyDescent="0.3">
      <c r="B34" s="3">
        <f t="shared" si="0"/>
        <v>75000</v>
      </c>
      <c r="C34" s="6">
        <f ca="1">SUMPRODUCT((OFFSET(Process!$B$12,0,0,nSim)&lt;$B34*OFFSET(Process!$E$12,0,0,nSim))*1)/nSim</f>
        <v>1</v>
      </c>
      <c r="D34" s="2">
        <f t="shared" ca="1" si="1"/>
        <v>0</v>
      </c>
      <c r="E34" s="6">
        <f ca="1">SUMPRODUCT((OFFSET(Process!$B$12,0,0,nSim)&lt;$B34*OFFSET(Process!$C$12,0,0,nSim))*1)/nSim</f>
        <v>0.93899999999999995</v>
      </c>
      <c r="F34" s="2">
        <f t="shared" ca="1" si="2"/>
        <v>6.1000000000000054E-2</v>
      </c>
    </row>
    <row r="35" spans="2:6" x14ac:dyDescent="0.3">
      <c r="B35" s="3">
        <f t="shared" si="0"/>
        <v>77500</v>
      </c>
      <c r="C35" s="6">
        <f ca="1">SUMPRODUCT((OFFSET(Process!$B$12,0,0,nSim)&lt;$B35*OFFSET(Process!$E$12,0,0,nSim))*1)/nSim</f>
        <v>1</v>
      </c>
      <c r="D35" s="2">
        <f t="shared" ca="1" si="1"/>
        <v>0</v>
      </c>
      <c r="E35" s="6">
        <f ca="1">SUMPRODUCT((OFFSET(Process!$B$12,0,0,nSim)&lt;$B35*OFFSET(Process!$C$12,0,0,nSim))*1)/nSim</f>
        <v>0.94399999999999995</v>
      </c>
      <c r="F35" s="2">
        <f t="shared" ca="1" si="2"/>
        <v>5.600000000000005E-2</v>
      </c>
    </row>
    <row r="36" spans="2:6" x14ac:dyDescent="0.3">
      <c r="B36" s="3">
        <f t="shared" si="0"/>
        <v>80000</v>
      </c>
      <c r="C36" s="6">
        <f ca="1">SUMPRODUCT((OFFSET(Process!$B$12,0,0,nSim)&lt;$B36*OFFSET(Process!$E$12,0,0,nSim))*1)/nSim</f>
        <v>1</v>
      </c>
      <c r="D36" s="2">
        <f t="shared" ca="1" si="1"/>
        <v>0</v>
      </c>
      <c r="E36" s="6">
        <f ca="1">SUMPRODUCT((OFFSET(Process!$B$12,0,0,nSim)&lt;$B36*OFFSET(Process!$C$12,0,0,nSim))*1)/nSim</f>
        <v>0.94599999999999995</v>
      </c>
      <c r="F36" s="2">
        <f t="shared" ca="1" si="2"/>
        <v>5.4000000000000048E-2</v>
      </c>
    </row>
    <row r="37" spans="2:6" x14ac:dyDescent="0.3">
      <c r="B37" s="3">
        <f t="shared" ref="B37:B55" si="3">B36+thresholdGap</f>
        <v>82500</v>
      </c>
      <c r="C37" s="6">
        <f ca="1">SUMPRODUCT((OFFSET(Process!$B$12,0,0,nSim)&lt;$B37*OFFSET(Process!$E$12,0,0,nSim))*1)/nSim</f>
        <v>1</v>
      </c>
      <c r="D37" s="2">
        <f t="shared" ca="1" si="1"/>
        <v>0</v>
      </c>
      <c r="E37" s="6">
        <f ca="1">SUMPRODUCT((OFFSET(Process!$B$12,0,0,nSim)&lt;$B37*OFFSET(Process!$C$12,0,0,nSim))*1)/nSim</f>
        <v>0.94899999999999995</v>
      </c>
      <c r="F37" s="2">
        <f t="shared" ca="1" si="2"/>
        <v>5.1000000000000045E-2</v>
      </c>
    </row>
    <row r="38" spans="2:6" x14ac:dyDescent="0.3">
      <c r="B38" s="3">
        <f t="shared" si="3"/>
        <v>85000</v>
      </c>
      <c r="C38" s="6">
        <f ca="1">SUMPRODUCT((OFFSET(Process!$B$12,0,0,nSim)&lt;$B38*OFFSET(Process!$E$12,0,0,nSim))*1)/nSim</f>
        <v>1</v>
      </c>
      <c r="D38" s="2">
        <f t="shared" ca="1" si="1"/>
        <v>0</v>
      </c>
      <c r="E38" s="6">
        <f ca="1">SUMPRODUCT((OFFSET(Process!$B$12,0,0,nSim)&lt;$B38*OFFSET(Process!$C$12,0,0,nSim))*1)/nSim</f>
        <v>0.95</v>
      </c>
      <c r="F38" s="2">
        <f t="shared" ca="1" si="2"/>
        <v>5.0000000000000044E-2</v>
      </c>
    </row>
    <row r="39" spans="2:6" x14ac:dyDescent="0.3">
      <c r="B39" s="3">
        <f t="shared" si="3"/>
        <v>87500</v>
      </c>
      <c r="C39" s="6">
        <f ca="1">SUMPRODUCT((OFFSET(Process!$B$12,0,0,nSim)&lt;$B39*OFFSET(Process!$E$12,0,0,nSim))*1)/nSim</f>
        <v>1</v>
      </c>
      <c r="D39" s="2">
        <f t="shared" ca="1" si="1"/>
        <v>0</v>
      </c>
      <c r="E39" s="6">
        <f ca="1">SUMPRODUCT((OFFSET(Process!$B$12,0,0,nSim)&lt;$B39*OFFSET(Process!$C$12,0,0,nSim))*1)/nSim</f>
        <v>0.95199999999999996</v>
      </c>
      <c r="F39" s="2">
        <f t="shared" ca="1" si="2"/>
        <v>4.8000000000000043E-2</v>
      </c>
    </row>
    <row r="40" spans="2:6" x14ac:dyDescent="0.3">
      <c r="B40" s="3">
        <f t="shared" si="3"/>
        <v>90000</v>
      </c>
      <c r="C40" s="6">
        <f ca="1">SUMPRODUCT((OFFSET(Process!$B$12,0,0,nSim)&lt;$B40*OFFSET(Process!$E$12,0,0,nSim))*1)/nSim</f>
        <v>1</v>
      </c>
      <c r="D40" s="2">
        <f t="shared" ca="1" si="1"/>
        <v>0</v>
      </c>
      <c r="E40" s="6">
        <f ca="1">SUMPRODUCT((OFFSET(Process!$B$12,0,0,nSim)&lt;$B40*OFFSET(Process!$C$12,0,0,nSim))*1)/nSim</f>
        <v>0.95399999999999996</v>
      </c>
      <c r="F40" s="2">
        <f t="shared" ca="1" si="2"/>
        <v>4.6000000000000041E-2</v>
      </c>
    </row>
    <row r="41" spans="2:6" x14ac:dyDescent="0.3">
      <c r="B41" s="3">
        <f t="shared" si="3"/>
        <v>92500</v>
      </c>
      <c r="C41" s="6">
        <f ca="1">SUMPRODUCT((OFFSET(Process!$B$12,0,0,nSim)&lt;$B41*OFFSET(Process!$E$12,0,0,nSim))*1)/nSim</f>
        <v>1</v>
      </c>
      <c r="D41" s="2">
        <f t="shared" ca="1" si="1"/>
        <v>0</v>
      </c>
      <c r="E41" s="6">
        <f ca="1">SUMPRODUCT((OFFSET(Process!$B$12,0,0,nSim)&lt;$B41*OFFSET(Process!$C$12,0,0,nSim))*1)/nSim</f>
        <v>0.95899999999999996</v>
      </c>
      <c r="F41" s="2">
        <f t="shared" ca="1" si="2"/>
        <v>4.1000000000000036E-2</v>
      </c>
    </row>
    <row r="42" spans="2:6" x14ac:dyDescent="0.3">
      <c r="B42" s="3">
        <f t="shared" si="3"/>
        <v>95000</v>
      </c>
      <c r="C42" s="6">
        <f ca="1">SUMPRODUCT((OFFSET(Process!$B$12,0,0,nSim)&lt;$B42*OFFSET(Process!$E$12,0,0,nSim))*1)/nSim</f>
        <v>1</v>
      </c>
      <c r="D42" s="2">
        <f t="shared" ca="1" si="1"/>
        <v>0</v>
      </c>
      <c r="E42" s="6">
        <f ca="1">SUMPRODUCT((OFFSET(Process!$B$12,0,0,nSim)&lt;$B42*OFFSET(Process!$C$12,0,0,nSim))*1)/nSim</f>
        <v>0.96</v>
      </c>
      <c r="F42" s="2">
        <f t="shared" ca="1" si="2"/>
        <v>4.0000000000000036E-2</v>
      </c>
    </row>
    <row r="43" spans="2:6" x14ac:dyDescent="0.3">
      <c r="B43" s="3">
        <f t="shared" si="3"/>
        <v>97500</v>
      </c>
      <c r="C43" s="6">
        <f ca="1">SUMPRODUCT((OFFSET(Process!$B$12,0,0,nSim)&lt;$B43*OFFSET(Process!$E$12,0,0,nSim))*1)/nSim</f>
        <v>1</v>
      </c>
      <c r="D43" s="2">
        <f t="shared" ca="1" si="1"/>
        <v>0</v>
      </c>
      <c r="E43" s="6">
        <f ca="1">SUMPRODUCT((OFFSET(Process!$B$12,0,0,nSim)&lt;$B43*OFFSET(Process!$C$12,0,0,nSim))*1)/nSim</f>
        <v>0.96099999999999997</v>
      </c>
      <c r="F43" s="2">
        <f t="shared" ca="1" si="2"/>
        <v>3.9000000000000035E-2</v>
      </c>
    </row>
    <row r="44" spans="2:6" x14ac:dyDescent="0.3">
      <c r="B44" s="3">
        <f t="shared" si="3"/>
        <v>100000</v>
      </c>
      <c r="C44" s="6">
        <f ca="1">SUMPRODUCT((OFFSET(Process!$B$12,0,0,nSim)&lt;$B44*OFFSET(Process!$E$12,0,0,nSim))*1)/nSim</f>
        <v>1</v>
      </c>
      <c r="D44" s="2">
        <f t="shared" ca="1" si="1"/>
        <v>0</v>
      </c>
      <c r="E44" s="6">
        <f ca="1">SUMPRODUCT((OFFSET(Process!$B$12,0,0,nSim)&lt;$B44*OFFSET(Process!$C$12,0,0,nSim))*1)/nSim</f>
        <v>0.96399999999999997</v>
      </c>
      <c r="F44" s="2">
        <f t="shared" ca="1" si="2"/>
        <v>3.6000000000000032E-2</v>
      </c>
    </row>
    <row r="45" spans="2:6" x14ac:dyDescent="0.3">
      <c r="B45" s="3">
        <f t="shared" si="3"/>
        <v>102500</v>
      </c>
      <c r="C45" s="6">
        <f ca="1">SUMPRODUCT((OFFSET(Process!$B$12,0,0,nSim)&lt;$B45*OFFSET(Process!$E$12,0,0,nSim))*1)/nSim</f>
        <v>1</v>
      </c>
      <c r="D45" s="2">
        <f t="shared" ref="D45:D55" ca="1" si="4">1-C45</f>
        <v>0</v>
      </c>
      <c r="E45" s="6">
        <f ca="1">SUMPRODUCT((OFFSET(Process!$B$12,0,0,nSim)&lt;$B45*OFFSET(Process!$C$12,0,0,nSim))*1)/nSim</f>
        <v>0.96399999999999997</v>
      </c>
      <c r="F45" s="2">
        <f t="shared" ca="1" si="2"/>
        <v>3.6000000000000032E-2</v>
      </c>
    </row>
    <row r="46" spans="2:6" x14ac:dyDescent="0.3">
      <c r="B46" s="3">
        <f t="shared" si="3"/>
        <v>105000</v>
      </c>
      <c r="C46" s="6">
        <f ca="1">SUMPRODUCT((OFFSET(Process!$B$12,0,0,nSim)&lt;$B46*OFFSET(Process!$E$12,0,0,nSim))*1)/nSim</f>
        <v>1</v>
      </c>
      <c r="D46" s="2">
        <f t="shared" ca="1" si="4"/>
        <v>0</v>
      </c>
      <c r="E46" s="6">
        <f ca="1">SUMPRODUCT((OFFSET(Process!$B$12,0,0,nSim)&lt;$B46*OFFSET(Process!$C$12,0,0,nSim))*1)/nSim</f>
        <v>0.96599999999999997</v>
      </c>
      <c r="F46" s="2">
        <f t="shared" ca="1" si="2"/>
        <v>3.400000000000003E-2</v>
      </c>
    </row>
    <row r="47" spans="2:6" x14ac:dyDescent="0.3">
      <c r="B47" s="3">
        <f t="shared" si="3"/>
        <v>107500</v>
      </c>
      <c r="C47" s="6">
        <f ca="1">SUMPRODUCT((OFFSET(Process!$B$12,0,0,nSim)&lt;$B47*OFFSET(Process!$E$12,0,0,nSim))*1)/nSim</f>
        <v>1</v>
      </c>
      <c r="D47" s="2">
        <f t="shared" ca="1" si="4"/>
        <v>0</v>
      </c>
      <c r="E47" s="6">
        <f ca="1">SUMPRODUCT((OFFSET(Process!$B$12,0,0,nSim)&lt;$B47*OFFSET(Process!$C$12,0,0,nSim))*1)/nSim</f>
        <v>0.96899999999999997</v>
      </c>
      <c r="F47" s="2">
        <f t="shared" ca="1" si="2"/>
        <v>3.1000000000000028E-2</v>
      </c>
    </row>
    <row r="48" spans="2:6" x14ac:dyDescent="0.3">
      <c r="B48" s="3">
        <f t="shared" si="3"/>
        <v>110000</v>
      </c>
      <c r="C48" s="6">
        <f ca="1">SUMPRODUCT((OFFSET(Process!$B$12,0,0,nSim)&lt;$B48*OFFSET(Process!$E$12,0,0,nSim))*1)/nSim</f>
        <v>1</v>
      </c>
      <c r="D48" s="2">
        <f t="shared" ca="1" si="4"/>
        <v>0</v>
      </c>
      <c r="E48" s="6">
        <f ca="1">SUMPRODUCT((OFFSET(Process!$B$12,0,0,nSim)&lt;$B48*OFFSET(Process!$C$12,0,0,nSim))*1)/nSim</f>
        <v>0.97099999999999997</v>
      </c>
      <c r="F48" s="2">
        <f t="shared" ca="1" si="2"/>
        <v>2.9000000000000026E-2</v>
      </c>
    </row>
    <row r="49" spans="2:6" x14ac:dyDescent="0.3">
      <c r="B49" s="3">
        <f t="shared" si="3"/>
        <v>112500</v>
      </c>
      <c r="C49" s="6">
        <f ca="1">SUMPRODUCT((OFFSET(Process!$B$12,0,0,nSim)&lt;$B49*OFFSET(Process!$E$12,0,0,nSim))*1)/nSim</f>
        <v>1</v>
      </c>
      <c r="D49" s="2">
        <f t="shared" ca="1" si="4"/>
        <v>0</v>
      </c>
      <c r="E49" s="6">
        <f ca="1">SUMPRODUCT((OFFSET(Process!$B$12,0,0,nSim)&lt;$B49*OFFSET(Process!$C$12,0,0,nSim))*1)/nSim</f>
        <v>0.97199999999999998</v>
      </c>
      <c r="F49" s="2">
        <f t="shared" ca="1" si="2"/>
        <v>2.8000000000000025E-2</v>
      </c>
    </row>
    <row r="50" spans="2:6" x14ac:dyDescent="0.3">
      <c r="B50" s="3">
        <f t="shared" si="3"/>
        <v>115000</v>
      </c>
      <c r="C50" s="6">
        <f ca="1">SUMPRODUCT((OFFSET(Process!$B$12,0,0,nSim)&lt;$B50*OFFSET(Process!$E$12,0,0,nSim))*1)/nSim</f>
        <v>1</v>
      </c>
      <c r="D50" s="2">
        <f t="shared" ca="1" si="4"/>
        <v>0</v>
      </c>
      <c r="E50" s="6">
        <f ca="1">SUMPRODUCT((OFFSET(Process!$B$12,0,0,nSim)&lt;$B50*OFFSET(Process!$C$12,0,0,nSim))*1)/nSim</f>
        <v>0.97399999999999998</v>
      </c>
      <c r="F50" s="2">
        <f t="shared" ca="1" si="2"/>
        <v>2.6000000000000023E-2</v>
      </c>
    </row>
    <row r="51" spans="2:6" x14ac:dyDescent="0.3">
      <c r="B51" s="3">
        <f t="shared" si="3"/>
        <v>117500</v>
      </c>
      <c r="C51" s="6">
        <f ca="1">SUMPRODUCT((OFFSET(Process!$B$12,0,0,nSim)&lt;$B51*OFFSET(Process!$E$12,0,0,nSim))*1)/nSim</f>
        <v>1</v>
      </c>
      <c r="D51" s="2">
        <f t="shared" ca="1" si="4"/>
        <v>0</v>
      </c>
      <c r="E51" s="6">
        <f ca="1">SUMPRODUCT((OFFSET(Process!$B$12,0,0,nSim)&lt;$B51*OFFSET(Process!$C$12,0,0,nSim))*1)/nSim</f>
        <v>0.97599999999999998</v>
      </c>
      <c r="F51" s="2">
        <f t="shared" ca="1" si="2"/>
        <v>2.4000000000000021E-2</v>
      </c>
    </row>
    <row r="52" spans="2:6" x14ac:dyDescent="0.3">
      <c r="B52" s="3">
        <f t="shared" si="3"/>
        <v>120000</v>
      </c>
      <c r="C52" s="6">
        <f ca="1">SUMPRODUCT((OFFSET(Process!$B$12,0,0,nSim)&lt;$B52*OFFSET(Process!$E$12,0,0,nSim))*1)/nSim</f>
        <v>1</v>
      </c>
      <c r="D52" s="2">
        <f t="shared" ca="1" si="4"/>
        <v>0</v>
      </c>
      <c r="E52" s="6">
        <f ca="1">SUMPRODUCT((OFFSET(Process!$B$12,0,0,nSim)&lt;$B52*OFFSET(Process!$C$12,0,0,nSim))*1)/nSim</f>
        <v>0.97799999999999998</v>
      </c>
      <c r="F52" s="2">
        <f t="shared" ca="1" si="2"/>
        <v>2.200000000000002E-2</v>
      </c>
    </row>
    <row r="53" spans="2:6" x14ac:dyDescent="0.3">
      <c r="B53" s="3">
        <f t="shared" si="3"/>
        <v>122500</v>
      </c>
      <c r="C53" s="6">
        <f ca="1">SUMPRODUCT((OFFSET(Process!$B$12,0,0,nSim)&lt;$B53*OFFSET(Process!$E$12,0,0,nSim))*1)/nSim</f>
        <v>1</v>
      </c>
      <c r="D53" s="2">
        <f t="shared" ca="1" si="4"/>
        <v>0</v>
      </c>
      <c r="E53" s="6">
        <f ca="1">SUMPRODUCT((OFFSET(Process!$B$12,0,0,nSim)&lt;$B53*OFFSET(Process!$C$12,0,0,nSim))*1)/nSim</f>
        <v>0.98099999999999998</v>
      </c>
      <c r="F53" s="2">
        <f t="shared" ca="1" si="2"/>
        <v>1.9000000000000017E-2</v>
      </c>
    </row>
    <row r="54" spans="2:6" x14ac:dyDescent="0.3">
      <c r="B54" s="3">
        <f t="shared" si="3"/>
        <v>125000</v>
      </c>
      <c r="C54" s="6">
        <f ca="1">SUMPRODUCT((OFFSET(Process!$B$12,0,0,nSim)&lt;$B54*OFFSET(Process!$E$12,0,0,nSim))*1)/nSim</f>
        <v>1</v>
      </c>
      <c r="D54" s="2">
        <f t="shared" ca="1" si="4"/>
        <v>0</v>
      </c>
      <c r="E54" s="6">
        <f ca="1">SUMPRODUCT((OFFSET(Process!$B$12,0,0,nSim)&lt;$B54*OFFSET(Process!$C$12,0,0,nSim))*1)/nSim</f>
        <v>0.98099999999999998</v>
      </c>
      <c r="F54" s="2">
        <f t="shared" ca="1" si="2"/>
        <v>1.9000000000000017E-2</v>
      </c>
    </row>
    <row r="55" spans="2:6" x14ac:dyDescent="0.3">
      <c r="B55" s="3">
        <f t="shared" si="3"/>
        <v>127500</v>
      </c>
      <c r="C55" s="6">
        <f ca="1">SUMPRODUCT((OFFSET(Process!$B$12,0,0,nSim)&lt;$B55*OFFSET(Process!$E$12,0,0,nSim))*1)/nSim</f>
        <v>1</v>
      </c>
      <c r="D55" s="2">
        <f t="shared" ca="1" si="4"/>
        <v>0</v>
      </c>
      <c r="E55" s="6">
        <f ca="1">SUMPRODUCT((OFFSET(Process!$B$12,0,0,nSim)&lt;$B55*OFFSET(Process!$C$12,0,0,nSim))*1)/nSim</f>
        <v>0.98299999999999998</v>
      </c>
      <c r="F55" s="2">
        <f t="shared" ca="1" si="2"/>
        <v>1.7000000000000015E-2</v>
      </c>
    </row>
  </sheetData>
  <mergeCells count="1">
    <mergeCell ref="B2:B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VEIP">
    <tabColor theme="6" tint="-0.249977111117893"/>
  </sheetPr>
  <dimension ref="B2:R10006"/>
  <sheetViews>
    <sheetView zoomScale="85" zoomScaleNormal="85" workbookViewId="0">
      <selection activeCell="B6" sqref="B6"/>
    </sheetView>
  </sheetViews>
  <sheetFormatPr baseColWidth="10" defaultColWidth="11.5546875" defaultRowHeight="14.4" x14ac:dyDescent="0.3"/>
  <cols>
    <col min="1" max="1" width="2.5546875" style="2" customWidth="1"/>
    <col min="2" max="2" width="18.6640625" style="2" bestFit="1" customWidth="1"/>
    <col min="3" max="3" width="12" style="2" bestFit="1" customWidth="1"/>
    <col min="4" max="4" width="14.109375" style="2" bestFit="1" customWidth="1"/>
    <col min="5" max="5" width="12" style="2" bestFit="1" customWidth="1"/>
    <col min="6" max="8" width="12" style="2" customWidth="1"/>
    <col min="9" max="9" width="3.109375" style="2" customWidth="1"/>
    <col min="10" max="16384" width="11.5546875" style="2"/>
  </cols>
  <sheetData>
    <row r="2" spans="2:18" x14ac:dyDescent="0.3">
      <c r="B2" s="5" t="str">
        <f>Localization!$B$25</f>
        <v>Reference threshold</v>
      </c>
      <c r="C2" s="6">
        <v>100000</v>
      </c>
    </row>
    <row r="4" spans="2:18" x14ac:dyDescent="0.3">
      <c r="C4" s="5"/>
      <c r="D4" s="5" t="str">
        <f>unitQALE</f>
        <v>QALY</v>
      </c>
      <c r="E4" s="5"/>
      <c r="F4" s="5"/>
      <c r="G4" s="5" t="str">
        <f>unitLE</f>
        <v>LY</v>
      </c>
      <c r="H4" s="5"/>
      <c r="K4" s="5"/>
      <c r="L4" s="5" t="str">
        <f>unitQALE</f>
        <v>QALY</v>
      </c>
      <c r="M4" s="5"/>
      <c r="N4" s="5"/>
      <c r="O4" s="5" t="str">
        <f>unitLE</f>
        <v>LY</v>
      </c>
      <c r="P4" s="5"/>
    </row>
    <row r="5" spans="2:18" x14ac:dyDescent="0.3">
      <c r="C5" s="5" t="str">
        <f>Localization!$B$26 &amp; " " &amp; intervention1</f>
        <v>NB A</v>
      </c>
      <c r="D5" s="5" t="str">
        <f>Localization!$B$26 &amp; " " &amp; intervention2</f>
        <v>NB B</v>
      </c>
      <c r="E5" s="5" t="str">
        <f>"MAX " &amp; Localization!$B$26</f>
        <v>MAX NB</v>
      </c>
      <c r="F5" s="5" t="str">
        <f>Localization!$B$26 &amp; " " &amp; intervention1</f>
        <v>NB A</v>
      </c>
      <c r="G5" s="5" t="str">
        <f>Localization!$B$26 &amp; " " &amp; intervention2</f>
        <v>NB B</v>
      </c>
      <c r="H5" s="5" t="str">
        <f>"MAX " &amp; Localization!$B$26</f>
        <v>MAX NB</v>
      </c>
      <c r="J5" s="5" t="str">
        <f>Localization!$B$24</f>
        <v>Threshold</v>
      </c>
      <c r="K5" s="5" t="str">
        <f>Localization!$B$26 &amp; " " &amp; intervention1</f>
        <v>NB A</v>
      </c>
      <c r="L5" s="5" t="str">
        <f>Localization!$B$26 &amp; " " &amp; intervention2</f>
        <v>NB B</v>
      </c>
      <c r="M5" s="5" t="str">
        <f>"MAX " &amp; Localization!$B$26</f>
        <v>MAX NB</v>
      </c>
      <c r="N5" s="5" t="str">
        <f>Localization!$B$26 &amp; " " &amp; intervention1</f>
        <v>NB A</v>
      </c>
      <c r="O5" s="5" t="str">
        <f>Localization!$B$26 &amp; " " &amp; intervention2</f>
        <v>NB B</v>
      </c>
      <c r="P5" s="5" t="str">
        <f>"MAX " &amp; Localization!$B$26</f>
        <v>MAX NB</v>
      </c>
      <c r="Q5" s="5" t="str">
        <f>Localization!$B$9&amp;" "&amp;unitQALE</f>
        <v>EVPI (€) QALY</v>
      </c>
      <c r="R5" s="5" t="str">
        <f>Localization!$B$9&amp;" "&amp;unitLE</f>
        <v>EVPI (€) LY</v>
      </c>
    </row>
    <row r="6" spans="2:18" x14ac:dyDescent="0.3">
      <c r="B6" s="5" t="str">
        <f>Localization!$B$53</f>
        <v>Average</v>
      </c>
      <c r="C6" s="6">
        <f t="shared" ref="C6:H6" ca="1" si="0">AVERAGE(OFFSET(C$7,0,0,nSim))</f>
        <v>3095809.1989774411</v>
      </c>
      <c r="D6" s="6">
        <f t="shared" ca="1" si="0"/>
        <v>3095802.8957749596</v>
      </c>
      <c r="E6" s="6">
        <f t="shared" ca="1" si="0"/>
        <v>3095809.1989774411</v>
      </c>
      <c r="F6" s="6">
        <f t="shared" ca="1" si="0"/>
        <v>3095809.3668301688</v>
      </c>
      <c r="G6" s="6">
        <f t="shared" ca="1" si="0"/>
        <v>3095805.2419804777</v>
      </c>
      <c r="H6" s="6">
        <f t="shared" ca="1" si="0"/>
        <v>3095809.3729397971</v>
      </c>
      <c r="J6" s="6">
        <v>0</v>
      </c>
      <c r="K6">
        <v>-0.65539027292716223</v>
      </c>
      <c r="L6">
        <v>-0.14018473019866709</v>
      </c>
      <c r="M6">
        <v>-0.14018473019866709</v>
      </c>
      <c r="N6">
        <v>-0.65539027292716223</v>
      </c>
      <c r="O6">
        <v>-0.14018473019866709</v>
      </c>
      <c r="P6">
        <v>-0.14018473019866709</v>
      </c>
      <c r="Q6" s="6">
        <f t="shared" ref="Q6:Q46" si="1">($M6-MAX($K6,$L6))*popEVPI*incEVPI</f>
        <v>0</v>
      </c>
      <c r="R6" s="6">
        <f t="shared" ref="R6:R46" si="2">($P6-MAX($N6,$O6))*popEVPI*incEVPI</f>
        <v>0</v>
      </c>
    </row>
    <row r="7" spans="2:18" x14ac:dyDescent="0.3">
      <c r="C7">
        <f>Process!$I12*ref_umbral-Process!$G12</f>
        <v>3095809.2276621647</v>
      </c>
      <c r="D7">
        <f>Process!$L12*ref_umbral-Process!$J12</f>
        <v>3095798.5596462018</v>
      </c>
      <c r="E7">
        <f t="shared" ref="E7:E70" si="3">MAX(C7,D7)</f>
        <v>3095809.2276621647</v>
      </c>
      <c r="F7">
        <f>Process!$H12*ref_umbral-Process!$G12</f>
        <v>3095809.2779032597</v>
      </c>
      <c r="G7">
        <f>Process!$K12*ref_umbral-Process!$J12</f>
        <v>3095799.6418462046</v>
      </c>
      <c r="H7">
        <f t="shared" ref="H7:H70" si="4">MAX(F7,G7)</f>
        <v>3095809.2779032597</v>
      </c>
      <c r="J7" s="6">
        <f t="shared" ref="J7:J46" si="5">J6+thresholdGap</f>
        <v>2500</v>
      </c>
      <c r="K7">
        <v>77394.590968919932</v>
      </c>
      <c r="L7">
        <v>77394.935714262145</v>
      </c>
      <c r="M7">
        <v>77394.942452070274</v>
      </c>
      <c r="N7">
        <v>77394.595165238061</v>
      </c>
      <c r="O7">
        <v>77394.994369399952</v>
      </c>
      <c r="P7">
        <v>77394.99849599594</v>
      </c>
      <c r="Q7" s="6">
        <f t="shared" si="1"/>
        <v>3036.7570751535241</v>
      </c>
      <c r="R7" s="6">
        <f t="shared" si="2"/>
        <v>1859.8733182002325</v>
      </c>
    </row>
    <row r="8" spans="2:18" x14ac:dyDescent="0.3">
      <c r="C8">
        <f>Process!$I13*ref_umbral-Process!$G13</f>
        <v>3095808.9391847393</v>
      </c>
      <c r="D8">
        <f>Process!$L13*ref_umbral-Process!$J13</f>
        <v>3095801.9601687994</v>
      </c>
      <c r="E8">
        <f t="shared" si="3"/>
        <v>3095808.9391847393</v>
      </c>
      <c r="F8">
        <f>Process!$H13*ref_umbral-Process!$G13</f>
        <v>3095809.2518754723</v>
      </c>
      <c r="G8">
        <f>Process!$K13*ref_umbral-Process!$J13</f>
        <v>3095805.0658619949</v>
      </c>
      <c r="H8">
        <f t="shared" si="4"/>
        <v>3095809.2518754723</v>
      </c>
      <c r="J8" s="6">
        <f t="shared" si="5"/>
        <v>5000</v>
      </c>
      <c r="K8">
        <v>154789.83732811254</v>
      </c>
      <c r="L8">
        <v>154790.01161325446</v>
      </c>
      <c r="M8">
        <v>154790.06593548931</v>
      </c>
      <c r="N8">
        <v>154789.84572074906</v>
      </c>
      <c r="O8">
        <v>154790.12892353017</v>
      </c>
      <c r="P8">
        <v>154790.16723700822</v>
      </c>
      <c r="Q8" s="6">
        <f t="shared" si="1"/>
        <v>24483.248535689432</v>
      </c>
      <c r="R8" s="6">
        <f t="shared" si="2"/>
        <v>17268.037814115174</v>
      </c>
    </row>
    <row r="9" spans="2:18" x14ac:dyDescent="0.3">
      <c r="C9">
        <f>Process!$I14*ref_umbral-Process!$G14</f>
        <v>3095808.6487532202</v>
      </c>
      <c r="D9">
        <f>Process!$L14*ref_umbral-Process!$J14</f>
        <v>3095806.9850837407</v>
      </c>
      <c r="E9">
        <f t="shared" si="3"/>
        <v>3095808.6487532202</v>
      </c>
      <c r="F9">
        <f>Process!$H14*ref_umbral-Process!$G14</f>
        <v>3095809.2062941813</v>
      </c>
      <c r="G9">
        <f>Process!$K14*ref_umbral-Process!$J14</f>
        <v>3095808.4886071524</v>
      </c>
      <c r="H9">
        <f t="shared" si="4"/>
        <v>3095809.2062941813</v>
      </c>
      <c r="J9" s="6">
        <f t="shared" si="5"/>
        <v>7500</v>
      </c>
      <c r="K9">
        <v>232185.0836873058</v>
      </c>
      <c r="L9">
        <v>232185.08751224645</v>
      </c>
      <c r="M9">
        <v>232185.2267713185</v>
      </c>
      <c r="N9">
        <v>232185.09627625989</v>
      </c>
      <c r="O9">
        <v>232185.26347766022</v>
      </c>
      <c r="P9">
        <v>232185.35773323639</v>
      </c>
      <c r="Q9" s="6">
        <f t="shared" si="1"/>
        <v>62764.62080911221</v>
      </c>
      <c r="R9" s="6">
        <f t="shared" si="2"/>
        <v>42481.365203090478</v>
      </c>
    </row>
    <row r="10" spans="2:18" x14ac:dyDescent="0.3">
      <c r="C10">
        <f>Process!$I15*ref_umbral-Process!$G15</f>
        <v>3095809.1937676035</v>
      </c>
      <c r="D10">
        <f>Process!$L15*ref_umbral-Process!$J15</f>
        <v>3095806.5890326588</v>
      </c>
      <c r="E10">
        <f t="shared" si="3"/>
        <v>3095809.1937676035</v>
      </c>
      <c r="F10">
        <f>Process!$H15*ref_umbral-Process!$G15</f>
        <v>3095809.3521015332</v>
      </c>
      <c r="G10">
        <f>Process!$K15*ref_umbral-Process!$J15</f>
        <v>3095809.1892880597</v>
      </c>
      <c r="H10">
        <f t="shared" si="4"/>
        <v>3095809.3521015332</v>
      </c>
      <c r="J10" s="6">
        <f t="shared" si="5"/>
        <v>10000</v>
      </c>
      <c r="K10">
        <v>309580.33004649857</v>
      </c>
      <c r="L10">
        <v>309580.16341123881</v>
      </c>
      <c r="M10">
        <v>309580.41449480061</v>
      </c>
      <c r="N10">
        <v>309580.34683177108</v>
      </c>
      <c r="O10">
        <v>309580.39803179074</v>
      </c>
      <c r="P10">
        <v>309580.56325941544</v>
      </c>
      <c r="Q10" s="6">
        <f t="shared" si="1"/>
        <v>38061.187526358292</v>
      </c>
      <c r="R10" s="6">
        <f t="shared" si="2"/>
        <v>74468.751364650205</v>
      </c>
    </row>
    <row r="11" spans="2:18" x14ac:dyDescent="0.3">
      <c r="C11">
        <f>Process!$I16*ref_umbral-Process!$G16</f>
        <v>3095809.4860782507</v>
      </c>
      <c r="D11">
        <f>Process!$L16*ref_umbral-Process!$J16</f>
        <v>3095807.70423852</v>
      </c>
      <c r="E11">
        <f t="shared" si="3"/>
        <v>3095809.4860782507</v>
      </c>
      <c r="F11">
        <f>Process!$H16*ref_umbral-Process!$G16</f>
        <v>3095809.5739928619</v>
      </c>
      <c r="G11">
        <f>Process!$K16*ref_umbral-Process!$J16</f>
        <v>3095809.6354954732</v>
      </c>
      <c r="H11">
        <f t="shared" si="4"/>
        <v>3095809.6354954732</v>
      </c>
      <c r="J11" s="6">
        <f t="shared" si="5"/>
        <v>12500</v>
      </c>
      <c r="K11">
        <v>386975.57640569145</v>
      </c>
      <c r="L11">
        <v>386975.23931023013</v>
      </c>
      <c r="M11">
        <v>386975.62508234417</v>
      </c>
      <c r="N11">
        <v>386975.59738728311</v>
      </c>
      <c r="O11">
        <v>386975.53258592094</v>
      </c>
      <c r="P11">
        <v>386975.77792629425</v>
      </c>
      <c r="Q11" s="6">
        <f t="shared" si="1"/>
        <v>21938.762086344883</v>
      </c>
      <c r="R11" s="6">
        <f t="shared" si="2"/>
        <v>81369.654477002099</v>
      </c>
    </row>
    <row r="12" spans="2:18" x14ac:dyDescent="0.3">
      <c r="C12">
        <f>Process!$I17*ref_umbral-Process!$G17</f>
        <v>3095809.5069356509</v>
      </c>
      <c r="D12">
        <f>Process!$L17*ref_umbral-Process!$J17</f>
        <v>3095805.9854946751</v>
      </c>
      <c r="E12">
        <f t="shared" si="3"/>
        <v>3095809.5069356509</v>
      </c>
      <c r="F12">
        <f>Process!$H17*ref_umbral-Process!$G17</f>
        <v>3095809.5099542299</v>
      </c>
      <c r="G12">
        <f>Process!$K17*ref_umbral-Process!$J17</f>
        <v>3095808.5959989228</v>
      </c>
      <c r="H12">
        <f t="shared" si="4"/>
        <v>3095809.5099542299</v>
      </c>
      <c r="J12" s="6">
        <f t="shared" si="5"/>
        <v>15000</v>
      </c>
      <c r="K12">
        <v>464370.82276488369</v>
      </c>
      <c r="L12">
        <v>464370.31520922331</v>
      </c>
      <c r="M12">
        <v>464370.84897041501</v>
      </c>
      <c r="N12">
        <v>464370.84794279269</v>
      </c>
      <c r="O12">
        <v>464370.66714005097</v>
      </c>
      <c r="P12">
        <v>464370.99975229276</v>
      </c>
      <c r="Q12" s="6">
        <f t="shared" si="1"/>
        <v>11810.937788709998</v>
      </c>
      <c r="R12" s="6">
        <f t="shared" si="2"/>
        <v>68421.148917160928</v>
      </c>
    </row>
    <row r="13" spans="2:18" x14ac:dyDescent="0.3">
      <c r="C13">
        <f>Process!$I18*ref_umbral-Process!$G18</f>
        <v>3095809.38219911</v>
      </c>
      <c r="D13">
        <f>Process!$L18*ref_umbral-Process!$J18</f>
        <v>3095803.9715082683</v>
      </c>
      <c r="E13">
        <f t="shared" si="3"/>
        <v>3095809.38219911</v>
      </c>
      <c r="F13">
        <f>Process!$H18*ref_umbral-Process!$G18</f>
        <v>3095809.413934689</v>
      </c>
      <c r="G13">
        <f>Process!$K18*ref_umbral-Process!$J18</f>
        <v>3095807.2869968009</v>
      </c>
      <c r="H13">
        <f t="shared" si="4"/>
        <v>3095809.413934689</v>
      </c>
      <c r="J13" s="6">
        <f t="shared" si="5"/>
        <v>17500</v>
      </c>
      <c r="K13">
        <v>541766.0691240771</v>
      </c>
      <c r="L13">
        <v>541765.39110821486</v>
      </c>
      <c r="M13">
        <v>541766.08236177324</v>
      </c>
      <c r="N13">
        <v>541766.09849830426</v>
      </c>
      <c r="O13">
        <v>541765.8016941814</v>
      </c>
      <c r="P13">
        <v>541766.22781653341</v>
      </c>
      <c r="Q13" s="6">
        <f t="shared" si="1"/>
        <v>5966.2826015353203</v>
      </c>
      <c r="R13" s="6">
        <f t="shared" si="2"/>
        <v>58284.24315335229</v>
      </c>
    </row>
    <row r="14" spans="2:18" x14ac:dyDescent="0.3">
      <c r="C14">
        <f>Process!$I19*ref_umbral-Process!$G19</f>
        <v>3095808.2459532451</v>
      </c>
      <c r="D14">
        <f>Process!$L19*ref_umbral-Process!$J19</f>
        <v>3095793.3928953907</v>
      </c>
      <c r="E14">
        <f t="shared" si="3"/>
        <v>3095808.2459532451</v>
      </c>
      <c r="F14">
        <f>Process!$H19*ref_umbral-Process!$G19</f>
        <v>3095808.5669255173</v>
      </c>
      <c r="G14">
        <f>Process!$K19*ref_umbral-Process!$J19</f>
        <v>3095796.9388155355</v>
      </c>
      <c r="H14">
        <f t="shared" si="4"/>
        <v>3095808.5669255173</v>
      </c>
      <c r="J14" s="6">
        <f t="shared" si="5"/>
        <v>20000</v>
      </c>
      <c r="K14">
        <v>619161.31548326975</v>
      </c>
      <c r="L14">
        <v>619160.46700720722</v>
      </c>
      <c r="M14">
        <v>619161.3221976721</v>
      </c>
      <c r="N14">
        <v>619161.34905381594</v>
      </c>
      <c r="O14">
        <v>619160.93624831154</v>
      </c>
      <c r="P14">
        <v>619161.46010586026</v>
      </c>
      <c r="Q14" s="6">
        <f t="shared" si="1"/>
        <v>3026.2079961840063</v>
      </c>
      <c r="R14" s="6">
        <f t="shared" si="2"/>
        <v>50051.600582325831</v>
      </c>
    </row>
    <row r="15" spans="2:18" x14ac:dyDescent="0.3">
      <c r="C15">
        <f>Process!$I20*ref_umbral-Process!$G20</f>
        <v>3095809.5305217719</v>
      </c>
      <c r="D15">
        <f>Process!$L20*ref_umbral-Process!$J20</f>
        <v>3095803.7573343837</v>
      </c>
      <c r="E15">
        <f t="shared" si="3"/>
        <v>3095809.5305217719</v>
      </c>
      <c r="F15">
        <f>Process!$H20*ref_umbral-Process!$G20</f>
        <v>3095809.6626864029</v>
      </c>
      <c r="G15">
        <f>Process!$K20*ref_umbral-Process!$J20</f>
        <v>3095805.4126482974</v>
      </c>
      <c r="H15">
        <f t="shared" si="4"/>
        <v>3095809.6626864029</v>
      </c>
      <c r="J15" s="6">
        <f t="shared" si="5"/>
        <v>22500</v>
      </c>
      <c r="K15">
        <v>696556.5618424631</v>
      </c>
      <c r="L15">
        <v>696555.54290619947</v>
      </c>
      <c r="M15">
        <v>696556.56510578259</v>
      </c>
      <c r="N15">
        <v>696556.5996093268</v>
      </c>
      <c r="O15">
        <v>696556.07080244226</v>
      </c>
      <c r="P15">
        <v>696556.69535438763</v>
      </c>
      <c r="Q15" s="6">
        <f t="shared" si="1"/>
        <v>1470.7911488953978</v>
      </c>
      <c r="R15" s="6">
        <f t="shared" si="2"/>
        <v>43152.6818943955</v>
      </c>
    </row>
    <row r="16" spans="2:18" x14ac:dyDescent="0.3">
      <c r="C16">
        <f>Process!$I21*ref_umbral-Process!$G21</f>
        <v>3095809.3908274812</v>
      </c>
      <c r="D16">
        <f>Process!$L21*ref_umbral-Process!$J21</f>
        <v>3095802.3082772461</v>
      </c>
      <c r="E16">
        <f t="shared" si="3"/>
        <v>3095809.3908274812</v>
      </c>
      <c r="F16">
        <f>Process!$H21*ref_umbral-Process!$G21</f>
        <v>3095809.4983924283</v>
      </c>
      <c r="G16">
        <f>Process!$K21*ref_umbral-Process!$J21</f>
        <v>3095804.997821826</v>
      </c>
      <c r="H16">
        <f t="shared" si="4"/>
        <v>3095809.4983924283</v>
      </c>
      <c r="J16" s="6">
        <f t="shared" si="5"/>
        <v>25000</v>
      </c>
      <c r="K16">
        <v>773951.80820165633</v>
      </c>
      <c r="L16">
        <v>773950.61880519125</v>
      </c>
      <c r="M16">
        <v>773951.80981804745</v>
      </c>
      <c r="N16">
        <v>773951.85016483744</v>
      </c>
      <c r="O16">
        <v>773951.20535657147</v>
      </c>
      <c r="P16">
        <v>773951.93345642288</v>
      </c>
      <c r="Q16" s="6">
        <f t="shared" si="1"/>
        <v>728.51394356414676</v>
      </c>
      <c r="R16" s="6">
        <f t="shared" si="2"/>
        <v>37539.850724486634</v>
      </c>
    </row>
    <row r="17" spans="3:18" ht="15" thickBot="1" x14ac:dyDescent="0.35">
      <c r="C17">
        <f>Process!$I22*ref_umbral-Process!$G22</f>
        <v>3095809.5892383978</v>
      </c>
      <c r="D17">
        <f>Process!$L22*ref_umbral-Process!$J22</f>
        <v>3095798.3488632813</v>
      </c>
      <c r="E17">
        <f t="shared" si="3"/>
        <v>3095809.5892383978</v>
      </c>
      <c r="F17">
        <f>Process!$H22*ref_umbral-Process!$G22</f>
        <v>3095809.6000051438</v>
      </c>
      <c r="G17">
        <f>Process!$K22*ref_umbral-Process!$J22</f>
        <v>3095799.9314735336</v>
      </c>
      <c r="H17">
        <f t="shared" si="4"/>
        <v>3095809.6000051438</v>
      </c>
      <c r="J17" s="6">
        <f t="shared" si="5"/>
        <v>27500</v>
      </c>
      <c r="K17">
        <v>851347.05456084688</v>
      </c>
      <c r="L17">
        <v>851345.69470418443</v>
      </c>
      <c r="M17">
        <v>851347.05538134568</v>
      </c>
      <c r="N17">
        <v>851347.10072034854</v>
      </c>
      <c r="O17">
        <v>851346.33991070196</v>
      </c>
      <c r="P17">
        <v>851347.17353285931</v>
      </c>
      <c r="Q17" s="6">
        <f t="shared" si="1"/>
        <v>369.80208985321224</v>
      </c>
      <c r="R17" s="6">
        <f t="shared" si="2"/>
        <v>32816.889854418114</v>
      </c>
    </row>
    <row r="18" spans="3:18" ht="15" thickBot="1" x14ac:dyDescent="0.35">
      <c r="C18">
        <f>Process!$I23*ref_umbral-Process!$G23</f>
        <v>3095809.3725314336</v>
      </c>
      <c r="D18">
        <f>Process!$L23*ref_umbral-Process!$J23</f>
        <v>3095804.676173266</v>
      </c>
      <c r="E18">
        <f t="shared" si="3"/>
        <v>3095809.3725314336</v>
      </c>
      <c r="F18">
        <f>Process!$H23*ref_umbral-Process!$G23</f>
        <v>3095809.5595978149</v>
      </c>
      <c r="G18">
        <f>Process!$K23*ref_umbral-Process!$J23</f>
        <v>3095806.497034214</v>
      </c>
      <c r="H18">
        <f t="shared" si="4"/>
        <v>3095809.5595978149</v>
      </c>
      <c r="J18" s="60">
        <f t="shared" si="5"/>
        <v>30000</v>
      </c>
      <c r="K18" s="89">
        <v>928742.3009200407</v>
      </c>
      <c r="L18" s="89">
        <v>928740.77060317714</v>
      </c>
      <c r="M18" s="89">
        <v>928742.30126587069</v>
      </c>
      <c r="N18" s="89">
        <v>928742.35127585847</v>
      </c>
      <c r="O18" s="89">
        <v>928741.47446483292</v>
      </c>
      <c r="P18" s="89">
        <v>928742.41563984309</v>
      </c>
      <c r="Q18" s="61">
        <f t="shared" si="1"/>
        <v>155.86696012504399</v>
      </c>
      <c r="R18" s="62">
        <f t="shared" si="2"/>
        <v>29009.105325940996</v>
      </c>
    </row>
    <row r="19" spans="3:18" x14ac:dyDescent="0.3">
      <c r="C19">
        <f>Process!$I24*ref_umbral-Process!$G24</f>
        <v>3095808.8130025221</v>
      </c>
      <c r="D19">
        <f>Process!$L24*ref_umbral-Process!$J24</f>
        <v>3095799.4969264721</v>
      </c>
      <c r="E19">
        <f t="shared" si="3"/>
        <v>3095808.8130025221</v>
      </c>
      <c r="F19">
        <f>Process!$H24*ref_umbral-Process!$G24</f>
        <v>3095808.9792187316</v>
      </c>
      <c r="G19">
        <f>Process!$K24*ref_umbral-Process!$J24</f>
        <v>3095805.4496728638</v>
      </c>
      <c r="H19">
        <f t="shared" si="4"/>
        <v>3095808.9792187316</v>
      </c>
      <c r="J19" s="6">
        <f t="shared" si="5"/>
        <v>32500</v>
      </c>
      <c r="K19">
        <v>1006137.547279234</v>
      </c>
      <c r="L19">
        <v>1006135.8465021699</v>
      </c>
      <c r="M19">
        <v>1006137.5473773293</v>
      </c>
      <c r="N19">
        <v>1006137.6018313711</v>
      </c>
      <c r="O19">
        <v>1006136.6090189622</v>
      </c>
      <c r="P19">
        <v>1006137.6589111749</v>
      </c>
      <c r="Q19" s="6">
        <f t="shared" si="1"/>
        <v>44.2119330316782</v>
      </c>
      <c r="R19" s="6">
        <f t="shared" si="2"/>
        <v>25726.095883155242</v>
      </c>
    </row>
    <row r="20" spans="3:18" x14ac:dyDescent="0.3">
      <c r="C20">
        <f>Process!$I25*ref_umbral-Process!$G25</f>
        <v>3095809.5576667474</v>
      </c>
      <c r="D20">
        <f>Process!$L25*ref_umbral-Process!$J25</f>
        <v>3095807.6672480558</v>
      </c>
      <c r="E20">
        <f t="shared" si="3"/>
        <v>3095809.5576667474</v>
      </c>
      <c r="F20">
        <f>Process!$H25*ref_umbral-Process!$G25</f>
        <v>3095809.6531925243</v>
      </c>
      <c r="G20">
        <f>Process!$K25*ref_umbral-Process!$J25</f>
        <v>3095809.2895839103</v>
      </c>
      <c r="H20">
        <f t="shared" si="4"/>
        <v>3095809.6531925243</v>
      </c>
      <c r="J20" s="6">
        <f t="shared" si="5"/>
        <v>35000</v>
      </c>
      <c r="K20">
        <v>1083532.793638427</v>
      </c>
      <c r="L20">
        <v>1083530.9224011621</v>
      </c>
      <c r="M20">
        <v>1083532.793638427</v>
      </c>
      <c r="N20">
        <v>1083532.85238688</v>
      </c>
      <c r="O20">
        <v>1083531.7435730947</v>
      </c>
      <c r="P20">
        <v>1083532.9029771732</v>
      </c>
      <c r="Q20" s="6">
        <f t="shared" si="1"/>
        <v>0</v>
      </c>
      <c r="R20" s="6">
        <f t="shared" si="2"/>
        <v>22801.247528549284</v>
      </c>
    </row>
    <row r="21" spans="3:18" x14ac:dyDescent="0.3">
      <c r="C21">
        <f>Process!$I26*ref_umbral-Process!$G26</f>
        <v>3095809.5728288046</v>
      </c>
      <c r="D21">
        <f>Process!$L26*ref_umbral-Process!$J26</f>
        <v>3095804.1225576634</v>
      </c>
      <c r="E21">
        <f t="shared" si="3"/>
        <v>3095809.5728288046</v>
      </c>
      <c r="F21">
        <f>Process!$H26*ref_umbral-Process!$G26</f>
        <v>3095809.6734492625</v>
      </c>
      <c r="G21">
        <f>Process!$K26*ref_umbral-Process!$J26</f>
        <v>3095805.682267088</v>
      </c>
      <c r="H21">
        <f t="shared" si="4"/>
        <v>3095809.6734492625</v>
      </c>
      <c r="J21" s="6">
        <f t="shared" si="5"/>
        <v>37500</v>
      </c>
      <c r="K21">
        <v>1160928.0399976191</v>
      </c>
      <c r="L21">
        <v>1160925.9983001538</v>
      </c>
      <c r="M21">
        <v>1160928.0399976191</v>
      </c>
      <c r="N21">
        <v>1160928.1029423904</v>
      </c>
      <c r="O21">
        <v>1160926.8781272231</v>
      </c>
      <c r="P21">
        <v>1160928.1478821225</v>
      </c>
      <c r="Q21" s="6">
        <f t="shared" si="1"/>
        <v>0</v>
      </c>
      <c r="R21" s="6">
        <f t="shared" si="2"/>
        <v>20254.517052024603</v>
      </c>
    </row>
    <row r="22" spans="3:18" x14ac:dyDescent="0.3">
      <c r="C22">
        <f>Process!$I27*ref_umbral-Process!$G27</f>
        <v>3095809.4287926303</v>
      </c>
      <c r="D22">
        <f>Process!$L27*ref_umbral-Process!$J27</f>
        <v>3095804.310719403</v>
      </c>
      <c r="E22">
        <f t="shared" si="3"/>
        <v>3095809.4287926303</v>
      </c>
      <c r="F22">
        <f>Process!$H27*ref_umbral-Process!$G27</f>
        <v>3095809.5794808595</v>
      </c>
      <c r="G22">
        <f>Process!$K27*ref_umbral-Process!$J27</f>
        <v>3095805.6005489221</v>
      </c>
      <c r="H22">
        <f t="shared" si="4"/>
        <v>3095809.5794808595</v>
      </c>
      <c r="J22" s="6">
        <f t="shared" si="5"/>
        <v>40000</v>
      </c>
      <c r="K22">
        <v>1238323.2863568128</v>
      </c>
      <c r="L22">
        <v>1238321.0741991459</v>
      </c>
      <c r="M22">
        <v>1238323.2863568128</v>
      </c>
      <c r="N22">
        <v>1238323.3534979038</v>
      </c>
      <c r="O22">
        <v>1238322.012681355</v>
      </c>
      <c r="P22">
        <v>1238323.3937398351</v>
      </c>
      <c r="Q22" s="6">
        <f t="shared" si="1"/>
        <v>0</v>
      </c>
      <c r="R22" s="6">
        <f t="shared" si="2"/>
        <v>18137.199419181794</v>
      </c>
    </row>
    <row r="23" spans="3:18" x14ac:dyDescent="0.3">
      <c r="C23">
        <f>Process!$I28*ref_umbral-Process!$G28</f>
        <v>3095809.3007527371</v>
      </c>
      <c r="D23">
        <f>Process!$L28*ref_umbral-Process!$J28</f>
        <v>3095806.2410812997</v>
      </c>
      <c r="E23">
        <f t="shared" si="3"/>
        <v>3095809.3007527371</v>
      </c>
      <c r="F23">
        <f>Process!$H28*ref_umbral-Process!$G28</f>
        <v>3095809.4286564626</v>
      </c>
      <c r="G23">
        <f>Process!$K28*ref_umbral-Process!$J28</f>
        <v>3095808.2267188584</v>
      </c>
      <c r="H23">
        <f t="shared" si="4"/>
        <v>3095809.4286564626</v>
      </c>
      <c r="J23" s="6">
        <f t="shared" si="5"/>
        <v>42500</v>
      </c>
      <c r="K23">
        <v>1315718.5327160049</v>
      </c>
      <c r="L23">
        <v>1315716.150098138</v>
      </c>
      <c r="M23">
        <v>1315718.5327160049</v>
      </c>
      <c r="N23">
        <v>1315718.6040534126</v>
      </c>
      <c r="O23">
        <v>1315717.1472354822</v>
      </c>
      <c r="P23">
        <v>1315718.6401683432</v>
      </c>
      <c r="Q23" s="6">
        <f t="shared" si="1"/>
        <v>0</v>
      </c>
      <c r="R23" s="6">
        <f t="shared" si="2"/>
        <v>16277.143699578941</v>
      </c>
    </row>
    <row r="24" spans="3:18" x14ac:dyDescent="0.3">
      <c r="C24">
        <f>Process!$I29*ref_umbral-Process!$G29</f>
        <v>3095809.6125143305</v>
      </c>
      <c r="D24">
        <f>Process!$L29*ref_umbral-Process!$J29</f>
        <v>3095805.1648362945</v>
      </c>
      <c r="E24">
        <f t="shared" si="3"/>
        <v>3095809.6125143305</v>
      </c>
      <c r="F24">
        <f>Process!$H29*ref_umbral-Process!$G29</f>
        <v>3095809.6636987966</v>
      </c>
      <c r="G24">
        <f>Process!$K29*ref_umbral-Process!$J29</f>
        <v>3095806.4134765998</v>
      </c>
      <c r="H24">
        <f t="shared" si="4"/>
        <v>3095809.6636987966</v>
      </c>
      <c r="J24" s="6">
        <f t="shared" si="5"/>
        <v>45000</v>
      </c>
      <c r="K24">
        <v>1393113.7790751969</v>
      </c>
      <c r="L24">
        <v>1393111.2259971322</v>
      </c>
      <c r="M24">
        <v>1393113.7790751969</v>
      </c>
      <c r="N24">
        <v>1393113.8546089279</v>
      </c>
      <c r="O24">
        <v>1393112.2817896118</v>
      </c>
      <c r="P24">
        <v>1393113.8872505273</v>
      </c>
      <c r="Q24" s="6">
        <f t="shared" si="1"/>
        <v>0</v>
      </c>
      <c r="R24" s="6">
        <f t="shared" si="2"/>
        <v>14711.699425198138</v>
      </c>
    </row>
    <row r="25" spans="3:18" x14ac:dyDescent="0.3">
      <c r="C25">
        <f>Process!$I30*ref_umbral-Process!$G30</f>
        <v>3095808.934832599</v>
      </c>
      <c r="D25">
        <f>Process!$L30*ref_umbral-Process!$J30</f>
        <v>3095800.699362867</v>
      </c>
      <c r="E25">
        <f t="shared" si="3"/>
        <v>3095808.934832599</v>
      </c>
      <c r="F25">
        <f>Process!$H30*ref_umbral-Process!$G30</f>
        <v>3095809.2153010983</v>
      </c>
      <c r="G25">
        <f>Process!$K30*ref_umbral-Process!$J30</f>
        <v>3095803.8521278016</v>
      </c>
      <c r="H25">
        <f t="shared" si="4"/>
        <v>3095809.2153010983</v>
      </c>
      <c r="J25" s="6">
        <f t="shared" si="5"/>
        <v>47500</v>
      </c>
      <c r="K25">
        <v>1470509.025434389</v>
      </c>
      <c r="L25">
        <v>1470506.3018961218</v>
      </c>
      <c r="M25">
        <v>1470509.025434389</v>
      </c>
      <c r="N25">
        <v>1470509.1051644364</v>
      </c>
      <c r="O25">
        <v>1470507.4163437421</v>
      </c>
      <c r="P25">
        <v>1470509.1346925632</v>
      </c>
      <c r="Q25" s="6">
        <f t="shared" si="1"/>
        <v>0</v>
      </c>
      <c r="R25" s="6">
        <f t="shared" si="2"/>
        <v>13308.444869857281</v>
      </c>
    </row>
    <row r="26" spans="3:18" x14ac:dyDescent="0.3">
      <c r="C26">
        <f>Process!$I31*ref_umbral-Process!$G31</f>
        <v>3095809.1876815981</v>
      </c>
      <c r="D26">
        <f>Process!$L31*ref_umbral-Process!$J31</f>
        <v>3095801.9730134411</v>
      </c>
      <c r="E26">
        <f t="shared" si="3"/>
        <v>3095809.1876815981</v>
      </c>
      <c r="F26">
        <f>Process!$H31*ref_umbral-Process!$G31</f>
        <v>3095809.444248681</v>
      </c>
      <c r="G26">
        <f>Process!$K31*ref_umbral-Process!$J31</f>
        <v>3095806.676954974</v>
      </c>
      <c r="H26">
        <f t="shared" si="4"/>
        <v>3095809.444248681</v>
      </c>
      <c r="J26" s="6">
        <f t="shared" si="5"/>
        <v>50000</v>
      </c>
      <c r="K26">
        <v>1547904.2717935855</v>
      </c>
      <c r="L26">
        <v>1547901.377795113</v>
      </c>
      <c r="M26">
        <v>1547904.2717935855</v>
      </c>
      <c r="N26">
        <v>1547904.3557199484</v>
      </c>
      <c r="O26">
        <v>1547902.5508978765</v>
      </c>
      <c r="P26">
        <v>1547904.3825778903</v>
      </c>
      <c r="Q26" s="6">
        <f t="shared" si="1"/>
        <v>0</v>
      </c>
      <c r="R26" s="6">
        <f t="shared" si="2"/>
        <v>12104.981835775077</v>
      </c>
    </row>
    <row r="27" spans="3:18" x14ac:dyDescent="0.3">
      <c r="C27">
        <f>Process!$I32*ref_umbral-Process!$G32</f>
        <v>3095809.6374245221</v>
      </c>
      <c r="D27">
        <f>Process!$L32*ref_umbral-Process!$J32</f>
        <v>3095807.0020621037</v>
      </c>
      <c r="E27">
        <f t="shared" si="3"/>
        <v>3095809.6374245221</v>
      </c>
      <c r="F27">
        <f>Process!$H32*ref_umbral-Process!$G32</f>
        <v>3095809.6516015627</v>
      </c>
      <c r="G27">
        <f>Process!$K32*ref_umbral-Process!$J32</f>
        <v>3095809.6114492002</v>
      </c>
      <c r="H27">
        <f t="shared" si="4"/>
        <v>3095809.6516015627</v>
      </c>
      <c r="J27" s="6">
        <f t="shared" si="5"/>
        <v>52500</v>
      </c>
      <c r="K27">
        <v>1625299.5181527745</v>
      </c>
      <c r="L27">
        <v>1625296.4536941056</v>
      </c>
      <c r="M27">
        <v>1625299.5181527745</v>
      </c>
      <c r="N27">
        <v>1625299.6062754581</v>
      </c>
      <c r="O27">
        <v>1625297.6854520047</v>
      </c>
      <c r="P27">
        <v>1625299.6307688272</v>
      </c>
      <c r="Q27" s="6">
        <f t="shared" si="1"/>
        <v>0</v>
      </c>
      <c r="R27" s="6">
        <f t="shared" si="2"/>
        <v>11039.259400259703</v>
      </c>
    </row>
    <row r="28" spans="3:18" x14ac:dyDescent="0.3">
      <c r="C28">
        <f>Process!$I33*ref_umbral-Process!$G33</f>
        <v>3095807.1653043758</v>
      </c>
      <c r="D28">
        <f>Process!$L33*ref_umbral-Process!$J33</f>
        <v>3095803.8992605936</v>
      </c>
      <c r="E28">
        <f t="shared" si="3"/>
        <v>3095807.1653043758</v>
      </c>
      <c r="F28">
        <f>Process!$H33*ref_umbral-Process!$G33</f>
        <v>3095809.1364511033</v>
      </c>
      <c r="G28">
        <f>Process!$K33*ref_umbral-Process!$J33</f>
        <v>3095808.7039336096</v>
      </c>
      <c r="H28">
        <f t="shared" si="4"/>
        <v>3095809.1364511033</v>
      </c>
      <c r="J28" s="6">
        <f t="shared" si="5"/>
        <v>55000</v>
      </c>
      <c r="K28">
        <v>1702694.764511971</v>
      </c>
      <c r="L28">
        <v>1702691.5295931015</v>
      </c>
      <c r="M28">
        <v>1702694.764511971</v>
      </c>
      <c r="N28">
        <v>1702694.8568309708</v>
      </c>
      <c r="O28">
        <v>1702692.8200061335</v>
      </c>
      <c r="P28">
        <v>1702694.8792828575</v>
      </c>
      <c r="Q28" s="6">
        <f t="shared" si="1"/>
        <v>0</v>
      </c>
      <c r="R28" s="6">
        <f t="shared" si="2"/>
        <v>10119.155131693929</v>
      </c>
    </row>
    <row r="29" spans="3:18" x14ac:dyDescent="0.3">
      <c r="C29">
        <f>Process!$I34*ref_umbral-Process!$G34</f>
        <v>3095809.4857287616</v>
      </c>
      <c r="D29">
        <f>Process!$L34*ref_umbral-Process!$J34</f>
        <v>3095807.3715221412</v>
      </c>
      <c r="E29">
        <f t="shared" si="3"/>
        <v>3095809.4857287616</v>
      </c>
      <c r="F29">
        <f>Process!$H34*ref_umbral-Process!$G34</f>
        <v>3095809.6704831142</v>
      </c>
      <c r="G29">
        <f>Process!$K34*ref_umbral-Process!$J34</f>
        <v>3095809.6429426265</v>
      </c>
      <c r="H29">
        <f t="shared" si="4"/>
        <v>3095809.6704831142</v>
      </c>
      <c r="J29" s="6">
        <f t="shared" si="5"/>
        <v>57500</v>
      </c>
      <c r="K29">
        <v>1780090.0108711624</v>
      </c>
      <c r="L29">
        <v>1780086.6054920894</v>
      </c>
      <c r="M29">
        <v>1780090.0108711624</v>
      </c>
      <c r="N29">
        <v>1780090.107386484</v>
      </c>
      <c r="O29">
        <v>1780087.9545602622</v>
      </c>
      <c r="P29">
        <v>1780090.1279938766</v>
      </c>
      <c r="Q29" s="6">
        <f t="shared" si="1"/>
        <v>0</v>
      </c>
      <c r="R29" s="6">
        <f t="shared" si="2"/>
        <v>9287.8342457599938</v>
      </c>
    </row>
    <row r="30" spans="3:18" x14ac:dyDescent="0.3">
      <c r="C30">
        <f>Process!$I35*ref_umbral-Process!$G35</f>
        <v>3095808.4602246801</v>
      </c>
      <c r="D30">
        <f>Process!$L35*ref_umbral-Process!$J35</f>
        <v>3095803.5891462588</v>
      </c>
      <c r="E30">
        <f t="shared" si="3"/>
        <v>3095808.4602246801</v>
      </c>
      <c r="F30">
        <f>Process!$H35*ref_umbral-Process!$G35</f>
        <v>3095808.9599888474</v>
      </c>
      <c r="G30">
        <f>Process!$K35*ref_umbral-Process!$J35</f>
        <v>3095806.4348496697</v>
      </c>
      <c r="H30">
        <f t="shared" si="4"/>
        <v>3095808.9599888474</v>
      </c>
      <c r="J30" s="6">
        <f t="shared" si="5"/>
        <v>60000</v>
      </c>
      <c r="K30">
        <v>1857485.2572303545</v>
      </c>
      <c r="L30">
        <v>1857481.6813910829</v>
      </c>
      <c r="M30">
        <v>1857485.2572303545</v>
      </c>
      <c r="N30">
        <v>1857485.3579419891</v>
      </c>
      <c r="O30">
        <v>1857483.0891143954</v>
      </c>
      <c r="P30">
        <v>1857485.3768790774</v>
      </c>
      <c r="Q30" s="6">
        <f t="shared" si="1"/>
        <v>0</v>
      </c>
      <c r="R30" s="6">
        <f t="shared" si="2"/>
        <v>8535.0214525125921</v>
      </c>
    </row>
    <row r="31" spans="3:18" x14ac:dyDescent="0.3">
      <c r="C31">
        <f>Process!$I36*ref_umbral-Process!$G36</f>
        <v>3095809.1129944385</v>
      </c>
      <c r="D31">
        <f>Process!$L36*ref_umbral-Process!$J36</f>
        <v>3095804.1834415682</v>
      </c>
      <c r="E31">
        <f t="shared" si="3"/>
        <v>3095809.1129944385</v>
      </c>
      <c r="F31">
        <f>Process!$H36*ref_umbral-Process!$G36</f>
        <v>3095809.2327574012</v>
      </c>
      <c r="G31">
        <f>Process!$K36*ref_umbral-Process!$J36</f>
        <v>3095808.0572034414</v>
      </c>
      <c r="H31">
        <f t="shared" si="4"/>
        <v>3095809.2327574012</v>
      </c>
      <c r="J31" s="6">
        <f t="shared" si="5"/>
        <v>62500</v>
      </c>
      <c r="K31">
        <v>1934880.5035895482</v>
      </c>
      <c r="L31">
        <v>1934876.7572900741</v>
      </c>
      <c r="M31">
        <v>1934880.5035895482</v>
      </c>
      <c r="N31">
        <v>1934880.6084975027</v>
      </c>
      <c r="O31">
        <v>1934878.2236685229</v>
      </c>
      <c r="P31">
        <v>1934880.6259463956</v>
      </c>
      <c r="Q31" s="6">
        <f t="shared" si="1"/>
        <v>0</v>
      </c>
      <c r="R31" s="6">
        <f t="shared" si="2"/>
        <v>7864.2857881486416</v>
      </c>
    </row>
    <row r="32" spans="3:18" x14ac:dyDescent="0.3">
      <c r="C32">
        <f>Process!$I37*ref_umbral-Process!$G37</f>
        <v>3095809.429753521</v>
      </c>
      <c r="D32">
        <f>Process!$L37*ref_umbral-Process!$J37</f>
        <v>3095801.9773335452</v>
      </c>
      <c r="E32">
        <f t="shared" si="3"/>
        <v>3095809.429753521</v>
      </c>
      <c r="F32">
        <f>Process!$H37*ref_umbral-Process!$G37</f>
        <v>3095809.609214406</v>
      </c>
      <c r="G32">
        <f>Process!$K37*ref_umbral-Process!$J37</f>
        <v>3095805.0821217201</v>
      </c>
      <c r="H32">
        <f t="shared" si="4"/>
        <v>3095809.609214406</v>
      </c>
      <c r="J32" s="6">
        <f t="shared" si="5"/>
        <v>65000</v>
      </c>
      <c r="K32">
        <v>2012275.7499487444</v>
      </c>
      <c r="L32">
        <v>2012271.8331890679</v>
      </c>
      <c r="M32">
        <v>2012275.7499487444</v>
      </c>
      <c r="N32">
        <v>2012275.8590530169</v>
      </c>
      <c r="O32">
        <v>2012273.3582226569</v>
      </c>
      <c r="P32">
        <v>2012275.8751327381</v>
      </c>
      <c r="Q32" s="6">
        <f t="shared" si="1"/>
        <v>0</v>
      </c>
      <c r="R32" s="6">
        <f t="shared" si="2"/>
        <v>7247.1946970112622</v>
      </c>
    </row>
    <row r="33" spans="3:18" x14ac:dyDescent="0.3">
      <c r="C33">
        <f>Process!$I38*ref_umbral-Process!$G38</f>
        <v>3095809.350074416</v>
      </c>
      <c r="D33">
        <f>Process!$L38*ref_umbral-Process!$J38</f>
        <v>3095807.0953932735</v>
      </c>
      <c r="E33">
        <f t="shared" si="3"/>
        <v>3095809.350074416</v>
      </c>
      <c r="F33">
        <f>Process!$H38*ref_umbral-Process!$G38</f>
        <v>3095809.5113407457</v>
      </c>
      <c r="G33">
        <f>Process!$K38*ref_umbral-Process!$J38</f>
        <v>3095809.0330577935</v>
      </c>
      <c r="H33">
        <f t="shared" si="4"/>
        <v>3095809.5113407457</v>
      </c>
      <c r="J33" s="6">
        <f t="shared" si="5"/>
        <v>67500</v>
      </c>
      <c r="K33">
        <v>2089670.9963079339</v>
      </c>
      <c r="L33">
        <v>2089666.9090880628</v>
      </c>
      <c r="M33">
        <v>2089670.9963079339</v>
      </c>
      <c r="N33">
        <v>2089671.1096085254</v>
      </c>
      <c r="O33">
        <v>2089668.4927767825</v>
      </c>
      <c r="P33">
        <v>2089671.1244645249</v>
      </c>
      <c r="Q33" s="6">
        <f t="shared" si="1"/>
        <v>0</v>
      </c>
      <c r="R33" s="6">
        <f t="shared" si="2"/>
        <v>6695.6583984494209</v>
      </c>
    </row>
    <row r="34" spans="3:18" x14ac:dyDescent="0.3">
      <c r="C34">
        <f>Process!$I39*ref_umbral-Process!$G39</f>
        <v>3095808.7146235425</v>
      </c>
      <c r="D34">
        <f>Process!$L39*ref_umbral-Process!$J39</f>
        <v>3095802.7707802295</v>
      </c>
      <c r="E34">
        <f t="shared" si="3"/>
        <v>3095808.7146235425</v>
      </c>
      <c r="F34">
        <f>Process!$H39*ref_umbral-Process!$G39</f>
        <v>3095809.1802103072</v>
      </c>
      <c r="G34">
        <f>Process!$K39*ref_umbral-Process!$J39</f>
        <v>3095806.4617198058</v>
      </c>
      <c r="H34">
        <f t="shared" si="4"/>
        <v>3095809.1802103072</v>
      </c>
      <c r="J34" s="6">
        <f t="shared" si="5"/>
        <v>70000</v>
      </c>
      <c r="K34">
        <v>2167066.2426671269</v>
      </c>
      <c r="L34">
        <v>2167061.9849870489</v>
      </c>
      <c r="M34">
        <v>2167066.2426671269</v>
      </c>
      <c r="N34">
        <v>2167066.3601640393</v>
      </c>
      <c r="O34">
        <v>2167063.6273309165</v>
      </c>
      <c r="P34">
        <v>2167066.3739463324</v>
      </c>
      <c r="Q34" s="6">
        <f t="shared" si="1"/>
        <v>0</v>
      </c>
      <c r="R34" s="6">
        <f t="shared" si="2"/>
        <v>6211.7346158698201</v>
      </c>
    </row>
    <row r="35" spans="3:18" x14ac:dyDescent="0.3">
      <c r="C35">
        <f>Process!$I40*ref_umbral-Process!$G40</f>
        <v>3095809.3439052468</v>
      </c>
      <c r="D35">
        <f>Process!$L40*ref_umbral-Process!$J40</f>
        <v>3095807.8369197105</v>
      </c>
      <c r="E35">
        <f t="shared" si="3"/>
        <v>3095809.3439052468</v>
      </c>
      <c r="F35">
        <f>Process!$H40*ref_umbral-Process!$G40</f>
        <v>3095809.5067328331</v>
      </c>
      <c r="G35">
        <f>Process!$K40*ref_umbral-Process!$J40</f>
        <v>3095809.5995347188</v>
      </c>
      <c r="H35">
        <f t="shared" si="4"/>
        <v>3095809.5995347188</v>
      </c>
      <c r="J35" s="6">
        <f t="shared" si="5"/>
        <v>72500</v>
      </c>
      <c r="K35">
        <v>2244461.4890263202</v>
      </c>
      <c r="L35">
        <v>2244457.0608860436</v>
      </c>
      <c r="M35">
        <v>2244461.4890263202</v>
      </c>
      <c r="N35">
        <v>2244461.6107195443</v>
      </c>
      <c r="O35">
        <v>2244458.7618850451</v>
      </c>
      <c r="P35">
        <v>2244461.6235446464</v>
      </c>
      <c r="Q35" s="6">
        <f t="shared" si="1"/>
        <v>0</v>
      </c>
      <c r="R35" s="6">
        <f t="shared" si="2"/>
        <v>5780.3248077109456</v>
      </c>
    </row>
    <row r="36" spans="3:18" x14ac:dyDescent="0.3">
      <c r="C36">
        <f>Process!$I41*ref_umbral-Process!$G41</f>
        <v>3095809.315390639</v>
      </c>
      <c r="D36">
        <f>Process!$L41*ref_umbral-Process!$J41</f>
        <v>3095797.2912013228</v>
      </c>
      <c r="E36">
        <f t="shared" si="3"/>
        <v>3095809.315390639</v>
      </c>
      <c r="F36">
        <f>Process!$H41*ref_umbral-Process!$G41</f>
        <v>3095809.427367372</v>
      </c>
      <c r="G36">
        <f>Process!$K41*ref_umbral-Process!$J41</f>
        <v>3095800.7286063652</v>
      </c>
      <c r="H36">
        <f t="shared" si="4"/>
        <v>3095809.427367372</v>
      </c>
      <c r="J36" s="6">
        <f t="shared" si="5"/>
        <v>75000</v>
      </c>
      <c r="K36">
        <v>2321856.735385512</v>
      </c>
      <c r="L36">
        <v>2321852.136785036</v>
      </c>
      <c r="M36">
        <v>2321856.735385512</v>
      </c>
      <c r="N36">
        <v>2321856.8612750601</v>
      </c>
      <c r="O36">
        <v>2321853.8964391774</v>
      </c>
      <c r="P36">
        <v>2321856.8732570754</v>
      </c>
      <c r="Q36" s="6">
        <f t="shared" si="1"/>
        <v>0</v>
      </c>
      <c r="R36" s="6">
        <f t="shared" si="2"/>
        <v>5400.3422391265631</v>
      </c>
    </row>
    <row r="37" spans="3:18" x14ac:dyDescent="0.3">
      <c r="C37">
        <f>Process!$I42*ref_umbral-Process!$G42</f>
        <v>3095809.5811582231</v>
      </c>
      <c r="D37">
        <f>Process!$L42*ref_umbral-Process!$J42</f>
        <v>3095806.4385404238</v>
      </c>
      <c r="E37">
        <f t="shared" si="3"/>
        <v>3095809.5811582231</v>
      </c>
      <c r="F37">
        <f>Process!$H42*ref_umbral-Process!$G42</f>
        <v>3095809.6258785049</v>
      </c>
      <c r="G37">
        <f>Process!$K42*ref_umbral-Process!$J42</f>
        <v>3095807.1701436238</v>
      </c>
      <c r="H37">
        <f t="shared" si="4"/>
        <v>3095809.6258785049</v>
      </c>
      <c r="J37" s="6">
        <f t="shared" si="5"/>
        <v>77500</v>
      </c>
      <c r="K37">
        <v>2399251.9817447052</v>
      </c>
      <c r="L37">
        <v>2399247.2126840306</v>
      </c>
      <c r="M37">
        <v>2399251.9817447052</v>
      </c>
      <c r="N37">
        <v>2399252.1118305651</v>
      </c>
      <c r="O37">
        <v>2399249.0309933056</v>
      </c>
      <c r="P37">
        <v>2399252.1230220087</v>
      </c>
      <c r="Q37" s="6">
        <f t="shared" si="1"/>
        <v>0</v>
      </c>
      <c r="R37" s="6">
        <f t="shared" si="2"/>
        <v>5044.0283693224192</v>
      </c>
    </row>
    <row r="38" spans="3:18" x14ac:dyDescent="0.3">
      <c r="C38">
        <f>Process!$I43*ref_umbral-Process!$G43</f>
        <v>3095809.5513774017</v>
      </c>
      <c r="D38">
        <f>Process!$L43*ref_umbral-Process!$J43</f>
        <v>3095808.3242168752</v>
      </c>
      <c r="E38">
        <f t="shared" si="3"/>
        <v>3095809.5513774017</v>
      </c>
      <c r="F38">
        <f>Process!$H43*ref_umbral-Process!$G43</f>
        <v>3095809.8042303245</v>
      </c>
      <c r="G38">
        <f>Process!$K43*ref_umbral-Process!$J43</f>
        <v>3095809.7685731594</v>
      </c>
      <c r="H38">
        <f t="shared" si="4"/>
        <v>3095809.8042303245</v>
      </c>
      <c r="J38" s="6">
        <f t="shared" si="5"/>
        <v>80000</v>
      </c>
      <c r="K38">
        <v>2476647.228103898</v>
      </c>
      <c r="L38">
        <v>2476642.2885830249</v>
      </c>
      <c r="M38">
        <v>2476647.228103898</v>
      </c>
      <c r="N38">
        <v>2476647.3623860851</v>
      </c>
      <c r="O38">
        <v>2476644.1655474342</v>
      </c>
      <c r="P38">
        <v>2476647.3728593658</v>
      </c>
      <c r="Q38" s="6">
        <f t="shared" si="1"/>
        <v>0</v>
      </c>
      <c r="R38" s="6">
        <f t="shared" si="2"/>
        <v>4720.349495343864</v>
      </c>
    </row>
    <row r="39" spans="3:18" x14ac:dyDescent="0.3">
      <c r="C39">
        <f>Process!$I44*ref_umbral-Process!$G44</f>
        <v>3095809.4297226523</v>
      </c>
      <c r="D39">
        <f>Process!$L44*ref_umbral-Process!$J44</f>
        <v>3095805.9245343925</v>
      </c>
      <c r="E39">
        <f t="shared" si="3"/>
        <v>3095809.4297226523</v>
      </c>
      <c r="F39">
        <f>Process!$H44*ref_umbral-Process!$G44</f>
        <v>3095809.5274841962</v>
      </c>
      <c r="G39">
        <f>Process!$K44*ref_umbral-Process!$J44</f>
        <v>3095808.2522750911</v>
      </c>
      <c r="H39">
        <f t="shared" si="4"/>
        <v>3095809.5274841962</v>
      </c>
      <c r="J39" s="6">
        <f t="shared" si="5"/>
        <v>82500</v>
      </c>
      <c r="K39">
        <v>2554042.4744630912</v>
      </c>
      <c r="L39">
        <v>2554037.3644820168</v>
      </c>
      <c r="M39">
        <v>2554042.4744630912</v>
      </c>
      <c r="N39">
        <v>2554042.6129415878</v>
      </c>
      <c r="O39">
        <v>2554039.3001015708</v>
      </c>
      <c r="P39">
        <v>2554042.6227429588</v>
      </c>
      <c r="Q39" s="6">
        <f t="shared" si="1"/>
        <v>0</v>
      </c>
      <c r="R39" s="6">
        <f t="shared" si="2"/>
        <v>4417.5171255767345</v>
      </c>
    </row>
    <row r="40" spans="3:18" x14ac:dyDescent="0.3">
      <c r="C40">
        <f>Process!$I45*ref_umbral-Process!$G45</f>
        <v>3095809.3851586604</v>
      </c>
      <c r="D40">
        <f>Process!$L45*ref_umbral-Process!$J45</f>
        <v>3095801.0315302894</v>
      </c>
      <c r="E40">
        <f t="shared" si="3"/>
        <v>3095809.3851586604</v>
      </c>
      <c r="F40">
        <f>Process!$H45*ref_umbral-Process!$G45</f>
        <v>3095809.5631313031</v>
      </c>
      <c r="G40">
        <f>Process!$K45*ref_umbral-Process!$J45</f>
        <v>3095804.1863229787</v>
      </c>
      <c r="H40">
        <f t="shared" si="4"/>
        <v>3095809.5631313031</v>
      </c>
      <c r="J40" s="6">
        <f t="shared" si="5"/>
        <v>85000</v>
      </c>
      <c r="K40">
        <v>2631437.7208222849</v>
      </c>
      <c r="L40">
        <v>2631432.4403810054</v>
      </c>
      <c r="M40">
        <v>2631437.7208222849</v>
      </c>
      <c r="N40">
        <v>2631437.8634971012</v>
      </c>
      <c r="O40">
        <v>2631434.4346556957</v>
      </c>
      <c r="P40">
        <v>2631437.8726719869</v>
      </c>
      <c r="Q40" s="6">
        <f t="shared" si="1"/>
        <v>0</v>
      </c>
      <c r="R40" s="6">
        <f t="shared" si="2"/>
        <v>4135.1576818004251</v>
      </c>
    </row>
    <row r="41" spans="3:18" x14ac:dyDescent="0.3">
      <c r="C41">
        <f>Process!$I46*ref_umbral-Process!$G46</f>
        <v>3095809.454999655</v>
      </c>
      <c r="D41">
        <f>Process!$L46*ref_umbral-Process!$J46</f>
        <v>3095805.4818074624</v>
      </c>
      <c r="E41">
        <f t="shared" si="3"/>
        <v>3095809.454999655</v>
      </c>
      <c r="F41">
        <f>Process!$H46*ref_umbral-Process!$G46</f>
        <v>3095809.6862934818</v>
      </c>
      <c r="G41">
        <f>Process!$K46*ref_umbral-Process!$J46</f>
        <v>3095808.477751852</v>
      </c>
      <c r="H41">
        <f t="shared" si="4"/>
        <v>3095809.6862934818</v>
      </c>
      <c r="J41" s="6">
        <f t="shared" si="5"/>
        <v>87500</v>
      </c>
      <c r="K41">
        <v>2708832.9671814749</v>
      </c>
      <c r="L41">
        <v>2708827.5162799973</v>
      </c>
      <c r="M41">
        <v>2708832.9671814749</v>
      </c>
      <c r="N41">
        <v>2708833.1140526133</v>
      </c>
      <c r="O41">
        <v>2708829.5692098285</v>
      </c>
      <c r="P41">
        <v>2708833.1226244974</v>
      </c>
      <c r="Q41" s="6">
        <f t="shared" si="1"/>
        <v>0</v>
      </c>
      <c r="R41" s="6">
        <f t="shared" si="2"/>
        <v>3863.3824645653367</v>
      </c>
    </row>
    <row r="42" spans="3:18" x14ac:dyDescent="0.3">
      <c r="C42">
        <f>Process!$I47*ref_umbral-Process!$G47</f>
        <v>3095809.4921713811</v>
      </c>
      <c r="D42">
        <f>Process!$L47*ref_umbral-Process!$J47</f>
        <v>3095802.8318950254</v>
      </c>
      <c r="E42">
        <f t="shared" si="3"/>
        <v>3095809.4921713811</v>
      </c>
      <c r="F42">
        <f>Process!$H47*ref_umbral-Process!$G47</f>
        <v>3095809.6375607755</v>
      </c>
      <c r="G42">
        <f>Process!$K47*ref_umbral-Process!$J47</f>
        <v>3095804.3600956672</v>
      </c>
      <c r="H42">
        <f t="shared" si="4"/>
        <v>3095809.6375607755</v>
      </c>
      <c r="J42" s="6">
        <f t="shared" si="5"/>
        <v>90000</v>
      </c>
      <c r="K42">
        <v>2786228.213540676</v>
      </c>
      <c r="L42">
        <v>2786222.5921789869</v>
      </c>
      <c r="M42">
        <v>2786228.213540676</v>
      </c>
      <c r="N42">
        <v>2786228.3646081192</v>
      </c>
      <c r="O42">
        <v>2786224.7037639548</v>
      </c>
      <c r="P42">
        <v>2786228.3726148838</v>
      </c>
      <c r="Q42" s="6">
        <f t="shared" si="1"/>
        <v>0</v>
      </c>
      <c r="R42" s="6">
        <f t="shared" si="2"/>
        <v>3608.6808213889599</v>
      </c>
    </row>
    <row r="43" spans="3:18" x14ac:dyDescent="0.3">
      <c r="C43">
        <f>Process!$I48*ref_umbral-Process!$G48</f>
        <v>3095809.2071279353</v>
      </c>
      <c r="D43">
        <f>Process!$L48*ref_umbral-Process!$J48</f>
        <v>3095802.079170879</v>
      </c>
      <c r="E43">
        <f t="shared" si="3"/>
        <v>3095809.2071279353</v>
      </c>
      <c r="F43">
        <f>Process!$H48*ref_umbral-Process!$G48</f>
        <v>3095809.3658096795</v>
      </c>
      <c r="G43">
        <f>Process!$K48*ref_umbral-Process!$J48</f>
        <v>3095804.9077632544</v>
      </c>
      <c r="H43">
        <f t="shared" si="4"/>
        <v>3095809.3658096795</v>
      </c>
      <c r="J43" s="6">
        <f t="shared" si="5"/>
        <v>92500</v>
      </c>
      <c r="K43">
        <v>2863623.4598998576</v>
      </c>
      <c r="L43">
        <v>2863617.6680779816</v>
      </c>
      <c r="M43">
        <v>2863623.4598998576</v>
      </c>
      <c r="N43">
        <v>2863623.6151636378</v>
      </c>
      <c r="O43">
        <v>2863619.8383180918</v>
      </c>
      <c r="P43">
        <v>2863623.6226525577</v>
      </c>
      <c r="Q43" s="6">
        <f t="shared" si="1"/>
        <v>0</v>
      </c>
      <c r="R43" s="6">
        <f t="shared" si="2"/>
        <v>3375.2861490622163</v>
      </c>
    </row>
    <row r="44" spans="3:18" x14ac:dyDescent="0.3">
      <c r="C44">
        <f>Process!$I49*ref_umbral-Process!$G49</f>
        <v>3095809.4587850305</v>
      </c>
      <c r="D44">
        <f>Process!$L49*ref_umbral-Process!$J49</f>
        <v>3095803.7651901976</v>
      </c>
      <c r="E44">
        <f t="shared" si="3"/>
        <v>3095809.4587850305</v>
      </c>
      <c r="F44">
        <f>Process!$H49*ref_umbral-Process!$G49</f>
        <v>3095809.5152762048</v>
      </c>
      <c r="G44">
        <f>Process!$K49*ref_umbral-Process!$J49</f>
        <v>3095806.0845769066</v>
      </c>
      <c r="H44">
        <f t="shared" si="4"/>
        <v>3095809.5152762048</v>
      </c>
      <c r="J44" s="6">
        <f t="shared" si="5"/>
        <v>95000</v>
      </c>
      <c r="K44">
        <v>2941018.7062590569</v>
      </c>
      <c r="L44">
        <v>2941012.7439769791</v>
      </c>
      <c r="M44">
        <v>2941018.7062590569</v>
      </c>
      <c r="N44">
        <v>2941018.8657191447</v>
      </c>
      <c r="O44">
        <v>2941014.9728722172</v>
      </c>
      <c r="P44">
        <v>2941018.8727249061</v>
      </c>
      <c r="Q44" s="6">
        <f t="shared" si="1"/>
        <v>0</v>
      </c>
      <c r="R44" s="6">
        <f t="shared" si="2"/>
        <v>3157.5246758908033</v>
      </c>
    </row>
    <row r="45" spans="3:18" x14ac:dyDescent="0.3">
      <c r="C45">
        <f>Process!$I50*ref_umbral-Process!$G50</f>
        <v>3095809.5296892901</v>
      </c>
      <c r="D45">
        <f>Process!$L50*ref_umbral-Process!$J50</f>
        <v>3095805.6266595805</v>
      </c>
      <c r="E45">
        <f t="shared" si="3"/>
        <v>3095809.5296892901</v>
      </c>
      <c r="F45">
        <f>Process!$H50*ref_umbral-Process!$G50</f>
        <v>3095809.6792103709</v>
      </c>
      <c r="G45">
        <f>Process!$K50*ref_umbral-Process!$J50</f>
        <v>3095809.4120350736</v>
      </c>
      <c r="H45">
        <f t="shared" si="4"/>
        <v>3095809.6792103709</v>
      </c>
      <c r="J45" s="6">
        <f t="shared" si="5"/>
        <v>97500</v>
      </c>
      <c r="K45">
        <v>3018413.9526182562</v>
      </c>
      <c r="L45">
        <v>3018407.8198759658</v>
      </c>
      <c r="M45">
        <v>3018413.9526182562</v>
      </c>
      <c r="N45">
        <v>3018414.1162746623</v>
      </c>
      <c r="O45">
        <v>3018410.1074263444</v>
      </c>
      <c r="P45">
        <v>3018414.1228173645</v>
      </c>
      <c r="Q45" s="6">
        <f t="shared" si="1"/>
        <v>0</v>
      </c>
      <c r="R45" s="6">
        <f t="shared" si="2"/>
        <v>2948.8220548182726</v>
      </c>
    </row>
    <row r="46" spans="3:18" x14ac:dyDescent="0.3">
      <c r="C46">
        <f>Process!$I51*ref_umbral-Process!$G51</f>
        <v>3095809.0218356391</v>
      </c>
      <c r="D46">
        <f>Process!$L51*ref_umbral-Process!$J51</f>
        <v>3095804.6889766911</v>
      </c>
      <c r="E46">
        <f t="shared" si="3"/>
        <v>3095809.0218356391</v>
      </c>
      <c r="F46">
        <f>Process!$H51*ref_umbral-Process!$G51</f>
        <v>3095809.1832015738</v>
      </c>
      <c r="G46">
        <f>Process!$K51*ref_umbral-Process!$J51</f>
        <v>3095807.3580859369</v>
      </c>
      <c r="H46">
        <f t="shared" si="4"/>
        <v>3095809.1832015738</v>
      </c>
      <c r="J46" s="6">
        <f t="shared" si="5"/>
        <v>100000</v>
      </c>
      <c r="K46">
        <v>3095809.1989774411</v>
      </c>
      <c r="L46">
        <v>3095802.8957749596</v>
      </c>
      <c r="M46">
        <v>3095809.1989774411</v>
      </c>
      <c r="N46">
        <v>3095809.3668301688</v>
      </c>
      <c r="O46">
        <v>3095805.2419804777</v>
      </c>
      <c r="P46">
        <v>3095809.3729397971</v>
      </c>
      <c r="Q46" s="6">
        <f t="shared" si="1"/>
        <v>0</v>
      </c>
      <c r="R46" s="6">
        <f t="shared" si="2"/>
        <v>2753.6339406892657</v>
      </c>
    </row>
    <row r="47" spans="3:18" x14ac:dyDescent="0.3">
      <c r="C47">
        <f>Process!$I52*ref_umbral-Process!$G52</f>
        <v>3095809.3005415844</v>
      </c>
      <c r="D47">
        <f>Process!$L52*ref_umbral-Process!$J52</f>
        <v>3095798.9513694677</v>
      </c>
      <c r="E47">
        <f t="shared" si="3"/>
        <v>3095809.3005415844</v>
      </c>
      <c r="F47">
        <f>Process!$H52*ref_umbral-Process!$G52</f>
        <v>3095809.3441712577</v>
      </c>
      <c r="G47">
        <f>Process!$K52*ref_umbral-Process!$J52</f>
        <v>3095801.720847128</v>
      </c>
      <c r="H47">
        <f t="shared" si="4"/>
        <v>3095809.3441712577</v>
      </c>
    </row>
    <row r="48" spans="3:18" x14ac:dyDescent="0.3">
      <c r="C48">
        <f>Process!$I53*ref_umbral-Process!$G53</f>
        <v>3095808.6627975646</v>
      </c>
      <c r="D48">
        <f>Process!$L53*ref_umbral-Process!$J53</f>
        <v>3095801.3213306991</v>
      </c>
      <c r="E48">
        <f t="shared" si="3"/>
        <v>3095808.6627975646</v>
      </c>
      <c r="F48">
        <f>Process!$H53*ref_umbral-Process!$G53</f>
        <v>3095809.0943645439</v>
      </c>
      <c r="G48">
        <f>Process!$K53*ref_umbral-Process!$J53</f>
        <v>3095803.8986545932</v>
      </c>
      <c r="H48">
        <f t="shared" si="4"/>
        <v>3095809.0943645439</v>
      </c>
    </row>
    <row r="49" spans="3:8" x14ac:dyDescent="0.3">
      <c r="C49">
        <f>Process!$I54*ref_umbral-Process!$G54</f>
        <v>3095809.4867069284</v>
      </c>
      <c r="D49">
        <f>Process!$L54*ref_umbral-Process!$J54</f>
        <v>3095799.9607812008</v>
      </c>
      <c r="E49">
        <f t="shared" si="3"/>
        <v>3095809.4867069284</v>
      </c>
      <c r="F49">
        <f>Process!$H54*ref_umbral-Process!$G54</f>
        <v>3095809.5426489441</v>
      </c>
      <c r="G49">
        <f>Process!$K54*ref_umbral-Process!$J54</f>
        <v>3095801.1848418484</v>
      </c>
      <c r="H49">
        <f t="shared" si="4"/>
        <v>3095809.5426489441</v>
      </c>
    </row>
    <row r="50" spans="3:8" x14ac:dyDescent="0.3">
      <c r="C50">
        <f>Process!$I55*ref_umbral-Process!$G55</f>
        <v>3095809.4221954215</v>
      </c>
      <c r="D50">
        <f>Process!$L55*ref_umbral-Process!$J55</f>
        <v>3095798.9567962354</v>
      </c>
      <c r="E50">
        <f t="shared" si="3"/>
        <v>3095809.4221954215</v>
      </c>
      <c r="F50">
        <f>Process!$H55*ref_umbral-Process!$G55</f>
        <v>3095809.4232121427</v>
      </c>
      <c r="G50">
        <f>Process!$K55*ref_umbral-Process!$J55</f>
        <v>3095802.6088289786</v>
      </c>
      <c r="H50">
        <f t="shared" si="4"/>
        <v>3095809.4232121427</v>
      </c>
    </row>
    <row r="51" spans="3:8" x14ac:dyDescent="0.3">
      <c r="C51">
        <f>Process!$I56*ref_umbral-Process!$G56</f>
        <v>3095809.548091671</v>
      </c>
      <c r="D51">
        <f>Process!$L56*ref_umbral-Process!$J56</f>
        <v>3095806.5059754779</v>
      </c>
      <c r="E51">
        <f t="shared" si="3"/>
        <v>3095809.548091671</v>
      </c>
      <c r="F51">
        <f>Process!$H56*ref_umbral-Process!$G56</f>
        <v>3095809.6717219763</v>
      </c>
      <c r="G51">
        <f>Process!$K56*ref_umbral-Process!$J56</f>
        <v>3095807.9531091563</v>
      </c>
      <c r="H51">
        <f t="shared" si="4"/>
        <v>3095809.6717219763</v>
      </c>
    </row>
    <row r="52" spans="3:8" x14ac:dyDescent="0.3">
      <c r="C52">
        <f>Process!$I57*ref_umbral-Process!$G57</f>
        <v>3095809.7253161818</v>
      </c>
      <c r="D52">
        <f>Process!$L57*ref_umbral-Process!$J57</f>
        <v>3095805.8977282606</v>
      </c>
      <c r="E52">
        <f t="shared" si="3"/>
        <v>3095809.7253161818</v>
      </c>
      <c r="F52">
        <f>Process!$H57*ref_umbral-Process!$G57</f>
        <v>3095809.7449019821</v>
      </c>
      <c r="G52">
        <f>Process!$K57*ref_umbral-Process!$J57</f>
        <v>3095807.4605447133</v>
      </c>
      <c r="H52">
        <f t="shared" si="4"/>
        <v>3095809.7449019821</v>
      </c>
    </row>
    <row r="53" spans="3:8" x14ac:dyDescent="0.3">
      <c r="C53">
        <f>Process!$I58*ref_umbral-Process!$G58</f>
        <v>3095809.3912138622</v>
      </c>
      <c r="D53">
        <f>Process!$L58*ref_umbral-Process!$J58</f>
        <v>3095805.232987104</v>
      </c>
      <c r="E53">
        <f t="shared" si="3"/>
        <v>3095809.3912138622</v>
      </c>
      <c r="F53">
        <f>Process!$H58*ref_umbral-Process!$G58</f>
        <v>3095809.4732084237</v>
      </c>
      <c r="G53">
        <f>Process!$K58*ref_umbral-Process!$J58</f>
        <v>3095806.8100378281</v>
      </c>
      <c r="H53">
        <f t="shared" si="4"/>
        <v>3095809.4732084237</v>
      </c>
    </row>
    <row r="54" spans="3:8" x14ac:dyDescent="0.3">
      <c r="C54">
        <f>Process!$I59*ref_umbral-Process!$G59</f>
        <v>3095809.0641443483</v>
      </c>
      <c r="D54">
        <f>Process!$L59*ref_umbral-Process!$J59</f>
        <v>3095800.4529547342</v>
      </c>
      <c r="E54">
        <f t="shared" si="3"/>
        <v>3095809.0641443483</v>
      </c>
      <c r="F54">
        <f>Process!$H59*ref_umbral-Process!$G59</f>
        <v>3095809.2242465429</v>
      </c>
      <c r="G54">
        <f>Process!$K59*ref_umbral-Process!$J59</f>
        <v>3095805.0683192322</v>
      </c>
      <c r="H54">
        <f t="shared" si="4"/>
        <v>3095809.2242465429</v>
      </c>
    </row>
    <row r="55" spans="3:8" x14ac:dyDescent="0.3">
      <c r="C55">
        <f>Process!$I60*ref_umbral-Process!$G60</f>
        <v>3095808.7831785572</v>
      </c>
      <c r="D55">
        <f>Process!$L60*ref_umbral-Process!$J60</f>
        <v>3095802.9761873898</v>
      </c>
      <c r="E55">
        <f t="shared" si="3"/>
        <v>3095808.7831785572</v>
      </c>
      <c r="F55">
        <f>Process!$H60*ref_umbral-Process!$G60</f>
        <v>3095808.993902544</v>
      </c>
      <c r="G55">
        <f>Process!$K60*ref_umbral-Process!$J60</f>
        <v>3095804.2564255353</v>
      </c>
      <c r="H55">
        <f t="shared" si="4"/>
        <v>3095808.993902544</v>
      </c>
    </row>
    <row r="56" spans="3:8" x14ac:dyDescent="0.3">
      <c r="C56">
        <f>Process!$I61*ref_umbral-Process!$G61</f>
        <v>3095809.5066392268</v>
      </c>
      <c r="D56">
        <f>Process!$L61*ref_umbral-Process!$J61</f>
        <v>3095807.4173724609</v>
      </c>
      <c r="E56">
        <f t="shared" si="3"/>
        <v>3095809.5066392268</v>
      </c>
      <c r="F56">
        <f>Process!$H61*ref_umbral-Process!$G61</f>
        <v>3095809.524434628</v>
      </c>
      <c r="G56">
        <f>Process!$K61*ref_umbral-Process!$J61</f>
        <v>3095809.203797726</v>
      </c>
      <c r="H56">
        <f t="shared" si="4"/>
        <v>3095809.524434628</v>
      </c>
    </row>
    <row r="57" spans="3:8" x14ac:dyDescent="0.3">
      <c r="C57">
        <f>Process!$I62*ref_umbral-Process!$G62</f>
        <v>3095809.103370111</v>
      </c>
      <c r="D57">
        <f>Process!$L62*ref_umbral-Process!$J62</f>
        <v>3095804.225673479</v>
      </c>
      <c r="E57">
        <f t="shared" si="3"/>
        <v>3095809.103370111</v>
      </c>
      <c r="F57">
        <f>Process!$H62*ref_umbral-Process!$G62</f>
        <v>3095809.3669924047</v>
      </c>
      <c r="G57">
        <f>Process!$K62*ref_umbral-Process!$J62</f>
        <v>3095807.1260559997</v>
      </c>
      <c r="H57">
        <f t="shared" si="4"/>
        <v>3095809.3669924047</v>
      </c>
    </row>
    <row r="58" spans="3:8" x14ac:dyDescent="0.3">
      <c r="C58">
        <f>Process!$I63*ref_umbral-Process!$G63</f>
        <v>3095809.0771512343</v>
      </c>
      <c r="D58">
        <f>Process!$L63*ref_umbral-Process!$J63</f>
        <v>3095799.8657177892</v>
      </c>
      <c r="E58">
        <f t="shared" si="3"/>
        <v>3095809.0771512343</v>
      </c>
      <c r="F58">
        <f>Process!$H63*ref_umbral-Process!$G63</f>
        <v>3095809.3455078346</v>
      </c>
      <c r="G58">
        <f>Process!$K63*ref_umbral-Process!$J63</f>
        <v>3095802.5472479006</v>
      </c>
      <c r="H58">
        <f t="shared" si="4"/>
        <v>3095809.3455078346</v>
      </c>
    </row>
    <row r="59" spans="3:8" x14ac:dyDescent="0.3">
      <c r="C59">
        <f>Process!$I64*ref_umbral-Process!$G64</f>
        <v>3095809.0123622403</v>
      </c>
      <c r="D59">
        <f>Process!$L64*ref_umbral-Process!$J64</f>
        <v>3095803.1562127843</v>
      </c>
      <c r="E59">
        <f t="shared" si="3"/>
        <v>3095809.0123622403</v>
      </c>
      <c r="F59">
        <f>Process!$H64*ref_umbral-Process!$G64</f>
        <v>3095809.3268596493</v>
      </c>
      <c r="G59">
        <f>Process!$K64*ref_umbral-Process!$J64</f>
        <v>3095807.3815978426</v>
      </c>
      <c r="H59">
        <f t="shared" si="4"/>
        <v>3095809.3268596493</v>
      </c>
    </row>
    <row r="60" spans="3:8" x14ac:dyDescent="0.3">
      <c r="C60">
        <f>Process!$I65*ref_umbral-Process!$G65</f>
        <v>3095809.540856909</v>
      </c>
      <c r="D60">
        <f>Process!$L65*ref_umbral-Process!$J65</f>
        <v>3095806.4735242897</v>
      </c>
      <c r="E60">
        <f t="shared" si="3"/>
        <v>3095809.540856909</v>
      </c>
      <c r="F60">
        <f>Process!$H65*ref_umbral-Process!$G65</f>
        <v>3095809.5847318824</v>
      </c>
      <c r="G60">
        <f>Process!$K65*ref_umbral-Process!$J65</f>
        <v>3095808.1054172092</v>
      </c>
      <c r="H60">
        <f t="shared" si="4"/>
        <v>3095809.5847318824</v>
      </c>
    </row>
    <row r="61" spans="3:8" x14ac:dyDescent="0.3">
      <c r="C61">
        <f>Process!$I66*ref_umbral-Process!$G66</f>
        <v>3095809.4718871973</v>
      </c>
      <c r="D61">
        <f>Process!$L66*ref_umbral-Process!$J66</f>
        <v>3095801.2687248304</v>
      </c>
      <c r="E61">
        <f t="shared" si="3"/>
        <v>3095809.4718871973</v>
      </c>
      <c r="F61">
        <f>Process!$H66*ref_umbral-Process!$G66</f>
        <v>3095809.5167668005</v>
      </c>
      <c r="G61">
        <f>Process!$K66*ref_umbral-Process!$J66</f>
        <v>3095804.590910567</v>
      </c>
      <c r="H61">
        <f t="shared" si="4"/>
        <v>3095809.5167668005</v>
      </c>
    </row>
    <row r="62" spans="3:8" x14ac:dyDescent="0.3">
      <c r="C62">
        <f>Process!$I67*ref_umbral-Process!$G67</f>
        <v>3095809.6319135353</v>
      </c>
      <c r="D62">
        <f>Process!$L67*ref_umbral-Process!$J67</f>
        <v>3095807.1562631242</v>
      </c>
      <c r="E62">
        <f t="shared" si="3"/>
        <v>3095809.6319135353</v>
      </c>
      <c r="F62">
        <f>Process!$H67*ref_umbral-Process!$G67</f>
        <v>3095809.7165989969</v>
      </c>
      <c r="G62">
        <f>Process!$K67*ref_umbral-Process!$J67</f>
        <v>3095809.4931211453</v>
      </c>
      <c r="H62">
        <f t="shared" si="4"/>
        <v>3095809.7165989969</v>
      </c>
    </row>
    <row r="63" spans="3:8" x14ac:dyDescent="0.3">
      <c r="C63">
        <f>Process!$I68*ref_umbral-Process!$G68</f>
        <v>3095809.4755082806</v>
      </c>
      <c r="D63">
        <f>Process!$L68*ref_umbral-Process!$J68</f>
        <v>3095804.1266436046</v>
      </c>
      <c r="E63">
        <f t="shared" si="3"/>
        <v>3095809.4755082806</v>
      </c>
      <c r="F63">
        <f>Process!$H68*ref_umbral-Process!$G68</f>
        <v>3095809.5673482502</v>
      </c>
      <c r="G63">
        <f>Process!$K68*ref_umbral-Process!$J68</f>
        <v>3095806.2096341955</v>
      </c>
      <c r="H63">
        <f t="shared" si="4"/>
        <v>3095809.5673482502</v>
      </c>
    </row>
    <row r="64" spans="3:8" x14ac:dyDescent="0.3">
      <c r="C64">
        <f>Process!$I69*ref_umbral-Process!$G69</f>
        <v>3095809.1499483627</v>
      </c>
      <c r="D64">
        <f>Process!$L69*ref_umbral-Process!$J69</f>
        <v>3095805.9342211741</v>
      </c>
      <c r="E64">
        <f t="shared" si="3"/>
        <v>3095809.1499483627</v>
      </c>
      <c r="F64">
        <f>Process!$H69*ref_umbral-Process!$G69</f>
        <v>3095809.3790735113</v>
      </c>
      <c r="G64">
        <f>Process!$K69*ref_umbral-Process!$J69</f>
        <v>3095809.2645069975</v>
      </c>
      <c r="H64">
        <f t="shared" si="4"/>
        <v>3095809.3790735113</v>
      </c>
    </row>
    <row r="65" spans="3:8" x14ac:dyDescent="0.3">
      <c r="C65">
        <f>Process!$I70*ref_umbral-Process!$G70</f>
        <v>3095808.9714162764</v>
      </c>
      <c r="D65">
        <f>Process!$L70*ref_umbral-Process!$J70</f>
        <v>3095801.4639053619</v>
      </c>
      <c r="E65">
        <f t="shared" si="3"/>
        <v>3095808.9714162764</v>
      </c>
      <c r="F65">
        <f>Process!$H70*ref_umbral-Process!$G70</f>
        <v>3095809.0655234396</v>
      </c>
      <c r="G65">
        <f>Process!$K70*ref_umbral-Process!$J70</f>
        <v>3095804.6926231617</v>
      </c>
      <c r="H65">
        <f t="shared" si="4"/>
        <v>3095809.0655234396</v>
      </c>
    </row>
    <row r="66" spans="3:8" x14ac:dyDescent="0.3">
      <c r="C66">
        <f>Process!$I71*ref_umbral-Process!$G71</f>
        <v>3095809.6923283967</v>
      </c>
      <c r="D66">
        <f>Process!$L71*ref_umbral-Process!$J71</f>
        <v>3095807.235687017</v>
      </c>
      <c r="E66">
        <f t="shared" si="3"/>
        <v>3095809.6923283967</v>
      </c>
      <c r="F66">
        <f>Process!$H71*ref_umbral-Process!$G71</f>
        <v>3095809.7743741865</v>
      </c>
      <c r="G66">
        <f>Process!$K71*ref_umbral-Process!$J71</f>
        <v>3095808.5174208544</v>
      </c>
      <c r="H66">
        <f t="shared" si="4"/>
        <v>3095809.7743741865</v>
      </c>
    </row>
    <row r="67" spans="3:8" x14ac:dyDescent="0.3">
      <c r="C67">
        <f>Process!$I72*ref_umbral-Process!$G72</f>
        <v>3095809.3790920284</v>
      </c>
      <c r="D67">
        <f>Process!$L72*ref_umbral-Process!$J72</f>
        <v>3095803.9586850507</v>
      </c>
      <c r="E67">
        <f t="shared" si="3"/>
        <v>3095809.3790920284</v>
      </c>
      <c r="F67">
        <f>Process!$H72*ref_umbral-Process!$G72</f>
        <v>3095809.4169259625</v>
      </c>
      <c r="G67">
        <f>Process!$K72*ref_umbral-Process!$J72</f>
        <v>3095805.9493851089</v>
      </c>
      <c r="H67">
        <f t="shared" si="4"/>
        <v>3095809.4169259625</v>
      </c>
    </row>
    <row r="68" spans="3:8" x14ac:dyDescent="0.3">
      <c r="C68">
        <f>Process!$I73*ref_umbral-Process!$G73</f>
        <v>3095809.146773288</v>
      </c>
      <c r="D68">
        <f>Process!$L73*ref_umbral-Process!$J73</f>
        <v>3095800.8447593339</v>
      </c>
      <c r="E68">
        <f t="shared" si="3"/>
        <v>3095809.146773288</v>
      </c>
      <c r="F68">
        <f>Process!$H73*ref_umbral-Process!$G73</f>
        <v>3095809.2041065297</v>
      </c>
      <c r="G68">
        <f>Process!$K73*ref_umbral-Process!$J73</f>
        <v>3095801.4060378345</v>
      </c>
      <c r="H68">
        <f t="shared" si="4"/>
        <v>3095809.2041065297</v>
      </c>
    </row>
    <row r="69" spans="3:8" x14ac:dyDescent="0.3">
      <c r="C69">
        <f>Process!$I74*ref_umbral-Process!$G74</f>
        <v>3095809.1741150003</v>
      </c>
      <c r="D69">
        <f>Process!$L74*ref_umbral-Process!$J74</f>
        <v>3095805.8429113226</v>
      </c>
      <c r="E69">
        <f t="shared" si="3"/>
        <v>3095809.1741150003</v>
      </c>
      <c r="F69">
        <f>Process!$H74*ref_umbral-Process!$G74</f>
        <v>3095809.3659933493</v>
      </c>
      <c r="G69">
        <f>Process!$K74*ref_umbral-Process!$J74</f>
        <v>3095808.929566687</v>
      </c>
      <c r="H69">
        <f t="shared" si="4"/>
        <v>3095809.3659933493</v>
      </c>
    </row>
    <row r="70" spans="3:8" x14ac:dyDescent="0.3">
      <c r="C70">
        <f>Process!$I75*ref_umbral-Process!$G75</f>
        <v>3095809.7660600021</v>
      </c>
      <c r="D70">
        <f>Process!$L75*ref_umbral-Process!$J75</f>
        <v>3095808.6587267625</v>
      </c>
      <c r="E70">
        <f t="shared" si="3"/>
        <v>3095809.7660600021</v>
      </c>
      <c r="F70">
        <f>Process!$H75*ref_umbral-Process!$G75</f>
        <v>3095809.8639557483</v>
      </c>
      <c r="G70">
        <f>Process!$K75*ref_umbral-Process!$J75</f>
        <v>3095809.6022712486</v>
      </c>
      <c r="H70">
        <f t="shared" si="4"/>
        <v>3095809.8639557483</v>
      </c>
    </row>
    <row r="71" spans="3:8" x14ac:dyDescent="0.3">
      <c r="C71">
        <f>Process!$I76*ref_umbral-Process!$G76</f>
        <v>3095809.0278911144</v>
      </c>
      <c r="D71">
        <f>Process!$L76*ref_umbral-Process!$J76</f>
        <v>3095805.9583449243</v>
      </c>
      <c r="E71">
        <f t="shared" ref="E71:E134" si="6">MAX(C71,D71)</f>
        <v>3095809.0278911144</v>
      </c>
      <c r="F71">
        <f>Process!$H76*ref_umbral-Process!$G76</f>
        <v>3095809.3855954101</v>
      </c>
      <c r="G71">
        <f>Process!$K76*ref_umbral-Process!$J76</f>
        <v>3095809.6301332512</v>
      </c>
      <c r="H71">
        <f t="shared" ref="H71:H134" si="7">MAX(F71,G71)</f>
        <v>3095809.6301332512</v>
      </c>
    </row>
    <row r="72" spans="3:8" x14ac:dyDescent="0.3">
      <c r="C72">
        <f>Process!$I77*ref_umbral-Process!$G77</f>
        <v>3095809.0560226594</v>
      </c>
      <c r="D72">
        <f>Process!$L77*ref_umbral-Process!$J77</f>
        <v>3095806.3453571834</v>
      </c>
      <c r="E72">
        <f t="shared" si="6"/>
        <v>3095809.0560226594</v>
      </c>
      <c r="F72">
        <f>Process!$H77*ref_umbral-Process!$G77</f>
        <v>3095809.4298505597</v>
      </c>
      <c r="G72">
        <f>Process!$K77*ref_umbral-Process!$J77</f>
        <v>3095809.0341870463</v>
      </c>
      <c r="H72">
        <f t="shared" si="7"/>
        <v>3095809.4298505597</v>
      </c>
    </row>
    <row r="73" spans="3:8" x14ac:dyDescent="0.3">
      <c r="C73">
        <f>Process!$I78*ref_umbral-Process!$G78</f>
        <v>3095809.5605401509</v>
      </c>
      <c r="D73">
        <f>Process!$L78*ref_umbral-Process!$J78</f>
        <v>3095803.5320238043</v>
      </c>
      <c r="E73">
        <f t="shared" si="6"/>
        <v>3095809.5605401509</v>
      </c>
      <c r="F73">
        <f>Process!$H78*ref_umbral-Process!$G78</f>
        <v>3095809.5780033786</v>
      </c>
      <c r="G73">
        <f>Process!$K78*ref_umbral-Process!$J78</f>
        <v>3095805.1988960514</v>
      </c>
      <c r="H73">
        <f t="shared" si="7"/>
        <v>3095809.5780033786</v>
      </c>
    </row>
    <row r="74" spans="3:8" x14ac:dyDescent="0.3">
      <c r="C74">
        <f>Process!$I79*ref_umbral-Process!$G79</f>
        <v>3095808.8116291622</v>
      </c>
      <c r="D74">
        <f>Process!$L79*ref_umbral-Process!$J79</f>
        <v>3095793.0011659861</v>
      </c>
      <c r="E74">
        <f t="shared" si="6"/>
        <v>3095808.8116291622</v>
      </c>
      <c r="F74">
        <f>Process!$H79*ref_umbral-Process!$G79</f>
        <v>3095808.878463726</v>
      </c>
      <c r="G74">
        <f>Process!$K79*ref_umbral-Process!$J79</f>
        <v>3095795.3928717896</v>
      </c>
      <c r="H74">
        <f t="shared" si="7"/>
        <v>3095808.878463726</v>
      </c>
    </row>
    <row r="75" spans="3:8" x14ac:dyDescent="0.3">
      <c r="C75">
        <f>Process!$I80*ref_umbral-Process!$G80</f>
        <v>3095809.2779935366</v>
      </c>
      <c r="D75">
        <f>Process!$L80*ref_umbral-Process!$J80</f>
        <v>3095805.2340108692</v>
      </c>
      <c r="E75">
        <f t="shared" si="6"/>
        <v>3095809.2779935366</v>
      </c>
      <c r="F75">
        <f>Process!$H80*ref_umbral-Process!$G80</f>
        <v>3095809.3459299947</v>
      </c>
      <c r="G75">
        <f>Process!$K80*ref_umbral-Process!$J80</f>
        <v>3095808.4197497875</v>
      </c>
      <c r="H75">
        <f t="shared" si="7"/>
        <v>3095809.3459299947</v>
      </c>
    </row>
    <row r="76" spans="3:8" x14ac:dyDescent="0.3">
      <c r="C76">
        <f>Process!$I81*ref_umbral-Process!$G81</f>
        <v>3095809.4586395519</v>
      </c>
      <c r="D76">
        <f>Process!$L81*ref_umbral-Process!$J81</f>
        <v>3095806.8175532306</v>
      </c>
      <c r="E76">
        <f t="shared" si="6"/>
        <v>3095809.4586395519</v>
      </c>
      <c r="F76">
        <f>Process!$H81*ref_umbral-Process!$G81</f>
        <v>3095809.5897725616</v>
      </c>
      <c r="G76">
        <f>Process!$K81*ref_umbral-Process!$J81</f>
        <v>3095808.6543174386</v>
      </c>
      <c r="H76">
        <f t="shared" si="7"/>
        <v>3095809.5897725616</v>
      </c>
    </row>
    <row r="77" spans="3:8" x14ac:dyDescent="0.3">
      <c r="C77">
        <f>Process!$I82*ref_umbral-Process!$G82</f>
        <v>3095809.7809678311</v>
      </c>
      <c r="D77">
        <f>Process!$L82*ref_umbral-Process!$J82</f>
        <v>3095808.3551044352</v>
      </c>
      <c r="E77">
        <f t="shared" si="6"/>
        <v>3095809.7809678311</v>
      </c>
      <c r="F77">
        <f>Process!$H82*ref_umbral-Process!$G82</f>
        <v>3095809.8604386607</v>
      </c>
      <c r="G77">
        <f>Process!$K82*ref_umbral-Process!$J82</f>
        <v>3095809.6617516894</v>
      </c>
      <c r="H77">
        <f t="shared" si="7"/>
        <v>3095809.8604386607</v>
      </c>
    </row>
    <row r="78" spans="3:8" x14ac:dyDescent="0.3">
      <c r="C78">
        <f>Process!$I83*ref_umbral-Process!$G83</f>
        <v>3095809.4569201311</v>
      </c>
      <c r="D78">
        <f>Process!$L83*ref_umbral-Process!$J83</f>
        <v>3095806.8746363558</v>
      </c>
      <c r="E78">
        <f t="shared" si="6"/>
        <v>3095809.4569201311</v>
      </c>
      <c r="F78">
        <f>Process!$H83*ref_umbral-Process!$G83</f>
        <v>3095809.6180311325</v>
      </c>
      <c r="G78">
        <f>Process!$K83*ref_umbral-Process!$J83</f>
        <v>3095809.3464109134</v>
      </c>
      <c r="H78">
        <f t="shared" si="7"/>
        <v>3095809.6180311325</v>
      </c>
    </row>
    <row r="79" spans="3:8" x14ac:dyDescent="0.3">
      <c r="C79">
        <f>Process!$I84*ref_umbral-Process!$G84</f>
        <v>3095809.1786532472</v>
      </c>
      <c r="D79">
        <f>Process!$L84*ref_umbral-Process!$J84</f>
        <v>3095802.6633967194</v>
      </c>
      <c r="E79">
        <f t="shared" si="6"/>
        <v>3095809.1786532472</v>
      </c>
      <c r="F79">
        <f>Process!$H84*ref_umbral-Process!$G84</f>
        <v>3095809.3951200419</v>
      </c>
      <c r="G79">
        <f>Process!$K84*ref_umbral-Process!$J84</f>
        <v>3095805.5781749012</v>
      </c>
      <c r="H79">
        <f t="shared" si="7"/>
        <v>3095809.3951200419</v>
      </c>
    </row>
    <row r="80" spans="3:8" x14ac:dyDescent="0.3">
      <c r="C80">
        <f>Process!$I85*ref_umbral-Process!$G85</f>
        <v>3095809.5712529379</v>
      </c>
      <c r="D80">
        <f>Process!$L85*ref_umbral-Process!$J85</f>
        <v>3095801.8598118392</v>
      </c>
      <c r="E80">
        <f t="shared" si="6"/>
        <v>3095809.5712529379</v>
      </c>
      <c r="F80">
        <f>Process!$H85*ref_umbral-Process!$G85</f>
        <v>3095809.7235068525</v>
      </c>
      <c r="G80">
        <f>Process!$K85*ref_umbral-Process!$J85</f>
        <v>3095803.5854145358</v>
      </c>
      <c r="H80">
        <f t="shared" si="7"/>
        <v>3095809.7235068525</v>
      </c>
    </row>
    <row r="81" spans="3:8" x14ac:dyDescent="0.3">
      <c r="C81">
        <f>Process!$I86*ref_umbral-Process!$G86</f>
        <v>3095808.9417421515</v>
      </c>
      <c r="D81">
        <f>Process!$L86*ref_umbral-Process!$J86</f>
        <v>3095802.6341724698</v>
      </c>
      <c r="E81">
        <f t="shared" si="6"/>
        <v>3095808.9417421515</v>
      </c>
      <c r="F81">
        <f>Process!$H86*ref_umbral-Process!$G86</f>
        <v>3095809.0957076093</v>
      </c>
      <c r="G81">
        <f>Process!$K86*ref_umbral-Process!$J86</f>
        <v>3095803.893442634</v>
      </c>
      <c r="H81">
        <f t="shared" si="7"/>
        <v>3095809.0957076093</v>
      </c>
    </row>
    <row r="82" spans="3:8" x14ac:dyDescent="0.3">
      <c r="C82">
        <f>Process!$I87*ref_umbral-Process!$G87</f>
        <v>3095809.1055284403</v>
      </c>
      <c r="D82">
        <f>Process!$L87*ref_umbral-Process!$J87</f>
        <v>3095799.7310139905</v>
      </c>
      <c r="E82">
        <f t="shared" si="6"/>
        <v>3095809.1055284403</v>
      </c>
      <c r="F82">
        <f>Process!$H87*ref_umbral-Process!$G87</f>
        <v>3095809.2530255336</v>
      </c>
      <c r="G82">
        <f>Process!$K87*ref_umbral-Process!$J87</f>
        <v>3095802.7534500714</v>
      </c>
      <c r="H82">
        <f t="shared" si="7"/>
        <v>3095809.2530255336</v>
      </c>
    </row>
    <row r="83" spans="3:8" x14ac:dyDescent="0.3">
      <c r="C83">
        <f>Process!$I88*ref_umbral-Process!$G88</f>
        <v>3095809.515823314</v>
      </c>
      <c r="D83">
        <f>Process!$L88*ref_umbral-Process!$J88</f>
        <v>3095802.4275257117</v>
      </c>
      <c r="E83">
        <f t="shared" si="6"/>
        <v>3095809.515823314</v>
      </c>
      <c r="F83">
        <f>Process!$H88*ref_umbral-Process!$G88</f>
        <v>3095809.6402558922</v>
      </c>
      <c r="G83">
        <f>Process!$K88*ref_umbral-Process!$J88</f>
        <v>3095803.9666927429</v>
      </c>
      <c r="H83">
        <f t="shared" si="7"/>
        <v>3095809.6402558922</v>
      </c>
    </row>
    <row r="84" spans="3:8" x14ac:dyDescent="0.3">
      <c r="C84">
        <f>Process!$I89*ref_umbral-Process!$G89</f>
        <v>3095809.3563420521</v>
      </c>
      <c r="D84">
        <f>Process!$L89*ref_umbral-Process!$J89</f>
        <v>3095807.1991513357</v>
      </c>
      <c r="E84">
        <f t="shared" si="6"/>
        <v>3095809.3563420521</v>
      </c>
      <c r="F84">
        <f>Process!$H89*ref_umbral-Process!$G89</f>
        <v>3095809.5646239747</v>
      </c>
      <c r="G84">
        <f>Process!$K89*ref_umbral-Process!$J89</f>
        <v>3095809.6611001682</v>
      </c>
      <c r="H84">
        <f t="shared" si="7"/>
        <v>3095809.6611001682</v>
      </c>
    </row>
    <row r="85" spans="3:8" x14ac:dyDescent="0.3">
      <c r="C85">
        <f>Process!$I90*ref_umbral-Process!$G90</f>
        <v>3095808.9589705509</v>
      </c>
      <c r="D85">
        <f>Process!$L90*ref_umbral-Process!$J90</f>
        <v>3095804.8314032196</v>
      </c>
      <c r="E85">
        <f t="shared" si="6"/>
        <v>3095808.9589705509</v>
      </c>
      <c r="F85">
        <f>Process!$H90*ref_umbral-Process!$G90</f>
        <v>3095809.2642586995</v>
      </c>
      <c r="G85">
        <f>Process!$K90*ref_umbral-Process!$J90</f>
        <v>3095807.7362748301</v>
      </c>
      <c r="H85">
        <f t="shared" si="7"/>
        <v>3095809.2642586995</v>
      </c>
    </row>
    <row r="86" spans="3:8" x14ac:dyDescent="0.3">
      <c r="C86">
        <f>Process!$I91*ref_umbral-Process!$G91</f>
        <v>3095809.5977611099</v>
      </c>
      <c r="D86">
        <f>Process!$L91*ref_umbral-Process!$J91</f>
        <v>3095804.0606981847</v>
      </c>
      <c r="E86">
        <f t="shared" si="6"/>
        <v>3095809.5977611099</v>
      </c>
      <c r="F86">
        <f>Process!$H91*ref_umbral-Process!$G91</f>
        <v>3095809.6246144534</v>
      </c>
      <c r="G86">
        <f>Process!$K91*ref_umbral-Process!$J91</f>
        <v>3095804.8197730314</v>
      </c>
      <c r="H86">
        <f t="shared" si="7"/>
        <v>3095809.6246144534</v>
      </c>
    </row>
    <row r="87" spans="3:8" x14ac:dyDescent="0.3">
      <c r="C87">
        <f>Process!$I92*ref_umbral-Process!$G92</f>
        <v>3095809.3941833847</v>
      </c>
      <c r="D87">
        <f>Process!$L92*ref_umbral-Process!$J92</f>
        <v>3095806.1840156699</v>
      </c>
      <c r="E87">
        <f t="shared" si="6"/>
        <v>3095809.3941833847</v>
      </c>
      <c r="F87">
        <f>Process!$H92*ref_umbral-Process!$G92</f>
        <v>3095809.4687624853</v>
      </c>
      <c r="G87">
        <f>Process!$K92*ref_umbral-Process!$J92</f>
        <v>3095807.9811375011</v>
      </c>
      <c r="H87">
        <f t="shared" si="7"/>
        <v>3095809.4687624853</v>
      </c>
    </row>
    <row r="88" spans="3:8" x14ac:dyDescent="0.3">
      <c r="C88">
        <f>Process!$I93*ref_umbral-Process!$G93</f>
        <v>3095809.5006513973</v>
      </c>
      <c r="D88">
        <f>Process!$L93*ref_umbral-Process!$J93</f>
        <v>3095807.0928985393</v>
      </c>
      <c r="E88">
        <f t="shared" si="6"/>
        <v>3095809.5006513973</v>
      </c>
      <c r="F88">
        <f>Process!$H93*ref_umbral-Process!$G93</f>
        <v>3095809.6336625218</v>
      </c>
      <c r="G88">
        <f>Process!$K93*ref_umbral-Process!$J93</f>
        <v>3095808.9297138052</v>
      </c>
      <c r="H88">
        <f t="shared" si="7"/>
        <v>3095809.6336625218</v>
      </c>
    </row>
    <row r="89" spans="3:8" x14ac:dyDescent="0.3">
      <c r="C89">
        <f>Process!$I94*ref_umbral-Process!$G94</f>
        <v>3095809.3729130244</v>
      </c>
      <c r="D89">
        <f>Process!$L94*ref_umbral-Process!$J94</f>
        <v>3095806.4518262874</v>
      </c>
      <c r="E89">
        <f t="shared" si="6"/>
        <v>3095809.3729130244</v>
      </c>
      <c r="F89">
        <f>Process!$H94*ref_umbral-Process!$G94</f>
        <v>3095809.4357357095</v>
      </c>
      <c r="G89">
        <f>Process!$K94*ref_umbral-Process!$J94</f>
        <v>3095808.7314914078</v>
      </c>
      <c r="H89">
        <f t="shared" si="7"/>
        <v>3095809.4357357095</v>
      </c>
    </row>
    <row r="90" spans="3:8" x14ac:dyDescent="0.3">
      <c r="C90">
        <f>Process!$I95*ref_umbral-Process!$G95</f>
        <v>3095809.7089453992</v>
      </c>
      <c r="D90">
        <f>Process!$L95*ref_umbral-Process!$J95</f>
        <v>3095807.9008056428</v>
      </c>
      <c r="E90">
        <f t="shared" si="6"/>
        <v>3095809.7089453992</v>
      </c>
      <c r="F90">
        <f>Process!$H95*ref_umbral-Process!$G95</f>
        <v>3095809.7825980023</v>
      </c>
      <c r="G90">
        <f>Process!$K95*ref_umbral-Process!$J95</f>
        <v>3095809.3147292673</v>
      </c>
      <c r="H90">
        <f t="shared" si="7"/>
        <v>3095809.7825980023</v>
      </c>
    </row>
    <row r="91" spans="3:8" x14ac:dyDescent="0.3">
      <c r="C91">
        <f>Process!$I96*ref_umbral-Process!$G96</f>
        <v>3095808.9010420013</v>
      </c>
      <c r="D91">
        <f>Process!$L96*ref_umbral-Process!$J96</f>
        <v>3095804.9492982179</v>
      </c>
      <c r="E91">
        <f t="shared" si="6"/>
        <v>3095808.9010420013</v>
      </c>
      <c r="F91">
        <f>Process!$H96*ref_umbral-Process!$G96</f>
        <v>3095809.2708459818</v>
      </c>
      <c r="G91">
        <f>Process!$K96*ref_umbral-Process!$J96</f>
        <v>3095808.3606486586</v>
      </c>
      <c r="H91">
        <f t="shared" si="7"/>
        <v>3095809.2708459818</v>
      </c>
    </row>
    <row r="92" spans="3:8" x14ac:dyDescent="0.3">
      <c r="C92">
        <f>Process!$I97*ref_umbral-Process!$G97</f>
        <v>3095808.8380794078</v>
      </c>
      <c r="D92">
        <f>Process!$L97*ref_umbral-Process!$J97</f>
        <v>3095793.1064882274</v>
      </c>
      <c r="E92">
        <f t="shared" si="6"/>
        <v>3095808.8380794078</v>
      </c>
      <c r="F92">
        <f>Process!$H97*ref_umbral-Process!$G97</f>
        <v>3095808.907238272</v>
      </c>
      <c r="G92">
        <f>Process!$K97*ref_umbral-Process!$J97</f>
        <v>3095794.4546687161</v>
      </c>
      <c r="H92">
        <f t="shared" si="7"/>
        <v>3095808.907238272</v>
      </c>
    </row>
    <row r="93" spans="3:8" x14ac:dyDescent="0.3">
      <c r="C93">
        <f>Process!$I98*ref_umbral-Process!$G98</f>
        <v>3095809.3764635725</v>
      </c>
      <c r="D93">
        <f>Process!$L98*ref_umbral-Process!$J98</f>
        <v>3095799.7844421426</v>
      </c>
      <c r="E93">
        <f t="shared" si="6"/>
        <v>3095809.3764635725</v>
      </c>
      <c r="F93">
        <f>Process!$H98*ref_umbral-Process!$G98</f>
        <v>3095809.3948927289</v>
      </c>
      <c r="G93">
        <f>Process!$K98*ref_umbral-Process!$J98</f>
        <v>3095800.6091320552</v>
      </c>
      <c r="H93">
        <f t="shared" si="7"/>
        <v>3095809.3948927289</v>
      </c>
    </row>
    <row r="94" spans="3:8" x14ac:dyDescent="0.3">
      <c r="C94">
        <f>Process!$I99*ref_umbral-Process!$G99</f>
        <v>3095809.252309069</v>
      </c>
      <c r="D94">
        <f>Process!$L99*ref_umbral-Process!$J99</f>
        <v>3095804.6425693058</v>
      </c>
      <c r="E94">
        <f t="shared" si="6"/>
        <v>3095809.252309069</v>
      </c>
      <c r="F94">
        <f>Process!$H99*ref_umbral-Process!$G99</f>
        <v>3095809.3748666011</v>
      </c>
      <c r="G94">
        <f>Process!$K99*ref_umbral-Process!$J99</f>
        <v>3095808.1192486486</v>
      </c>
      <c r="H94">
        <f t="shared" si="7"/>
        <v>3095809.3748666011</v>
      </c>
    </row>
    <row r="95" spans="3:8" x14ac:dyDescent="0.3">
      <c r="C95">
        <f>Process!$I100*ref_umbral-Process!$G100</f>
        <v>3095809.4697729717</v>
      </c>
      <c r="D95">
        <f>Process!$L100*ref_umbral-Process!$J100</f>
        <v>3095807.0101834442</v>
      </c>
      <c r="E95">
        <f t="shared" si="6"/>
        <v>3095809.4697729717</v>
      </c>
      <c r="F95">
        <f>Process!$H100*ref_umbral-Process!$G100</f>
        <v>3095809.5467166808</v>
      </c>
      <c r="G95">
        <f>Process!$K100*ref_umbral-Process!$J100</f>
        <v>3095809.8358323136</v>
      </c>
      <c r="H95">
        <f t="shared" si="7"/>
        <v>3095809.8358323136</v>
      </c>
    </row>
    <row r="96" spans="3:8" x14ac:dyDescent="0.3">
      <c r="C96">
        <f>Process!$I101*ref_umbral-Process!$G101</f>
        <v>3095808.7659560665</v>
      </c>
      <c r="D96">
        <f>Process!$L101*ref_umbral-Process!$J101</f>
        <v>3095778.2509820112</v>
      </c>
      <c r="E96">
        <f t="shared" si="6"/>
        <v>3095808.7659560665</v>
      </c>
      <c r="F96">
        <f>Process!$H101*ref_umbral-Process!$G101</f>
        <v>3095808.9139390565</v>
      </c>
      <c r="G96">
        <f>Process!$K101*ref_umbral-Process!$J101</f>
        <v>3095778.9883927414</v>
      </c>
      <c r="H96">
        <f t="shared" si="7"/>
        <v>3095808.9139390565</v>
      </c>
    </row>
    <row r="97" spans="3:8" x14ac:dyDescent="0.3">
      <c r="C97">
        <f>Process!$I102*ref_umbral-Process!$G102</f>
        <v>3095809.6679303278</v>
      </c>
      <c r="D97">
        <f>Process!$L102*ref_umbral-Process!$J102</f>
        <v>3095800.3791010301</v>
      </c>
      <c r="E97">
        <f t="shared" si="6"/>
        <v>3095809.6679303278</v>
      </c>
      <c r="F97">
        <f>Process!$H102*ref_umbral-Process!$G102</f>
        <v>3095809.6688908627</v>
      </c>
      <c r="G97">
        <f>Process!$K102*ref_umbral-Process!$J102</f>
        <v>3095802.6513105398</v>
      </c>
      <c r="H97">
        <f t="shared" si="7"/>
        <v>3095809.6688908627</v>
      </c>
    </row>
    <row r="98" spans="3:8" x14ac:dyDescent="0.3">
      <c r="C98">
        <f>Process!$I103*ref_umbral-Process!$G103</f>
        <v>3095809.1072816863</v>
      </c>
      <c r="D98">
        <f>Process!$L103*ref_umbral-Process!$J103</f>
        <v>3095797.4497125545</v>
      </c>
      <c r="E98">
        <f t="shared" si="6"/>
        <v>3095809.1072816863</v>
      </c>
      <c r="F98">
        <f>Process!$H103*ref_umbral-Process!$G103</f>
        <v>3095809.2229422992</v>
      </c>
      <c r="G98">
        <f>Process!$K103*ref_umbral-Process!$J103</f>
        <v>3095800.0805397537</v>
      </c>
      <c r="H98">
        <f t="shared" si="7"/>
        <v>3095809.2229422992</v>
      </c>
    </row>
    <row r="99" spans="3:8" x14ac:dyDescent="0.3">
      <c r="C99">
        <f>Process!$I104*ref_umbral-Process!$G104</f>
        <v>3095809.0921354024</v>
      </c>
      <c r="D99">
        <f>Process!$L104*ref_umbral-Process!$J104</f>
        <v>3095804.3184419298</v>
      </c>
      <c r="E99">
        <f t="shared" si="6"/>
        <v>3095809.0921354024</v>
      </c>
      <c r="F99">
        <f>Process!$H104*ref_umbral-Process!$G104</f>
        <v>3095809.2337572332</v>
      </c>
      <c r="G99">
        <f>Process!$K104*ref_umbral-Process!$J104</f>
        <v>3095806.3623126023</v>
      </c>
      <c r="H99">
        <f t="shared" si="7"/>
        <v>3095809.2337572332</v>
      </c>
    </row>
    <row r="100" spans="3:8" x14ac:dyDescent="0.3">
      <c r="C100">
        <f>Process!$I105*ref_umbral-Process!$G105</f>
        <v>3095809.3022796111</v>
      </c>
      <c r="D100">
        <f>Process!$L105*ref_umbral-Process!$J105</f>
        <v>3095804.279479634</v>
      </c>
      <c r="E100">
        <f t="shared" si="6"/>
        <v>3095809.3022796111</v>
      </c>
      <c r="F100">
        <f>Process!$H105*ref_umbral-Process!$G105</f>
        <v>3095809.4109737398</v>
      </c>
      <c r="G100">
        <f>Process!$K105*ref_umbral-Process!$J105</f>
        <v>3095806.9985022638</v>
      </c>
      <c r="H100">
        <f t="shared" si="7"/>
        <v>3095809.4109737398</v>
      </c>
    </row>
    <row r="101" spans="3:8" x14ac:dyDescent="0.3">
      <c r="C101">
        <f>Process!$I106*ref_umbral-Process!$G106</f>
        <v>3095808.9313394632</v>
      </c>
      <c r="D101">
        <f>Process!$L106*ref_umbral-Process!$J106</f>
        <v>3095800.4481256297</v>
      </c>
      <c r="E101">
        <f t="shared" si="6"/>
        <v>3095808.9313394632</v>
      </c>
      <c r="F101">
        <f>Process!$H106*ref_umbral-Process!$G106</f>
        <v>3095809.0430873083</v>
      </c>
      <c r="G101">
        <f>Process!$K106*ref_umbral-Process!$J106</f>
        <v>3095801.4990112516</v>
      </c>
      <c r="H101">
        <f t="shared" si="7"/>
        <v>3095809.0430873083</v>
      </c>
    </row>
    <row r="102" spans="3:8" x14ac:dyDescent="0.3">
      <c r="C102">
        <f>Process!$I107*ref_umbral-Process!$G107</f>
        <v>3095809.3400116009</v>
      </c>
      <c r="D102">
        <f>Process!$L107*ref_umbral-Process!$J107</f>
        <v>3095798.5328340926</v>
      </c>
      <c r="E102">
        <f t="shared" si="6"/>
        <v>3095809.3400116009</v>
      </c>
      <c r="F102">
        <f>Process!$H107*ref_umbral-Process!$G107</f>
        <v>3095809.4614654453</v>
      </c>
      <c r="G102">
        <f>Process!$K107*ref_umbral-Process!$J107</f>
        <v>3095799.5687152706</v>
      </c>
      <c r="H102">
        <f t="shared" si="7"/>
        <v>3095809.4614654453</v>
      </c>
    </row>
    <row r="103" spans="3:8" x14ac:dyDescent="0.3">
      <c r="C103">
        <f>Process!$I108*ref_umbral-Process!$G108</f>
        <v>3095808.5535808066</v>
      </c>
      <c r="D103">
        <f>Process!$L108*ref_umbral-Process!$J108</f>
        <v>3095802.7303971872</v>
      </c>
      <c r="E103">
        <f t="shared" si="6"/>
        <v>3095808.5535808066</v>
      </c>
      <c r="F103">
        <f>Process!$H108*ref_umbral-Process!$G108</f>
        <v>3095808.9871474029</v>
      </c>
      <c r="G103">
        <f>Process!$K108*ref_umbral-Process!$J108</f>
        <v>3095807.6958030318</v>
      </c>
      <c r="H103">
        <f t="shared" si="7"/>
        <v>3095808.9871474029</v>
      </c>
    </row>
    <row r="104" spans="3:8" x14ac:dyDescent="0.3">
      <c r="C104">
        <f>Process!$I109*ref_umbral-Process!$G109</f>
        <v>3095809.4790328243</v>
      </c>
      <c r="D104">
        <f>Process!$L109*ref_umbral-Process!$J109</f>
        <v>3095805.0794723826</v>
      </c>
      <c r="E104">
        <f t="shared" si="6"/>
        <v>3095809.4790328243</v>
      </c>
      <c r="F104">
        <f>Process!$H109*ref_umbral-Process!$G109</f>
        <v>3095809.6099840421</v>
      </c>
      <c r="G104">
        <f>Process!$K109*ref_umbral-Process!$J109</f>
        <v>3095807.5032182853</v>
      </c>
      <c r="H104">
        <f t="shared" si="7"/>
        <v>3095809.6099840421</v>
      </c>
    </row>
    <row r="105" spans="3:8" x14ac:dyDescent="0.3">
      <c r="C105">
        <f>Process!$I110*ref_umbral-Process!$G110</f>
        <v>3095809.6191633688</v>
      </c>
      <c r="D105">
        <f>Process!$L110*ref_umbral-Process!$J110</f>
        <v>3095804.2800930291</v>
      </c>
      <c r="E105">
        <f t="shared" si="6"/>
        <v>3095809.6191633688</v>
      </c>
      <c r="F105">
        <f>Process!$H110*ref_umbral-Process!$G110</f>
        <v>3095809.7934128786</v>
      </c>
      <c r="G105">
        <f>Process!$K110*ref_umbral-Process!$J110</f>
        <v>3095806.456715236</v>
      </c>
      <c r="H105">
        <f t="shared" si="7"/>
        <v>3095809.7934128786</v>
      </c>
    </row>
    <row r="106" spans="3:8" x14ac:dyDescent="0.3">
      <c r="C106">
        <f>Process!$I111*ref_umbral-Process!$G111</f>
        <v>3095809.3162372415</v>
      </c>
      <c r="D106">
        <f>Process!$L111*ref_umbral-Process!$J111</f>
        <v>3095806.5111863548</v>
      </c>
      <c r="E106">
        <f t="shared" si="6"/>
        <v>3095809.3162372415</v>
      </c>
      <c r="F106">
        <f>Process!$H111*ref_umbral-Process!$G111</f>
        <v>3095809.4759604004</v>
      </c>
      <c r="G106">
        <f>Process!$K111*ref_umbral-Process!$J111</f>
        <v>3095808.9038091348</v>
      </c>
      <c r="H106">
        <f t="shared" si="7"/>
        <v>3095809.4759604004</v>
      </c>
    </row>
    <row r="107" spans="3:8" x14ac:dyDescent="0.3">
      <c r="C107">
        <f>Process!$I112*ref_umbral-Process!$G112</f>
        <v>3095809.323411834</v>
      </c>
      <c r="D107">
        <f>Process!$L112*ref_umbral-Process!$J112</f>
        <v>3095807.4904645197</v>
      </c>
      <c r="E107">
        <f t="shared" si="6"/>
        <v>3095809.323411834</v>
      </c>
      <c r="F107">
        <f>Process!$H112*ref_umbral-Process!$G112</f>
        <v>3095809.4628168819</v>
      </c>
      <c r="G107">
        <f>Process!$K112*ref_umbral-Process!$J112</f>
        <v>3095808.8361646291</v>
      </c>
      <c r="H107">
        <f t="shared" si="7"/>
        <v>3095809.4628168819</v>
      </c>
    </row>
    <row r="108" spans="3:8" x14ac:dyDescent="0.3">
      <c r="C108">
        <f>Process!$I113*ref_umbral-Process!$G113</f>
        <v>3095809.4951197393</v>
      </c>
      <c r="D108">
        <f>Process!$L113*ref_umbral-Process!$J113</f>
        <v>3095806.8316070572</v>
      </c>
      <c r="E108">
        <f t="shared" si="6"/>
        <v>3095809.4951197393</v>
      </c>
      <c r="F108">
        <f>Process!$H113*ref_umbral-Process!$G113</f>
        <v>3095809.5911146742</v>
      </c>
      <c r="G108">
        <f>Process!$K113*ref_umbral-Process!$J113</f>
        <v>3095809.343350152</v>
      </c>
      <c r="H108">
        <f t="shared" si="7"/>
        <v>3095809.5911146742</v>
      </c>
    </row>
    <row r="109" spans="3:8" x14ac:dyDescent="0.3">
      <c r="C109">
        <f>Process!$I114*ref_umbral-Process!$G114</f>
        <v>3095809.3203080017</v>
      </c>
      <c r="D109">
        <f>Process!$L114*ref_umbral-Process!$J114</f>
        <v>3095806.6356191039</v>
      </c>
      <c r="E109">
        <f t="shared" si="6"/>
        <v>3095809.3203080017</v>
      </c>
      <c r="F109">
        <f>Process!$H114*ref_umbral-Process!$G114</f>
        <v>3095809.5510092089</v>
      </c>
      <c r="G109">
        <f>Process!$K114*ref_umbral-Process!$J114</f>
        <v>3095808.7916969163</v>
      </c>
      <c r="H109">
        <f t="shared" si="7"/>
        <v>3095809.5510092089</v>
      </c>
    </row>
    <row r="110" spans="3:8" x14ac:dyDescent="0.3">
      <c r="C110">
        <f>Process!$I115*ref_umbral-Process!$G115</f>
        <v>3095809.5462805829</v>
      </c>
      <c r="D110">
        <f>Process!$L115*ref_umbral-Process!$J115</f>
        <v>3095806.5307068434</v>
      </c>
      <c r="E110">
        <f t="shared" si="6"/>
        <v>3095809.5462805829</v>
      </c>
      <c r="F110">
        <f>Process!$H115*ref_umbral-Process!$G115</f>
        <v>3095809.5683471705</v>
      </c>
      <c r="G110">
        <f>Process!$K115*ref_umbral-Process!$J115</f>
        <v>3095808.2972192559</v>
      </c>
      <c r="H110">
        <f t="shared" si="7"/>
        <v>3095809.5683471705</v>
      </c>
    </row>
    <row r="111" spans="3:8" x14ac:dyDescent="0.3">
      <c r="C111">
        <f>Process!$I116*ref_umbral-Process!$G116</f>
        <v>3095809.2335176603</v>
      </c>
      <c r="D111">
        <f>Process!$L116*ref_umbral-Process!$J116</f>
        <v>3095801.8947504163</v>
      </c>
      <c r="E111">
        <f t="shared" si="6"/>
        <v>3095809.2335176603</v>
      </c>
      <c r="F111">
        <f>Process!$H116*ref_umbral-Process!$G116</f>
        <v>3095809.3236768376</v>
      </c>
      <c r="G111">
        <f>Process!$K116*ref_umbral-Process!$J116</f>
        <v>3095803.3146430557</v>
      </c>
      <c r="H111">
        <f t="shared" si="7"/>
        <v>3095809.3236768376</v>
      </c>
    </row>
    <row r="112" spans="3:8" x14ac:dyDescent="0.3">
      <c r="C112">
        <f>Process!$I117*ref_umbral-Process!$G117</f>
        <v>3095809.492165437</v>
      </c>
      <c r="D112">
        <f>Process!$L117*ref_umbral-Process!$J117</f>
        <v>3095805.7141084885</v>
      </c>
      <c r="E112">
        <f t="shared" si="6"/>
        <v>3095809.492165437</v>
      </c>
      <c r="F112">
        <f>Process!$H117*ref_umbral-Process!$G117</f>
        <v>3095809.6163786701</v>
      </c>
      <c r="G112">
        <f>Process!$K117*ref_umbral-Process!$J117</f>
        <v>3095807.9141475693</v>
      </c>
      <c r="H112">
        <f t="shared" si="7"/>
        <v>3095809.6163786701</v>
      </c>
    </row>
    <row r="113" spans="3:8" x14ac:dyDescent="0.3">
      <c r="C113">
        <f>Process!$I118*ref_umbral-Process!$G118</f>
        <v>3095809.2656503343</v>
      </c>
      <c r="D113">
        <f>Process!$L118*ref_umbral-Process!$J118</f>
        <v>3095798.5034713168</v>
      </c>
      <c r="E113">
        <f t="shared" si="6"/>
        <v>3095809.2656503343</v>
      </c>
      <c r="F113">
        <f>Process!$H118*ref_umbral-Process!$G118</f>
        <v>3095809.3691040762</v>
      </c>
      <c r="G113">
        <f>Process!$K118*ref_umbral-Process!$J118</f>
        <v>3095800.5750892409</v>
      </c>
      <c r="H113">
        <f t="shared" si="7"/>
        <v>3095809.3691040762</v>
      </c>
    </row>
    <row r="114" spans="3:8" x14ac:dyDescent="0.3">
      <c r="C114">
        <f>Process!$I119*ref_umbral-Process!$G119</f>
        <v>3095809.5524460836</v>
      </c>
      <c r="D114">
        <f>Process!$L119*ref_umbral-Process!$J119</f>
        <v>3095807.5654257555</v>
      </c>
      <c r="E114">
        <f t="shared" si="6"/>
        <v>3095809.5524460836</v>
      </c>
      <c r="F114">
        <f>Process!$H119*ref_umbral-Process!$G119</f>
        <v>3095809.6402250812</v>
      </c>
      <c r="G114">
        <f>Process!$K119*ref_umbral-Process!$J119</f>
        <v>3095809.0799764162</v>
      </c>
      <c r="H114">
        <f t="shared" si="7"/>
        <v>3095809.6402250812</v>
      </c>
    </row>
    <row r="115" spans="3:8" x14ac:dyDescent="0.3">
      <c r="C115">
        <f>Process!$I120*ref_umbral-Process!$G120</f>
        <v>3095808.8530205488</v>
      </c>
      <c r="D115">
        <f>Process!$L120*ref_umbral-Process!$J120</f>
        <v>3095803.9469018225</v>
      </c>
      <c r="E115">
        <f t="shared" si="6"/>
        <v>3095808.8530205488</v>
      </c>
      <c r="F115">
        <f>Process!$H120*ref_umbral-Process!$G120</f>
        <v>3095809.0454859561</v>
      </c>
      <c r="G115">
        <f>Process!$K120*ref_umbral-Process!$J120</f>
        <v>3095806.3804958719</v>
      </c>
      <c r="H115">
        <f t="shared" si="7"/>
        <v>3095809.0454859561</v>
      </c>
    </row>
    <row r="116" spans="3:8" x14ac:dyDescent="0.3">
      <c r="C116">
        <f>Process!$I121*ref_umbral-Process!$G121</f>
        <v>3095809.3525951989</v>
      </c>
      <c r="D116">
        <f>Process!$L121*ref_umbral-Process!$J121</f>
        <v>3095806.2071116013</v>
      </c>
      <c r="E116">
        <f t="shared" si="6"/>
        <v>3095809.3525951989</v>
      </c>
      <c r="F116">
        <f>Process!$H121*ref_umbral-Process!$G121</f>
        <v>3095809.5785495224</v>
      </c>
      <c r="G116">
        <f>Process!$K121*ref_umbral-Process!$J121</f>
        <v>3095808.9119264488</v>
      </c>
      <c r="H116">
        <f t="shared" si="7"/>
        <v>3095809.5785495224</v>
      </c>
    </row>
    <row r="117" spans="3:8" x14ac:dyDescent="0.3">
      <c r="C117">
        <f>Process!$I122*ref_umbral-Process!$G122</f>
        <v>3095808.6463951971</v>
      </c>
      <c r="D117">
        <f>Process!$L122*ref_umbral-Process!$J122</f>
        <v>3095804.1402662979</v>
      </c>
      <c r="E117">
        <f t="shared" si="6"/>
        <v>3095808.6463951971</v>
      </c>
      <c r="F117">
        <f>Process!$H122*ref_umbral-Process!$G122</f>
        <v>3095809.0642304835</v>
      </c>
      <c r="G117">
        <f>Process!$K122*ref_umbral-Process!$J122</f>
        <v>3095807.0513420333</v>
      </c>
      <c r="H117">
        <f t="shared" si="7"/>
        <v>3095809.0642304835</v>
      </c>
    </row>
    <row r="118" spans="3:8" x14ac:dyDescent="0.3">
      <c r="C118">
        <f>Process!$I123*ref_umbral-Process!$G123</f>
        <v>3095809.3733907589</v>
      </c>
      <c r="D118">
        <f>Process!$L123*ref_umbral-Process!$J123</f>
        <v>3095804.6778651932</v>
      </c>
      <c r="E118">
        <f t="shared" si="6"/>
        <v>3095809.3733907589</v>
      </c>
      <c r="F118">
        <f>Process!$H123*ref_umbral-Process!$G123</f>
        <v>3095809.5776793291</v>
      </c>
      <c r="G118">
        <f>Process!$K123*ref_umbral-Process!$J123</f>
        <v>3095807.0149567067</v>
      </c>
      <c r="H118">
        <f t="shared" si="7"/>
        <v>3095809.5776793291</v>
      </c>
    </row>
    <row r="119" spans="3:8" x14ac:dyDescent="0.3">
      <c r="C119">
        <f>Process!$I124*ref_umbral-Process!$G124</f>
        <v>3095808.927421107</v>
      </c>
      <c r="D119">
        <f>Process!$L124*ref_umbral-Process!$J124</f>
        <v>3095804.3503591176</v>
      </c>
      <c r="E119">
        <f t="shared" si="6"/>
        <v>3095808.927421107</v>
      </c>
      <c r="F119">
        <f>Process!$H124*ref_umbral-Process!$G124</f>
        <v>3095809.0989014162</v>
      </c>
      <c r="G119">
        <f>Process!$K124*ref_umbral-Process!$J124</f>
        <v>3095808.3105075238</v>
      </c>
      <c r="H119">
        <f t="shared" si="7"/>
        <v>3095809.0989014162</v>
      </c>
    </row>
    <row r="120" spans="3:8" x14ac:dyDescent="0.3">
      <c r="C120">
        <f>Process!$I125*ref_umbral-Process!$G125</f>
        <v>3095808.7777929343</v>
      </c>
      <c r="D120">
        <f>Process!$L125*ref_umbral-Process!$J125</f>
        <v>3095797.3796620229</v>
      </c>
      <c r="E120">
        <f t="shared" si="6"/>
        <v>3095808.7777929343</v>
      </c>
      <c r="F120">
        <f>Process!$H125*ref_umbral-Process!$G125</f>
        <v>3095809.132951254</v>
      </c>
      <c r="G120">
        <f>Process!$K125*ref_umbral-Process!$J125</f>
        <v>3095800.9282492171</v>
      </c>
      <c r="H120">
        <f t="shared" si="7"/>
        <v>3095809.132951254</v>
      </c>
    </row>
    <row r="121" spans="3:8" x14ac:dyDescent="0.3">
      <c r="C121">
        <f>Process!$I126*ref_umbral-Process!$G126</f>
        <v>3095809.1498065861</v>
      </c>
      <c r="D121">
        <f>Process!$L126*ref_umbral-Process!$J126</f>
        <v>3095805.1930014254</v>
      </c>
      <c r="E121">
        <f t="shared" si="6"/>
        <v>3095809.1498065861</v>
      </c>
      <c r="F121">
        <f>Process!$H126*ref_umbral-Process!$G126</f>
        <v>3095809.4550785371</v>
      </c>
      <c r="G121">
        <f>Process!$K126*ref_umbral-Process!$J126</f>
        <v>3095807.8209393807</v>
      </c>
      <c r="H121">
        <f t="shared" si="7"/>
        <v>3095809.4550785371</v>
      </c>
    </row>
    <row r="122" spans="3:8" x14ac:dyDescent="0.3">
      <c r="C122">
        <f>Process!$I127*ref_umbral-Process!$G127</f>
        <v>3095809.1730978219</v>
      </c>
      <c r="D122">
        <f>Process!$L127*ref_umbral-Process!$J127</f>
        <v>3095803.3304724344</v>
      </c>
      <c r="E122">
        <f t="shared" si="6"/>
        <v>3095809.1730978219</v>
      </c>
      <c r="F122">
        <f>Process!$H127*ref_umbral-Process!$G127</f>
        <v>3095809.3830612707</v>
      </c>
      <c r="G122">
        <f>Process!$K127*ref_umbral-Process!$J127</f>
        <v>3095806.1039709705</v>
      </c>
      <c r="H122">
        <f t="shared" si="7"/>
        <v>3095809.3830612707</v>
      </c>
    </row>
    <row r="123" spans="3:8" x14ac:dyDescent="0.3">
      <c r="C123">
        <f>Process!$I128*ref_umbral-Process!$G128</f>
        <v>3095808.9086545925</v>
      </c>
      <c r="D123">
        <f>Process!$L128*ref_umbral-Process!$J128</f>
        <v>3095807.4561115243</v>
      </c>
      <c r="E123">
        <f t="shared" si="6"/>
        <v>3095808.9086545925</v>
      </c>
      <c r="F123">
        <f>Process!$H128*ref_umbral-Process!$G128</f>
        <v>3095809.3623539279</v>
      </c>
      <c r="G123">
        <f>Process!$K128*ref_umbral-Process!$J128</f>
        <v>3095808.821509928</v>
      </c>
      <c r="H123">
        <f t="shared" si="7"/>
        <v>3095809.3623539279</v>
      </c>
    </row>
    <row r="124" spans="3:8" x14ac:dyDescent="0.3">
      <c r="C124">
        <f>Process!$I129*ref_umbral-Process!$G129</f>
        <v>3095809.032242225</v>
      </c>
      <c r="D124">
        <f>Process!$L129*ref_umbral-Process!$J129</f>
        <v>3095805.3109513172</v>
      </c>
      <c r="E124">
        <f t="shared" si="6"/>
        <v>3095809.032242225</v>
      </c>
      <c r="F124">
        <f>Process!$H129*ref_umbral-Process!$G129</f>
        <v>3095809.3061962863</v>
      </c>
      <c r="G124">
        <f>Process!$K129*ref_umbral-Process!$J129</f>
        <v>3095807.5403853869</v>
      </c>
      <c r="H124">
        <f t="shared" si="7"/>
        <v>3095809.3061962863</v>
      </c>
    </row>
    <row r="125" spans="3:8" x14ac:dyDescent="0.3">
      <c r="C125">
        <f>Process!$I130*ref_umbral-Process!$G130</f>
        <v>3095809.7436787463</v>
      </c>
      <c r="D125">
        <f>Process!$L130*ref_umbral-Process!$J130</f>
        <v>3095804.6932934891</v>
      </c>
      <c r="E125">
        <f t="shared" si="6"/>
        <v>3095809.7436787463</v>
      </c>
      <c r="F125">
        <f>Process!$H130*ref_umbral-Process!$G130</f>
        <v>3095809.75148868</v>
      </c>
      <c r="G125">
        <f>Process!$K130*ref_umbral-Process!$J130</f>
        <v>3095806.527602165</v>
      </c>
      <c r="H125">
        <f t="shared" si="7"/>
        <v>3095809.75148868</v>
      </c>
    </row>
    <row r="126" spans="3:8" x14ac:dyDescent="0.3">
      <c r="C126">
        <f>Process!$I131*ref_umbral-Process!$G131</f>
        <v>3095809.5686621093</v>
      </c>
      <c r="D126">
        <f>Process!$L131*ref_umbral-Process!$J131</f>
        <v>3095807.7034815671</v>
      </c>
      <c r="E126">
        <f t="shared" si="6"/>
        <v>3095809.5686621093</v>
      </c>
      <c r="F126">
        <f>Process!$H131*ref_umbral-Process!$G131</f>
        <v>3095809.6788440067</v>
      </c>
      <c r="G126">
        <f>Process!$K131*ref_umbral-Process!$J131</f>
        <v>3095809.3307072734</v>
      </c>
      <c r="H126">
        <f t="shared" si="7"/>
        <v>3095809.6788440067</v>
      </c>
    </row>
    <row r="127" spans="3:8" x14ac:dyDescent="0.3">
      <c r="C127">
        <f>Process!$I132*ref_umbral-Process!$G132</f>
        <v>3095809.0801428389</v>
      </c>
      <c r="D127">
        <f>Process!$L132*ref_umbral-Process!$J132</f>
        <v>3095803.2182628037</v>
      </c>
      <c r="E127">
        <f t="shared" si="6"/>
        <v>3095809.0801428389</v>
      </c>
      <c r="F127">
        <f>Process!$H132*ref_umbral-Process!$G132</f>
        <v>3095809.2069933224</v>
      </c>
      <c r="G127">
        <f>Process!$K132*ref_umbral-Process!$J132</f>
        <v>3095804.7737122937</v>
      </c>
      <c r="H127">
        <f t="shared" si="7"/>
        <v>3095809.2069933224</v>
      </c>
    </row>
    <row r="128" spans="3:8" x14ac:dyDescent="0.3">
      <c r="C128">
        <f>Process!$I133*ref_umbral-Process!$G133</f>
        <v>3095809.7382526561</v>
      </c>
      <c r="D128">
        <f>Process!$L133*ref_umbral-Process!$J133</f>
        <v>3095807.6721110689</v>
      </c>
      <c r="E128">
        <f t="shared" si="6"/>
        <v>3095809.7382526561</v>
      </c>
      <c r="F128">
        <f>Process!$H133*ref_umbral-Process!$G133</f>
        <v>3095809.7538184943</v>
      </c>
      <c r="G128">
        <f>Process!$K133*ref_umbral-Process!$J133</f>
        <v>3095809.3693427541</v>
      </c>
      <c r="H128">
        <f t="shared" si="7"/>
        <v>3095809.7538184943</v>
      </c>
    </row>
    <row r="129" spans="3:8" x14ac:dyDescent="0.3">
      <c r="C129">
        <f>Process!$I134*ref_umbral-Process!$G134</f>
        <v>3095809.4755118182</v>
      </c>
      <c r="D129">
        <f>Process!$L134*ref_umbral-Process!$J134</f>
        <v>3095807.3380613076</v>
      </c>
      <c r="E129">
        <f t="shared" si="6"/>
        <v>3095809.4755118182</v>
      </c>
      <c r="F129">
        <f>Process!$H134*ref_umbral-Process!$G134</f>
        <v>3095809.5122814798</v>
      </c>
      <c r="G129">
        <f>Process!$K134*ref_umbral-Process!$J134</f>
        <v>3095809.1158987153</v>
      </c>
      <c r="H129">
        <f t="shared" si="7"/>
        <v>3095809.5122814798</v>
      </c>
    </row>
    <row r="130" spans="3:8" x14ac:dyDescent="0.3">
      <c r="C130">
        <f>Process!$I135*ref_umbral-Process!$G135</f>
        <v>3095809.2247731308</v>
      </c>
      <c r="D130">
        <f>Process!$L135*ref_umbral-Process!$J135</f>
        <v>3095804.2236180836</v>
      </c>
      <c r="E130">
        <f t="shared" si="6"/>
        <v>3095809.2247731308</v>
      </c>
      <c r="F130">
        <f>Process!$H135*ref_umbral-Process!$G135</f>
        <v>3095809.3193011181</v>
      </c>
      <c r="G130">
        <f>Process!$K135*ref_umbral-Process!$J135</f>
        <v>3095806.4671002375</v>
      </c>
      <c r="H130">
        <f t="shared" si="7"/>
        <v>3095809.3193011181</v>
      </c>
    </row>
    <row r="131" spans="3:8" x14ac:dyDescent="0.3">
      <c r="C131">
        <f>Process!$I136*ref_umbral-Process!$G136</f>
        <v>3095809.1655680025</v>
      </c>
      <c r="D131">
        <f>Process!$L136*ref_umbral-Process!$J136</f>
        <v>3095807.5890305093</v>
      </c>
      <c r="E131">
        <f t="shared" si="6"/>
        <v>3095809.1655680025</v>
      </c>
      <c r="F131">
        <f>Process!$H136*ref_umbral-Process!$G136</f>
        <v>3095809.5123828105</v>
      </c>
      <c r="G131">
        <f>Process!$K136*ref_umbral-Process!$J136</f>
        <v>3095809.3759312555</v>
      </c>
      <c r="H131">
        <f t="shared" si="7"/>
        <v>3095809.5123828105</v>
      </c>
    </row>
    <row r="132" spans="3:8" x14ac:dyDescent="0.3">
      <c r="C132">
        <f>Process!$I137*ref_umbral-Process!$G137</f>
        <v>3095809.5552897374</v>
      </c>
      <c r="D132">
        <f>Process!$L137*ref_umbral-Process!$J137</f>
        <v>3095808.3591660406</v>
      </c>
      <c r="E132">
        <f t="shared" si="6"/>
        <v>3095809.5552897374</v>
      </c>
      <c r="F132">
        <f>Process!$H137*ref_umbral-Process!$G137</f>
        <v>3095809.7491327659</v>
      </c>
      <c r="G132">
        <f>Process!$K137*ref_umbral-Process!$J137</f>
        <v>3095809.8467011312</v>
      </c>
      <c r="H132">
        <f t="shared" si="7"/>
        <v>3095809.8467011312</v>
      </c>
    </row>
    <row r="133" spans="3:8" x14ac:dyDescent="0.3">
      <c r="C133">
        <f>Process!$I138*ref_umbral-Process!$G138</f>
        <v>3095808.7418131353</v>
      </c>
      <c r="D133">
        <f>Process!$L138*ref_umbral-Process!$J138</f>
        <v>3095800.8049358893</v>
      </c>
      <c r="E133">
        <f t="shared" si="6"/>
        <v>3095808.7418131353</v>
      </c>
      <c r="F133">
        <f>Process!$H138*ref_umbral-Process!$G138</f>
        <v>3095809.0605355082</v>
      </c>
      <c r="G133">
        <f>Process!$K138*ref_umbral-Process!$J138</f>
        <v>3095804.5591083295</v>
      </c>
      <c r="H133">
        <f t="shared" si="7"/>
        <v>3095809.0605355082</v>
      </c>
    </row>
    <row r="134" spans="3:8" x14ac:dyDescent="0.3">
      <c r="C134">
        <f>Process!$I139*ref_umbral-Process!$G139</f>
        <v>3095809.5410902682</v>
      </c>
      <c r="D134">
        <f>Process!$L139*ref_umbral-Process!$J139</f>
        <v>3095804.495146329</v>
      </c>
      <c r="E134">
        <f t="shared" si="6"/>
        <v>3095809.5410902682</v>
      </c>
      <c r="F134">
        <f>Process!$H139*ref_umbral-Process!$G139</f>
        <v>3095809.5884305043</v>
      </c>
      <c r="G134">
        <f>Process!$K139*ref_umbral-Process!$J139</f>
        <v>3095806.5902990676</v>
      </c>
      <c r="H134">
        <f t="shared" si="7"/>
        <v>3095809.5884305043</v>
      </c>
    </row>
    <row r="135" spans="3:8" x14ac:dyDescent="0.3">
      <c r="C135">
        <f>Process!$I140*ref_umbral-Process!$G140</f>
        <v>3095808.9099651272</v>
      </c>
      <c r="D135">
        <f>Process!$L140*ref_umbral-Process!$J140</f>
        <v>3095804.0648988597</v>
      </c>
      <c r="E135">
        <f t="shared" ref="E135:E198" si="8">MAX(C135,D135)</f>
        <v>3095808.9099651272</v>
      </c>
      <c r="F135">
        <f>Process!$H140*ref_umbral-Process!$G140</f>
        <v>3095809.1952684722</v>
      </c>
      <c r="G135">
        <f>Process!$K140*ref_umbral-Process!$J140</f>
        <v>3095806.8674059464</v>
      </c>
      <c r="H135">
        <f t="shared" ref="H135:H198" si="9">MAX(F135,G135)</f>
        <v>3095809.1952684722</v>
      </c>
    </row>
    <row r="136" spans="3:8" x14ac:dyDescent="0.3">
      <c r="C136">
        <f>Process!$I141*ref_umbral-Process!$G141</f>
        <v>3095809.1457492518</v>
      </c>
      <c r="D136">
        <f>Process!$L141*ref_umbral-Process!$J141</f>
        <v>3095802.5152987442</v>
      </c>
      <c r="E136">
        <f t="shared" si="8"/>
        <v>3095809.1457492518</v>
      </c>
      <c r="F136">
        <f>Process!$H141*ref_umbral-Process!$G141</f>
        <v>3095809.1777718985</v>
      </c>
      <c r="G136">
        <f>Process!$K141*ref_umbral-Process!$J141</f>
        <v>3095805.5937298941</v>
      </c>
      <c r="H136">
        <f t="shared" si="9"/>
        <v>3095809.1777718985</v>
      </c>
    </row>
    <row r="137" spans="3:8" x14ac:dyDescent="0.3">
      <c r="C137">
        <f>Process!$I142*ref_umbral-Process!$G142</f>
        <v>3095809.3385872468</v>
      </c>
      <c r="D137">
        <f>Process!$L142*ref_umbral-Process!$J142</f>
        <v>3095801.333055052</v>
      </c>
      <c r="E137">
        <f t="shared" si="8"/>
        <v>3095809.3385872468</v>
      </c>
      <c r="F137">
        <f>Process!$H142*ref_umbral-Process!$G142</f>
        <v>3095809.4485307294</v>
      </c>
      <c r="G137">
        <f>Process!$K142*ref_umbral-Process!$J142</f>
        <v>3095803.20083876</v>
      </c>
      <c r="H137">
        <f t="shared" si="9"/>
        <v>3095809.4485307294</v>
      </c>
    </row>
    <row r="138" spans="3:8" x14ac:dyDescent="0.3">
      <c r="C138">
        <f>Process!$I143*ref_umbral-Process!$G143</f>
        <v>3095808.7030787091</v>
      </c>
      <c r="D138">
        <f>Process!$L143*ref_umbral-Process!$J143</f>
        <v>3095805.3318737843</v>
      </c>
      <c r="E138">
        <f t="shared" si="8"/>
        <v>3095808.7030787091</v>
      </c>
      <c r="F138">
        <f>Process!$H143*ref_umbral-Process!$G143</f>
        <v>3095809.2021825025</v>
      </c>
      <c r="G138">
        <f>Process!$K143*ref_umbral-Process!$J143</f>
        <v>3095808.7299948912</v>
      </c>
      <c r="H138">
        <f t="shared" si="9"/>
        <v>3095809.2021825025</v>
      </c>
    </row>
    <row r="139" spans="3:8" x14ac:dyDescent="0.3">
      <c r="C139">
        <f>Process!$I144*ref_umbral-Process!$G144</f>
        <v>3095808.0183132393</v>
      </c>
      <c r="D139">
        <f>Process!$L144*ref_umbral-Process!$J144</f>
        <v>3095801.0775480308</v>
      </c>
      <c r="E139">
        <f t="shared" si="8"/>
        <v>3095808.0183132393</v>
      </c>
      <c r="F139">
        <f>Process!$H144*ref_umbral-Process!$G144</f>
        <v>3095808.6564980447</v>
      </c>
      <c r="G139">
        <f>Process!$K144*ref_umbral-Process!$J144</f>
        <v>3095804.3518483611</v>
      </c>
      <c r="H139">
        <f t="shared" si="9"/>
        <v>3095808.6564980447</v>
      </c>
    </row>
    <row r="140" spans="3:8" x14ac:dyDescent="0.3">
      <c r="C140">
        <f>Process!$I145*ref_umbral-Process!$G145</f>
        <v>3095808.7857758496</v>
      </c>
      <c r="D140">
        <f>Process!$L145*ref_umbral-Process!$J145</f>
        <v>3095799.3756469791</v>
      </c>
      <c r="E140">
        <f t="shared" si="8"/>
        <v>3095808.7857758496</v>
      </c>
      <c r="F140">
        <f>Process!$H145*ref_umbral-Process!$G145</f>
        <v>3095809.0046656313</v>
      </c>
      <c r="G140">
        <f>Process!$K145*ref_umbral-Process!$J145</f>
        <v>3095801.8269082326</v>
      </c>
      <c r="H140">
        <f t="shared" si="9"/>
        <v>3095809.0046656313</v>
      </c>
    </row>
    <row r="141" spans="3:8" x14ac:dyDescent="0.3">
      <c r="C141">
        <f>Process!$I146*ref_umbral-Process!$G146</f>
        <v>3095809.3328684042</v>
      </c>
      <c r="D141">
        <f>Process!$L146*ref_umbral-Process!$J146</f>
        <v>3095803.1725571658</v>
      </c>
      <c r="E141">
        <f t="shared" si="8"/>
        <v>3095809.3328684042</v>
      </c>
      <c r="F141">
        <f>Process!$H146*ref_umbral-Process!$G146</f>
        <v>3095809.5340220379</v>
      </c>
      <c r="G141">
        <f>Process!$K146*ref_umbral-Process!$J146</f>
        <v>3095805.9229718768</v>
      </c>
      <c r="H141">
        <f t="shared" si="9"/>
        <v>3095809.5340220379</v>
      </c>
    </row>
    <row r="142" spans="3:8" x14ac:dyDescent="0.3">
      <c r="C142">
        <f>Process!$I147*ref_umbral-Process!$G147</f>
        <v>3095809.3416426359</v>
      </c>
      <c r="D142">
        <f>Process!$L147*ref_umbral-Process!$J147</f>
        <v>3095800.0251097837</v>
      </c>
      <c r="E142">
        <f t="shared" si="8"/>
        <v>3095809.3416426359</v>
      </c>
      <c r="F142">
        <f>Process!$H147*ref_umbral-Process!$G147</f>
        <v>3095809.441087639</v>
      </c>
      <c r="G142">
        <f>Process!$K147*ref_umbral-Process!$J147</f>
        <v>3095801.1106475508</v>
      </c>
      <c r="H142">
        <f t="shared" si="9"/>
        <v>3095809.441087639</v>
      </c>
    </row>
    <row r="143" spans="3:8" x14ac:dyDescent="0.3">
      <c r="C143">
        <f>Process!$I148*ref_umbral-Process!$G148</f>
        <v>3095809.4187625609</v>
      </c>
      <c r="D143">
        <f>Process!$L148*ref_umbral-Process!$J148</f>
        <v>3095796.8219665284</v>
      </c>
      <c r="E143">
        <f t="shared" si="8"/>
        <v>3095809.4187625609</v>
      </c>
      <c r="F143">
        <f>Process!$H148*ref_umbral-Process!$G148</f>
        <v>3095809.5217448431</v>
      </c>
      <c r="G143">
        <f>Process!$K148*ref_umbral-Process!$J148</f>
        <v>3095797.7706483495</v>
      </c>
      <c r="H143">
        <f t="shared" si="9"/>
        <v>3095809.5217448431</v>
      </c>
    </row>
    <row r="144" spans="3:8" x14ac:dyDescent="0.3">
      <c r="C144">
        <f>Process!$I149*ref_umbral-Process!$G149</f>
        <v>3095809.7570173438</v>
      </c>
      <c r="D144">
        <f>Process!$L149*ref_umbral-Process!$J149</f>
        <v>3095806.181044919</v>
      </c>
      <c r="E144">
        <f t="shared" si="8"/>
        <v>3095809.7570173438</v>
      </c>
      <c r="F144">
        <f>Process!$H149*ref_umbral-Process!$G149</f>
        <v>3095809.7975556268</v>
      </c>
      <c r="G144">
        <f>Process!$K149*ref_umbral-Process!$J149</f>
        <v>3095807.3658448979</v>
      </c>
      <c r="H144">
        <f t="shared" si="9"/>
        <v>3095809.7975556268</v>
      </c>
    </row>
    <row r="145" spans="3:8" x14ac:dyDescent="0.3">
      <c r="C145">
        <f>Process!$I150*ref_umbral-Process!$G150</f>
        <v>3095809.299684484</v>
      </c>
      <c r="D145">
        <f>Process!$L150*ref_umbral-Process!$J150</f>
        <v>3095799.404077237</v>
      </c>
      <c r="E145">
        <f t="shared" si="8"/>
        <v>3095809.299684484</v>
      </c>
      <c r="F145">
        <f>Process!$H150*ref_umbral-Process!$G150</f>
        <v>3095809.5372386998</v>
      </c>
      <c r="G145">
        <f>Process!$K150*ref_umbral-Process!$J150</f>
        <v>3095801.6702617994</v>
      </c>
      <c r="H145">
        <f t="shared" si="9"/>
        <v>3095809.5372386998</v>
      </c>
    </row>
    <row r="146" spans="3:8" x14ac:dyDescent="0.3">
      <c r="C146">
        <f>Process!$I151*ref_umbral-Process!$G151</f>
        <v>3095809.0010927743</v>
      </c>
      <c r="D146">
        <f>Process!$L151*ref_umbral-Process!$J151</f>
        <v>3095802.7062336039</v>
      </c>
      <c r="E146">
        <f t="shared" si="8"/>
        <v>3095809.0010927743</v>
      </c>
      <c r="F146">
        <f>Process!$H151*ref_umbral-Process!$G151</f>
        <v>3095809.1593169919</v>
      </c>
      <c r="G146">
        <f>Process!$K151*ref_umbral-Process!$J151</f>
        <v>3095805.5537062711</v>
      </c>
      <c r="H146">
        <f t="shared" si="9"/>
        <v>3095809.1593169919</v>
      </c>
    </row>
    <row r="147" spans="3:8" x14ac:dyDescent="0.3">
      <c r="C147">
        <f>Process!$I152*ref_umbral-Process!$G152</f>
        <v>3095808.9954949231</v>
      </c>
      <c r="D147">
        <f>Process!$L152*ref_umbral-Process!$J152</f>
        <v>3095808.3027722286</v>
      </c>
      <c r="E147">
        <f t="shared" si="8"/>
        <v>3095808.9954949231</v>
      </c>
      <c r="F147">
        <f>Process!$H152*ref_umbral-Process!$G152</f>
        <v>3095809.4936646661</v>
      </c>
      <c r="G147">
        <f>Process!$K152*ref_umbral-Process!$J152</f>
        <v>3095809.4573594253</v>
      </c>
      <c r="H147">
        <f t="shared" si="9"/>
        <v>3095809.4936646661</v>
      </c>
    </row>
    <row r="148" spans="3:8" x14ac:dyDescent="0.3">
      <c r="C148">
        <f>Process!$I153*ref_umbral-Process!$G153</f>
        <v>3095809.4759434853</v>
      </c>
      <c r="D148">
        <f>Process!$L153*ref_umbral-Process!$J153</f>
        <v>3095804.651064896</v>
      </c>
      <c r="E148">
        <f t="shared" si="8"/>
        <v>3095809.4759434853</v>
      </c>
      <c r="F148">
        <f>Process!$H153*ref_umbral-Process!$G153</f>
        <v>3095809.6497022081</v>
      </c>
      <c r="G148">
        <f>Process!$K153*ref_umbral-Process!$J153</f>
        <v>3095806.9502476486</v>
      </c>
      <c r="H148">
        <f t="shared" si="9"/>
        <v>3095809.6497022081</v>
      </c>
    </row>
    <row r="149" spans="3:8" x14ac:dyDescent="0.3">
      <c r="C149">
        <f>Process!$I154*ref_umbral-Process!$G154</f>
        <v>3095809.4789077542</v>
      </c>
      <c r="D149">
        <f>Process!$L154*ref_umbral-Process!$J154</f>
        <v>3095800.9617301715</v>
      </c>
      <c r="E149">
        <f t="shared" si="8"/>
        <v>3095809.4789077542</v>
      </c>
      <c r="F149">
        <f>Process!$H154*ref_umbral-Process!$G154</f>
        <v>3095809.6069111703</v>
      </c>
      <c r="G149">
        <f>Process!$K154*ref_umbral-Process!$J154</f>
        <v>3095802.7404692606</v>
      </c>
      <c r="H149">
        <f t="shared" si="9"/>
        <v>3095809.6069111703</v>
      </c>
    </row>
    <row r="150" spans="3:8" x14ac:dyDescent="0.3">
      <c r="C150">
        <f>Process!$I155*ref_umbral-Process!$G155</f>
        <v>3095809.4109366974</v>
      </c>
      <c r="D150">
        <f>Process!$L155*ref_umbral-Process!$J155</f>
        <v>3095807.1222000392</v>
      </c>
      <c r="E150">
        <f t="shared" si="8"/>
        <v>3095809.4109366974</v>
      </c>
      <c r="F150">
        <f>Process!$H155*ref_umbral-Process!$G155</f>
        <v>3095809.5238107019</v>
      </c>
      <c r="G150">
        <f>Process!$K155*ref_umbral-Process!$J155</f>
        <v>3095808.139997825</v>
      </c>
      <c r="H150">
        <f t="shared" si="9"/>
        <v>3095809.5238107019</v>
      </c>
    </row>
    <row r="151" spans="3:8" x14ac:dyDescent="0.3">
      <c r="C151">
        <f>Process!$I156*ref_umbral-Process!$G156</f>
        <v>3095809.2552522649</v>
      </c>
      <c r="D151">
        <f>Process!$L156*ref_umbral-Process!$J156</f>
        <v>3095800.8545362488</v>
      </c>
      <c r="E151">
        <f t="shared" si="8"/>
        <v>3095809.2552522649</v>
      </c>
      <c r="F151">
        <f>Process!$H156*ref_umbral-Process!$G156</f>
        <v>3095809.5225599539</v>
      </c>
      <c r="G151">
        <f>Process!$K156*ref_umbral-Process!$J156</f>
        <v>3095804.925656457</v>
      </c>
      <c r="H151">
        <f t="shared" si="9"/>
        <v>3095809.5225599539</v>
      </c>
    </row>
    <row r="152" spans="3:8" x14ac:dyDescent="0.3">
      <c r="C152">
        <f>Process!$I157*ref_umbral-Process!$G157</f>
        <v>3095809.3304200838</v>
      </c>
      <c r="D152">
        <f>Process!$L157*ref_umbral-Process!$J157</f>
        <v>3095806.0917566046</v>
      </c>
      <c r="E152">
        <f t="shared" si="8"/>
        <v>3095809.3304200838</v>
      </c>
      <c r="F152">
        <f>Process!$H157*ref_umbral-Process!$G157</f>
        <v>3095809.4816019051</v>
      </c>
      <c r="G152">
        <f>Process!$K157*ref_umbral-Process!$J157</f>
        <v>3095807.5212144004</v>
      </c>
      <c r="H152">
        <f t="shared" si="9"/>
        <v>3095809.4816019051</v>
      </c>
    </row>
    <row r="153" spans="3:8" x14ac:dyDescent="0.3">
      <c r="C153">
        <f>Process!$I158*ref_umbral-Process!$G158</f>
        <v>3095809.4373603878</v>
      </c>
      <c r="D153">
        <f>Process!$L158*ref_umbral-Process!$J158</f>
        <v>3095804.4295921708</v>
      </c>
      <c r="E153">
        <f t="shared" si="8"/>
        <v>3095809.4373603878</v>
      </c>
      <c r="F153">
        <f>Process!$H158*ref_umbral-Process!$G158</f>
        <v>3095809.6798834698</v>
      </c>
      <c r="G153">
        <f>Process!$K158*ref_umbral-Process!$J158</f>
        <v>3095807.7400462795</v>
      </c>
      <c r="H153">
        <f t="shared" si="9"/>
        <v>3095809.6798834698</v>
      </c>
    </row>
    <row r="154" spans="3:8" x14ac:dyDescent="0.3">
      <c r="C154">
        <f>Process!$I159*ref_umbral-Process!$G159</f>
        <v>3095809.4782369551</v>
      </c>
      <c r="D154">
        <f>Process!$L159*ref_umbral-Process!$J159</f>
        <v>3095803.5200083633</v>
      </c>
      <c r="E154">
        <f t="shared" si="8"/>
        <v>3095809.4782369551</v>
      </c>
      <c r="F154">
        <f>Process!$H159*ref_umbral-Process!$G159</f>
        <v>3095809.5572499055</v>
      </c>
      <c r="G154">
        <f>Process!$K159*ref_umbral-Process!$J159</f>
        <v>3095805.3609741242</v>
      </c>
      <c r="H154">
        <f t="shared" si="9"/>
        <v>3095809.5572499055</v>
      </c>
    </row>
    <row r="155" spans="3:8" x14ac:dyDescent="0.3">
      <c r="C155">
        <f>Process!$I160*ref_umbral-Process!$G160</f>
        <v>3095809.1389530199</v>
      </c>
      <c r="D155">
        <f>Process!$L160*ref_umbral-Process!$J160</f>
        <v>3095802.5354120838</v>
      </c>
      <c r="E155">
        <f t="shared" si="8"/>
        <v>3095809.1389530199</v>
      </c>
      <c r="F155">
        <f>Process!$H160*ref_umbral-Process!$G160</f>
        <v>3095809.3033694089</v>
      </c>
      <c r="G155">
        <f>Process!$K160*ref_umbral-Process!$J160</f>
        <v>3095805.0562539203</v>
      </c>
      <c r="H155">
        <f t="shared" si="9"/>
        <v>3095809.3033694089</v>
      </c>
    </row>
    <row r="156" spans="3:8" x14ac:dyDescent="0.3">
      <c r="C156">
        <f>Process!$I161*ref_umbral-Process!$G161</f>
        <v>3095809.087650687</v>
      </c>
      <c r="D156">
        <f>Process!$L161*ref_umbral-Process!$J161</f>
        <v>3095804.842837193</v>
      </c>
      <c r="E156">
        <f t="shared" si="8"/>
        <v>3095809.087650687</v>
      </c>
      <c r="F156">
        <f>Process!$H161*ref_umbral-Process!$G161</f>
        <v>3095809.3637361364</v>
      </c>
      <c r="G156">
        <f>Process!$K161*ref_umbral-Process!$J161</f>
        <v>3095807.3447432108</v>
      </c>
      <c r="H156">
        <f t="shared" si="9"/>
        <v>3095809.3637361364</v>
      </c>
    </row>
    <row r="157" spans="3:8" x14ac:dyDescent="0.3">
      <c r="C157">
        <f>Process!$I162*ref_umbral-Process!$G162</f>
        <v>3095808.9819123177</v>
      </c>
      <c r="D157">
        <f>Process!$L162*ref_umbral-Process!$J162</f>
        <v>3095803.304383737</v>
      </c>
      <c r="E157">
        <f t="shared" si="8"/>
        <v>3095808.9819123177</v>
      </c>
      <c r="F157">
        <f>Process!$H162*ref_umbral-Process!$G162</f>
        <v>3095809.1015215768</v>
      </c>
      <c r="G157">
        <f>Process!$K162*ref_umbral-Process!$J162</f>
        <v>3095806.5015602568</v>
      </c>
      <c r="H157">
        <f t="shared" si="9"/>
        <v>3095809.1015215768</v>
      </c>
    </row>
    <row r="158" spans="3:8" x14ac:dyDescent="0.3">
      <c r="C158">
        <f>Process!$I163*ref_umbral-Process!$G163</f>
        <v>3095809.5439730487</v>
      </c>
      <c r="D158">
        <f>Process!$L163*ref_umbral-Process!$J163</f>
        <v>3095805.3502056422</v>
      </c>
      <c r="E158">
        <f t="shared" si="8"/>
        <v>3095809.5439730487</v>
      </c>
      <c r="F158">
        <f>Process!$H163*ref_umbral-Process!$G163</f>
        <v>3095809.6694285334</v>
      </c>
      <c r="G158">
        <f>Process!$K163*ref_umbral-Process!$J163</f>
        <v>3095806.8128003874</v>
      </c>
      <c r="H158">
        <f t="shared" si="9"/>
        <v>3095809.6694285334</v>
      </c>
    </row>
    <row r="159" spans="3:8" x14ac:dyDescent="0.3">
      <c r="C159">
        <f>Process!$I164*ref_umbral-Process!$G164</f>
        <v>3095809.4937603199</v>
      </c>
      <c r="D159">
        <f>Process!$L164*ref_umbral-Process!$J164</f>
        <v>3095803.4283405785</v>
      </c>
      <c r="E159">
        <f t="shared" si="8"/>
        <v>3095809.4937603199</v>
      </c>
      <c r="F159">
        <f>Process!$H164*ref_umbral-Process!$G164</f>
        <v>3095809.5790347783</v>
      </c>
      <c r="G159">
        <f>Process!$K164*ref_umbral-Process!$J164</f>
        <v>3095805.1451147851</v>
      </c>
      <c r="H159">
        <f t="shared" si="9"/>
        <v>3095809.5790347783</v>
      </c>
    </row>
    <row r="160" spans="3:8" x14ac:dyDescent="0.3">
      <c r="C160">
        <f>Process!$I165*ref_umbral-Process!$G165</f>
        <v>3095809.5927687287</v>
      </c>
      <c r="D160">
        <f>Process!$L165*ref_umbral-Process!$J165</f>
        <v>3095804.8761601886</v>
      </c>
      <c r="E160">
        <f t="shared" si="8"/>
        <v>3095809.5927687287</v>
      </c>
      <c r="F160">
        <f>Process!$H165*ref_umbral-Process!$G165</f>
        <v>3095809.788726225</v>
      </c>
      <c r="G160">
        <f>Process!$K165*ref_umbral-Process!$J165</f>
        <v>3095807.1851903717</v>
      </c>
      <c r="H160">
        <f t="shared" si="9"/>
        <v>3095809.788726225</v>
      </c>
    </row>
    <row r="161" spans="3:8" x14ac:dyDescent="0.3">
      <c r="C161">
        <f>Process!$I166*ref_umbral-Process!$G166</f>
        <v>3095809.4567677886</v>
      </c>
      <c r="D161">
        <f>Process!$L166*ref_umbral-Process!$J166</f>
        <v>3095802.6279745218</v>
      </c>
      <c r="E161">
        <f t="shared" si="8"/>
        <v>3095809.4567677886</v>
      </c>
      <c r="F161">
        <f>Process!$H166*ref_umbral-Process!$G166</f>
        <v>3095809.5867202133</v>
      </c>
      <c r="G161">
        <f>Process!$K166*ref_umbral-Process!$J166</f>
        <v>3095804.0338948434</v>
      </c>
      <c r="H161">
        <f t="shared" si="9"/>
        <v>3095809.5867202133</v>
      </c>
    </row>
    <row r="162" spans="3:8" x14ac:dyDescent="0.3">
      <c r="C162">
        <f>Process!$I167*ref_umbral-Process!$G167</f>
        <v>3095809.2901519579</v>
      </c>
      <c r="D162">
        <f>Process!$L167*ref_umbral-Process!$J167</f>
        <v>3095801.5769517934</v>
      </c>
      <c r="E162">
        <f t="shared" si="8"/>
        <v>3095809.2901519579</v>
      </c>
      <c r="F162">
        <f>Process!$H167*ref_umbral-Process!$G167</f>
        <v>3095809.4111281773</v>
      </c>
      <c r="G162">
        <f>Process!$K167*ref_umbral-Process!$J167</f>
        <v>3095802.850368354</v>
      </c>
      <c r="H162">
        <f t="shared" si="9"/>
        <v>3095809.4111281773</v>
      </c>
    </row>
    <row r="163" spans="3:8" x14ac:dyDescent="0.3">
      <c r="C163">
        <f>Process!$I168*ref_umbral-Process!$G168</f>
        <v>3095809.0860182634</v>
      </c>
      <c r="D163">
        <f>Process!$L168*ref_umbral-Process!$J168</f>
        <v>3095803.9234727407</v>
      </c>
      <c r="E163">
        <f t="shared" si="8"/>
        <v>3095809.0860182634</v>
      </c>
      <c r="F163">
        <f>Process!$H168*ref_umbral-Process!$G168</f>
        <v>3095809.3218321851</v>
      </c>
      <c r="G163">
        <f>Process!$K168*ref_umbral-Process!$J168</f>
        <v>3095807.0660869819</v>
      </c>
      <c r="H163">
        <f t="shared" si="9"/>
        <v>3095809.3218321851</v>
      </c>
    </row>
    <row r="164" spans="3:8" x14ac:dyDescent="0.3">
      <c r="C164">
        <f>Process!$I169*ref_umbral-Process!$G169</f>
        <v>3095809.1720466185</v>
      </c>
      <c r="D164">
        <f>Process!$L169*ref_umbral-Process!$J169</f>
        <v>3095806.0393829257</v>
      </c>
      <c r="E164">
        <f t="shared" si="8"/>
        <v>3095809.1720466185</v>
      </c>
      <c r="F164">
        <f>Process!$H169*ref_umbral-Process!$G169</f>
        <v>3095809.5161507078</v>
      </c>
      <c r="G164">
        <f>Process!$K169*ref_umbral-Process!$J169</f>
        <v>3095808.2446571728</v>
      </c>
      <c r="H164">
        <f t="shared" si="9"/>
        <v>3095809.5161507078</v>
      </c>
    </row>
    <row r="165" spans="3:8" x14ac:dyDescent="0.3">
      <c r="C165">
        <f>Process!$I170*ref_umbral-Process!$G170</f>
        <v>3095808.9198487154</v>
      </c>
      <c r="D165">
        <f>Process!$L170*ref_umbral-Process!$J170</f>
        <v>3095805.6467923438</v>
      </c>
      <c r="E165">
        <f t="shared" si="8"/>
        <v>3095808.9198487154</v>
      </c>
      <c r="F165">
        <f>Process!$H170*ref_umbral-Process!$G170</f>
        <v>3095809.0653918628</v>
      </c>
      <c r="G165">
        <f>Process!$K170*ref_umbral-Process!$J170</f>
        <v>3095808.2105570897</v>
      </c>
      <c r="H165">
        <f t="shared" si="9"/>
        <v>3095809.0653918628</v>
      </c>
    </row>
    <row r="166" spans="3:8" x14ac:dyDescent="0.3">
      <c r="C166">
        <f>Process!$I171*ref_umbral-Process!$G171</f>
        <v>3095809.4162830855</v>
      </c>
      <c r="D166">
        <f>Process!$L171*ref_umbral-Process!$J171</f>
        <v>3095805.9267882775</v>
      </c>
      <c r="E166">
        <f t="shared" si="8"/>
        <v>3095809.4162830855</v>
      </c>
      <c r="F166">
        <f>Process!$H171*ref_umbral-Process!$G171</f>
        <v>3095809.5854727426</v>
      </c>
      <c r="G166">
        <f>Process!$K171*ref_umbral-Process!$J171</f>
        <v>3095807.9209543816</v>
      </c>
      <c r="H166">
        <f t="shared" si="9"/>
        <v>3095809.5854727426</v>
      </c>
    </row>
    <row r="167" spans="3:8" x14ac:dyDescent="0.3">
      <c r="C167">
        <f>Process!$I172*ref_umbral-Process!$G172</f>
        <v>3095809.4030771493</v>
      </c>
      <c r="D167">
        <f>Process!$L172*ref_umbral-Process!$J172</f>
        <v>3095794.6577987159</v>
      </c>
      <c r="E167">
        <f t="shared" si="8"/>
        <v>3095809.4030771493</v>
      </c>
      <c r="F167">
        <f>Process!$H172*ref_umbral-Process!$G172</f>
        <v>3095809.4306222666</v>
      </c>
      <c r="G167">
        <f>Process!$K172*ref_umbral-Process!$J172</f>
        <v>3095795.8605288342</v>
      </c>
      <c r="H167">
        <f t="shared" si="9"/>
        <v>3095809.4306222666</v>
      </c>
    </row>
    <row r="168" spans="3:8" x14ac:dyDescent="0.3">
      <c r="C168">
        <f>Process!$I173*ref_umbral-Process!$G173</f>
        <v>3095809.2143345959</v>
      </c>
      <c r="D168">
        <f>Process!$L173*ref_umbral-Process!$J173</f>
        <v>3095806.4453182719</v>
      </c>
      <c r="E168">
        <f t="shared" si="8"/>
        <v>3095809.2143345959</v>
      </c>
      <c r="F168">
        <f>Process!$H173*ref_umbral-Process!$G173</f>
        <v>3095809.4366360418</v>
      </c>
      <c r="G168">
        <f>Process!$K173*ref_umbral-Process!$J173</f>
        <v>3095808.4201019402</v>
      </c>
      <c r="H168">
        <f t="shared" si="9"/>
        <v>3095809.4366360418</v>
      </c>
    </row>
    <row r="169" spans="3:8" x14ac:dyDescent="0.3">
      <c r="C169">
        <f>Process!$I174*ref_umbral-Process!$G174</f>
        <v>3095808.7666139859</v>
      </c>
      <c r="D169">
        <f>Process!$L174*ref_umbral-Process!$J174</f>
        <v>3095803.1647846107</v>
      </c>
      <c r="E169">
        <f t="shared" si="8"/>
        <v>3095808.7666139859</v>
      </c>
      <c r="F169">
        <f>Process!$H174*ref_umbral-Process!$G174</f>
        <v>3095809.0232161367</v>
      </c>
      <c r="G169">
        <f>Process!$K174*ref_umbral-Process!$J174</f>
        <v>3095805.4502621475</v>
      </c>
      <c r="H169">
        <f t="shared" si="9"/>
        <v>3095809.0232161367</v>
      </c>
    </row>
    <row r="170" spans="3:8" x14ac:dyDescent="0.3">
      <c r="C170">
        <f>Process!$I175*ref_umbral-Process!$G175</f>
        <v>3095809.1856397367</v>
      </c>
      <c r="D170">
        <f>Process!$L175*ref_umbral-Process!$J175</f>
        <v>3095805.0419572834</v>
      </c>
      <c r="E170">
        <f t="shared" si="8"/>
        <v>3095809.1856397367</v>
      </c>
      <c r="F170">
        <f>Process!$H175*ref_umbral-Process!$G175</f>
        <v>3095809.2976290202</v>
      </c>
      <c r="G170">
        <f>Process!$K175*ref_umbral-Process!$J175</f>
        <v>3095808.8723962894</v>
      </c>
      <c r="H170">
        <f t="shared" si="9"/>
        <v>3095809.2976290202</v>
      </c>
    </row>
    <row r="171" spans="3:8" x14ac:dyDescent="0.3">
      <c r="C171">
        <f>Process!$I176*ref_umbral-Process!$G176</f>
        <v>3095809.1158010671</v>
      </c>
      <c r="D171">
        <f>Process!$L176*ref_umbral-Process!$J176</f>
        <v>3095803.8699017181</v>
      </c>
      <c r="E171">
        <f t="shared" si="8"/>
        <v>3095809.1158010671</v>
      </c>
      <c r="F171">
        <f>Process!$H176*ref_umbral-Process!$G176</f>
        <v>3095809.3139807819</v>
      </c>
      <c r="G171">
        <f>Process!$K176*ref_umbral-Process!$J176</f>
        <v>3095805.8342707031</v>
      </c>
      <c r="H171">
        <f t="shared" si="9"/>
        <v>3095809.3139807819</v>
      </c>
    </row>
    <row r="172" spans="3:8" x14ac:dyDescent="0.3">
      <c r="C172">
        <f>Process!$I177*ref_umbral-Process!$G177</f>
        <v>3095809.42008969</v>
      </c>
      <c r="D172">
        <f>Process!$L177*ref_umbral-Process!$J177</f>
        <v>3095804.765635828</v>
      </c>
      <c r="E172">
        <f t="shared" si="8"/>
        <v>3095809.42008969</v>
      </c>
      <c r="F172">
        <f>Process!$H177*ref_umbral-Process!$G177</f>
        <v>3095809.575575199</v>
      </c>
      <c r="G172">
        <f>Process!$K177*ref_umbral-Process!$J177</f>
        <v>3095806.1556400824</v>
      </c>
      <c r="H172">
        <f t="shared" si="9"/>
        <v>3095809.575575199</v>
      </c>
    </row>
    <row r="173" spans="3:8" x14ac:dyDescent="0.3">
      <c r="C173">
        <f>Process!$I178*ref_umbral-Process!$G178</f>
        <v>3095809.3746262747</v>
      </c>
      <c r="D173">
        <f>Process!$L178*ref_umbral-Process!$J178</f>
        <v>3095805.662668773</v>
      </c>
      <c r="E173">
        <f t="shared" si="8"/>
        <v>3095809.3746262747</v>
      </c>
      <c r="F173">
        <f>Process!$H178*ref_umbral-Process!$G178</f>
        <v>3095809.4690270298</v>
      </c>
      <c r="G173">
        <f>Process!$K178*ref_umbral-Process!$J178</f>
        <v>3095808.580675215</v>
      </c>
      <c r="H173">
        <f t="shared" si="9"/>
        <v>3095809.4690270298</v>
      </c>
    </row>
    <row r="174" spans="3:8" x14ac:dyDescent="0.3">
      <c r="C174">
        <f>Process!$I179*ref_umbral-Process!$G179</f>
        <v>3095809.0272573736</v>
      </c>
      <c r="D174">
        <f>Process!$L179*ref_umbral-Process!$J179</f>
        <v>3095804.6198971383</v>
      </c>
      <c r="E174">
        <f t="shared" si="8"/>
        <v>3095809.0272573736</v>
      </c>
      <c r="F174">
        <f>Process!$H179*ref_umbral-Process!$G179</f>
        <v>3095809.1987055657</v>
      </c>
      <c r="G174">
        <f>Process!$K179*ref_umbral-Process!$J179</f>
        <v>3095806.9316192111</v>
      </c>
      <c r="H174">
        <f t="shared" si="9"/>
        <v>3095809.1987055657</v>
      </c>
    </row>
    <row r="175" spans="3:8" x14ac:dyDescent="0.3">
      <c r="C175">
        <f>Process!$I180*ref_umbral-Process!$G180</f>
        <v>3095809.339907161</v>
      </c>
      <c r="D175">
        <f>Process!$L180*ref_umbral-Process!$J180</f>
        <v>3095804.4521775264</v>
      </c>
      <c r="E175">
        <f t="shared" si="8"/>
        <v>3095809.339907161</v>
      </c>
      <c r="F175">
        <f>Process!$H180*ref_umbral-Process!$G180</f>
        <v>3095809.4593193321</v>
      </c>
      <c r="G175">
        <f>Process!$K180*ref_umbral-Process!$J180</f>
        <v>3095806.2197355558</v>
      </c>
      <c r="H175">
        <f t="shared" si="9"/>
        <v>3095809.4593193321</v>
      </c>
    </row>
    <row r="176" spans="3:8" x14ac:dyDescent="0.3">
      <c r="C176">
        <f>Process!$I181*ref_umbral-Process!$G181</f>
        <v>3095809.2159665073</v>
      </c>
      <c r="D176">
        <f>Process!$L181*ref_umbral-Process!$J181</f>
        <v>3095804.5652286555</v>
      </c>
      <c r="E176">
        <f t="shared" si="8"/>
        <v>3095809.2159665073</v>
      </c>
      <c r="F176">
        <f>Process!$H181*ref_umbral-Process!$G181</f>
        <v>3095809.4476734339</v>
      </c>
      <c r="G176">
        <f>Process!$K181*ref_umbral-Process!$J181</f>
        <v>3095807.2404900463</v>
      </c>
      <c r="H176">
        <f t="shared" si="9"/>
        <v>3095809.4476734339</v>
      </c>
    </row>
    <row r="177" spans="3:8" x14ac:dyDescent="0.3">
      <c r="C177">
        <f>Process!$I182*ref_umbral-Process!$G182</f>
        <v>3095808.4142721239</v>
      </c>
      <c r="D177">
        <f>Process!$L182*ref_umbral-Process!$J182</f>
        <v>3095798.1430456522</v>
      </c>
      <c r="E177">
        <f t="shared" si="8"/>
        <v>3095808.4142721239</v>
      </c>
      <c r="F177">
        <f>Process!$H182*ref_umbral-Process!$G182</f>
        <v>3095808.6563964915</v>
      </c>
      <c r="G177">
        <f>Process!$K182*ref_umbral-Process!$J182</f>
        <v>3095799.8571227472</v>
      </c>
      <c r="H177">
        <f t="shared" si="9"/>
        <v>3095808.6563964915</v>
      </c>
    </row>
    <row r="178" spans="3:8" x14ac:dyDescent="0.3">
      <c r="C178">
        <f>Process!$I183*ref_umbral-Process!$G183</f>
        <v>3095809.028644931</v>
      </c>
      <c r="D178">
        <f>Process!$L183*ref_umbral-Process!$J183</f>
        <v>3095801.3278428311</v>
      </c>
      <c r="E178">
        <f t="shared" si="8"/>
        <v>3095809.028644931</v>
      </c>
      <c r="F178">
        <f>Process!$H183*ref_umbral-Process!$G183</f>
        <v>3095809.2458079089</v>
      </c>
      <c r="G178">
        <f>Process!$K183*ref_umbral-Process!$J183</f>
        <v>3095804.8513817401</v>
      </c>
      <c r="H178">
        <f t="shared" si="9"/>
        <v>3095809.2458079089</v>
      </c>
    </row>
    <row r="179" spans="3:8" x14ac:dyDescent="0.3">
      <c r="C179">
        <f>Process!$I184*ref_umbral-Process!$G184</f>
        <v>3095809.103379244</v>
      </c>
      <c r="D179">
        <f>Process!$L184*ref_umbral-Process!$J184</f>
        <v>3095799.0148394937</v>
      </c>
      <c r="E179">
        <f t="shared" si="8"/>
        <v>3095809.103379244</v>
      </c>
      <c r="F179">
        <f>Process!$H184*ref_umbral-Process!$G184</f>
        <v>3095809.4246788281</v>
      </c>
      <c r="G179">
        <f>Process!$K184*ref_umbral-Process!$J184</f>
        <v>3095802.2904909435</v>
      </c>
      <c r="H179">
        <f t="shared" si="9"/>
        <v>3095809.4246788281</v>
      </c>
    </row>
    <row r="180" spans="3:8" x14ac:dyDescent="0.3">
      <c r="C180">
        <f>Process!$I185*ref_umbral-Process!$G185</f>
        <v>3095809.4348704997</v>
      </c>
      <c r="D180">
        <f>Process!$L185*ref_umbral-Process!$J185</f>
        <v>3095803.2106102002</v>
      </c>
      <c r="E180">
        <f t="shared" si="8"/>
        <v>3095809.4348704997</v>
      </c>
      <c r="F180">
        <f>Process!$H185*ref_umbral-Process!$G185</f>
        <v>3095809.4561286829</v>
      </c>
      <c r="G180">
        <f>Process!$K185*ref_umbral-Process!$J185</f>
        <v>3095805.0670616869</v>
      </c>
      <c r="H180">
        <f t="shared" si="9"/>
        <v>3095809.4561286829</v>
      </c>
    </row>
    <row r="181" spans="3:8" x14ac:dyDescent="0.3">
      <c r="C181">
        <f>Process!$I186*ref_umbral-Process!$G186</f>
        <v>3095806.0789578664</v>
      </c>
      <c r="D181">
        <f>Process!$L186*ref_umbral-Process!$J186</f>
        <v>3095798.0398826147</v>
      </c>
      <c r="E181">
        <f t="shared" si="8"/>
        <v>3095806.0789578664</v>
      </c>
      <c r="F181">
        <f>Process!$H186*ref_umbral-Process!$G186</f>
        <v>3095806.6660122452</v>
      </c>
      <c r="G181">
        <f>Process!$K186*ref_umbral-Process!$J186</f>
        <v>3095799.8755373252</v>
      </c>
      <c r="H181">
        <f t="shared" si="9"/>
        <v>3095806.6660122452</v>
      </c>
    </row>
    <row r="182" spans="3:8" x14ac:dyDescent="0.3">
      <c r="C182">
        <f>Process!$I187*ref_umbral-Process!$G187</f>
        <v>3095808.4428537092</v>
      </c>
      <c r="D182">
        <f>Process!$L187*ref_umbral-Process!$J187</f>
        <v>3095801.1673091445</v>
      </c>
      <c r="E182">
        <f t="shared" si="8"/>
        <v>3095808.4428537092</v>
      </c>
      <c r="F182">
        <f>Process!$H187*ref_umbral-Process!$G187</f>
        <v>3095808.9720159122</v>
      </c>
      <c r="G182">
        <f>Process!$K187*ref_umbral-Process!$J187</f>
        <v>3095806.8802144662</v>
      </c>
      <c r="H182">
        <f t="shared" si="9"/>
        <v>3095808.9720159122</v>
      </c>
    </row>
    <row r="183" spans="3:8" x14ac:dyDescent="0.3">
      <c r="C183">
        <f>Process!$I188*ref_umbral-Process!$G188</f>
        <v>3095809.319925169</v>
      </c>
      <c r="D183">
        <f>Process!$L188*ref_umbral-Process!$J188</f>
        <v>3095795.9446624434</v>
      </c>
      <c r="E183">
        <f t="shared" si="8"/>
        <v>3095809.319925169</v>
      </c>
      <c r="F183">
        <f>Process!$H188*ref_umbral-Process!$G188</f>
        <v>3095809.4434858956</v>
      </c>
      <c r="G183">
        <f>Process!$K188*ref_umbral-Process!$J188</f>
        <v>3095798.0744581418</v>
      </c>
      <c r="H183">
        <f t="shared" si="9"/>
        <v>3095809.4434858956</v>
      </c>
    </row>
    <row r="184" spans="3:8" x14ac:dyDescent="0.3">
      <c r="C184">
        <f>Process!$I189*ref_umbral-Process!$G189</f>
        <v>3095809.3034436144</v>
      </c>
      <c r="D184">
        <f>Process!$L189*ref_umbral-Process!$J189</f>
        <v>3095805.2085843319</v>
      </c>
      <c r="E184">
        <f t="shared" si="8"/>
        <v>3095809.3034436144</v>
      </c>
      <c r="F184">
        <f>Process!$H189*ref_umbral-Process!$G189</f>
        <v>3095809.3755784677</v>
      </c>
      <c r="G184">
        <f>Process!$K189*ref_umbral-Process!$J189</f>
        <v>3095807.3534305985</v>
      </c>
      <c r="H184">
        <f t="shared" si="9"/>
        <v>3095809.3755784677</v>
      </c>
    </row>
    <row r="185" spans="3:8" x14ac:dyDescent="0.3">
      <c r="C185">
        <f>Process!$I190*ref_umbral-Process!$G190</f>
        <v>3095808.8793922816</v>
      </c>
      <c r="D185">
        <f>Process!$L190*ref_umbral-Process!$J190</f>
        <v>3095795.4742485168</v>
      </c>
      <c r="E185">
        <f t="shared" si="8"/>
        <v>3095808.8793922816</v>
      </c>
      <c r="F185">
        <f>Process!$H190*ref_umbral-Process!$G190</f>
        <v>3095809.1214897106</v>
      </c>
      <c r="G185">
        <f>Process!$K190*ref_umbral-Process!$J190</f>
        <v>3095798.3285068013</v>
      </c>
      <c r="H185">
        <f t="shared" si="9"/>
        <v>3095809.1214897106</v>
      </c>
    </row>
    <row r="186" spans="3:8" x14ac:dyDescent="0.3">
      <c r="C186">
        <f>Process!$I191*ref_umbral-Process!$G191</f>
        <v>3095809.3382995799</v>
      </c>
      <c r="D186">
        <f>Process!$L191*ref_umbral-Process!$J191</f>
        <v>3095806.1771381628</v>
      </c>
      <c r="E186">
        <f t="shared" si="8"/>
        <v>3095809.3382995799</v>
      </c>
      <c r="F186">
        <f>Process!$H191*ref_umbral-Process!$G191</f>
        <v>3095809.3929150817</v>
      </c>
      <c r="G186">
        <f>Process!$K191*ref_umbral-Process!$J191</f>
        <v>3095808.387356312</v>
      </c>
      <c r="H186">
        <f t="shared" si="9"/>
        <v>3095809.3929150817</v>
      </c>
    </row>
    <row r="187" spans="3:8" x14ac:dyDescent="0.3">
      <c r="C187">
        <f>Process!$I192*ref_umbral-Process!$G192</f>
        <v>3095808.815170648</v>
      </c>
      <c r="D187">
        <f>Process!$L192*ref_umbral-Process!$J192</f>
        <v>3095799.9370629769</v>
      </c>
      <c r="E187">
        <f t="shared" si="8"/>
        <v>3095808.815170648</v>
      </c>
      <c r="F187">
        <f>Process!$H192*ref_umbral-Process!$G192</f>
        <v>3095809.1762058469</v>
      </c>
      <c r="G187">
        <f>Process!$K192*ref_umbral-Process!$J192</f>
        <v>3095802.9352978999</v>
      </c>
      <c r="H187">
        <f t="shared" si="9"/>
        <v>3095809.1762058469</v>
      </c>
    </row>
    <row r="188" spans="3:8" x14ac:dyDescent="0.3">
      <c r="C188">
        <f>Process!$I193*ref_umbral-Process!$G193</f>
        <v>3095809.5393304452</v>
      </c>
      <c r="D188">
        <f>Process!$L193*ref_umbral-Process!$J193</f>
        <v>3095807.9785293401</v>
      </c>
      <c r="E188">
        <f t="shared" si="8"/>
        <v>3095809.5393304452</v>
      </c>
      <c r="F188">
        <f>Process!$H193*ref_umbral-Process!$G193</f>
        <v>3095809.6724961861</v>
      </c>
      <c r="G188">
        <f>Process!$K193*ref_umbral-Process!$J193</f>
        <v>3095809.3038375266</v>
      </c>
      <c r="H188">
        <f t="shared" si="9"/>
        <v>3095809.6724961861</v>
      </c>
    </row>
    <row r="189" spans="3:8" x14ac:dyDescent="0.3">
      <c r="C189">
        <f>Process!$I194*ref_umbral-Process!$G194</f>
        <v>3095809.3690933227</v>
      </c>
      <c r="D189">
        <f>Process!$L194*ref_umbral-Process!$J194</f>
        <v>3095807.2512633083</v>
      </c>
      <c r="E189">
        <f t="shared" si="8"/>
        <v>3095809.3690933227</v>
      </c>
      <c r="F189">
        <f>Process!$H194*ref_umbral-Process!$G194</f>
        <v>3095809.4137447467</v>
      </c>
      <c r="G189">
        <f>Process!$K194*ref_umbral-Process!$J194</f>
        <v>3095809.512877516</v>
      </c>
      <c r="H189">
        <f t="shared" si="9"/>
        <v>3095809.512877516</v>
      </c>
    </row>
    <row r="190" spans="3:8" x14ac:dyDescent="0.3">
      <c r="C190">
        <f>Process!$I195*ref_umbral-Process!$G195</f>
        <v>3095809.464607303</v>
      </c>
      <c r="D190">
        <f>Process!$L195*ref_umbral-Process!$J195</f>
        <v>3095806.4519995349</v>
      </c>
      <c r="E190">
        <f t="shared" si="8"/>
        <v>3095809.464607303</v>
      </c>
      <c r="F190">
        <f>Process!$H195*ref_umbral-Process!$G195</f>
        <v>3095809.5898523466</v>
      </c>
      <c r="G190">
        <f>Process!$K195*ref_umbral-Process!$J195</f>
        <v>3095808.1362215551</v>
      </c>
      <c r="H190">
        <f t="shared" si="9"/>
        <v>3095809.5898523466</v>
      </c>
    </row>
    <row r="191" spans="3:8" x14ac:dyDescent="0.3">
      <c r="C191">
        <f>Process!$I196*ref_umbral-Process!$G196</f>
        <v>3095809.5661312048</v>
      </c>
      <c r="D191">
        <f>Process!$L196*ref_umbral-Process!$J196</f>
        <v>3095805.8104581493</v>
      </c>
      <c r="E191">
        <f t="shared" si="8"/>
        <v>3095809.5661312048</v>
      </c>
      <c r="F191">
        <f>Process!$H196*ref_umbral-Process!$G196</f>
        <v>3095809.6868614466</v>
      </c>
      <c r="G191">
        <f>Process!$K196*ref_umbral-Process!$J196</f>
        <v>3095807.1961343191</v>
      </c>
      <c r="H191">
        <f t="shared" si="9"/>
        <v>3095809.6868614466</v>
      </c>
    </row>
    <row r="192" spans="3:8" x14ac:dyDescent="0.3">
      <c r="C192">
        <f>Process!$I197*ref_umbral-Process!$G197</f>
        <v>3095809.5227616816</v>
      </c>
      <c r="D192">
        <f>Process!$L197*ref_umbral-Process!$J197</f>
        <v>3095803.0895800865</v>
      </c>
      <c r="E192">
        <f t="shared" si="8"/>
        <v>3095809.5227616816</v>
      </c>
      <c r="F192">
        <f>Process!$H197*ref_umbral-Process!$G197</f>
        <v>3095809.5389084532</v>
      </c>
      <c r="G192">
        <f>Process!$K197*ref_umbral-Process!$J197</f>
        <v>3095805.8084898712</v>
      </c>
      <c r="H192">
        <f t="shared" si="9"/>
        <v>3095809.5389084532</v>
      </c>
    </row>
    <row r="193" spans="3:8" x14ac:dyDescent="0.3">
      <c r="C193">
        <f>Process!$I198*ref_umbral-Process!$G198</f>
        <v>3095809.0162350442</v>
      </c>
      <c r="D193">
        <f>Process!$L198*ref_umbral-Process!$J198</f>
        <v>3095807.0737689505</v>
      </c>
      <c r="E193">
        <f t="shared" si="8"/>
        <v>3095809.0162350442</v>
      </c>
      <c r="F193">
        <f>Process!$H198*ref_umbral-Process!$G198</f>
        <v>3095809.1764266742</v>
      </c>
      <c r="G193">
        <f>Process!$K198*ref_umbral-Process!$J198</f>
        <v>3095809.5646899864</v>
      </c>
      <c r="H193">
        <f t="shared" si="9"/>
        <v>3095809.5646899864</v>
      </c>
    </row>
    <row r="194" spans="3:8" x14ac:dyDescent="0.3">
      <c r="C194">
        <f>Process!$I199*ref_umbral-Process!$G199</f>
        <v>3095807.9594374355</v>
      </c>
      <c r="D194">
        <f>Process!$L199*ref_umbral-Process!$J199</f>
        <v>3095805.9137445861</v>
      </c>
      <c r="E194">
        <f t="shared" si="8"/>
        <v>3095807.9594374355</v>
      </c>
      <c r="F194">
        <f>Process!$H199*ref_umbral-Process!$G199</f>
        <v>3095808.6876185611</v>
      </c>
      <c r="G194">
        <f>Process!$K199*ref_umbral-Process!$J199</f>
        <v>3095807.5065312432</v>
      </c>
      <c r="H194">
        <f t="shared" si="9"/>
        <v>3095808.6876185611</v>
      </c>
    </row>
    <row r="195" spans="3:8" x14ac:dyDescent="0.3">
      <c r="C195">
        <f>Process!$I200*ref_umbral-Process!$G200</f>
        <v>3095809.5342979017</v>
      </c>
      <c r="D195">
        <f>Process!$L200*ref_umbral-Process!$J200</f>
        <v>3095804.0097040185</v>
      </c>
      <c r="E195">
        <f t="shared" si="8"/>
        <v>3095809.5342979017</v>
      </c>
      <c r="F195">
        <f>Process!$H200*ref_umbral-Process!$G200</f>
        <v>3095809.6625531679</v>
      </c>
      <c r="G195">
        <f>Process!$K200*ref_umbral-Process!$J200</f>
        <v>3095805.478491751</v>
      </c>
      <c r="H195">
        <f t="shared" si="9"/>
        <v>3095809.6625531679</v>
      </c>
    </row>
    <row r="196" spans="3:8" x14ac:dyDescent="0.3">
      <c r="C196">
        <f>Process!$I201*ref_umbral-Process!$G201</f>
        <v>3095809.4006021637</v>
      </c>
      <c r="D196">
        <f>Process!$L201*ref_umbral-Process!$J201</f>
        <v>3095806.4777340079</v>
      </c>
      <c r="E196">
        <f t="shared" si="8"/>
        <v>3095809.4006021637</v>
      </c>
      <c r="F196">
        <f>Process!$H201*ref_umbral-Process!$G201</f>
        <v>3095809.5071267243</v>
      </c>
      <c r="G196">
        <f>Process!$K201*ref_umbral-Process!$J201</f>
        <v>3095808.713723633</v>
      </c>
      <c r="H196">
        <f t="shared" si="9"/>
        <v>3095809.5071267243</v>
      </c>
    </row>
    <row r="197" spans="3:8" x14ac:dyDescent="0.3">
      <c r="C197">
        <f>Process!$I202*ref_umbral-Process!$G202</f>
        <v>3095809.2771445359</v>
      </c>
      <c r="D197">
        <f>Process!$L202*ref_umbral-Process!$J202</f>
        <v>3095803.8239377164</v>
      </c>
      <c r="E197">
        <f t="shared" si="8"/>
        <v>3095809.2771445359</v>
      </c>
      <c r="F197">
        <f>Process!$H202*ref_umbral-Process!$G202</f>
        <v>3095809.4970180541</v>
      </c>
      <c r="G197">
        <f>Process!$K202*ref_umbral-Process!$J202</f>
        <v>3095806.770205806</v>
      </c>
      <c r="H197">
        <f t="shared" si="9"/>
        <v>3095809.4970180541</v>
      </c>
    </row>
    <row r="198" spans="3:8" x14ac:dyDescent="0.3">
      <c r="C198">
        <f>Process!$I203*ref_umbral-Process!$G203</f>
        <v>3095809.1875065975</v>
      </c>
      <c r="D198">
        <f>Process!$L203*ref_umbral-Process!$J203</f>
        <v>3095805.0982019757</v>
      </c>
      <c r="E198">
        <f t="shared" si="8"/>
        <v>3095809.1875065975</v>
      </c>
      <c r="F198">
        <f>Process!$H203*ref_umbral-Process!$G203</f>
        <v>3095809.4324978171</v>
      </c>
      <c r="G198">
        <f>Process!$K203*ref_umbral-Process!$J203</f>
        <v>3095807.6418586439</v>
      </c>
      <c r="H198">
        <f t="shared" si="9"/>
        <v>3095809.4324978171</v>
      </c>
    </row>
    <row r="199" spans="3:8" x14ac:dyDescent="0.3">
      <c r="C199">
        <f>Process!$I204*ref_umbral-Process!$G204</f>
        <v>3095808.7193042566</v>
      </c>
      <c r="D199">
        <f>Process!$L204*ref_umbral-Process!$J204</f>
        <v>3095792.7680460848</v>
      </c>
      <c r="E199">
        <f t="shared" ref="E199:E262" si="10">MAX(C199,D199)</f>
        <v>3095808.7193042566</v>
      </c>
      <c r="F199">
        <f>Process!$H204*ref_umbral-Process!$G204</f>
        <v>3095809.0257862331</v>
      </c>
      <c r="G199">
        <f>Process!$K204*ref_umbral-Process!$J204</f>
        <v>3095796.3633247679</v>
      </c>
      <c r="H199">
        <f t="shared" ref="H199:H262" si="11">MAX(F199,G199)</f>
        <v>3095809.0257862331</v>
      </c>
    </row>
    <row r="200" spans="3:8" x14ac:dyDescent="0.3">
      <c r="C200">
        <f>Process!$I205*ref_umbral-Process!$G205</f>
        <v>3095809.1364109642</v>
      </c>
      <c r="D200">
        <f>Process!$L205*ref_umbral-Process!$J205</f>
        <v>3095804.9161707317</v>
      </c>
      <c r="E200">
        <f t="shared" si="10"/>
        <v>3095809.1364109642</v>
      </c>
      <c r="F200">
        <f>Process!$H205*ref_umbral-Process!$G205</f>
        <v>3095809.3326187427</v>
      </c>
      <c r="G200">
        <f>Process!$K205*ref_umbral-Process!$J205</f>
        <v>3095808.815469706</v>
      </c>
      <c r="H200">
        <f t="shared" si="11"/>
        <v>3095809.3326187427</v>
      </c>
    </row>
    <row r="201" spans="3:8" x14ac:dyDescent="0.3">
      <c r="C201">
        <f>Process!$I206*ref_umbral-Process!$G206</f>
        <v>3095809.3041484817</v>
      </c>
      <c r="D201">
        <f>Process!$L206*ref_umbral-Process!$J206</f>
        <v>3095806.5679260883</v>
      </c>
      <c r="E201">
        <f t="shared" si="10"/>
        <v>3095809.3041484817</v>
      </c>
      <c r="F201">
        <f>Process!$H206*ref_umbral-Process!$G206</f>
        <v>3095809.3503282368</v>
      </c>
      <c r="G201">
        <f>Process!$K206*ref_umbral-Process!$J206</f>
        <v>3095809.0155184665</v>
      </c>
      <c r="H201">
        <f t="shared" si="11"/>
        <v>3095809.3503282368</v>
      </c>
    </row>
    <row r="202" spans="3:8" x14ac:dyDescent="0.3">
      <c r="C202">
        <f>Process!$I207*ref_umbral-Process!$G207</f>
        <v>3095809.4600870027</v>
      </c>
      <c r="D202">
        <f>Process!$L207*ref_umbral-Process!$J207</f>
        <v>3095801.6011299808</v>
      </c>
      <c r="E202">
        <f t="shared" si="10"/>
        <v>3095809.4600870027</v>
      </c>
      <c r="F202">
        <f>Process!$H207*ref_umbral-Process!$G207</f>
        <v>3095809.4752394757</v>
      </c>
      <c r="G202">
        <f>Process!$K207*ref_umbral-Process!$J207</f>
        <v>3095802.9216191503</v>
      </c>
      <c r="H202">
        <f t="shared" si="11"/>
        <v>3095809.4752394757</v>
      </c>
    </row>
    <row r="203" spans="3:8" x14ac:dyDescent="0.3">
      <c r="C203">
        <f>Process!$I208*ref_umbral-Process!$G208</f>
        <v>3095809.4245738722</v>
      </c>
      <c r="D203">
        <f>Process!$L208*ref_umbral-Process!$J208</f>
        <v>3095805.0659180423</v>
      </c>
      <c r="E203">
        <f t="shared" si="10"/>
        <v>3095809.4245738722</v>
      </c>
      <c r="F203">
        <f>Process!$H208*ref_umbral-Process!$G208</f>
        <v>3095809.5042963279</v>
      </c>
      <c r="G203">
        <f>Process!$K208*ref_umbral-Process!$J208</f>
        <v>3095806.208298719</v>
      </c>
      <c r="H203">
        <f t="shared" si="11"/>
        <v>3095809.5042963279</v>
      </c>
    </row>
    <row r="204" spans="3:8" x14ac:dyDescent="0.3">
      <c r="C204">
        <f>Process!$I209*ref_umbral-Process!$G209</f>
        <v>3095809.3817862771</v>
      </c>
      <c r="D204">
        <f>Process!$L209*ref_umbral-Process!$J209</f>
        <v>3095807.4774957499</v>
      </c>
      <c r="E204">
        <f t="shared" si="10"/>
        <v>3095809.3817862771</v>
      </c>
      <c r="F204">
        <f>Process!$H209*ref_umbral-Process!$G209</f>
        <v>3095809.5723358355</v>
      </c>
      <c r="G204">
        <f>Process!$K209*ref_umbral-Process!$J209</f>
        <v>3095809.4942239928</v>
      </c>
      <c r="H204">
        <f t="shared" si="11"/>
        <v>3095809.5723358355</v>
      </c>
    </row>
    <row r="205" spans="3:8" x14ac:dyDescent="0.3">
      <c r="C205">
        <f>Process!$I210*ref_umbral-Process!$G210</f>
        <v>3095809.3408843232</v>
      </c>
      <c r="D205">
        <f>Process!$L210*ref_umbral-Process!$J210</f>
        <v>3095804.7714965246</v>
      </c>
      <c r="E205">
        <f t="shared" si="10"/>
        <v>3095809.3408843232</v>
      </c>
      <c r="F205">
        <f>Process!$H210*ref_umbral-Process!$G210</f>
        <v>3095809.5257599223</v>
      </c>
      <c r="G205">
        <f>Process!$K210*ref_umbral-Process!$J210</f>
        <v>3095808.0051114191</v>
      </c>
      <c r="H205">
        <f t="shared" si="11"/>
        <v>3095809.5257599223</v>
      </c>
    </row>
    <row r="206" spans="3:8" x14ac:dyDescent="0.3">
      <c r="C206">
        <f>Process!$I211*ref_umbral-Process!$G211</f>
        <v>3095809.1487871986</v>
      </c>
      <c r="D206">
        <f>Process!$L211*ref_umbral-Process!$J211</f>
        <v>3095803.337876881</v>
      </c>
      <c r="E206">
        <f t="shared" si="10"/>
        <v>3095809.1487871986</v>
      </c>
      <c r="F206">
        <f>Process!$H211*ref_umbral-Process!$G211</f>
        <v>3095809.3397685122</v>
      </c>
      <c r="G206">
        <f>Process!$K211*ref_umbral-Process!$J211</f>
        <v>3095805.873924532</v>
      </c>
      <c r="H206">
        <f t="shared" si="11"/>
        <v>3095809.3397685122</v>
      </c>
    </row>
    <row r="207" spans="3:8" x14ac:dyDescent="0.3">
      <c r="C207">
        <f>Process!$I212*ref_umbral-Process!$G212</f>
        <v>3095809.3623926411</v>
      </c>
      <c r="D207">
        <f>Process!$L212*ref_umbral-Process!$J212</f>
        <v>3095792.1964322403</v>
      </c>
      <c r="E207">
        <f t="shared" si="10"/>
        <v>3095809.3623926411</v>
      </c>
      <c r="F207">
        <f>Process!$H212*ref_umbral-Process!$G212</f>
        <v>3095809.4306790009</v>
      </c>
      <c r="G207">
        <f>Process!$K212*ref_umbral-Process!$J212</f>
        <v>3095793.4408935448</v>
      </c>
      <c r="H207">
        <f t="shared" si="11"/>
        <v>3095809.4306790009</v>
      </c>
    </row>
    <row r="208" spans="3:8" x14ac:dyDescent="0.3">
      <c r="C208">
        <f>Process!$I213*ref_umbral-Process!$G213</f>
        <v>3095809.4158516065</v>
      </c>
      <c r="D208">
        <f>Process!$L213*ref_umbral-Process!$J213</f>
        <v>3095800.0386963268</v>
      </c>
      <c r="E208">
        <f t="shared" si="10"/>
        <v>3095809.4158516065</v>
      </c>
      <c r="F208">
        <f>Process!$H213*ref_umbral-Process!$G213</f>
        <v>3095809.5026608072</v>
      </c>
      <c r="G208">
        <f>Process!$K213*ref_umbral-Process!$J213</f>
        <v>3095802.8315975545</v>
      </c>
      <c r="H208">
        <f t="shared" si="11"/>
        <v>3095809.5026608072</v>
      </c>
    </row>
    <row r="209" spans="3:8" x14ac:dyDescent="0.3">
      <c r="C209">
        <f>Process!$I214*ref_umbral-Process!$G214</f>
        <v>3095809.376537553</v>
      </c>
      <c r="D209">
        <f>Process!$L214*ref_umbral-Process!$J214</f>
        <v>3095806.1919968664</v>
      </c>
      <c r="E209">
        <f t="shared" si="10"/>
        <v>3095809.376537553</v>
      </c>
      <c r="F209">
        <f>Process!$H214*ref_umbral-Process!$G214</f>
        <v>3095809.5749319154</v>
      </c>
      <c r="G209">
        <f>Process!$K214*ref_umbral-Process!$J214</f>
        <v>3095808.4075212395</v>
      </c>
      <c r="H209">
        <f t="shared" si="11"/>
        <v>3095809.5749319154</v>
      </c>
    </row>
    <row r="210" spans="3:8" x14ac:dyDescent="0.3">
      <c r="C210">
        <f>Process!$I215*ref_umbral-Process!$G215</f>
        <v>3095808.8558249604</v>
      </c>
      <c r="D210">
        <f>Process!$L215*ref_umbral-Process!$J215</f>
        <v>3095801.5659049172</v>
      </c>
      <c r="E210">
        <f t="shared" si="10"/>
        <v>3095808.8558249604</v>
      </c>
      <c r="F210">
        <f>Process!$H215*ref_umbral-Process!$G215</f>
        <v>3095809.1211543428</v>
      </c>
      <c r="G210">
        <f>Process!$K215*ref_umbral-Process!$J215</f>
        <v>3095806.1407577577</v>
      </c>
      <c r="H210">
        <f t="shared" si="11"/>
        <v>3095809.1211543428</v>
      </c>
    </row>
    <row r="211" spans="3:8" x14ac:dyDescent="0.3">
      <c r="C211">
        <f>Process!$I216*ref_umbral-Process!$G216</f>
        <v>3095808.9737613173</v>
      </c>
      <c r="D211">
        <f>Process!$L216*ref_umbral-Process!$J216</f>
        <v>3095804.5454285764</v>
      </c>
      <c r="E211">
        <f t="shared" si="10"/>
        <v>3095808.9737613173</v>
      </c>
      <c r="F211">
        <f>Process!$H216*ref_umbral-Process!$G216</f>
        <v>3095809.2014525421</v>
      </c>
      <c r="G211">
        <f>Process!$K216*ref_umbral-Process!$J216</f>
        <v>3095808.4275921029</v>
      </c>
      <c r="H211">
        <f t="shared" si="11"/>
        <v>3095809.2014525421</v>
      </c>
    </row>
    <row r="212" spans="3:8" x14ac:dyDescent="0.3">
      <c r="C212">
        <f>Process!$I217*ref_umbral-Process!$G217</f>
        <v>3095808.8019339009</v>
      </c>
      <c r="D212">
        <f>Process!$L217*ref_umbral-Process!$J217</f>
        <v>3095803.2406533798</v>
      </c>
      <c r="E212">
        <f t="shared" si="10"/>
        <v>3095808.8019339009</v>
      </c>
      <c r="F212">
        <f>Process!$H217*ref_umbral-Process!$G217</f>
        <v>3095809.1824613824</v>
      </c>
      <c r="G212">
        <f>Process!$K217*ref_umbral-Process!$J217</f>
        <v>3095806.696858007</v>
      </c>
      <c r="H212">
        <f t="shared" si="11"/>
        <v>3095809.1824613824</v>
      </c>
    </row>
    <row r="213" spans="3:8" x14ac:dyDescent="0.3">
      <c r="C213">
        <f>Process!$I218*ref_umbral-Process!$G218</f>
        <v>3095809.6413550852</v>
      </c>
      <c r="D213">
        <f>Process!$L218*ref_umbral-Process!$J218</f>
        <v>3095807.5311348182</v>
      </c>
      <c r="E213">
        <f t="shared" si="10"/>
        <v>3095809.6413550852</v>
      </c>
      <c r="F213">
        <f>Process!$H218*ref_umbral-Process!$G218</f>
        <v>3095809.7427937747</v>
      </c>
      <c r="G213">
        <f>Process!$K218*ref_umbral-Process!$J218</f>
        <v>3095808.7601796365</v>
      </c>
      <c r="H213">
        <f t="shared" si="11"/>
        <v>3095809.7427937747</v>
      </c>
    </row>
    <row r="214" spans="3:8" x14ac:dyDescent="0.3">
      <c r="C214">
        <f>Process!$I219*ref_umbral-Process!$G219</f>
        <v>3095809.3110805582</v>
      </c>
      <c r="D214">
        <f>Process!$L219*ref_umbral-Process!$J219</f>
        <v>3095802.0285830731</v>
      </c>
      <c r="E214">
        <f t="shared" si="10"/>
        <v>3095809.3110805582</v>
      </c>
      <c r="F214">
        <f>Process!$H219*ref_umbral-Process!$G219</f>
        <v>3095809.516320019</v>
      </c>
      <c r="G214">
        <f>Process!$K219*ref_umbral-Process!$J219</f>
        <v>3095804.9639228601</v>
      </c>
      <c r="H214">
        <f t="shared" si="11"/>
        <v>3095809.516320019</v>
      </c>
    </row>
    <row r="215" spans="3:8" x14ac:dyDescent="0.3">
      <c r="C215">
        <f>Process!$I220*ref_umbral-Process!$G220</f>
        <v>3095809.0307546188</v>
      </c>
      <c r="D215">
        <f>Process!$L220*ref_umbral-Process!$J220</f>
        <v>3095801.136697188</v>
      </c>
      <c r="E215">
        <f t="shared" si="10"/>
        <v>3095809.0307546188</v>
      </c>
      <c r="F215">
        <f>Process!$H220*ref_umbral-Process!$G220</f>
        <v>3095809.1621644776</v>
      </c>
      <c r="G215">
        <f>Process!$K220*ref_umbral-Process!$J220</f>
        <v>3095802.3618524908</v>
      </c>
      <c r="H215">
        <f t="shared" si="11"/>
        <v>3095809.1621644776</v>
      </c>
    </row>
    <row r="216" spans="3:8" x14ac:dyDescent="0.3">
      <c r="C216">
        <f>Process!$I221*ref_umbral-Process!$G221</f>
        <v>3095809.0436133561</v>
      </c>
      <c r="D216">
        <f>Process!$L221*ref_umbral-Process!$J221</f>
        <v>3095803.8162404839</v>
      </c>
      <c r="E216">
        <f t="shared" si="10"/>
        <v>3095809.0436133561</v>
      </c>
      <c r="F216">
        <f>Process!$H221*ref_umbral-Process!$G221</f>
        <v>3095809.2774262642</v>
      </c>
      <c r="G216">
        <f>Process!$K221*ref_umbral-Process!$J221</f>
        <v>3095807.0611702278</v>
      </c>
      <c r="H216">
        <f t="shared" si="11"/>
        <v>3095809.2774262642</v>
      </c>
    </row>
    <row r="217" spans="3:8" x14ac:dyDescent="0.3">
      <c r="C217">
        <f>Process!$I222*ref_umbral-Process!$G222</f>
        <v>3095809.4362892667</v>
      </c>
      <c r="D217">
        <f>Process!$L222*ref_umbral-Process!$J222</f>
        <v>3095806.9886721042</v>
      </c>
      <c r="E217">
        <f t="shared" si="10"/>
        <v>3095809.4362892667</v>
      </c>
      <c r="F217">
        <f>Process!$H222*ref_umbral-Process!$G222</f>
        <v>3095809.5061795288</v>
      </c>
      <c r="G217">
        <f>Process!$K222*ref_umbral-Process!$J222</f>
        <v>3095808.5278458023</v>
      </c>
      <c r="H217">
        <f t="shared" si="11"/>
        <v>3095809.5061795288</v>
      </c>
    </row>
    <row r="218" spans="3:8" x14ac:dyDescent="0.3">
      <c r="C218">
        <f>Process!$I223*ref_umbral-Process!$G223</f>
        <v>3095809.5222786861</v>
      </c>
      <c r="D218">
        <f>Process!$L223*ref_umbral-Process!$J223</f>
        <v>3095799.4046896533</v>
      </c>
      <c r="E218">
        <f t="shared" si="10"/>
        <v>3095809.5222786861</v>
      </c>
      <c r="F218">
        <f>Process!$H223*ref_umbral-Process!$G223</f>
        <v>3095809.6060901578</v>
      </c>
      <c r="G218">
        <f>Process!$K223*ref_umbral-Process!$J223</f>
        <v>3095800.8653696724</v>
      </c>
      <c r="H218">
        <f t="shared" si="11"/>
        <v>3095809.6060901578</v>
      </c>
    </row>
    <row r="219" spans="3:8" x14ac:dyDescent="0.3">
      <c r="C219">
        <f>Process!$I224*ref_umbral-Process!$G224</f>
        <v>3095809.4810433118</v>
      </c>
      <c r="D219">
        <f>Process!$L224*ref_umbral-Process!$J224</f>
        <v>3095806.3278030413</v>
      </c>
      <c r="E219">
        <f t="shared" si="10"/>
        <v>3095809.4810433118</v>
      </c>
      <c r="F219">
        <f>Process!$H224*ref_umbral-Process!$G224</f>
        <v>3095809.6488853414</v>
      </c>
      <c r="G219">
        <f>Process!$K224*ref_umbral-Process!$J224</f>
        <v>3095809.2279543588</v>
      </c>
      <c r="H219">
        <f t="shared" si="11"/>
        <v>3095809.6488853414</v>
      </c>
    </row>
    <row r="220" spans="3:8" x14ac:dyDescent="0.3">
      <c r="C220">
        <f>Process!$I225*ref_umbral-Process!$G225</f>
        <v>3095809.2654711711</v>
      </c>
      <c r="D220">
        <f>Process!$L225*ref_umbral-Process!$J225</f>
        <v>3095806.9362326171</v>
      </c>
      <c r="E220">
        <f t="shared" si="10"/>
        <v>3095809.2654711711</v>
      </c>
      <c r="F220">
        <f>Process!$H225*ref_umbral-Process!$G225</f>
        <v>3095809.4792362479</v>
      </c>
      <c r="G220">
        <f>Process!$K225*ref_umbral-Process!$J225</f>
        <v>3095809.4124646494</v>
      </c>
      <c r="H220">
        <f t="shared" si="11"/>
        <v>3095809.4792362479</v>
      </c>
    </row>
    <row r="221" spans="3:8" x14ac:dyDescent="0.3">
      <c r="C221">
        <f>Process!$I226*ref_umbral-Process!$G226</f>
        <v>3095809.4354258818</v>
      </c>
      <c r="D221">
        <f>Process!$L226*ref_umbral-Process!$J226</f>
        <v>3095795.8235332188</v>
      </c>
      <c r="E221">
        <f t="shared" si="10"/>
        <v>3095809.4354258818</v>
      </c>
      <c r="F221">
        <f>Process!$H226*ref_umbral-Process!$G226</f>
        <v>3095809.5095066787</v>
      </c>
      <c r="G221">
        <f>Process!$K226*ref_umbral-Process!$J226</f>
        <v>3095797.2356919018</v>
      </c>
      <c r="H221">
        <f t="shared" si="11"/>
        <v>3095809.5095066787</v>
      </c>
    </row>
    <row r="222" spans="3:8" x14ac:dyDescent="0.3">
      <c r="C222">
        <f>Process!$I227*ref_umbral-Process!$G227</f>
        <v>3095809.400402728</v>
      </c>
      <c r="D222">
        <f>Process!$L227*ref_umbral-Process!$J227</f>
        <v>3095807.6282089092</v>
      </c>
      <c r="E222">
        <f t="shared" si="10"/>
        <v>3095809.400402728</v>
      </c>
      <c r="F222">
        <f>Process!$H227*ref_umbral-Process!$G227</f>
        <v>3095809.5553849186</v>
      </c>
      <c r="G222">
        <f>Process!$K227*ref_umbral-Process!$J227</f>
        <v>3095809.2251784983</v>
      </c>
      <c r="H222">
        <f t="shared" si="11"/>
        <v>3095809.5553849186</v>
      </c>
    </row>
    <row r="223" spans="3:8" x14ac:dyDescent="0.3">
      <c r="C223">
        <f>Process!$I228*ref_umbral-Process!$G228</f>
        <v>3095808.3592089857</v>
      </c>
      <c r="D223">
        <f>Process!$L228*ref_umbral-Process!$J228</f>
        <v>3095790.4957179092</v>
      </c>
      <c r="E223">
        <f t="shared" si="10"/>
        <v>3095808.3592089857</v>
      </c>
      <c r="F223">
        <f>Process!$H228*ref_umbral-Process!$G228</f>
        <v>3095808.6023897808</v>
      </c>
      <c r="G223">
        <f>Process!$K228*ref_umbral-Process!$J228</f>
        <v>3095792.5187653229</v>
      </c>
      <c r="H223">
        <f t="shared" si="11"/>
        <v>3095808.6023897808</v>
      </c>
    </row>
    <row r="224" spans="3:8" x14ac:dyDescent="0.3">
      <c r="C224">
        <f>Process!$I229*ref_umbral-Process!$G229</f>
        <v>3095809.2935831142</v>
      </c>
      <c r="D224">
        <f>Process!$L229*ref_umbral-Process!$J229</f>
        <v>3095801.5437160265</v>
      </c>
      <c r="E224">
        <f t="shared" si="10"/>
        <v>3095809.2935831142</v>
      </c>
      <c r="F224">
        <f>Process!$H229*ref_umbral-Process!$G229</f>
        <v>3095809.4775652136</v>
      </c>
      <c r="G224">
        <f>Process!$K229*ref_umbral-Process!$J229</f>
        <v>3095803.5688326349</v>
      </c>
      <c r="H224">
        <f t="shared" si="11"/>
        <v>3095809.4775652136</v>
      </c>
    </row>
    <row r="225" spans="3:8" x14ac:dyDescent="0.3">
      <c r="C225">
        <f>Process!$I230*ref_umbral-Process!$G230</f>
        <v>3095809.4982080203</v>
      </c>
      <c r="D225">
        <f>Process!$L230*ref_umbral-Process!$J230</f>
        <v>3095806.2303304318</v>
      </c>
      <c r="E225">
        <f t="shared" si="10"/>
        <v>3095809.4982080203</v>
      </c>
      <c r="F225">
        <f>Process!$H230*ref_umbral-Process!$G230</f>
        <v>3095809.6093168869</v>
      </c>
      <c r="G225">
        <f>Process!$K230*ref_umbral-Process!$J230</f>
        <v>3095808.2811430455</v>
      </c>
      <c r="H225">
        <f t="shared" si="11"/>
        <v>3095809.6093168869</v>
      </c>
    </row>
    <row r="226" spans="3:8" x14ac:dyDescent="0.3">
      <c r="C226">
        <f>Process!$I231*ref_umbral-Process!$G231</f>
        <v>3095809.0715946481</v>
      </c>
      <c r="D226">
        <f>Process!$L231*ref_umbral-Process!$J231</f>
        <v>3095806.7269891361</v>
      </c>
      <c r="E226">
        <f t="shared" si="10"/>
        <v>3095809.0715946481</v>
      </c>
      <c r="F226">
        <f>Process!$H231*ref_umbral-Process!$G231</f>
        <v>3095809.179268002</v>
      </c>
      <c r="G226">
        <f>Process!$K231*ref_umbral-Process!$J231</f>
        <v>3095809.3774349894</v>
      </c>
      <c r="H226">
        <f t="shared" si="11"/>
        <v>3095809.3774349894</v>
      </c>
    </row>
    <row r="227" spans="3:8" x14ac:dyDescent="0.3">
      <c r="C227">
        <f>Process!$I232*ref_umbral-Process!$G232</f>
        <v>3095808.9906366966</v>
      </c>
      <c r="D227">
        <f>Process!$L232*ref_umbral-Process!$J232</f>
        <v>3095803.7510971008</v>
      </c>
      <c r="E227">
        <f t="shared" si="10"/>
        <v>3095808.9906366966</v>
      </c>
      <c r="F227">
        <f>Process!$H232*ref_umbral-Process!$G232</f>
        <v>3095809.162961314</v>
      </c>
      <c r="G227">
        <f>Process!$K232*ref_umbral-Process!$J232</f>
        <v>3095806.8149290788</v>
      </c>
      <c r="H227">
        <f t="shared" si="11"/>
        <v>3095809.162961314</v>
      </c>
    </row>
    <row r="228" spans="3:8" x14ac:dyDescent="0.3">
      <c r="C228">
        <f>Process!$I233*ref_umbral-Process!$G233</f>
        <v>3095809.3049793406</v>
      </c>
      <c r="D228">
        <f>Process!$L233*ref_umbral-Process!$J233</f>
        <v>3095804.9444933129</v>
      </c>
      <c r="E228">
        <f t="shared" si="10"/>
        <v>3095809.3049793406</v>
      </c>
      <c r="F228">
        <f>Process!$H233*ref_umbral-Process!$G233</f>
        <v>3095809.3745685443</v>
      </c>
      <c r="G228">
        <f>Process!$K233*ref_umbral-Process!$J233</f>
        <v>3095807.3978339112</v>
      </c>
      <c r="H228">
        <f t="shared" si="11"/>
        <v>3095809.3745685443</v>
      </c>
    </row>
    <row r="229" spans="3:8" x14ac:dyDescent="0.3">
      <c r="C229">
        <f>Process!$I234*ref_umbral-Process!$G234</f>
        <v>3095809.4103413532</v>
      </c>
      <c r="D229">
        <f>Process!$L234*ref_umbral-Process!$J234</f>
        <v>3095807.3704931755</v>
      </c>
      <c r="E229">
        <f t="shared" si="10"/>
        <v>3095809.4103413532</v>
      </c>
      <c r="F229">
        <f>Process!$H234*ref_umbral-Process!$G234</f>
        <v>3095809.414340402</v>
      </c>
      <c r="G229">
        <f>Process!$K234*ref_umbral-Process!$J234</f>
        <v>3095809.2235341943</v>
      </c>
      <c r="H229">
        <f t="shared" si="11"/>
        <v>3095809.414340402</v>
      </c>
    </row>
    <row r="230" spans="3:8" x14ac:dyDescent="0.3">
      <c r="C230">
        <f>Process!$I235*ref_umbral-Process!$G235</f>
        <v>3095809.4105768814</v>
      </c>
      <c r="D230">
        <f>Process!$L235*ref_umbral-Process!$J235</f>
        <v>3095807.8320638016</v>
      </c>
      <c r="E230">
        <f t="shared" si="10"/>
        <v>3095809.4105768814</v>
      </c>
      <c r="F230">
        <f>Process!$H235*ref_umbral-Process!$G235</f>
        <v>3095809.6202597781</v>
      </c>
      <c r="G230">
        <f>Process!$K235*ref_umbral-Process!$J235</f>
        <v>3095809.3932317896</v>
      </c>
      <c r="H230">
        <f t="shared" si="11"/>
        <v>3095809.6202597781</v>
      </c>
    </row>
    <row r="231" spans="3:8" x14ac:dyDescent="0.3">
      <c r="C231">
        <f>Process!$I236*ref_umbral-Process!$G236</f>
        <v>3095809.4208232188</v>
      </c>
      <c r="D231">
        <f>Process!$L236*ref_umbral-Process!$J236</f>
        <v>3095805.6233396493</v>
      </c>
      <c r="E231">
        <f t="shared" si="10"/>
        <v>3095809.4208232188</v>
      </c>
      <c r="F231">
        <f>Process!$H236*ref_umbral-Process!$G236</f>
        <v>3095809.536213119</v>
      </c>
      <c r="G231">
        <f>Process!$K236*ref_umbral-Process!$J236</f>
        <v>3095808.2116888915</v>
      </c>
      <c r="H231">
        <f t="shared" si="11"/>
        <v>3095809.536213119</v>
      </c>
    </row>
    <row r="232" spans="3:8" x14ac:dyDescent="0.3">
      <c r="C232">
        <f>Process!$I237*ref_umbral-Process!$G237</f>
        <v>3095808.9388865847</v>
      </c>
      <c r="D232">
        <f>Process!$L237*ref_umbral-Process!$J237</f>
        <v>3095803.3940043966</v>
      </c>
      <c r="E232">
        <f t="shared" si="10"/>
        <v>3095808.9388865847</v>
      </c>
      <c r="F232">
        <f>Process!$H237*ref_umbral-Process!$G237</f>
        <v>3095809.3606823613</v>
      </c>
      <c r="G232">
        <f>Process!$K237*ref_umbral-Process!$J237</f>
        <v>3095807.053884394</v>
      </c>
      <c r="H232">
        <f t="shared" si="11"/>
        <v>3095809.3606823613</v>
      </c>
    </row>
    <row r="233" spans="3:8" x14ac:dyDescent="0.3">
      <c r="C233">
        <f>Process!$I238*ref_umbral-Process!$G238</f>
        <v>3095809.7043921738</v>
      </c>
      <c r="D233">
        <f>Process!$L238*ref_umbral-Process!$J238</f>
        <v>3095805.5933775166</v>
      </c>
      <c r="E233">
        <f t="shared" si="10"/>
        <v>3095809.7043921738</v>
      </c>
      <c r="F233">
        <f>Process!$H238*ref_umbral-Process!$G238</f>
        <v>3095809.7804284748</v>
      </c>
      <c r="G233">
        <f>Process!$K238*ref_umbral-Process!$J238</f>
        <v>3095807.6418453986</v>
      </c>
      <c r="H233">
        <f t="shared" si="11"/>
        <v>3095809.7804284748</v>
      </c>
    </row>
    <row r="234" spans="3:8" x14ac:dyDescent="0.3">
      <c r="C234">
        <f>Process!$I239*ref_umbral-Process!$G239</f>
        <v>3095808.9716086122</v>
      </c>
      <c r="D234">
        <f>Process!$L239*ref_umbral-Process!$J239</f>
        <v>3095803.9827873902</v>
      </c>
      <c r="E234">
        <f t="shared" si="10"/>
        <v>3095808.9716086122</v>
      </c>
      <c r="F234">
        <f>Process!$H239*ref_umbral-Process!$G239</f>
        <v>3095809.1770541761</v>
      </c>
      <c r="G234">
        <f>Process!$K239*ref_umbral-Process!$J239</f>
        <v>3095806.1677175164</v>
      </c>
      <c r="H234">
        <f t="shared" si="11"/>
        <v>3095809.1770541761</v>
      </c>
    </row>
    <row r="235" spans="3:8" x14ac:dyDescent="0.3">
      <c r="C235">
        <f>Process!$I240*ref_umbral-Process!$G240</f>
        <v>3095809.0491066109</v>
      </c>
      <c r="D235">
        <f>Process!$L240*ref_umbral-Process!$J240</f>
        <v>3095803.8276567291</v>
      </c>
      <c r="E235">
        <f t="shared" si="10"/>
        <v>3095809.0491066109</v>
      </c>
      <c r="F235">
        <f>Process!$H240*ref_umbral-Process!$G240</f>
        <v>3095809.212660383</v>
      </c>
      <c r="G235">
        <f>Process!$K240*ref_umbral-Process!$J240</f>
        <v>3095807.3460344067</v>
      </c>
      <c r="H235">
        <f t="shared" si="11"/>
        <v>3095809.212660383</v>
      </c>
    </row>
    <row r="236" spans="3:8" x14ac:dyDescent="0.3">
      <c r="C236">
        <f>Process!$I241*ref_umbral-Process!$G241</f>
        <v>3095809.4736849731</v>
      </c>
      <c r="D236">
        <f>Process!$L241*ref_umbral-Process!$J241</f>
        <v>3095807.0694204429</v>
      </c>
      <c r="E236">
        <f t="shared" si="10"/>
        <v>3095809.4736849731</v>
      </c>
      <c r="F236">
        <f>Process!$H241*ref_umbral-Process!$G241</f>
        <v>3095809.6165933157</v>
      </c>
      <c r="G236">
        <f>Process!$K241*ref_umbral-Process!$J241</f>
        <v>3095808.3229458118</v>
      </c>
      <c r="H236">
        <f t="shared" si="11"/>
        <v>3095809.6165933157</v>
      </c>
    </row>
    <row r="237" spans="3:8" x14ac:dyDescent="0.3">
      <c r="C237">
        <f>Process!$I242*ref_umbral-Process!$G242</f>
        <v>3095809.2933163354</v>
      </c>
      <c r="D237">
        <f>Process!$L242*ref_umbral-Process!$J242</f>
        <v>3095803.1431742967</v>
      </c>
      <c r="E237">
        <f t="shared" si="10"/>
        <v>3095809.2933163354</v>
      </c>
      <c r="F237">
        <f>Process!$H242*ref_umbral-Process!$G242</f>
        <v>3095809.4657427007</v>
      </c>
      <c r="G237">
        <f>Process!$K242*ref_umbral-Process!$J242</f>
        <v>3095805.438876031</v>
      </c>
      <c r="H237">
        <f t="shared" si="11"/>
        <v>3095809.4657427007</v>
      </c>
    </row>
    <row r="238" spans="3:8" x14ac:dyDescent="0.3">
      <c r="C238">
        <f>Process!$I243*ref_umbral-Process!$G243</f>
        <v>3095809.4781556083</v>
      </c>
      <c r="D238">
        <f>Process!$L243*ref_umbral-Process!$J243</f>
        <v>3095805.7846485032</v>
      </c>
      <c r="E238">
        <f t="shared" si="10"/>
        <v>3095809.4781556083</v>
      </c>
      <c r="F238">
        <f>Process!$H243*ref_umbral-Process!$G243</f>
        <v>3095809.6402610084</v>
      </c>
      <c r="G238">
        <f>Process!$K243*ref_umbral-Process!$J243</f>
        <v>3095807.9983187024</v>
      </c>
      <c r="H238">
        <f t="shared" si="11"/>
        <v>3095809.6402610084</v>
      </c>
    </row>
    <row r="239" spans="3:8" x14ac:dyDescent="0.3">
      <c r="C239">
        <f>Process!$I244*ref_umbral-Process!$G244</f>
        <v>3095809.086843831</v>
      </c>
      <c r="D239">
        <f>Process!$L244*ref_umbral-Process!$J244</f>
        <v>3095805.9490259453</v>
      </c>
      <c r="E239">
        <f t="shared" si="10"/>
        <v>3095809.086843831</v>
      </c>
      <c r="F239">
        <f>Process!$H244*ref_umbral-Process!$G244</f>
        <v>3095809.3099038489</v>
      </c>
      <c r="G239">
        <f>Process!$K244*ref_umbral-Process!$J244</f>
        <v>3095809.0181728536</v>
      </c>
      <c r="H239">
        <f t="shared" si="11"/>
        <v>3095809.3099038489</v>
      </c>
    </row>
    <row r="240" spans="3:8" x14ac:dyDescent="0.3">
      <c r="C240">
        <f>Process!$I245*ref_umbral-Process!$G245</f>
        <v>3095805.1590802912</v>
      </c>
      <c r="D240">
        <f>Process!$L245*ref_umbral-Process!$J245</f>
        <v>3095786.7487004017</v>
      </c>
      <c r="E240">
        <f t="shared" si="10"/>
        <v>3095805.1590802912</v>
      </c>
      <c r="F240">
        <f>Process!$H245*ref_umbral-Process!$G245</f>
        <v>3095805.8425951358</v>
      </c>
      <c r="G240">
        <f>Process!$K245*ref_umbral-Process!$J245</f>
        <v>3095790.6306471694</v>
      </c>
      <c r="H240">
        <f t="shared" si="11"/>
        <v>3095805.8425951358</v>
      </c>
    </row>
    <row r="241" spans="3:8" x14ac:dyDescent="0.3">
      <c r="C241">
        <f>Process!$I246*ref_umbral-Process!$G246</f>
        <v>3095809.3144824556</v>
      </c>
      <c r="D241">
        <f>Process!$L246*ref_umbral-Process!$J246</f>
        <v>3095802.6558101694</v>
      </c>
      <c r="E241">
        <f t="shared" si="10"/>
        <v>3095809.3144824556</v>
      </c>
      <c r="F241">
        <f>Process!$H246*ref_umbral-Process!$G246</f>
        <v>3095809.3733009608</v>
      </c>
      <c r="G241">
        <f>Process!$K246*ref_umbral-Process!$J246</f>
        <v>3095806.1381947082</v>
      </c>
      <c r="H241">
        <f t="shared" si="11"/>
        <v>3095809.3733009608</v>
      </c>
    </row>
    <row r="242" spans="3:8" x14ac:dyDescent="0.3">
      <c r="C242">
        <f>Process!$I247*ref_umbral-Process!$G247</f>
        <v>3095809.2050511762</v>
      </c>
      <c r="D242">
        <f>Process!$L247*ref_umbral-Process!$J247</f>
        <v>3095803.5803582091</v>
      </c>
      <c r="E242">
        <f t="shared" si="10"/>
        <v>3095809.2050511762</v>
      </c>
      <c r="F242">
        <f>Process!$H247*ref_umbral-Process!$G247</f>
        <v>3095809.3263205877</v>
      </c>
      <c r="G242">
        <f>Process!$K247*ref_umbral-Process!$J247</f>
        <v>3095806.1491526929</v>
      </c>
      <c r="H242">
        <f t="shared" si="11"/>
        <v>3095809.3263205877</v>
      </c>
    </row>
    <row r="243" spans="3:8" x14ac:dyDescent="0.3">
      <c r="C243">
        <f>Process!$I248*ref_umbral-Process!$G248</f>
        <v>3095809.4202014124</v>
      </c>
      <c r="D243">
        <f>Process!$L248*ref_umbral-Process!$J248</f>
        <v>3095803.5778186251</v>
      </c>
      <c r="E243">
        <f t="shared" si="10"/>
        <v>3095809.4202014124</v>
      </c>
      <c r="F243">
        <f>Process!$H248*ref_umbral-Process!$G248</f>
        <v>3095809.5331576006</v>
      </c>
      <c r="G243">
        <f>Process!$K248*ref_umbral-Process!$J248</f>
        <v>3095806.7470500204</v>
      </c>
      <c r="H243">
        <f t="shared" si="11"/>
        <v>3095809.5331576006</v>
      </c>
    </row>
    <row r="244" spans="3:8" x14ac:dyDescent="0.3">
      <c r="C244">
        <f>Process!$I249*ref_umbral-Process!$G249</f>
        <v>3095809.4318814487</v>
      </c>
      <c r="D244">
        <f>Process!$L249*ref_umbral-Process!$J249</f>
        <v>3095805.740915427</v>
      </c>
      <c r="E244">
        <f t="shared" si="10"/>
        <v>3095809.4318814487</v>
      </c>
      <c r="F244">
        <f>Process!$H249*ref_umbral-Process!$G249</f>
        <v>3095809.4517412269</v>
      </c>
      <c r="G244">
        <f>Process!$K249*ref_umbral-Process!$J249</f>
        <v>3095807.558096596</v>
      </c>
      <c r="H244">
        <f t="shared" si="11"/>
        <v>3095809.4517412269</v>
      </c>
    </row>
    <row r="245" spans="3:8" x14ac:dyDescent="0.3">
      <c r="C245">
        <f>Process!$I250*ref_umbral-Process!$G250</f>
        <v>3095808.8658470483</v>
      </c>
      <c r="D245">
        <f>Process!$L250*ref_umbral-Process!$J250</f>
        <v>3095804.4719353099</v>
      </c>
      <c r="E245">
        <f t="shared" si="10"/>
        <v>3095808.8658470483</v>
      </c>
      <c r="F245">
        <f>Process!$H250*ref_umbral-Process!$G250</f>
        <v>3095809.0385983558</v>
      </c>
      <c r="G245">
        <f>Process!$K250*ref_umbral-Process!$J250</f>
        <v>3095807.5551716266</v>
      </c>
      <c r="H245">
        <f t="shared" si="11"/>
        <v>3095809.0385983558</v>
      </c>
    </row>
    <row r="246" spans="3:8" x14ac:dyDescent="0.3">
      <c r="C246">
        <f>Process!$I251*ref_umbral-Process!$G251</f>
        <v>3095809.5055043139</v>
      </c>
      <c r="D246">
        <f>Process!$L251*ref_umbral-Process!$J251</f>
        <v>3095804.3288326575</v>
      </c>
      <c r="E246">
        <f t="shared" si="10"/>
        <v>3095809.5055043139</v>
      </c>
      <c r="F246">
        <f>Process!$H251*ref_umbral-Process!$G251</f>
        <v>3095809.5532249827</v>
      </c>
      <c r="G246">
        <f>Process!$K251*ref_umbral-Process!$J251</f>
        <v>3095806.0379324881</v>
      </c>
      <c r="H246">
        <f t="shared" si="11"/>
        <v>3095809.5532249827</v>
      </c>
    </row>
    <row r="247" spans="3:8" x14ac:dyDescent="0.3">
      <c r="C247">
        <f>Process!$I252*ref_umbral-Process!$G252</f>
        <v>3095809.5432043462</v>
      </c>
      <c r="D247">
        <f>Process!$L252*ref_umbral-Process!$J252</f>
        <v>3095803.3123765718</v>
      </c>
      <c r="E247">
        <f t="shared" si="10"/>
        <v>3095809.5432043462</v>
      </c>
      <c r="F247">
        <f>Process!$H252*ref_umbral-Process!$G252</f>
        <v>3095809.6633100533</v>
      </c>
      <c r="G247">
        <f>Process!$K252*ref_umbral-Process!$J252</f>
        <v>3095805.0721558426</v>
      </c>
      <c r="H247">
        <f t="shared" si="11"/>
        <v>3095809.6633100533</v>
      </c>
    </row>
    <row r="248" spans="3:8" x14ac:dyDescent="0.3">
      <c r="C248">
        <f>Process!$I253*ref_umbral-Process!$G253</f>
        <v>3095808.0114299646</v>
      </c>
      <c r="D248">
        <f>Process!$L253*ref_umbral-Process!$J253</f>
        <v>3095797.4780131397</v>
      </c>
      <c r="E248">
        <f t="shared" si="10"/>
        <v>3095808.0114299646</v>
      </c>
      <c r="F248">
        <f>Process!$H253*ref_umbral-Process!$G253</f>
        <v>3095808.5650269003</v>
      </c>
      <c r="G248">
        <f>Process!$K253*ref_umbral-Process!$J253</f>
        <v>3095801.6727201198</v>
      </c>
      <c r="H248">
        <f t="shared" si="11"/>
        <v>3095808.5650269003</v>
      </c>
    </row>
    <row r="249" spans="3:8" x14ac:dyDescent="0.3">
      <c r="C249">
        <f>Process!$I254*ref_umbral-Process!$G254</f>
        <v>3095809.0705168261</v>
      </c>
      <c r="D249">
        <f>Process!$L254*ref_umbral-Process!$J254</f>
        <v>3095804.1720968243</v>
      </c>
      <c r="E249">
        <f t="shared" si="10"/>
        <v>3095809.0705168261</v>
      </c>
      <c r="F249">
        <f>Process!$H254*ref_umbral-Process!$G254</f>
        <v>3095809.296486225</v>
      </c>
      <c r="G249">
        <f>Process!$K254*ref_umbral-Process!$J254</f>
        <v>3095806.6216889159</v>
      </c>
      <c r="H249">
        <f t="shared" si="11"/>
        <v>3095809.296486225</v>
      </c>
    </row>
    <row r="250" spans="3:8" x14ac:dyDescent="0.3">
      <c r="C250">
        <f>Process!$I255*ref_umbral-Process!$G255</f>
        <v>3095809.5108772581</v>
      </c>
      <c r="D250">
        <f>Process!$L255*ref_umbral-Process!$J255</f>
        <v>3095805.8249540869</v>
      </c>
      <c r="E250">
        <f t="shared" si="10"/>
        <v>3095809.5108772581</v>
      </c>
      <c r="F250">
        <f>Process!$H255*ref_umbral-Process!$G255</f>
        <v>3095809.6695136852</v>
      </c>
      <c r="G250">
        <f>Process!$K255*ref_umbral-Process!$J255</f>
        <v>3095808.6621624539</v>
      </c>
      <c r="H250">
        <f t="shared" si="11"/>
        <v>3095809.6695136852</v>
      </c>
    </row>
    <row r="251" spans="3:8" x14ac:dyDescent="0.3">
      <c r="C251">
        <f>Process!$I256*ref_umbral-Process!$G256</f>
        <v>3095809.5006375569</v>
      </c>
      <c r="D251">
        <f>Process!$L256*ref_umbral-Process!$J256</f>
        <v>3095805.1779255108</v>
      </c>
      <c r="E251">
        <f t="shared" si="10"/>
        <v>3095809.5006375569</v>
      </c>
      <c r="F251">
        <f>Process!$H256*ref_umbral-Process!$G256</f>
        <v>3095809.6858333354</v>
      </c>
      <c r="G251">
        <f>Process!$K256*ref_umbral-Process!$J256</f>
        <v>3095807.3384529753</v>
      </c>
      <c r="H251">
        <f t="shared" si="11"/>
        <v>3095809.6858333354</v>
      </c>
    </row>
    <row r="252" spans="3:8" x14ac:dyDescent="0.3">
      <c r="C252">
        <f>Process!$I257*ref_umbral-Process!$G257</f>
        <v>3095809.0729098199</v>
      </c>
      <c r="D252">
        <f>Process!$L257*ref_umbral-Process!$J257</f>
        <v>3095803.470374933</v>
      </c>
      <c r="E252">
        <f t="shared" si="10"/>
        <v>3095809.0729098199</v>
      </c>
      <c r="F252">
        <f>Process!$H257*ref_umbral-Process!$G257</f>
        <v>3095809.1950990804</v>
      </c>
      <c r="G252">
        <f>Process!$K257*ref_umbral-Process!$J257</f>
        <v>3095804.533666559</v>
      </c>
      <c r="H252">
        <f t="shared" si="11"/>
        <v>3095809.1950990804</v>
      </c>
    </row>
    <row r="253" spans="3:8" x14ac:dyDescent="0.3">
      <c r="C253">
        <f>Process!$I258*ref_umbral-Process!$G258</f>
        <v>3095808.9982365826</v>
      </c>
      <c r="D253">
        <f>Process!$L258*ref_umbral-Process!$J258</f>
        <v>3095803.1979843867</v>
      </c>
      <c r="E253">
        <f t="shared" si="10"/>
        <v>3095808.9982365826</v>
      </c>
      <c r="F253">
        <f>Process!$H258*ref_umbral-Process!$G258</f>
        <v>3095809.3213077877</v>
      </c>
      <c r="G253">
        <f>Process!$K258*ref_umbral-Process!$J258</f>
        <v>3095806.4242055644</v>
      </c>
      <c r="H253">
        <f t="shared" si="11"/>
        <v>3095809.3213077877</v>
      </c>
    </row>
    <row r="254" spans="3:8" x14ac:dyDescent="0.3">
      <c r="C254">
        <f>Process!$I259*ref_umbral-Process!$G259</f>
        <v>3095809.003960955</v>
      </c>
      <c r="D254">
        <f>Process!$L259*ref_umbral-Process!$J259</f>
        <v>3095802.2090591691</v>
      </c>
      <c r="E254">
        <f t="shared" si="10"/>
        <v>3095809.003960955</v>
      </c>
      <c r="F254">
        <f>Process!$H259*ref_umbral-Process!$G259</f>
        <v>3095809.1898943949</v>
      </c>
      <c r="G254">
        <f>Process!$K259*ref_umbral-Process!$J259</f>
        <v>3095807.470637314</v>
      </c>
      <c r="H254">
        <f t="shared" si="11"/>
        <v>3095809.1898943949</v>
      </c>
    </row>
    <row r="255" spans="3:8" x14ac:dyDescent="0.3">
      <c r="C255">
        <f>Process!$I260*ref_umbral-Process!$G260</f>
        <v>3095809.550643221</v>
      </c>
      <c r="D255">
        <f>Process!$L260*ref_umbral-Process!$J260</f>
        <v>3095807.1815129207</v>
      </c>
      <c r="E255">
        <f t="shared" si="10"/>
        <v>3095809.550643221</v>
      </c>
      <c r="F255">
        <f>Process!$H260*ref_umbral-Process!$G260</f>
        <v>3095809.5957975429</v>
      </c>
      <c r="G255">
        <f>Process!$K260*ref_umbral-Process!$J260</f>
        <v>3095809.0582180959</v>
      </c>
      <c r="H255">
        <f t="shared" si="11"/>
        <v>3095809.5957975429</v>
      </c>
    </row>
    <row r="256" spans="3:8" x14ac:dyDescent="0.3">
      <c r="C256">
        <f>Process!$I261*ref_umbral-Process!$G261</f>
        <v>3095809.6752903666</v>
      </c>
      <c r="D256">
        <f>Process!$L261*ref_umbral-Process!$J261</f>
        <v>3095805.5146044735</v>
      </c>
      <c r="E256">
        <f t="shared" si="10"/>
        <v>3095809.6752903666</v>
      </c>
      <c r="F256">
        <f>Process!$H261*ref_umbral-Process!$G261</f>
        <v>3095809.7451847158</v>
      </c>
      <c r="G256">
        <f>Process!$K261*ref_umbral-Process!$J261</f>
        <v>3095806.9863937716</v>
      </c>
      <c r="H256">
        <f t="shared" si="11"/>
        <v>3095809.7451847158</v>
      </c>
    </row>
    <row r="257" spans="3:8" x14ac:dyDescent="0.3">
      <c r="C257">
        <f>Process!$I262*ref_umbral-Process!$G262</f>
        <v>3095809.3915135087</v>
      </c>
      <c r="D257">
        <f>Process!$L262*ref_umbral-Process!$J262</f>
        <v>3095803.6446170523</v>
      </c>
      <c r="E257">
        <f t="shared" si="10"/>
        <v>3095809.3915135087</v>
      </c>
      <c r="F257">
        <f>Process!$H262*ref_umbral-Process!$G262</f>
        <v>3095809.6100078248</v>
      </c>
      <c r="G257">
        <f>Process!$K262*ref_umbral-Process!$J262</f>
        <v>3095806.182899951</v>
      </c>
      <c r="H257">
        <f t="shared" si="11"/>
        <v>3095809.6100078248</v>
      </c>
    </row>
    <row r="258" spans="3:8" x14ac:dyDescent="0.3">
      <c r="C258">
        <f>Process!$I263*ref_umbral-Process!$G263</f>
        <v>3095809.4514299785</v>
      </c>
      <c r="D258">
        <f>Process!$L263*ref_umbral-Process!$J263</f>
        <v>3095805.3675383502</v>
      </c>
      <c r="E258">
        <f t="shared" si="10"/>
        <v>3095809.4514299785</v>
      </c>
      <c r="F258">
        <f>Process!$H263*ref_umbral-Process!$G263</f>
        <v>3095809.6574928993</v>
      </c>
      <c r="G258">
        <f>Process!$K263*ref_umbral-Process!$J263</f>
        <v>3095807.4493055698</v>
      </c>
      <c r="H258">
        <f t="shared" si="11"/>
        <v>3095809.6574928993</v>
      </c>
    </row>
    <row r="259" spans="3:8" x14ac:dyDescent="0.3">
      <c r="C259">
        <f>Process!$I264*ref_umbral-Process!$G264</f>
        <v>3095808.8937303936</v>
      </c>
      <c r="D259">
        <f>Process!$L264*ref_umbral-Process!$J264</f>
        <v>3095791.3911249316</v>
      </c>
      <c r="E259">
        <f t="shared" si="10"/>
        <v>3095808.8937303936</v>
      </c>
      <c r="F259">
        <f>Process!$H264*ref_umbral-Process!$G264</f>
        <v>3095808.9681303664</v>
      </c>
      <c r="G259">
        <f>Process!$K264*ref_umbral-Process!$J264</f>
        <v>3095793.2343338407</v>
      </c>
      <c r="H259">
        <f t="shared" si="11"/>
        <v>3095808.9681303664</v>
      </c>
    </row>
    <row r="260" spans="3:8" x14ac:dyDescent="0.3">
      <c r="C260">
        <f>Process!$I265*ref_umbral-Process!$G265</f>
        <v>3095809.4273717594</v>
      </c>
      <c r="D260">
        <f>Process!$L265*ref_umbral-Process!$J265</f>
        <v>3095802.4521719771</v>
      </c>
      <c r="E260">
        <f t="shared" si="10"/>
        <v>3095809.4273717594</v>
      </c>
      <c r="F260">
        <f>Process!$H265*ref_umbral-Process!$G265</f>
        <v>3095809.5053476077</v>
      </c>
      <c r="G260">
        <f>Process!$K265*ref_umbral-Process!$J265</f>
        <v>3095803.3798604845</v>
      </c>
      <c r="H260">
        <f t="shared" si="11"/>
        <v>3095809.5053476077</v>
      </c>
    </row>
    <row r="261" spans="3:8" x14ac:dyDescent="0.3">
      <c r="C261">
        <f>Process!$I266*ref_umbral-Process!$G266</f>
        <v>3095809.0404159073</v>
      </c>
      <c r="D261">
        <f>Process!$L266*ref_umbral-Process!$J266</f>
        <v>3095801.0330211716</v>
      </c>
      <c r="E261">
        <f t="shared" si="10"/>
        <v>3095809.0404159073</v>
      </c>
      <c r="F261">
        <f>Process!$H266*ref_umbral-Process!$G266</f>
        <v>3095809.1976643861</v>
      </c>
      <c r="G261">
        <f>Process!$K266*ref_umbral-Process!$J266</f>
        <v>3095805.2134584244</v>
      </c>
      <c r="H261">
        <f t="shared" si="11"/>
        <v>3095809.1976643861</v>
      </c>
    </row>
    <row r="262" spans="3:8" x14ac:dyDescent="0.3">
      <c r="C262">
        <f>Process!$I267*ref_umbral-Process!$G267</f>
        <v>3095809.1317694238</v>
      </c>
      <c r="D262">
        <f>Process!$L267*ref_umbral-Process!$J267</f>
        <v>3095802.0992349871</v>
      </c>
      <c r="E262">
        <f t="shared" si="10"/>
        <v>3095809.1317694238</v>
      </c>
      <c r="F262">
        <f>Process!$H267*ref_umbral-Process!$G267</f>
        <v>3095809.2735120603</v>
      </c>
      <c r="G262">
        <f>Process!$K267*ref_umbral-Process!$J267</f>
        <v>3095803.8549619759</v>
      </c>
      <c r="H262">
        <f t="shared" si="11"/>
        <v>3095809.2735120603</v>
      </c>
    </row>
    <row r="263" spans="3:8" x14ac:dyDescent="0.3">
      <c r="C263">
        <f>Process!$I268*ref_umbral-Process!$G268</f>
        <v>3095809.4719525292</v>
      </c>
      <c r="D263">
        <f>Process!$L268*ref_umbral-Process!$J268</f>
        <v>3095803.65254209</v>
      </c>
      <c r="E263">
        <f t="shared" ref="E263:E326" si="12">MAX(C263,D263)</f>
        <v>3095809.4719525292</v>
      </c>
      <c r="F263">
        <f>Process!$H268*ref_umbral-Process!$G268</f>
        <v>3095809.5590767902</v>
      </c>
      <c r="G263">
        <f>Process!$K268*ref_umbral-Process!$J268</f>
        <v>3095805.8427271987</v>
      </c>
      <c r="H263">
        <f t="shared" ref="H263:H326" si="13">MAX(F263,G263)</f>
        <v>3095809.5590767902</v>
      </c>
    </row>
    <row r="264" spans="3:8" x14ac:dyDescent="0.3">
      <c r="C264">
        <f>Process!$I269*ref_umbral-Process!$G269</f>
        <v>3095809.5147012994</v>
      </c>
      <c r="D264">
        <f>Process!$L269*ref_umbral-Process!$J269</f>
        <v>3095800.1463321489</v>
      </c>
      <c r="E264">
        <f t="shared" si="12"/>
        <v>3095809.5147012994</v>
      </c>
      <c r="F264">
        <f>Process!$H269*ref_umbral-Process!$G269</f>
        <v>3095809.5559797836</v>
      </c>
      <c r="G264">
        <f>Process!$K269*ref_umbral-Process!$J269</f>
        <v>3095801.1682413481</v>
      </c>
      <c r="H264">
        <f t="shared" si="13"/>
        <v>3095809.5559797836</v>
      </c>
    </row>
    <row r="265" spans="3:8" x14ac:dyDescent="0.3">
      <c r="C265">
        <f>Process!$I270*ref_umbral-Process!$G270</f>
        <v>3095809.4948643828</v>
      </c>
      <c r="D265">
        <f>Process!$L270*ref_umbral-Process!$J270</f>
        <v>3095796.3377550864</v>
      </c>
      <c r="E265">
        <f t="shared" si="12"/>
        <v>3095809.4948643828</v>
      </c>
      <c r="F265">
        <f>Process!$H270*ref_umbral-Process!$G270</f>
        <v>3095809.573925727</v>
      </c>
      <c r="G265">
        <f>Process!$K270*ref_umbral-Process!$J270</f>
        <v>3095797.9191306108</v>
      </c>
      <c r="H265">
        <f t="shared" si="13"/>
        <v>3095809.573925727</v>
      </c>
    </row>
    <row r="266" spans="3:8" x14ac:dyDescent="0.3">
      <c r="C266">
        <f>Process!$I271*ref_umbral-Process!$G271</f>
        <v>3095809.4631439694</v>
      </c>
      <c r="D266">
        <f>Process!$L271*ref_umbral-Process!$J271</f>
        <v>3095804.6031446666</v>
      </c>
      <c r="E266">
        <f t="shared" si="12"/>
        <v>3095809.4631439694</v>
      </c>
      <c r="F266">
        <f>Process!$H271*ref_umbral-Process!$G271</f>
        <v>3095809.5191243533</v>
      </c>
      <c r="G266">
        <f>Process!$K271*ref_umbral-Process!$J271</f>
        <v>3095807.078295615</v>
      </c>
      <c r="H266">
        <f t="shared" si="13"/>
        <v>3095809.5191243533</v>
      </c>
    </row>
    <row r="267" spans="3:8" x14ac:dyDescent="0.3">
      <c r="C267">
        <f>Process!$I272*ref_umbral-Process!$G272</f>
        <v>3095809.5552281179</v>
      </c>
      <c r="D267">
        <f>Process!$L272*ref_umbral-Process!$J272</f>
        <v>3095798.704169604</v>
      </c>
      <c r="E267">
        <f t="shared" si="12"/>
        <v>3095809.5552281179</v>
      </c>
      <c r="F267">
        <f>Process!$H272*ref_umbral-Process!$G272</f>
        <v>3095809.5860796827</v>
      </c>
      <c r="G267">
        <f>Process!$K272*ref_umbral-Process!$J272</f>
        <v>3095800.3646468474</v>
      </c>
      <c r="H267">
        <f t="shared" si="13"/>
        <v>3095809.5860796827</v>
      </c>
    </row>
    <row r="268" spans="3:8" x14ac:dyDescent="0.3">
      <c r="C268">
        <f>Process!$I273*ref_umbral-Process!$G273</f>
        <v>3095809.5785435699</v>
      </c>
      <c r="D268">
        <f>Process!$L273*ref_umbral-Process!$J273</f>
        <v>3095807.8676086213</v>
      </c>
      <c r="E268">
        <f t="shared" si="12"/>
        <v>3095809.5785435699</v>
      </c>
      <c r="F268">
        <f>Process!$H273*ref_umbral-Process!$G273</f>
        <v>3095809.670808454</v>
      </c>
      <c r="G268">
        <f>Process!$K273*ref_umbral-Process!$J273</f>
        <v>3095809.8867724338</v>
      </c>
      <c r="H268">
        <f t="shared" si="13"/>
        <v>3095809.8867724338</v>
      </c>
    </row>
    <row r="269" spans="3:8" x14ac:dyDescent="0.3">
      <c r="C269">
        <f>Process!$I274*ref_umbral-Process!$G274</f>
        <v>3095809.550096646</v>
      </c>
      <c r="D269">
        <f>Process!$L274*ref_umbral-Process!$J274</f>
        <v>3095802.9437164231</v>
      </c>
      <c r="E269">
        <f t="shared" si="12"/>
        <v>3095809.550096646</v>
      </c>
      <c r="F269">
        <f>Process!$H274*ref_umbral-Process!$G274</f>
        <v>3095809.6640810287</v>
      </c>
      <c r="G269">
        <f>Process!$K274*ref_umbral-Process!$J274</f>
        <v>3095805.6877542278</v>
      </c>
      <c r="H269">
        <f t="shared" si="13"/>
        <v>3095809.6640810287</v>
      </c>
    </row>
    <row r="270" spans="3:8" x14ac:dyDescent="0.3">
      <c r="C270">
        <f>Process!$I275*ref_umbral-Process!$G275</f>
        <v>3095809.5063182558</v>
      </c>
      <c r="D270">
        <f>Process!$L275*ref_umbral-Process!$J275</f>
        <v>3095804.5787990987</v>
      </c>
      <c r="E270">
        <f t="shared" si="12"/>
        <v>3095809.5063182558</v>
      </c>
      <c r="F270">
        <f>Process!$H275*ref_umbral-Process!$G275</f>
        <v>3095809.5707477056</v>
      </c>
      <c r="G270">
        <f>Process!$K275*ref_umbral-Process!$J275</f>
        <v>3095806.7922169566</v>
      </c>
      <c r="H270">
        <f t="shared" si="13"/>
        <v>3095809.5707477056</v>
      </c>
    </row>
    <row r="271" spans="3:8" x14ac:dyDescent="0.3">
      <c r="C271">
        <f>Process!$I276*ref_umbral-Process!$G276</f>
        <v>3095809.5682425001</v>
      </c>
      <c r="D271">
        <f>Process!$L276*ref_umbral-Process!$J276</f>
        <v>3095806.3372336053</v>
      </c>
      <c r="E271">
        <f t="shared" si="12"/>
        <v>3095809.5682425001</v>
      </c>
      <c r="F271">
        <f>Process!$H276*ref_umbral-Process!$G276</f>
        <v>3095809.6678890972</v>
      </c>
      <c r="G271">
        <f>Process!$K276*ref_umbral-Process!$J276</f>
        <v>3095808.5343696484</v>
      </c>
      <c r="H271">
        <f t="shared" si="13"/>
        <v>3095809.6678890972</v>
      </c>
    </row>
    <row r="272" spans="3:8" x14ac:dyDescent="0.3">
      <c r="C272">
        <f>Process!$I277*ref_umbral-Process!$G277</f>
        <v>3095809.4420955237</v>
      </c>
      <c r="D272">
        <f>Process!$L277*ref_umbral-Process!$J277</f>
        <v>3095801.587563443</v>
      </c>
      <c r="E272">
        <f t="shared" si="12"/>
        <v>3095809.4420955237</v>
      </c>
      <c r="F272">
        <f>Process!$H277*ref_umbral-Process!$G277</f>
        <v>3095809.5232283357</v>
      </c>
      <c r="G272">
        <f>Process!$K277*ref_umbral-Process!$J277</f>
        <v>3095802.781156335</v>
      </c>
      <c r="H272">
        <f t="shared" si="13"/>
        <v>3095809.5232283357</v>
      </c>
    </row>
    <row r="273" spans="3:8" x14ac:dyDescent="0.3">
      <c r="C273">
        <f>Process!$I278*ref_umbral-Process!$G278</f>
        <v>3095809.4176358809</v>
      </c>
      <c r="D273">
        <f>Process!$L278*ref_umbral-Process!$J278</f>
        <v>3095802.5009055375</v>
      </c>
      <c r="E273">
        <f t="shared" si="12"/>
        <v>3095809.4176358809</v>
      </c>
      <c r="F273">
        <f>Process!$H278*ref_umbral-Process!$G278</f>
        <v>3095809.5641286084</v>
      </c>
      <c r="G273">
        <f>Process!$K278*ref_umbral-Process!$J278</f>
        <v>3095803.7765144669</v>
      </c>
      <c r="H273">
        <f t="shared" si="13"/>
        <v>3095809.5641286084</v>
      </c>
    </row>
    <row r="274" spans="3:8" x14ac:dyDescent="0.3">
      <c r="C274">
        <f>Process!$I279*ref_umbral-Process!$G279</f>
        <v>3095809.4528417401</v>
      </c>
      <c r="D274">
        <f>Process!$L279*ref_umbral-Process!$J279</f>
        <v>3095805.3239434711</v>
      </c>
      <c r="E274">
        <f t="shared" si="12"/>
        <v>3095809.4528417401</v>
      </c>
      <c r="F274">
        <f>Process!$H279*ref_umbral-Process!$G279</f>
        <v>3095809.5538046514</v>
      </c>
      <c r="G274">
        <f>Process!$K279*ref_umbral-Process!$J279</f>
        <v>3095807.3172465595</v>
      </c>
      <c r="H274">
        <f t="shared" si="13"/>
        <v>3095809.5538046514</v>
      </c>
    </row>
    <row r="275" spans="3:8" x14ac:dyDescent="0.3">
      <c r="C275">
        <f>Process!$I280*ref_umbral-Process!$G280</f>
        <v>3095808.8407848557</v>
      </c>
      <c r="D275">
        <f>Process!$L280*ref_umbral-Process!$J280</f>
        <v>3095787.3683326384</v>
      </c>
      <c r="E275">
        <f t="shared" si="12"/>
        <v>3095808.8407848557</v>
      </c>
      <c r="F275">
        <f>Process!$H280*ref_umbral-Process!$G280</f>
        <v>3095808.9054462691</v>
      </c>
      <c r="G275">
        <f>Process!$K280*ref_umbral-Process!$J280</f>
        <v>3095789.0966807981</v>
      </c>
      <c r="H275">
        <f t="shared" si="13"/>
        <v>3095808.9054462691</v>
      </c>
    </row>
    <row r="276" spans="3:8" x14ac:dyDescent="0.3">
      <c r="C276">
        <f>Process!$I281*ref_umbral-Process!$G281</f>
        <v>3095809.2914165203</v>
      </c>
      <c r="D276">
        <f>Process!$L281*ref_umbral-Process!$J281</f>
        <v>3095799.7775411615</v>
      </c>
      <c r="E276">
        <f t="shared" si="12"/>
        <v>3095809.2914165203</v>
      </c>
      <c r="F276">
        <f>Process!$H281*ref_umbral-Process!$G281</f>
        <v>3095809.3573693056</v>
      </c>
      <c r="G276">
        <f>Process!$K281*ref_umbral-Process!$J281</f>
        <v>3095801.4605053607</v>
      </c>
      <c r="H276">
        <f t="shared" si="13"/>
        <v>3095809.3573693056</v>
      </c>
    </row>
    <row r="277" spans="3:8" x14ac:dyDescent="0.3">
      <c r="C277">
        <f>Process!$I282*ref_umbral-Process!$G282</f>
        <v>3095809.4999329043</v>
      </c>
      <c r="D277">
        <f>Process!$L282*ref_umbral-Process!$J282</f>
        <v>3095803.8266347717</v>
      </c>
      <c r="E277">
        <f t="shared" si="12"/>
        <v>3095809.4999329043</v>
      </c>
      <c r="F277">
        <f>Process!$H282*ref_umbral-Process!$G282</f>
        <v>3095809.6675622878</v>
      </c>
      <c r="G277">
        <f>Process!$K282*ref_umbral-Process!$J282</f>
        <v>3095807.2591844243</v>
      </c>
      <c r="H277">
        <f t="shared" si="13"/>
        <v>3095809.6675622878</v>
      </c>
    </row>
    <row r="278" spans="3:8" x14ac:dyDescent="0.3">
      <c r="C278">
        <f>Process!$I283*ref_umbral-Process!$G283</f>
        <v>3095809.5672372859</v>
      </c>
      <c r="D278">
        <f>Process!$L283*ref_umbral-Process!$J283</f>
        <v>3095807.8029441237</v>
      </c>
      <c r="E278">
        <f t="shared" si="12"/>
        <v>3095809.5672372859</v>
      </c>
      <c r="F278">
        <f>Process!$H283*ref_umbral-Process!$G283</f>
        <v>3095809.7454420226</v>
      </c>
      <c r="G278">
        <f>Process!$K283*ref_umbral-Process!$J283</f>
        <v>3095809.8902364736</v>
      </c>
      <c r="H278">
        <f t="shared" si="13"/>
        <v>3095809.8902364736</v>
      </c>
    </row>
    <row r="279" spans="3:8" x14ac:dyDescent="0.3">
      <c r="C279">
        <f>Process!$I284*ref_umbral-Process!$G284</f>
        <v>3095808.7804736467</v>
      </c>
      <c r="D279">
        <f>Process!$L284*ref_umbral-Process!$J284</f>
        <v>3095801.6737222616</v>
      </c>
      <c r="E279">
        <f t="shared" si="12"/>
        <v>3095808.7804736467</v>
      </c>
      <c r="F279">
        <f>Process!$H284*ref_umbral-Process!$G284</f>
        <v>3095808.9053066261</v>
      </c>
      <c r="G279">
        <f>Process!$K284*ref_umbral-Process!$J284</f>
        <v>3095806.2189942384</v>
      </c>
      <c r="H279">
        <f t="shared" si="13"/>
        <v>3095808.9053066261</v>
      </c>
    </row>
    <row r="280" spans="3:8" x14ac:dyDescent="0.3">
      <c r="C280">
        <f>Process!$I285*ref_umbral-Process!$G285</f>
        <v>3095809.223624595</v>
      </c>
      <c r="D280">
        <f>Process!$L285*ref_umbral-Process!$J285</f>
        <v>3095789.7463233816</v>
      </c>
      <c r="E280">
        <f t="shared" si="12"/>
        <v>3095809.223624595</v>
      </c>
      <c r="F280">
        <f>Process!$H285*ref_umbral-Process!$G285</f>
        <v>3095809.3309814003</v>
      </c>
      <c r="G280">
        <f>Process!$K285*ref_umbral-Process!$J285</f>
        <v>3095790.9078237899</v>
      </c>
      <c r="H280">
        <f t="shared" si="13"/>
        <v>3095809.3309814003</v>
      </c>
    </row>
    <row r="281" spans="3:8" x14ac:dyDescent="0.3">
      <c r="C281">
        <f>Process!$I286*ref_umbral-Process!$G286</f>
        <v>3095808.2944567939</v>
      </c>
      <c r="D281">
        <f>Process!$L286*ref_umbral-Process!$J286</f>
        <v>3095799.0249266746</v>
      </c>
      <c r="E281">
        <f t="shared" si="12"/>
        <v>3095808.2944567939</v>
      </c>
      <c r="F281">
        <f>Process!$H286*ref_umbral-Process!$G286</f>
        <v>3095808.5543731274</v>
      </c>
      <c r="G281">
        <f>Process!$K286*ref_umbral-Process!$J286</f>
        <v>3095802.6024866113</v>
      </c>
      <c r="H281">
        <f t="shared" si="13"/>
        <v>3095808.5543731274</v>
      </c>
    </row>
    <row r="282" spans="3:8" x14ac:dyDescent="0.3">
      <c r="C282">
        <f>Process!$I287*ref_umbral-Process!$G287</f>
        <v>3095809.2885021628</v>
      </c>
      <c r="D282">
        <f>Process!$L287*ref_umbral-Process!$J287</f>
        <v>3095804.5693565379</v>
      </c>
      <c r="E282">
        <f t="shared" si="12"/>
        <v>3095809.2885021628</v>
      </c>
      <c r="F282">
        <f>Process!$H287*ref_umbral-Process!$G287</f>
        <v>3095809.4349177773</v>
      </c>
      <c r="G282">
        <f>Process!$K287*ref_umbral-Process!$J287</f>
        <v>3095806.2147779106</v>
      </c>
      <c r="H282">
        <f t="shared" si="13"/>
        <v>3095809.4349177773</v>
      </c>
    </row>
    <row r="283" spans="3:8" x14ac:dyDescent="0.3">
      <c r="C283">
        <f>Process!$I288*ref_umbral-Process!$G288</f>
        <v>3095809.2391383518</v>
      </c>
      <c r="D283">
        <f>Process!$L288*ref_umbral-Process!$J288</f>
        <v>3095803.0342830261</v>
      </c>
      <c r="E283">
        <f t="shared" si="12"/>
        <v>3095809.2391383518</v>
      </c>
      <c r="F283">
        <f>Process!$H288*ref_umbral-Process!$G288</f>
        <v>3095809.5126664862</v>
      </c>
      <c r="G283">
        <f>Process!$K288*ref_umbral-Process!$J288</f>
        <v>3095808.1158785485</v>
      </c>
      <c r="H283">
        <f t="shared" si="13"/>
        <v>3095809.5126664862</v>
      </c>
    </row>
    <row r="284" spans="3:8" x14ac:dyDescent="0.3">
      <c r="C284">
        <f>Process!$I289*ref_umbral-Process!$G289</f>
        <v>3095808.9241497782</v>
      </c>
      <c r="D284">
        <f>Process!$L289*ref_umbral-Process!$J289</f>
        <v>3095799.4416137636</v>
      </c>
      <c r="E284">
        <f t="shared" si="12"/>
        <v>3095808.9241497782</v>
      </c>
      <c r="F284">
        <f>Process!$H289*ref_umbral-Process!$G289</f>
        <v>3095809.028896193</v>
      </c>
      <c r="G284">
        <f>Process!$K289*ref_umbral-Process!$J289</f>
        <v>3095802.5452065147</v>
      </c>
      <c r="H284">
        <f t="shared" si="13"/>
        <v>3095809.028896193</v>
      </c>
    </row>
    <row r="285" spans="3:8" x14ac:dyDescent="0.3">
      <c r="C285">
        <f>Process!$I290*ref_umbral-Process!$G290</f>
        <v>3095809.5005727331</v>
      </c>
      <c r="D285">
        <f>Process!$L290*ref_umbral-Process!$J290</f>
        <v>3095806.5582646476</v>
      </c>
      <c r="E285">
        <f t="shared" si="12"/>
        <v>3095809.5005727331</v>
      </c>
      <c r="F285">
        <f>Process!$H290*ref_umbral-Process!$G290</f>
        <v>3095809.5168137327</v>
      </c>
      <c r="G285">
        <f>Process!$K290*ref_umbral-Process!$J290</f>
        <v>3095809.4551226236</v>
      </c>
      <c r="H285">
        <f t="shared" si="13"/>
        <v>3095809.5168137327</v>
      </c>
    </row>
    <row r="286" spans="3:8" x14ac:dyDescent="0.3">
      <c r="C286">
        <f>Process!$I291*ref_umbral-Process!$G291</f>
        <v>3095809.2498093774</v>
      </c>
      <c r="D286">
        <f>Process!$L291*ref_umbral-Process!$J291</f>
        <v>3095805.0142296921</v>
      </c>
      <c r="E286">
        <f t="shared" si="12"/>
        <v>3095809.2498093774</v>
      </c>
      <c r="F286">
        <f>Process!$H291*ref_umbral-Process!$G291</f>
        <v>3095809.4512016079</v>
      </c>
      <c r="G286">
        <f>Process!$K291*ref_umbral-Process!$J291</f>
        <v>3095806.858131127</v>
      </c>
      <c r="H286">
        <f t="shared" si="13"/>
        <v>3095809.4512016079</v>
      </c>
    </row>
    <row r="287" spans="3:8" x14ac:dyDescent="0.3">
      <c r="C287">
        <f>Process!$I292*ref_umbral-Process!$G292</f>
        <v>3095809.2299268655</v>
      </c>
      <c r="D287">
        <f>Process!$L292*ref_umbral-Process!$J292</f>
        <v>3095806.2223368012</v>
      </c>
      <c r="E287">
        <f t="shared" si="12"/>
        <v>3095809.2299268655</v>
      </c>
      <c r="F287">
        <f>Process!$H292*ref_umbral-Process!$G292</f>
        <v>3095809.2733150972</v>
      </c>
      <c r="G287">
        <f>Process!$K292*ref_umbral-Process!$J292</f>
        <v>3095808.1531334179</v>
      </c>
      <c r="H287">
        <f t="shared" si="13"/>
        <v>3095809.2733150972</v>
      </c>
    </row>
    <row r="288" spans="3:8" x14ac:dyDescent="0.3">
      <c r="C288">
        <f>Process!$I293*ref_umbral-Process!$G293</f>
        <v>3095809.2255898076</v>
      </c>
      <c r="D288">
        <f>Process!$L293*ref_umbral-Process!$J293</f>
        <v>3095805.265068592</v>
      </c>
      <c r="E288">
        <f t="shared" si="12"/>
        <v>3095809.2255898076</v>
      </c>
      <c r="F288">
        <f>Process!$H293*ref_umbral-Process!$G293</f>
        <v>3095809.4156857892</v>
      </c>
      <c r="G288">
        <f>Process!$K293*ref_umbral-Process!$J293</f>
        <v>3095808.2598883035</v>
      </c>
      <c r="H288">
        <f t="shared" si="13"/>
        <v>3095809.4156857892</v>
      </c>
    </row>
    <row r="289" spans="3:8" x14ac:dyDescent="0.3">
      <c r="C289">
        <f>Process!$I294*ref_umbral-Process!$G294</f>
        <v>3095809.2685794118</v>
      </c>
      <c r="D289">
        <f>Process!$L294*ref_umbral-Process!$J294</f>
        <v>3095802.8482761132</v>
      </c>
      <c r="E289">
        <f t="shared" si="12"/>
        <v>3095809.2685794118</v>
      </c>
      <c r="F289">
        <f>Process!$H294*ref_umbral-Process!$G294</f>
        <v>3095809.4460112164</v>
      </c>
      <c r="G289">
        <f>Process!$K294*ref_umbral-Process!$J294</f>
        <v>3095804.9030133453</v>
      </c>
      <c r="H289">
        <f t="shared" si="13"/>
        <v>3095809.4460112164</v>
      </c>
    </row>
    <row r="290" spans="3:8" x14ac:dyDescent="0.3">
      <c r="C290">
        <f>Process!$I295*ref_umbral-Process!$G295</f>
        <v>3095809.343377809</v>
      </c>
      <c r="D290">
        <f>Process!$L295*ref_umbral-Process!$J295</f>
        <v>3095794.7546149502</v>
      </c>
      <c r="E290">
        <f t="shared" si="12"/>
        <v>3095809.343377809</v>
      </c>
      <c r="F290">
        <f>Process!$H295*ref_umbral-Process!$G295</f>
        <v>3095809.4054382378</v>
      </c>
      <c r="G290">
        <f>Process!$K295*ref_umbral-Process!$J295</f>
        <v>3095796.4476724849</v>
      </c>
      <c r="H290">
        <f t="shared" si="13"/>
        <v>3095809.4054382378</v>
      </c>
    </row>
    <row r="291" spans="3:8" x14ac:dyDescent="0.3">
      <c r="C291">
        <f>Process!$I296*ref_umbral-Process!$G296</f>
        <v>3095809.2428761115</v>
      </c>
      <c r="D291">
        <f>Process!$L296*ref_umbral-Process!$J296</f>
        <v>3095802.9614869934</v>
      </c>
      <c r="E291">
        <f t="shared" si="12"/>
        <v>3095809.2428761115</v>
      </c>
      <c r="F291">
        <f>Process!$H296*ref_umbral-Process!$G296</f>
        <v>3095809.3145659282</v>
      </c>
      <c r="G291">
        <f>Process!$K296*ref_umbral-Process!$J296</f>
        <v>3095804.248281539</v>
      </c>
      <c r="H291">
        <f t="shared" si="13"/>
        <v>3095809.3145659282</v>
      </c>
    </row>
    <row r="292" spans="3:8" x14ac:dyDescent="0.3">
      <c r="C292">
        <f>Process!$I297*ref_umbral-Process!$G297</f>
        <v>3095808.8105712412</v>
      </c>
      <c r="D292">
        <f>Process!$L297*ref_umbral-Process!$J297</f>
        <v>3095793.5342767015</v>
      </c>
      <c r="E292">
        <f t="shared" si="12"/>
        <v>3095808.8105712412</v>
      </c>
      <c r="F292">
        <f>Process!$H297*ref_umbral-Process!$G297</f>
        <v>3095809.1331002866</v>
      </c>
      <c r="G292">
        <f>Process!$K297*ref_umbral-Process!$J297</f>
        <v>3095796.647089011</v>
      </c>
      <c r="H292">
        <f t="shared" si="13"/>
        <v>3095809.1331002866</v>
      </c>
    </row>
    <row r="293" spans="3:8" x14ac:dyDescent="0.3">
      <c r="C293">
        <f>Process!$I298*ref_umbral-Process!$G298</f>
        <v>3095809.0950565659</v>
      </c>
      <c r="D293">
        <f>Process!$L298*ref_umbral-Process!$J298</f>
        <v>3095804.9168361742</v>
      </c>
      <c r="E293">
        <f t="shared" si="12"/>
        <v>3095809.0950565659</v>
      </c>
      <c r="F293">
        <f>Process!$H298*ref_umbral-Process!$G298</f>
        <v>3095809.268066491</v>
      </c>
      <c r="G293">
        <f>Process!$K298*ref_umbral-Process!$J298</f>
        <v>3095808.8482387341</v>
      </c>
      <c r="H293">
        <f t="shared" si="13"/>
        <v>3095809.268066491</v>
      </c>
    </row>
    <row r="294" spans="3:8" x14ac:dyDescent="0.3">
      <c r="C294">
        <f>Process!$I299*ref_umbral-Process!$G299</f>
        <v>3095808.4181586993</v>
      </c>
      <c r="D294">
        <f>Process!$L299*ref_umbral-Process!$J299</f>
        <v>3095793.2763423934</v>
      </c>
      <c r="E294">
        <f t="shared" si="12"/>
        <v>3095808.4181586993</v>
      </c>
      <c r="F294">
        <f>Process!$H299*ref_umbral-Process!$G299</f>
        <v>3095808.5983509012</v>
      </c>
      <c r="G294">
        <f>Process!$K299*ref_umbral-Process!$J299</f>
        <v>3095795.0151148662</v>
      </c>
      <c r="H294">
        <f t="shared" si="13"/>
        <v>3095808.5983509012</v>
      </c>
    </row>
    <row r="295" spans="3:8" x14ac:dyDescent="0.3">
      <c r="C295">
        <f>Process!$I300*ref_umbral-Process!$G300</f>
        <v>3095809.5683898111</v>
      </c>
      <c r="D295">
        <f>Process!$L300*ref_umbral-Process!$J300</f>
        <v>3095807.0984324394</v>
      </c>
      <c r="E295">
        <f t="shared" si="12"/>
        <v>3095809.5683898111</v>
      </c>
      <c r="F295">
        <f>Process!$H300*ref_umbral-Process!$G300</f>
        <v>3095809.6550819296</v>
      </c>
      <c r="G295">
        <f>Process!$K300*ref_umbral-Process!$J300</f>
        <v>3095809.1812834959</v>
      </c>
      <c r="H295">
        <f t="shared" si="13"/>
        <v>3095809.6550819296</v>
      </c>
    </row>
    <row r="296" spans="3:8" x14ac:dyDescent="0.3">
      <c r="C296">
        <f>Process!$I301*ref_umbral-Process!$G301</f>
        <v>3095808.7777112126</v>
      </c>
      <c r="D296">
        <f>Process!$L301*ref_umbral-Process!$J301</f>
        <v>3095801.4118402284</v>
      </c>
      <c r="E296">
        <f t="shared" si="12"/>
        <v>3095808.7777112126</v>
      </c>
      <c r="F296">
        <f>Process!$H301*ref_umbral-Process!$G301</f>
        <v>3095809.0335521833</v>
      </c>
      <c r="G296">
        <f>Process!$K301*ref_umbral-Process!$J301</f>
        <v>3095803.7075462961</v>
      </c>
      <c r="H296">
        <f t="shared" si="13"/>
        <v>3095809.0335521833</v>
      </c>
    </row>
    <row r="297" spans="3:8" x14ac:dyDescent="0.3">
      <c r="C297">
        <f>Process!$I302*ref_umbral-Process!$G302</f>
        <v>3095808.787735166</v>
      </c>
      <c r="D297">
        <f>Process!$L302*ref_umbral-Process!$J302</f>
        <v>3095802.3983503655</v>
      </c>
      <c r="E297">
        <f t="shared" si="12"/>
        <v>3095808.787735166</v>
      </c>
      <c r="F297">
        <f>Process!$H302*ref_umbral-Process!$G302</f>
        <v>3095809.1134078922</v>
      </c>
      <c r="G297">
        <f>Process!$K302*ref_umbral-Process!$J302</f>
        <v>3095805.0276124082</v>
      </c>
      <c r="H297">
        <f t="shared" si="13"/>
        <v>3095809.1134078922</v>
      </c>
    </row>
    <row r="298" spans="3:8" x14ac:dyDescent="0.3">
      <c r="C298">
        <f>Process!$I303*ref_umbral-Process!$G303</f>
        <v>3095808.8438718021</v>
      </c>
      <c r="D298">
        <f>Process!$L303*ref_umbral-Process!$J303</f>
        <v>3095801.2335574827</v>
      </c>
      <c r="E298">
        <f t="shared" si="12"/>
        <v>3095808.8438718021</v>
      </c>
      <c r="F298">
        <f>Process!$H303*ref_umbral-Process!$G303</f>
        <v>3095809.1969973519</v>
      </c>
      <c r="G298">
        <f>Process!$K303*ref_umbral-Process!$J303</f>
        <v>3095804.8405466704</v>
      </c>
      <c r="H298">
        <f t="shared" si="13"/>
        <v>3095809.1969973519</v>
      </c>
    </row>
    <row r="299" spans="3:8" x14ac:dyDescent="0.3">
      <c r="C299">
        <f>Process!$I304*ref_umbral-Process!$G304</f>
        <v>3095809.2978435094</v>
      </c>
      <c r="D299">
        <f>Process!$L304*ref_umbral-Process!$J304</f>
        <v>3095794.4235463217</v>
      </c>
      <c r="E299">
        <f t="shared" si="12"/>
        <v>3095809.2978435094</v>
      </c>
      <c r="F299">
        <f>Process!$H304*ref_umbral-Process!$G304</f>
        <v>3095809.4906039136</v>
      </c>
      <c r="G299">
        <f>Process!$K304*ref_umbral-Process!$J304</f>
        <v>3095795.9387570433</v>
      </c>
      <c r="H299">
        <f t="shared" si="13"/>
        <v>3095809.4906039136</v>
      </c>
    </row>
    <row r="300" spans="3:8" x14ac:dyDescent="0.3">
      <c r="C300">
        <f>Process!$I305*ref_umbral-Process!$G305</f>
        <v>3095809.5161677427</v>
      </c>
      <c r="D300">
        <f>Process!$L305*ref_umbral-Process!$J305</f>
        <v>3095799.2953732121</v>
      </c>
      <c r="E300">
        <f t="shared" si="12"/>
        <v>3095809.5161677427</v>
      </c>
      <c r="F300">
        <f>Process!$H305*ref_umbral-Process!$G305</f>
        <v>3095809.621991537</v>
      </c>
      <c r="G300">
        <f>Process!$K305*ref_umbral-Process!$J305</f>
        <v>3095801.3485296327</v>
      </c>
      <c r="H300">
        <f t="shared" si="13"/>
        <v>3095809.621991537</v>
      </c>
    </row>
    <row r="301" spans="3:8" x14ac:dyDescent="0.3">
      <c r="C301">
        <f>Process!$I306*ref_umbral-Process!$G306</f>
        <v>3095809.157531946</v>
      </c>
      <c r="D301">
        <f>Process!$L306*ref_umbral-Process!$J306</f>
        <v>3095788.5676122908</v>
      </c>
      <c r="E301">
        <f t="shared" si="12"/>
        <v>3095809.157531946</v>
      </c>
      <c r="F301">
        <f>Process!$H306*ref_umbral-Process!$G306</f>
        <v>3095809.1816685512</v>
      </c>
      <c r="G301">
        <f>Process!$K306*ref_umbral-Process!$J306</f>
        <v>3095789.6155670001</v>
      </c>
      <c r="H301">
        <f t="shared" si="13"/>
        <v>3095809.1816685512</v>
      </c>
    </row>
    <row r="302" spans="3:8" x14ac:dyDescent="0.3">
      <c r="C302">
        <f>Process!$I307*ref_umbral-Process!$G307</f>
        <v>3095809.5564082698</v>
      </c>
      <c r="D302">
        <f>Process!$L307*ref_umbral-Process!$J307</f>
        <v>3095806.9926181184</v>
      </c>
      <c r="E302">
        <f t="shared" si="12"/>
        <v>3095809.5564082698</v>
      </c>
      <c r="F302">
        <f>Process!$H307*ref_umbral-Process!$G307</f>
        <v>3095809.6293763309</v>
      </c>
      <c r="G302">
        <f>Process!$K307*ref_umbral-Process!$J307</f>
        <v>3095808.6506783357</v>
      </c>
      <c r="H302">
        <f t="shared" si="13"/>
        <v>3095809.6293763309</v>
      </c>
    </row>
    <row r="303" spans="3:8" x14ac:dyDescent="0.3">
      <c r="C303">
        <f>Process!$I308*ref_umbral-Process!$G308</f>
        <v>3095809.1463570273</v>
      </c>
      <c r="D303">
        <f>Process!$L308*ref_umbral-Process!$J308</f>
        <v>3095800.3206519531</v>
      </c>
      <c r="E303">
        <f t="shared" si="12"/>
        <v>3095809.1463570273</v>
      </c>
      <c r="F303">
        <f>Process!$H308*ref_umbral-Process!$G308</f>
        <v>3095809.42688365</v>
      </c>
      <c r="G303">
        <f>Process!$K308*ref_umbral-Process!$J308</f>
        <v>3095803.8236808786</v>
      </c>
      <c r="H303">
        <f t="shared" si="13"/>
        <v>3095809.42688365</v>
      </c>
    </row>
    <row r="304" spans="3:8" x14ac:dyDescent="0.3">
      <c r="C304">
        <f>Process!$I309*ref_umbral-Process!$G309</f>
        <v>3095809.0643937578</v>
      </c>
      <c r="D304">
        <f>Process!$L309*ref_umbral-Process!$J309</f>
        <v>3095804.2105615837</v>
      </c>
      <c r="E304">
        <f t="shared" si="12"/>
        <v>3095809.0643937578</v>
      </c>
      <c r="F304">
        <f>Process!$H309*ref_umbral-Process!$G309</f>
        <v>3095809.2418914293</v>
      </c>
      <c r="G304">
        <f>Process!$K309*ref_umbral-Process!$J309</f>
        <v>3095806.3385018082</v>
      </c>
      <c r="H304">
        <f t="shared" si="13"/>
        <v>3095809.2418914293</v>
      </c>
    </row>
    <row r="305" spans="3:8" x14ac:dyDescent="0.3">
      <c r="C305">
        <f>Process!$I310*ref_umbral-Process!$G310</f>
        <v>3095809.0653454075</v>
      </c>
      <c r="D305">
        <f>Process!$L310*ref_umbral-Process!$J310</f>
        <v>3095806.0875431187</v>
      </c>
      <c r="E305">
        <f t="shared" si="12"/>
        <v>3095809.0653454075</v>
      </c>
      <c r="F305">
        <f>Process!$H310*ref_umbral-Process!$G310</f>
        <v>3095809.3068342777</v>
      </c>
      <c r="G305">
        <f>Process!$K310*ref_umbral-Process!$J310</f>
        <v>3095807.8348546969</v>
      </c>
      <c r="H305">
        <f t="shared" si="13"/>
        <v>3095809.3068342777</v>
      </c>
    </row>
    <row r="306" spans="3:8" x14ac:dyDescent="0.3">
      <c r="C306">
        <f>Process!$I311*ref_umbral-Process!$G311</f>
        <v>3095809.5127557432</v>
      </c>
      <c r="D306">
        <f>Process!$L311*ref_umbral-Process!$J311</f>
        <v>3095804.6703887535</v>
      </c>
      <c r="E306">
        <f t="shared" si="12"/>
        <v>3095809.5127557432</v>
      </c>
      <c r="F306">
        <f>Process!$H311*ref_umbral-Process!$G311</f>
        <v>3095809.6113533261</v>
      </c>
      <c r="G306">
        <f>Process!$K311*ref_umbral-Process!$J311</f>
        <v>3095806.5701696067</v>
      </c>
      <c r="H306">
        <f t="shared" si="13"/>
        <v>3095809.6113533261</v>
      </c>
    </row>
    <row r="307" spans="3:8" x14ac:dyDescent="0.3">
      <c r="C307">
        <f>Process!$I312*ref_umbral-Process!$G312</f>
        <v>3095808.8789709741</v>
      </c>
      <c r="D307">
        <f>Process!$L312*ref_umbral-Process!$J312</f>
        <v>3095791.8814943344</v>
      </c>
      <c r="E307">
        <f t="shared" si="12"/>
        <v>3095808.8789709741</v>
      </c>
      <c r="F307">
        <f>Process!$H312*ref_umbral-Process!$G312</f>
        <v>3095809.0821492337</v>
      </c>
      <c r="G307">
        <f>Process!$K312*ref_umbral-Process!$J312</f>
        <v>3095794.7563992133</v>
      </c>
      <c r="H307">
        <f t="shared" si="13"/>
        <v>3095809.0821492337</v>
      </c>
    </row>
    <row r="308" spans="3:8" x14ac:dyDescent="0.3">
      <c r="C308">
        <f>Process!$I313*ref_umbral-Process!$G313</f>
        <v>3095809.2025727821</v>
      </c>
      <c r="D308">
        <f>Process!$L313*ref_umbral-Process!$J313</f>
        <v>3095801.8047028799</v>
      </c>
      <c r="E308">
        <f t="shared" si="12"/>
        <v>3095809.2025727821</v>
      </c>
      <c r="F308">
        <f>Process!$H313*ref_umbral-Process!$G313</f>
        <v>3095809.3874260751</v>
      </c>
      <c r="G308">
        <f>Process!$K313*ref_umbral-Process!$J313</f>
        <v>3095803.5920664896</v>
      </c>
      <c r="H308">
        <f t="shared" si="13"/>
        <v>3095809.3874260751</v>
      </c>
    </row>
    <row r="309" spans="3:8" x14ac:dyDescent="0.3">
      <c r="C309">
        <f>Process!$I314*ref_umbral-Process!$G314</f>
        <v>3095808.4812968993</v>
      </c>
      <c r="D309">
        <f>Process!$L314*ref_umbral-Process!$J314</f>
        <v>3095799.0366938221</v>
      </c>
      <c r="E309">
        <f t="shared" si="12"/>
        <v>3095808.4812968993</v>
      </c>
      <c r="F309">
        <f>Process!$H314*ref_umbral-Process!$G314</f>
        <v>3095808.7717800327</v>
      </c>
      <c r="G309">
        <f>Process!$K314*ref_umbral-Process!$J314</f>
        <v>3095801.5363061298</v>
      </c>
      <c r="H309">
        <f t="shared" si="13"/>
        <v>3095808.7717800327</v>
      </c>
    </row>
    <row r="310" spans="3:8" x14ac:dyDescent="0.3">
      <c r="C310">
        <f>Process!$I315*ref_umbral-Process!$G315</f>
        <v>3095808.7575093168</v>
      </c>
      <c r="D310">
        <f>Process!$L315*ref_umbral-Process!$J315</f>
        <v>3095796.4394499413</v>
      </c>
      <c r="E310">
        <f t="shared" si="12"/>
        <v>3095808.7575093168</v>
      </c>
      <c r="F310">
        <f>Process!$H315*ref_umbral-Process!$G315</f>
        <v>3095808.9765743357</v>
      </c>
      <c r="G310">
        <f>Process!$K315*ref_umbral-Process!$J315</f>
        <v>3095797.9295517956</v>
      </c>
      <c r="H310">
        <f t="shared" si="13"/>
        <v>3095808.9765743357</v>
      </c>
    </row>
    <row r="311" spans="3:8" x14ac:dyDescent="0.3">
      <c r="C311">
        <f>Process!$I316*ref_umbral-Process!$G316</f>
        <v>3095808.9502924448</v>
      </c>
      <c r="D311">
        <f>Process!$L316*ref_umbral-Process!$J316</f>
        <v>3095800.5687611615</v>
      </c>
      <c r="E311">
        <f t="shared" si="12"/>
        <v>3095808.9502924448</v>
      </c>
      <c r="F311">
        <f>Process!$H316*ref_umbral-Process!$G316</f>
        <v>3095809.1791756917</v>
      </c>
      <c r="G311">
        <f>Process!$K316*ref_umbral-Process!$J316</f>
        <v>3095802.7607711884</v>
      </c>
      <c r="H311">
        <f t="shared" si="13"/>
        <v>3095809.1791756917</v>
      </c>
    </row>
    <row r="312" spans="3:8" x14ac:dyDescent="0.3">
      <c r="C312">
        <f>Process!$I317*ref_umbral-Process!$G317</f>
        <v>3095808.9785519131</v>
      </c>
      <c r="D312">
        <f>Process!$L317*ref_umbral-Process!$J317</f>
        <v>3095803.541593804</v>
      </c>
      <c r="E312">
        <f t="shared" si="12"/>
        <v>3095808.9785519131</v>
      </c>
      <c r="F312">
        <f>Process!$H317*ref_umbral-Process!$G317</f>
        <v>3095809.1491768863</v>
      </c>
      <c r="G312">
        <f>Process!$K317*ref_umbral-Process!$J317</f>
        <v>3095805.7675772067</v>
      </c>
      <c r="H312">
        <f t="shared" si="13"/>
        <v>3095809.1491768863</v>
      </c>
    </row>
    <row r="313" spans="3:8" x14ac:dyDescent="0.3">
      <c r="C313">
        <f>Process!$I318*ref_umbral-Process!$G318</f>
        <v>3095809.5300050639</v>
      </c>
      <c r="D313">
        <f>Process!$L318*ref_umbral-Process!$J318</f>
        <v>3095806.5958641167</v>
      </c>
      <c r="E313">
        <f t="shared" si="12"/>
        <v>3095809.5300050639</v>
      </c>
      <c r="F313">
        <f>Process!$H318*ref_umbral-Process!$G318</f>
        <v>3095809.6139991139</v>
      </c>
      <c r="G313">
        <f>Process!$K318*ref_umbral-Process!$J318</f>
        <v>3095809.4619698636</v>
      </c>
      <c r="H313">
        <f t="shared" si="13"/>
        <v>3095809.6139991139</v>
      </c>
    </row>
    <row r="314" spans="3:8" x14ac:dyDescent="0.3">
      <c r="C314">
        <f>Process!$I319*ref_umbral-Process!$G319</f>
        <v>3095809.360620704</v>
      </c>
      <c r="D314">
        <f>Process!$L319*ref_umbral-Process!$J319</f>
        <v>3095807.3194987434</v>
      </c>
      <c r="E314">
        <f t="shared" si="12"/>
        <v>3095809.360620704</v>
      </c>
      <c r="F314">
        <f>Process!$H319*ref_umbral-Process!$G319</f>
        <v>3095809.4651693488</v>
      </c>
      <c r="G314">
        <f>Process!$K319*ref_umbral-Process!$J319</f>
        <v>3095809.1548653576</v>
      </c>
      <c r="H314">
        <f t="shared" si="13"/>
        <v>3095809.4651693488</v>
      </c>
    </row>
    <row r="315" spans="3:8" x14ac:dyDescent="0.3">
      <c r="C315">
        <f>Process!$I320*ref_umbral-Process!$G320</f>
        <v>3095809.3912747474</v>
      </c>
      <c r="D315">
        <f>Process!$L320*ref_umbral-Process!$J320</f>
        <v>3095801.2562558996</v>
      </c>
      <c r="E315">
        <f t="shared" si="12"/>
        <v>3095809.3912747474</v>
      </c>
      <c r="F315">
        <f>Process!$H320*ref_umbral-Process!$G320</f>
        <v>3095809.4560759915</v>
      </c>
      <c r="G315">
        <f>Process!$K320*ref_umbral-Process!$J320</f>
        <v>3095802.6241454971</v>
      </c>
      <c r="H315">
        <f t="shared" si="13"/>
        <v>3095809.4560759915</v>
      </c>
    </row>
    <row r="316" spans="3:8" x14ac:dyDescent="0.3">
      <c r="C316">
        <f>Process!$I321*ref_umbral-Process!$G321</f>
        <v>3095809.2206966253</v>
      </c>
      <c r="D316">
        <f>Process!$L321*ref_umbral-Process!$J321</f>
        <v>3095803.6516530998</v>
      </c>
      <c r="E316">
        <f t="shared" si="12"/>
        <v>3095809.2206966253</v>
      </c>
      <c r="F316">
        <f>Process!$H321*ref_umbral-Process!$G321</f>
        <v>3095809.4163782764</v>
      </c>
      <c r="G316">
        <f>Process!$K321*ref_umbral-Process!$J321</f>
        <v>3095807.8573966264</v>
      </c>
      <c r="H316">
        <f t="shared" si="13"/>
        <v>3095809.4163782764</v>
      </c>
    </row>
    <row r="317" spans="3:8" x14ac:dyDescent="0.3">
      <c r="C317">
        <f>Process!$I322*ref_umbral-Process!$G322</f>
        <v>3095809.0214932384</v>
      </c>
      <c r="D317">
        <f>Process!$L322*ref_umbral-Process!$J322</f>
        <v>3095805.067893202</v>
      </c>
      <c r="E317">
        <f t="shared" si="12"/>
        <v>3095809.0214932384</v>
      </c>
      <c r="F317">
        <f>Process!$H322*ref_umbral-Process!$G322</f>
        <v>3095809.3572849734</v>
      </c>
      <c r="G317">
        <f>Process!$K322*ref_umbral-Process!$J322</f>
        <v>3095808.4954070295</v>
      </c>
      <c r="H317">
        <f t="shared" si="13"/>
        <v>3095809.3572849734</v>
      </c>
    </row>
    <row r="318" spans="3:8" x14ac:dyDescent="0.3">
      <c r="C318">
        <f>Process!$I323*ref_umbral-Process!$G323</f>
        <v>3095809.4288287279</v>
      </c>
      <c r="D318">
        <f>Process!$L323*ref_umbral-Process!$J323</f>
        <v>3095802.2380360626</v>
      </c>
      <c r="E318">
        <f t="shared" si="12"/>
        <v>3095809.4288287279</v>
      </c>
      <c r="F318">
        <f>Process!$H323*ref_umbral-Process!$G323</f>
        <v>3095809.6101611806</v>
      </c>
      <c r="G318">
        <f>Process!$K323*ref_umbral-Process!$J323</f>
        <v>3095804.1397503559</v>
      </c>
      <c r="H318">
        <f t="shared" si="13"/>
        <v>3095809.6101611806</v>
      </c>
    </row>
    <row r="319" spans="3:8" x14ac:dyDescent="0.3">
      <c r="C319">
        <f>Process!$I324*ref_umbral-Process!$G324</f>
        <v>3095809.404870606</v>
      </c>
      <c r="D319">
        <f>Process!$L324*ref_umbral-Process!$J324</f>
        <v>3095806.3070155061</v>
      </c>
      <c r="E319">
        <f t="shared" si="12"/>
        <v>3095809.404870606</v>
      </c>
      <c r="F319">
        <f>Process!$H324*ref_umbral-Process!$G324</f>
        <v>3095809.5633142451</v>
      </c>
      <c r="G319">
        <f>Process!$K324*ref_umbral-Process!$J324</f>
        <v>3095807.7775508142</v>
      </c>
      <c r="H319">
        <f t="shared" si="13"/>
        <v>3095809.5633142451</v>
      </c>
    </row>
    <row r="320" spans="3:8" x14ac:dyDescent="0.3">
      <c r="C320">
        <f>Process!$I325*ref_umbral-Process!$G325</f>
        <v>3095809.2594395229</v>
      </c>
      <c r="D320">
        <f>Process!$L325*ref_umbral-Process!$J325</f>
        <v>3095803.3086976972</v>
      </c>
      <c r="E320">
        <f t="shared" si="12"/>
        <v>3095809.2594395229</v>
      </c>
      <c r="F320">
        <f>Process!$H325*ref_umbral-Process!$G325</f>
        <v>3095809.2977136075</v>
      </c>
      <c r="G320">
        <f>Process!$K325*ref_umbral-Process!$J325</f>
        <v>3095805.6654579593</v>
      </c>
      <c r="H320">
        <f t="shared" si="13"/>
        <v>3095809.2977136075</v>
      </c>
    </row>
    <row r="321" spans="3:8" x14ac:dyDescent="0.3">
      <c r="C321">
        <f>Process!$I326*ref_umbral-Process!$G326</f>
        <v>3095809.2102905819</v>
      </c>
      <c r="D321">
        <f>Process!$L326*ref_umbral-Process!$J326</f>
        <v>3095806.8580544931</v>
      </c>
      <c r="E321">
        <f t="shared" si="12"/>
        <v>3095809.2102905819</v>
      </c>
      <c r="F321">
        <f>Process!$H326*ref_umbral-Process!$G326</f>
        <v>3095809.4066617144</v>
      </c>
      <c r="G321">
        <f>Process!$K326*ref_umbral-Process!$J326</f>
        <v>3095808.4732815712</v>
      </c>
      <c r="H321">
        <f t="shared" si="13"/>
        <v>3095809.4066617144</v>
      </c>
    </row>
    <row r="322" spans="3:8" x14ac:dyDescent="0.3">
      <c r="C322">
        <f>Process!$I327*ref_umbral-Process!$G327</f>
        <v>3095809.4231219664</v>
      </c>
      <c r="D322">
        <f>Process!$L327*ref_umbral-Process!$J327</f>
        <v>3095806.6763636521</v>
      </c>
      <c r="E322">
        <f t="shared" si="12"/>
        <v>3095809.4231219664</v>
      </c>
      <c r="F322">
        <f>Process!$H327*ref_umbral-Process!$G327</f>
        <v>3095809.4922815529</v>
      </c>
      <c r="G322">
        <f>Process!$K327*ref_umbral-Process!$J327</f>
        <v>3095809.0917384112</v>
      </c>
      <c r="H322">
        <f t="shared" si="13"/>
        <v>3095809.4922815529</v>
      </c>
    </row>
    <row r="323" spans="3:8" x14ac:dyDescent="0.3">
      <c r="C323">
        <f>Process!$I328*ref_umbral-Process!$G328</f>
        <v>3095809.1377770486</v>
      </c>
      <c r="D323">
        <f>Process!$L328*ref_umbral-Process!$J328</f>
        <v>3095803.5760687534</v>
      </c>
      <c r="E323">
        <f t="shared" si="12"/>
        <v>3095809.1377770486</v>
      </c>
      <c r="F323">
        <f>Process!$H328*ref_umbral-Process!$G328</f>
        <v>3095809.2149615576</v>
      </c>
      <c r="G323">
        <f>Process!$K328*ref_umbral-Process!$J328</f>
        <v>3095805.5301835542</v>
      </c>
      <c r="H323">
        <f t="shared" si="13"/>
        <v>3095809.2149615576</v>
      </c>
    </row>
    <row r="324" spans="3:8" x14ac:dyDescent="0.3">
      <c r="C324">
        <f>Process!$I329*ref_umbral-Process!$G329</f>
        <v>3095808.9968005694</v>
      </c>
      <c r="D324">
        <f>Process!$L329*ref_umbral-Process!$J329</f>
        <v>3095802.6523448098</v>
      </c>
      <c r="E324">
        <f t="shared" si="12"/>
        <v>3095808.9968005694</v>
      </c>
      <c r="F324">
        <f>Process!$H329*ref_umbral-Process!$G329</f>
        <v>3095809.1046187151</v>
      </c>
      <c r="G324">
        <f>Process!$K329*ref_umbral-Process!$J329</f>
        <v>3095805.6227569664</v>
      </c>
      <c r="H324">
        <f t="shared" si="13"/>
        <v>3095809.1046187151</v>
      </c>
    </row>
    <row r="325" spans="3:8" x14ac:dyDescent="0.3">
      <c r="C325">
        <f>Process!$I330*ref_umbral-Process!$G330</f>
        <v>3095809.5074927448</v>
      </c>
      <c r="D325">
        <f>Process!$L330*ref_umbral-Process!$J330</f>
        <v>3095807.3376120687</v>
      </c>
      <c r="E325">
        <f t="shared" si="12"/>
        <v>3095809.5074927448</v>
      </c>
      <c r="F325">
        <f>Process!$H330*ref_umbral-Process!$G330</f>
        <v>3095809.5995712518</v>
      </c>
      <c r="G325">
        <f>Process!$K330*ref_umbral-Process!$J330</f>
        <v>3095809.8790716315</v>
      </c>
      <c r="H325">
        <f t="shared" si="13"/>
        <v>3095809.8790716315</v>
      </c>
    </row>
    <row r="326" spans="3:8" x14ac:dyDescent="0.3">
      <c r="C326">
        <f>Process!$I331*ref_umbral-Process!$G331</f>
        <v>3095809.5272225533</v>
      </c>
      <c r="D326">
        <f>Process!$L331*ref_umbral-Process!$J331</f>
        <v>3095805.140085394</v>
      </c>
      <c r="E326">
        <f t="shared" si="12"/>
        <v>3095809.5272225533</v>
      </c>
      <c r="F326">
        <f>Process!$H331*ref_umbral-Process!$G331</f>
        <v>3095809.5947403489</v>
      </c>
      <c r="G326">
        <f>Process!$K331*ref_umbral-Process!$J331</f>
        <v>3095807.5458287317</v>
      </c>
      <c r="H326">
        <f t="shared" si="13"/>
        <v>3095809.5947403489</v>
      </c>
    </row>
    <row r="327" spans="3:8" x14ac:dyDescent="0.3">
      <c r="C327">
        <f>Process!$I332*ref_umbral-Process!$G332</f>
        <v>3095808.9513276266</v>
      </c>
      <c r="D327">
        <f>Process!$L332*ref_umbral-Process!$J332</f>
        <v>3095798.2258855174</v>
      </c>
      <c r="E327">
        <f t="shared" ref="E327:E390" si="14">MAX(C327,D327)</f>
        <v>3095808.9513276266</v>
      </c>
      <c r="F327">
        <f>Process!$H332*ref_umbral-Process!$G332</f>
        <v>3095809.2320991685</v>
      </c>
      <c r="G327">
        <f>Process!$K332*ref_umbral-Process!$J332</f>
        <v>3095801.1697824304</v>
      </c>
      <c r="H327">
        <f t="shared" ref="H327:H390" si="15">MAX(F327,G327)</f>
        <v>3095809.2320991685</v>
      </c>
    </row>
    <row r="328" spans="3:8" x14ac:dyDescent="0.3">
      <c r="C328">
        <f>Process!$I333*ref_umbral-Process!$G333</f>
        <v>3095809.5532298526</v>
      </c>
      <c r="D328">
        <f>Process!$L333*ref_umbral-Process!$J333</f>
        <v>3095803.092043295</v>
      </c>
      <c r="E328">
        <f t="shared" si="14"/>
        <v>3095809.5532298526</v>
      </c>
      <c r="F328">
        <f>Process!$H333*ref_umbral-Process!$G333</f>
        <v>3095809.5781085459</v>
      </c>
      <c r="G328">
        <f>Process!$K333*ref_umbral-Process!$J333</f>
        <v>3095804.519499551</v>
      </c>
      <c r="H328">
        <f t="shared" si="15"/>
        <v>3095809.5781085459</v>
      </c>
    </row>
    <row r="329" spans="3:8" x14ac:dyDescent="0.3">
      <c r="C329">
        <f>Process!$I334*ref_umbral-Process!$G334</f>
        <v>3095809.3339436851</v>
      </c>
      <c r="D329">
        <f>Process!$L334*ref_umbral-Process!$J334</f>
        <v>3095804.2157312445</v>
      </c>
      <c r="E329">
        <f t="shared" si="14"/>
        <v>3095809.3339436851</v>
      </c>
      <c r="F329">
        <f>Process!$H334*ref_umbral-Process!$G334</f>
        <v>3095809.3843897097</v>
      </c>
      <c r="G329">
        <f>Process!$K334*ref_umbral-Process!$J334</f>
        <v>3095806.1294326647</v>
      </c>
      <c r="H329">
        <f t="shared" si="15"/>
        <v>3095809.3843897097</v>
      </c>
    </row>
    <row r="330" spans="3:8" x14ac:dyDescent="0.3">
      <c r="C330">
        <f>Process!$I335*ref_umbral-Process!$G335</f>
        <v>3095809.5611165785</v>
      </c>
      <c r="D330">
        <f>Process!$L335*ref_umbral-Process!$J335</f>
        <v>3095803.4949675016</v>
      </c>
      <c r="E330">
        <f t="shared" si="14"/>
        <v>3095809.5611165785</v>
      </c>
      <c r="F330">
        <f>Process!$H335*ref_umbral-Process!$G335</f>
        <v>3095809.6645621783</v>
      </c>
      <c r="G330">
        <f>Process!$K335*ref_umbral-Process!$J335</f>
        <v>3095805.5386109049</v>
      </c>
      <c r="H330">
        <f t="shared" si="15"/>
        <v>3095809.6645621783</v>
      </c>
    </row>
    <row r="331" spans="3:8" x14ac:dyDescent="0.3">
      <c r="C331">
        <f>Process!$I336*ref_umbral-Process!$G336</f>
        <v>3095809.0751152895</v>
      </c>
      <c r="D331">
        <f>Process!$L336*ref_umbral-Process!$J336</f>
        <v>3095802.8336886587</v>
      </c>
      <c r="E331">
        <f t="shared" si="14"/>
        <v>3095809.0751152895</v>
      </c>
      <c r="F331">
        <f>Process!$H336*ref_umbral-Process!$G336</f>
        <v>3095809.2414318803</v>
      </c>
      <c r="G331">
        <f>Process!$K336*ref_umbral-Process!$J336</f>
        <v>3095805.4985076077</v>
      </c>
      <c r="H331">
        <f t="shared" si="15"/>
        <v>3095809.2414318803</v>
      </c>
    </row>
    <row r="332" spans="3:8" x14ac:dyDescent="0.3">
      <c r="C332">
        <f>Process!$I337*ref_umbral-Process!$G337</f>
        <v>3095808.8863384379</v>
      </c>
      <c r="D332">
        <f>Process!$L337*ref_umbral-Process!$J337</f>
        <v>3095803.9119050372</v>
      </c>
      <c r="E332">
        <f t="shared" si="14"/>
        <v>3095808.8863384379</v>
      </c>
      <c r="F332">
        <f>Process!$H337*ref_umbral-Process!$G337</f>
        <v>3095809.0850505102</v>
      </c>
      <c r="G332">
        <f>Process!$K337*ref_umbral-Process!$J337</f>
        <v>3095806.0366922505</v>
      </c>
      <c r="H332">
        <f t="shared" si="15"/>
        <v>3095809.0850505102</v>
      </c>
    </row>
    <row r="333" spans="3:8" x14ac:dyDescent="0.3">
      <c r="C333">
        <f>Process!$I338*ref_umbral-Process!$G338</f>
        <v>3095809.4481910435</v>
      </c>
      <c r="D333">
        <f>Process!$L338*ref_umbral-Process!$J338</f>
        <v>3095803.7798313196</v>
      </c>
      <c r="E333">
        <f t="shared" si="14"/>
        <v>3095809.4481910435</v>
      </c>
      <c r="F333">
        <f>Process!$H338*ref_umbral-Process!$G338</f>
        <v>3095809.4672364453</v>
      </c>
      <c r="G333">
        <f>Process!$K338*ref_umbral-Process!$J338</f>
        <v>3095806.6783715589</v>
      </c>
      <c r="H333">
        <f t="shared" si="15"/>
        <v>3095809.4672364453</v>
      </c>
    </row>
    <row r="334" spans="3:8" x14ac:dyDescent="0.3">
      <c r="C334">
        <f>Process!$I339*ref_umbral-Process!$G339</f>
        <v>3095809.2928778459</v>
      </c>
      <c r="D334">
        <f>Process!$L339*ref_umbral-Process!$J339</f>
        <v>3095797.0050963545</v>
      </c>
      <c r="E334">
        <f t="shared" si="14"/>
        <v>3095809.2928778459</v>
      </c>
      <c r="F334">
        <f>Process!$H339*ref_umbral-Process!$G339</f>
        <v>3095809.3337669666</v>
      </c>
      <c r="G334">
        <f>Process!$K339*ref_umbral-Process!$J339</f>
        <v>3095800.9981053448</v>
      </c>
      <c r="H334">
        <f t="shared" si="15"/>
        <v>3095809.3337669666</v>
      </c>
    </row>
    <row r="335" spans="3:8" x14ac:dyDescent="0.3">
      <c r="C335">
        <f>Process!$I340*ref_umbral-Process!$G340</f>
        <v>3095809.4015172683</v>
      </c>
      <c r="D335">
        <f>Process!$L340*ref_umbral-Process!$J340</f>
        <v>3095803.4657850116</v>
      </c>
      <c r="E335">
        <f t="shared" si="14"/>
        <v>3095809.4015172683</v>
      </c>
      <c r="F335">
        <f>Process!$H340*ref_umbral-Process!$G340</f>
        <v>3095809.440790175</v>
      </c>
      <c r="G335">
        <f>Process!$K340*ref_umbral-Process!$J340</f>
        <v>3095805.7575663715</v>
      </c>
      <c r="H335">
        <f t="shared" si="15"/>
        <v>3095809.440790175</v>
      </c>
    </row>
    <row r="336" spans="3:8" x14ac:dyDescent="0.3">
      <c r="C336">
        <f>Process!$I341*ref_umbral-Process!$G341</f>
        <v>3095809.1736957543</v>
      </c>
      <c r="D336">
        <f>Process!$L341*ref_umbral-Process!$J341</f>
        <v>3095805.8776584044</v>
      </c>
      <c r="E336">
        <f t="shared" si="14"/>
        <v>3095809.1736957543</v>
      </c>
      <c r="F336">
        <f>Process!$H341*ref_umbral-Process!$G341</f>
        <v>3095809.3995821383</v>
      </c>
      <c r="G336">
        <f>Process!$K341*ref_umbral-Process!$J341</f>
        <v>3095808.661678568</v>
      </c>
      <c r="H336">
        <f t="shared" si="15"/>
        <v>3095809.3995821383</v>
      </c>
    </row>
    <row r="337" spans="3:8" x14ac:dyDescent="0.3">
      <c r="C337">
        <f>Process!$I342*ref_umbral-Process!$G342</f>
        <v>3095809.2897720318</v>
      </c>
      <c r="D337">
        <f>Process!$L342*ref_umbral-Process!$J342</f>
        <v>3095804.9550253106</v>
      </c>
      <c r="E337">
        <f t="shared" si="14"/>
        <v>3095809.2897720318</v>
      </c>
      <c r="F337">
        <f>Process!$H342*ref_umbral-Process!$G342</f>
        <v>3095809.3616878837</v>
      </c>
      <c r="G337">
        <f>Process!$K342*ref_umbral-Process!$J342</f>
        <v>3095808.1499516917</v>
      </c>
      <c r="H337">
        <f t="shared" si="15"/>
        <v>3095809.3616878837</v>
      </c>
    </row>
    <row r="338" spans="3:8" x14ac:dyDescent="0.3">
      <c r="C338">
        <f>Process!$I343*ref_umbral-Process!$G343</f>
        <v>3095809.235557795</v>
      </c>
      <c r="D338">
        <f>Process!$L343*ref_umbral-Process!$J343</f>
        <v>3095804.5471862354</v>
      </c>
      <c r="E338">
        <f t="shared" si="14"/>
        <v>3095809.235557795</v>
      </c>
      <c r="F338">
        <f>Process!$H343*ref_umbral-Process!$G343</f>
        <v>3095809.4093402866</v>
      </c>
      <c r="G338">
        <f>Process!$K343*ref_umbral-Process!$J343</f>
        <v>3095806.9933735924</v>
      </c>
      <c r="H338">
        <f t="shared" si="15"/>
        <v>3095809.4093402866</v>
      </c>
    </row>
    <row r="339" spans="3:8" x14ac:dyDescent="0.3">
      <c r="C339">
        <f>Process!$I344*ref_umbral-Process!$G344</f>
        <v>3095808.8707630872</v>
      </c>
      <c r="D339">
        <f>Process!$L344*ref_umbral-Process!$J344</f>
        <v>3095803.805294259</v>
      </c>
      <c r="E339">
        <f t="shared" si="14"/>
        <v>3095808.8707630872</v>
      </c>
      <c r="F339">
        <f>Process!$H344*ref_umbral-Process!$G344</f>
        <v>3095809.1395689333</v>
      </c>
      <c r="G339">
        <f>Process!$K344*ref_umbral-Process!$J344</f>
        <v>3095806.6734743896</v>
      </c>
      <c r="H339">
        <f t="shared" si="15"/>
        <v>3095809.1395689333</v>
      </c>
    </row>
    <row r="340" spans="3:8" x14ac:dyDescent="0.3">
      <c r="C340">
        <f>Process!$I345*ref_umbral-Process!$G345</f>
        <v>3095805.619796853</v>
      </c>
      <c r="D340">
        <f>Process!$L345*ref_umbral-Process!$J345</f>
        <v>3095795.7719855197</v>
      </c>
      <c r="E340">
        <f t="shared" si="14"/>
        <v>3095805.619796853</v>
      </c>
      <c r="F340">
        <f>Process!$H345*ref_umbral-Process!$G345</f>
        <v>3095806.7484033178</v>
      </c>
      <c r="G340">
        <f>Process!$K345*ref_umbral-Process!$J345</f>
        <v>3095799.3001334802</v>
      </c>
      <c r="H340">
        <f t="shared" si="15"/>
        <v>3095806.7484033178</v>
      </c>
    </row>
    <row r="341" spans="3:8" x14ac:dyDescent="0.3">
      <c r="C341">
        <f>Process!$I346*ref_umbral-Process!$G346</f>
        <v>3095809.572448751</v>
      </c>
      <c r="D341">
        <f>Process!$L346*ref_umbral-Process!$J346</f>
        <v>3095806.9206913603</v>
      </c>
      <c r="E341">
        <f t="shared" si="14"/>
        <v>3095809.572448751</v>
      </c>
      <c r="F341">
        <f>Process!$H346*ref_umbral-Process!$G346</f>
        <v>3095809.6709088543</v>
      </c>
      <c r="G341">
        <f>Process!$K346*ref_umbral-Process!$J346</f>
        <v>3095808.462215866</v>
      </c>
      <c r="H341">
        <f t="shared" si="15"/>
        <v>3095809.6709088543</v>
      </c>
    </row>
    <row r="342" spans="3:8" x14ac:dyDescent="0.3">
      <c r="C342">
        <f>Process!$I347*ref_umbral-Process!$G347</f>
        <v>3095809.1539488886</v>
      </c>
      <c r="D342">
        <f>Process!$L347*ref_umbral-Process!$J347</f>
        <v>3095804.7506779232</v>
      </c>
      <c r="E342">
        <f t="shared" si="14"/>
        <v>3095809.1539488886</v>
      </c>
      <c r="F342">
        <f>Process!$H347*ref_umbral-Process!$G347</f>
        <v>3095809.1977242883</v>
      </c>
      <c r="G342">
        <f>Process!$K347*ref_umbral-Process!$J347</f>
        <v>3095806.7342566652</v>
      </c>
      <c r="H342">
        <f t="shared" si="15"/>
        <v>3095809.1977242883</v>
      </c>
    </row>
    <row r="343" spans="3:8" x14ac:dyDescent="0.3">
      <c r="C343">
        <f>Process!$I348*ref_umbral-Process!$G348</f>
        <v>3095809.0127031049</v>
      </c>
      <c r="D343">
        <f>Process!$L348*ref_umbral-Process!$J348</f>
        <v>3095805.0468848394</v>
      </c>
      <c r="E343">
        <f t="shared" si="14"/>
        <v>3095809.0127031049</v>
      </c>
      <c r="F343">
        <f>Process!$H348*ref_umbral-Process!$G348</f>
        <v>3095809.1677926467</v>
      </c>
      <c r="G343">
        <f>Process!$K348*ref_umbral-Process!$J348</f>
        <v>3095805.798733701</v>
      </c>
      <c r="H343">
        <f t="shared" si="15"/>
        <v>3095809.1677926467</v>
      </c>
    </row>
    <row r="344" spans="3:8" x14ac:dyDescent="0.3">
      <c r="C344">
        <f>Process!$I349*ref_umbral-Process!$G349</f>
        <v>3095809.2295106598</v>
      </c>
      <c r="D344">
        <f>Process!$L349*ref_umbral-Process!$J349</f>
        <v>3095806.5693895421</v>
      </c>
      <c r="E344">
        <f t="shared" si="14"/>
        <v>3095809.2295106598</v>
      </c>
      <c r="F344">
        <f>Process!$H349*ref_umbral-Process!$G349</f>
        <v>3095809.3647860582</v>
      </c>
      <c r="G344">
        <f>Process!$K349*ref_umbral-Process!$J349</f>
        <v>3095809.4834849909</v>
      </c>
      <c r="H344">
        <f t="shared" si="15"/>
        <v>3095809.4834849909</v>
      </c>
    </row>
    <row r="345" spans="3:8" x14ac:dyDescent="0.3">
      <c r="C345">
        <f>Process!$I350*ref_umbral-Process!$G350</f>
        <v>3095809.0789004723</v>
      </c>
      <c r="D345">
        <f>Process!$L350*ref_umbral-Process!$J350</f>
        <v>3095806.9099988053</v>
      </c>
      <c r="E345">
        <f t="shared" si="14"/>
        <v>3095809.0789004723</v>
      </c>
      <c r="F345">
        <f>Process!$H350*ref_umbral-Process!$G350</f>
        <v>3095809.1738868202</v>
      </c>
      <c r="G345">
        <f>Process!$K350*ref_umbral-Process!$J350</f>
        <v>3095808.8110346287</v>
      </c>
      <c r="H345">
        <f t="shared" si="15"/>
        <v>3095809.1738868202</v>
      </c>
    </row>
    <row r="346" spans="3:8" x14ac:dyDescent="0.3">
      <c r="C346">
        <f>Process!$I351*ref_umbral-Process!$G351</f>
        <v>3095808.9110557912</v>
      </c>
      <c r="D346">
        <f>Process!$L351*ref_umbral-Process!$J351</f>
        <v>3095800.5449027633</v>
      </c>
      <c r="E346">
        <f t="shared" si="14"/>
        <v>3095808.9110557912</v>
      </c>
      <c r="F346">
        <f>Process!$H351*ref_umbral-Process!$G351</f>
        <v>3095809.2361031012</v>
      </c>
      <c r="G346">
        <f>Process!$K351*ref_umbral-Process!$J351</f>
        <v>3095803.3017416475</v>
      </c>
      <c r="H346">
        <f t="shared" si="15"/>
        <v>3095809.2361031012</v>
      </c>
    </row>
    <row r="347" spans="3:8" x14ac:dyDescent="0.3">
      <c r="C347">
        <f>Process!$I352*ref_umbral-Process!$G352</f>
        <v>3095809.126995571</v>
      </c>
      <c r="D347">
        <f>Process!$L352*ref_umbral-Process!$J352</f>
        <v>3095795.4936132571</v>
      </c>
      <c r="E347">
        <f t="shared" si="14"/>
        <v>3095809.126995571</v>
      </c>
      <c r="F347">
        <f>Process!$H352*ref_umbral-Process!$G352</f>
        <v>3095809.3491791487</v>
      </c>
      <c r="G347">
        <f>Process!$K352*ref_umbral-Process!$J352</f>
        <v>3095797.5357677927</v>
      </c>
      <c r="H347">
        <f t="shared" si="15"/>
        <v>3095809.3491791487</v>
      </c>
    </row>
    <row r="348" spans="3:8" x14ac:dyDescent="0.3">
      <c r="C348">
        <f>Process!$I353*ref_umbral-Process!$G353</f>
        <v>3095809.2613854702</v>
      </c>
      <c r="D348">
        <f>Process!$L353*ref_umbral-Process!$J353</f>
        <v>3095806.1089383718</v>
      </c>
      <c r="E348">
        <f t="shared" si="14"/>
        <v>3095809.2613854702</v>
      </c>
      <c r="F348">
        <f>Process!$H353*ref_umbral-Process!$G353</f>
        <v>3095809.3945712564</v>
      </c>
      <c r="G348">
        <f>Process!$K353*ref_umbral-Process!$J353</f>
        <v>3095809.1775424872</v>
      </c>
      <c r="H348">
        <f t="shared" si="15"/>
        <v>3095809.3945712564</v>
      </c>
    </row>
    <row r="349" spans="3:8" x14ac:dyDescent="0.3">
      <c r="C349">
        <f>Process!$I354*ref_umbral-Process!$G354</f>
        <v>3095809.0660904548</v>
      </c>
      <c r="D349">
        <f>Process!$L354*ref_umbral-Process!$J354</f>
        <v>3095802.3739032689</v>
      </c>
      <c r="E349">
        <f t="shared" si="14"/>
        <v>3095809.0660904548</v>
      </c>
      <c r="F349">
        <f>Process!$H354*ref_umbral-Process!$G354</f>
        <v>3095809.1764923469</v>
      </c>
      <c r="G349">
        <f>Process!$K354*ref_umbral-Process!$J354</f>
        <v>3095805.7416090034</v>
      </c>
      <c r="H349">
        <f t="shared" si="15"/>
        <v>3095809.1764923469</v>
      </c>
    </row>
    <row r="350" spans="3:8" x14ac:dyDescent="0.3">
      <c r="C350">
        <f>Process!$I355*ref_umbral-Process!$G355</f>
        <v>3095809.1286340975</v>
      </c>
      <c r="D350">
        <f>Process!$L355*ref_umbral-Process!$J355</f>
        <v>3095803.3542509302</v>
      </c>
      <c r="E350">
        <f t="shared" si="14"/>
        <v>3095809.1286340975</v>
      </c>
      <c r="F350">
        <f>Process!$H355*ref_umbral-Process!$G355</f>
        <v>3095809.4002792374</v>
      </c>
      <c r="G350">
        <f>Process!$K355*ref_umbral-Process!$J355</f>
        <v>3095806.556019247</v>
      </c>
      <c r="H350">
        <f t="shared" si="15"/>
        <v>3095809.4002792374</v>
      </c>
    </row>
    <row r="351" spans="3:8" x14ac:dyDescent="0.3">
      <c r="C351">
        <f>Process!$I356*ref_umbral-Process!$G356</f>
        <v>3095809.357745158</v>
      </c>
      <c r="D351">
        <f>Process!$L356*ref_umbral-Process!$J356</f>
        <v>3095806.267492285</v>
      </c>
      <c r="E351">
        <f t="shared" si="14"/>
        <v>3095809.357745158</v>
      </c>
      <c r="F351">
        <f>Process!$H356*ref_umbral-Process!$G356</f>
        <v>3095809.4274203582</v>
      </c>
      <c r="G351">
        <f>Process!$K356*ref_umbral-Process!$J356</f>
        <v>3095809.4134147246</v>
      </c>
      <c r="H351">
        <f t="shared" si="15"/>
        <v>3095809.4274203582</v>
      </c>
    </row>
    <row r="352" spans="3:8" x14ac:dyDescent="0.3">
      <c r="C352">
        <f>Process!$I357*ref_umbral-Process!$G357</f>
        <v>3095808.2343984446</v>
      </c>
      <c r="D352">
        <f>Process!$L357*ref_umbral-Process!$J357</f>
        <v>3095790.2367024701</v>
      </c>
      <c r="E352">
        <f t="shared" si="14"/>
        <v>3095808.2343984446</v>
      </c>
      <c r="F352">
        <f>Process!$H357*ref_umbral-Process!$G357</f>
        <v>3095808.4717957997</v>
      </c>
      <c r="G352">
        <f>Process!$K357*ref_umbral-Process!$J357</f>
        <v>3095791.4087696504</v>
      </c>
      <c r="H352">
        <f t="shared" si="15"/>
        <v>3095808.4717957997</v>
      </c>
    </row>
    <row r="353" spans="3:8" x14ac:dyDescent="0.3">
      <c r="C353">
        <f>Process!$I358*ref_umbral-Process!$G358</f>
        <v>3095809.6316903355</v>
      </c>
      <c r="D353">
        <f>Process!$L358*ref_umbral-Process!$J358</f>
        <v>3095806.9443804896</v>
      </c>
      <c r="E353">
        <f t="shared" si="14"/>
        <v>3095809.6316903355</v>
      </c>
      <c r="F353">
        <f>Process!$H358*ref_umbral-Process!$G358</f>
        <v>3095809.717080242</v>
      </c>
      <c r="G353">
        <f>Process!$K358*ref_umbral-Process!$J358</f>
        <v>3095808.1986341686</v>
      </c>
      <c r="H353">
        <f t="shared" si="15"/>
        <v>3095809.717080242</v>
      </c>
    </row>
    <row r="354" spans="3:8" x14ac:dyDescent="0.3">
      <c r="C354">
        <f>Process!$I359*ref_umbral-Process!$G359</f>
        <v>3095809.0127963172</v>
      </c>
      <c r="D354">
        <f>Process!$L359*ref_umbral-Process!$J359</f>
        <v>3095803.2026553215</v>
      </c>
      <c r="E354">
        <f t="shared" si="14"/>
        <v>3095809.0127963172</v>
      </c>
      <c r="F354">
        <f>Process!$H359*ref_umbral-Process!$G359</f>
        <v>3095809.1366743674</v>
      </c>
      <c r="G354">
        <f>Process!$K359*ref_umbral-Process!$J359</f>
        <v>3095805.9002441284</v>
      </c>
      <c r="H354">
        <f t="shared" si="15"/>
        <v>3095809.1366743674</v>
      </c>
    </row>
    <row r="355" spans="3:8" x14ac:dyDescent="0.3">
      <c r="C355">
        <f>Process!$I360*ref_umbral-Process!$G360</f>
        <v>3095809.4189391923</v>
      </c>
      <c r="D355">
        <f>Process!$L360*ref_umbral-Process!$J360</f>
        <v>3095803.3567210678</v>
      </c>
      <c r="E355">
        <f t="shared" si="14"/>
        <v>3095809.4189391923</v>
      </c>
      <c r="F355">
        <f>Process!$H360*ref_umbral-Process!$G360</f>
        <v>3095809.5119377724</v>
      </c>
      <c r="G355">
        <f>Process!$K360*ref_umbral-Process!$J360</f>
        <v>3095806.135363427</v>
      </c>
      <c r="H355">
        <f t="shared" si="15"/>
        <v>3095809.5119377724</v>
      </c>
    </row>
    <row r="356" spans="3:8" x14ac:dyDescent="0.3">
      <c r="C356">
        <f>Process!$I361*ref_umbral-Process!$G361</f>
        <v>3095809.227223549</v>
      </c>
      <c r="D356">
        <f>Process!$L361*ref_umbral-Process!$J361</f>
        <v>3095793.8801156958</v>
      </c>
      <c r="E356">
        <f t="shared" si="14"/>
        <v>3095809.227223549</v>
      </c>
      <c r="F356">
        <f>Process!$H361*ref_umbral-Process!$G361</f>
        <v>3095809.2841800014</v>
      </c>
      <c r="G356">
        <f>Process!$K361*ref_umbral-Process!$J361</f>
        <v>3095795.6135060093</v>
      </c>
      <c r="H356">
        <f t="shared" si="15"/>
        <v>3095809.2841800014</v>
      </c>
    </row>
    <row r="357" spans="3:8" x14ac:dyDescent="0.3">
      <c r="C357">
        <f>Process!$I362*ref_umbral-Process!$G362</f>
        <v>3095809.251920891</v>
      </c>
      <c r="D357">
        <f>Process!$L362*ref_umbral-Process!$J362</f>
        <v>3095805.9611759936</v>
      </c>
      <c r="E357">
        <f t="shared" si="14"/>
        <v>3095809.251920891</v>
      </c>
      <c r="F357">
        <f>Process!$H362*ref_umbral-Process!$G362</f>
        <v>3095809.2859870042</v>
      </c>
      <c r="G357">
        <f>Process!$K362*ref_umbral-Process!$J362</f>
        <v>3095807.4385653627</v>
      </c>
      <c r="H357">
        <f t="shared" si="15"/>
        <v>3095809.2859870042</v>
      </c>
    </row>
    <row r="358" spans="3:8" x14ac:dyDescent="0.3">
      <c r="C358">
        <f>Process!$I363*ref_umbral-Process!$G363</f>
        <v>3095809.3174948064</v>
      </c>
      <c r="D358">
        <f>Process!$L363*ref_umbral-Process!$J363</f>
        <v>3095796.3416479179</v>
      </c>
      <c r="E358">
        <f t="shared" si="14"/>
        <v>3095809.3174948064</v>
      </c>
      <c r="F358">
        <f>Process!$H363*ref_umbral-Process!$G363</f>
        <v>3095809.4485848974</v>
      </c>
      <c r="G358">
        <f>Process!$K363*ref_umbral-Process!$J363</f>
        <v>3095797.9141133795</v>
      </c>
      <c r="H358">
        <f t="shared" si="15"/>
        <v>3095809.4485848974</v>
      </c>
    </row>
    <row r="359" spans="3:8" x14ac:dyDescent="0.3">
      <c r="C359">
        <f>Process!$I364*ref_umbral-Process!$G364</f>
        <v>3095809.4296469484</v>
      </c>
      <c r="D359">
        <f>Process!$L364*ref_umbral-Process!$J364</f>
        <v>3095806.8744378677</v>
      </c>
      <c r="E359">
        <f t="shared" si="14"/>
        <v>3095809.4296469484</v>
      </c>
      <c r="F359">
        <f>Process!$H364*ref_umbral-Process!$G364</f>
        <v>3095809.538150026</v>
      </c>
      <c r="G359">
        <f>Process!$K364*ref_umbral-Process!$J364</f>
        <v>3095809.130077051</v>
      </c>
      <c r="H359">
        <f t="shared" si="15"/>
        <v>3095809.538150026</v>
      </c>
    </row>
    <row r="360" spans="3:8" x14ac:dyDescent="0.3">
      <c r="C360">
        <f>Process!$I365*ref_umbral-Process!$G365</f>
        <v>3095809.3081014645</v>
      </c>
      <c r="D360">
        <f>Process!$L365*ref_umbral-Process!$J365</f>
        <v>3095805.4394629686</v>
      </c>
      <c r="E360">
        <f t="shared" si="14"/>
        <v>3095809.3081014645</v>
      </c>
      <c r="F360">
        <f>Process!$H365*ref_umbral-Process!$G365</f>
        <v>3095809.4837965933</v>
      </c>
      <c r="G360">
        <f>Process!$K365*ref_umbral-Process!$J365</f>
        <v>3095807.7987573775</v>
      </c>
      <c r="H360">
        <f t="shared" si="15"/>
        <v>3095809.4837965933</v>
      </c>
    </row>
    <row r="361" spans="3:8" x14ac:dyDescent="0.3">
      <c r="C361">
        <f>Process!$I366*ref_umbral-Process!$G366</f>
        <v>3095808.9356218879</v>
      </c>
      <c r="D361">
        <f>Process!$L366*ref_umbral-Process!$J366</f>
        <v>3095786.6574272551</v>
      </c>
      <c r="E361">
        <f t="shared" si="14"/>
        <v>3095808.9356218879</v>
      </c>
      <c r="F361">
        <f>Process!$H366*ref_umbral-Process!$G366</f>
        <v>3095809.0433965786</v>
      </c>
      <c r="G361">
        <f>Process!$K366*ref_umbral-Process!$J366</f>
        <v>3095788.7836411921</v>
      </c>
      <c r="H361">
        <f t="shared" si="15"/>
        <v>3095809.0433965786</v>
      </c>
    </row>
    <row r="362" spans="3:8" x14ac:dyDescent="0.3">
      <c r="C362">
        <f>Process!$I367*ref_umbral-Process!$G367</f>
        <v>3095809.2919436553</v>
      </c>
      <c r="D362">
        <f>Process!$L367*ref_umbral-Process!$J367</f>
        <v>3095803.9030955336</v>
      </c>
      <c r="E362">
        <f t="shared" si="14"/>
        <v>3095809.2919436553</v>
      </c>
      <c r="F362">
        <f>Process!$H367*ref_umbral-Process!$G367</f>
        <v>3095809.4125618157</v>
      </c>
      <c r="G362">
        <f>Process!$K367*ref_umbral-Process!$J367</f>
        <v>3095806.0530687273</v>
      </c>
      <c r="H362">
        <f t="shared" si="15"/>
        <v>3095809.4125618157</v>
      </c>
    </row>
    <row r="363" spans="3:8" x14ac:dyDescent="0.3">
      <c r="C363">
        <f>Process!$I368*ref_umbral-Process!$G368</f>
        <v>3095809.4134421498</v>
      </c>
      <c r="D363">
        <f>Process!$L368*ref_umbral-Process!$J368</f>
        <v>3095804.7268664879</v>
      </c>
      <c r="E363">
        <f t="shared" si="14"/>
        <v>3095809.4134421498</v>
      </c>
      <c r="F363">
        <f>Process!$H368*ref_umbral-Process!$G368</f>
        <v>3095809.450367921</v>
      </c>
      <c r="G363">
        <f>Process!$K368*ref_umbral-Process!$J368</f>
        <v>3095805.6997083537</v>
      </c>
      <c r="H363">
        <f t="shared" si="15"/>
        <v>3095809.450367921</v>
      </c>
    </row>
    <row r="364" spans="3:8" x14ac:dyDescent="0.3">
      <c r="C364">
        <f>Process!$I369*ref_umbral-Process!$G369</f>
        <v>3095809.4904621546</v>
      </c>
      <c r="D364">
        <f>Process!$L369*ref_umbral-Process!$J369</f>
        <v>3095803.5844827495</v>
      </c>
      <c r="E364">
        <f t="shared" si="14"/>
        <v>3095809.4904621546</v>
      </c>
      <c r="F364">
        <f>Process!$H369*ref_umbral-Process!$G369</f>
        <v>3095809.555614349</v>
      </c>
      <c r="G364">
        <f>Process!$K369*ref_umbral-Process!$J369</f>
        <v>3095804.9601149135</v>
      </c>
      <c r="H364">
        <f t="shared" si="15"/>
        <v>3095809.555614349</v>
      </c>
    </row>
    <row r="365" spans="3:8" x14ac:dyDescent="0.3">
      <c r="C365">
        <f>Process!$I370*ref_umbral-Process!$G370</f>
        <v>3095809.4425850059</v>
      </c>
      <c r="D365">
        <f>Process!$L370*ref_umbral-Process!$J370</f>
        <v>3095804.8800546294</v>
      </c>
      <c r="E365">
        <f t="shared" si="14"/>
        <v>3095809.4425850059</v>
      </c>
      <c r="F365">
        <f>Process!$H370*ref_umbral-Process!$G370</f>
        <v>3095809.5147887701</v>
      </c>
      <c r="G365">
        <f>Process!$K370*ref_umbral-Process!$J370</f>
        <v>3095807.0573655674</v>
      </c>
      <c r="H365">
        <f t="shared" si="15"/>
        <v>3095809.5147887701</v>
      </c>
    </row>
    <row r="366" spans="3:8" x14ac:dyDescent="0.3">
      <c r="C366">
        <f>Process!$I371*ref_umbral-Process!$G371</f>
        <v>3095809.1559281489</v>
      </c>
      <c r="D366">
        <f>Process!$L371*ref_umbral-Process!$J371</f>
        <v>3095805.7661460936</v>
      </c>
      <c r="E366">
        <f t="shared" si="14"/>
        <v>3095809.1559281489</v>
      </c>
      <c r="F366">
        <f>Process!$H371*ref_umbral-Process!$G371</f>
        <v>3095809.293996118</v>
      </c>
      <c r="G366">
        <f>Process!$K371*ref_umbral-Process!$J371</f>
        <v>3095807.698257525</v>
      </c>
      <c r="H366">
        <f t="shared" si="15"/>
        <v>3095809.293996118</v>
      </c>
    </row>
    <row r="367" spans="3:8" x14ac:dyDescent="0.3">
      <c r="C367">
        <f>Process!$I372*ref_umbral-Process!$G372</f>
        <v>3095809.1937861335</v>
      </c>
      <c r="D367">
        <f>Process!$L372*ref_umbral-Process!$J372</f>
        <v>3095805.5377907734</v>
      </c>
      <c r="E367">
        <f t="shared" si="14"/>
        <v>3095809.1937861335</v>
      </c>
      <c r="F367">
        <f>Process!$H372*ref_umbral-Process!$G372</f>
        <v>3095809.3492329963</v>
      </c>
      <c r="G367">
        <f>Process!$K372*ref_umbral-Process!$J372</f>
        <v>3095807.8538848539</v>
      </c>
      <c r="H367">
        <f t="shared" si="15"/>
        <v>3095809.3492329963</v>
      </c>
    </row>
    <row r="368" spans="3:8" x14ac:dyDescent="0.3">
      <c r="C368">
        <f>Process!$I373*ref_umbral-Process!$G373</f>
        <v>3095809.4600782134</v>
      </c>
      <c r="D368">
        <f>Process!$L373*ref_umbral-Process!$J373</f>
        <v>3095804.3275302718</v>
      </c>
      <c r="E368">
        <f t="shared" si="14"/>
        <v>3095809.4600782134</v>
      </c>
      <c r="F368">
        <f>Process!$H373*ref_umbral-Process!$G373</f>
        <v>3095809.5221187822</v>
      </c>
      <c r="G368">
        <f>Process!$K373*ref_umbral-Process!$J373</f>
        <v>3095807.2436476494</v>
      </c>
      <c r="H368">
        <f t="shared" si="15"/>
        <v>3095809.5221187822</v>
      </c>
    </row>
    <row r="369" spans="3:8" x14ac:dyDescent="0.3">
      <c r="C369">
        <f>Process!$I374*ref_umbral-Process!$G374</f>
        <v>3095809.2405336453</v>
      </c>
      <c r="D369">
        <f>Process!$L374*ref_umbral-Process!$J374</f>
        <v>3095805.3133035707</v>
      </c>
      <c r="E369">
        <f t="shared" si="14"/>
        <v>3095809.2405336453</v>
      </c>
      <c r="F369">
        <f>Process!$H374*ref_umbral-Process!$G374</f>
        <v>3095809.3506127126</v>
      </c>
      <c r="G369">
        <f>Process!$K374*ref_umbral-Process!$J374</f>
        <v>3095808.0189890591</v>
      </c>
      <c r="H369">
        <f t="shared" si="15"/>
        <v>3095809.3506127126</v>
      </c>
    </row>
    <row r="370" spans="3:8" x14ac:dyDescent="0.3">
      <c r="C370">
        <f>Process!$I375*ref_umbral-Process!$G375</f>
        <v>3095809.3865275541</v>
      </c>
      <c r="D370">
        <f>Process!$L375*ref_umbral-Process!$J375</f>
        <v>3095805.8929614965</v>
      </c>
      <c r="E370">
        <f t="shared" si="14"/>
        <v>3095809.3865275541</v>
      </c>
      <c r="F370">
        <f>Process!$H375*ref_umbral-Process!$G375</f>
        <v>3095809.7138464325</v>
      </c>
      <c r="G370">
        <f>Process!$K375*ref_umbral-Process!$J375</f>
        <v>3095808.1589402505</v>
      </c>
      <c r="H370">
        <f t="shared" si="15"/>
        <v>3095809.7138464325</v>
      </c>
    </row>
    <row r="371" spans="3:8" x14ac:dyDescent="0.3">
      <c r="C371">
        <f>Process!$I376*ref_umbral-Process!$G376</f>
        <v>3095809.6400091955</v>
      </c>
      <c r="D371">
        <f>Process!$L376*ref_umbral-Process!$J376</f>
        <v>3095801.3199023446</v>
      </c>
      <c r="E371">
        <f t="shared" si="14"/>
        <v>3095809.6400091955</v>
      </c>
      <c r="F371">
        <f>Process!$H376*ref_umbral-Process!$G376</f>
        <v>3095809.6638658023</v>
      </c>
      <c r="G371">
        <f>Process!$K376*ref_umbral-Process!$J376</f>
        <v>3095802.8133282848</v>
      </c>
      <c r="H371">
        <f t="shared" si="15"/>
        <v>3095809.6638658023</v>
      </c>
    </row>
    <row r="372" spans="3:8" x14ac:dyDescent="0.3">
      <c r="C372">
        <f>Process!$I377*ref_umbral-Process!$G377</f>
        <v>3095805.2691171439</v>
      </c>
      <c r="D372">
        <f>Process!$L377*ref_umbral-Process!$J377</f>
        <v>3095796.9268671614</v>
      </c>
      <c r="E372">
        <f t="shared" si="14"/>
        <v>3095805.2691171439</v>
      </c>
      <c r="F372">
        <f>Process!$H377*ref_umbral-Process!$G377</f>
        <v>3095806.6940607252</v>
      </c>
      <c r="G372">
        <f>Process!$K377*ref_umbral-Process!$J377</f>
        <v>3095801.5528636281</v>
      </c>
      <c r="H372">
        <f t="shared" si="15"/>
        <v>3095806.6940607252</v>
      </c>
    </row>
    <row r="373" spans="3:8" x14ac:dyDescent="0.3">
      <c r="C373">
        <f>Process!$I378*ref_umbral-Process!$G378</f>
        <v>3095809.663734471</v>
      </c>
      <c r="D373">
        <f>Process!$L378*ref_umbral-Process!$J378</f>
        <v>3095801.7750683748</v>
      </c>
      <c r="E373">
        <f t="shared" si="14"/>
        <v>3095809.663734471</v>
      </c>
      <c r="F373">
        <f>Process!$H378*ref_umbral-Process!$G378</f>
        <v>3095809.7109921332</v>
      </c>
      <c r="G373">
        <f>Process!$K378*ref_umbral-Process!$J378</f>
        <v>3095802.5712020374</v>
      </c>
      <c r="H373">
        <f t="shared" si="15"/>
        <v>3095809.7109921332</v>
      </c>
    </row>
    <row r="374" spans="3:8" x14ac:dyDescent="0.3">
      <c r="C374">
        <f>Process!$I379*ref_umbral-Process!$G379</f>
        <v>3095808.1344954572</v>
      </c>
      <c r="D374">
        <f>Process!$L379*ref_umbral-Process!$J379</f>
        <v>3095801.4793247813</v>
      </c>
      <c r="E374">
        <f t="shared" si="14"/>
        <v>3095808.1344954572</v>
      </c>
      <c r="F374">
        <f>Process!$H379*ref_umbral-Process!$G379</f>
        <v>3095808.6912759179</v>
      </c>
      <c r="G374">
        <f>Process!$K379*ref_umbral-Process!$J379</f>
        <v>3095804.4302829737</v>
      </c>
      <c r="H374">
        <f t="shared" si="15"/>
        <v>3095808.6912759179</v>
      </c>
    </row>
    <row r="375" spans="3:8" x14ac:dyDescent="0.3">
      <c r="C375">
        <f>Process!$I380*ref_umbral-Process!$G380</f>
        <v>3095809.3958935197</v>
      </c>
      <c r="D375">
        <f>Process!$L380*ref_umbral-Process!$J380</f>
        <v>3095798.4181303782</v>
      </c>
      <c r="E375">
        <f t="shared" si="14"/>
        <v>3095809.3958935197</v>
      </c>
      <c r="F375">
        <f>Process!$H380*ref_umbral-Process!$G380</f>
        <v>3095809.460185085</v>
      </c>
      <c r="G375">
        <f>Process!$K380*ref_umbral-Process!$J380</f>
        <v>3095799.9197463566</v>
      </c>
      <c r="H375">
        <f t="shared" si="15"/>
        <v>3095809.460185085</v>
      </c>
    </row>
    <row r="376" spans="3:8" x14ac:dyDescent="0.3">
      <c r="C376">
        <f>Process!$I381*ref_umbral-Process!$G381</f>
        <v>3095809.3818459576</v>
      </c>
      <c r="D376">
        <f>Process!$L381*ref_umbral-Process!$J381</f>
        <v>3095803.9205950955</v>
      </c>
      <c r="E376">
        <f t="shared" si="14"/>
        <v>3095809.3818459576</v>
      </c>
      <c r="F376">
        <f>Process!$H381*ref_umbral-Process!$G381</f>
        <v>3095809.4327872791</v>
      </c>
      <c r="G376">
        <f>Process!$K381*ref_umbral-Process!$J381</f>
        <v>3095806.4022442331</v>
      </c>
      <c r="H376">
        <f t="shared" si="15"/>
        <v>3095809.4327872791</v>
      </c>
    </row>
    <row r="377" spans="3:8" x14ac:dyDescent="0.3">
      <c r="C377">
        <f>Process!$I382*ref_umbral-Process!$G382</f>
        <v>3095809.671123038</v>
      </c>
      <c r="D377">
        <f>Process!$L382*ref_umbral-Process!$J382</f>
        <v>3095802.8139165761</v>
      </c>
      <c r="E377">
        <f t="shared" si="14"/>
        <v>3095809.671123038</v>
      </c>
      <c r="F377">
        <f>Process!$H382*ref_umbral-Process!$G382</f>
        <v>3095809.6863063457</v>
      </c>
      <c r="G377">
        <f>Process!$K382*ref_umbral-Process!$J382</f>
        <v>3095804.476153343</v>
      </c>
      <c r="H377">
        <f t="shared" si="15"/>
        <v>3095809.6863063457</v>
      </c>
    </row>
    <row r="378" spans="3:8" x14ac:dyDescent="0.3">
      <c r="C378">
        <f>Process!$I383*ref_umbral-Process!$G383</f>
        <v>3095809.7013395177</v>
      </c>
      <c r="D378">
        <f>Process!$L383*ref_umbral-Process!$J383</f>
        <v>3095806.5669809496</v>
      </c>
      <c r="E378">
        <f t="shared" si="14"/>
        <v>3095809.7013395177</v>
      </c>
      <c r="F378">
        <f>Process!$H383*ref_umbral-Process!$G383</f>
        <v>3095809.7638000762</v>
      </c>
      <c r="G378">
        <f>Process!$K383*ref_umbral-Process!$J383</f>
        <v>3095807.9695122475</v>
      </c>
      <c r="H378">
        <f t="shared" si="15"/>
        <v>3095809.7638000762</v>
      </c>
    </row>
    <row r="379" spans="3:8" x14ac:dyDescent="0.3">
      <c r="C379">
        <f>Process!$I384*ref_umbral-Process!$G384</f>
        <v>3095809.05018477</v>
      </c>
      <c r="D379">
        <f>Process!$L384*ref_umbral-Process!$J384</f>
        <v>3095800.2800459536</v>
      </c>
      <c r="E379">
        <f t="shared" si="14"/>
        <v>3095809.05018477</v>
      </c>
      <c r="F379">
        <f>Process!$H384*ref_umbral-Process!$G384</f>
        <v>3095809.2714313194</v>
      </c>
      <c r="G379">
        <f>Process!$K384*ref_umbral-Process!$J384</f>
        <v>3095802.4023272735</v>
      </c>
      <c r="H379">
        <f t="shared" si="15"/>
        <v>3095809.2714313194</v>
      </c>
    </row>
    <row r="380" spans="3:8" x14ac:dyDescent="0.3">
      <c r="C380">
        <f>Process!$I385*ref_umbral-Process!$G385</f>
        <v>3095809.2737125182</v>
      </c>
      <c r="D380">
        <f>Process!$L385*ref_umbral-Process!$J385</f>
        <v>3095806.9744430208</v>
      </c>
      <c r="E380">
        <f t="shared" si="14"/>
        <v>3095809.2737125182</v>
      </c>
      <c r="F380">
        <f>Process!$H385*ref_umbral-Process!$G385</f>
        <v>3095809.2944041439</v>
      </c>
      <c r="G380">
        <f>Process!$K385*ref_umbral-Process!$J385</f>
        <v>3095809.6348644379</v>
      </c>
      <c r="H380">
        <f t="shared" si="15"/>
        <v>3095809.6348644379</v>
      </c>
    </row>
    <row r="381" spans="3:8" x14ac:dyDescent="0.3">
      <c r="C381">
        <f>Process!$I386*ref_umbral-Process!$G386</f>
        <v>3095808.0278595146</v>
      </c>
      <c r="D381">
        <f>Process!$L386*ref_umbral-Process!$J386</f>
        <v>3095799.5246836408</v>
      </c>
      <c r="E381">
        <f t="shared" si="14"/>
        <v>3095808.0278595146</v>
      </c>
      <c r="F381">
        <f>Process!$H386*ref_umbral-Process!$G386</f>
        <v>3095808.3584207869</v>
      </c>
      <c r="G381">
        <f>Process!$K386*ref_umbral-Process!$J386</f>
        <v>3095801.3148919032</v>
      </c>
      <c r="H381">
        <f t="shared" si="15"/>
        <v>3095808.3584207869</v>
      </c>
    </row>
    <row r="382" spans="3:8" x14ac:dyDescent="0.3">
      <c r="C382">
        <f>Process!$I387*ref_umbral-Process!$G387</f>
        <v>3095809.3387346631</v>
      </c>
      <c r="D382">
        <f>Process!$L387*ref_umbral-Process!$J387</f>
        <v>3095807.1407657024</v>
      </c>
      <c r="E382">
        <f t="shared" si="14"/>
        <v>3095809.3387346631</v>
      </c>
      <c r="F382">
        <f>Process!$H387*ref_umbral-Process!$G387</f>
        <v>3095809.6183203901</v>
      </c>
      <c r="G382">
        <f>Process!$K387*ref_umbral-Process!$J387</f>
        <v>3095809.156733973</v>
      </c>
      <c r="H382">
        <f t="shared" si="15"/>
        <v>3095809.6183203901</v>
      </c>
    </row>
    <row r="383" spans="3:8" x14ac:dyDescent="0.3">
      <c r="C383">
        <f>Process!$I388*ref_umbral-Process!$G388</f>
        <v>3095809.2702155588</v>
      </c>
      <c r="D383">
        <f>Process!$L388*ref_umbral-Process!$J388</f>
        <v>3095804.634504843</v>
      </c>
      <c r="E383">
        <f t="shared" si="14"/>
        <v>3095809.2702155588</v>
      </c>
      <c r="F383">
        <f>Process!$H388*ref_umbral-Process!$G388</f>
        <v>3095809.3742538714</v>
      </c>
      <c r="G383">
        <f>Process!$K388*ref_umbral-Process!$J388</f>
        <v>3095808.2360054138</v>
      </c>
      <c r="H383">
        <f t="shared" si="15"/>
        <v>3095809.3742538714</v>
      </c>
    </row>
    <row r="384" spans="3:8" x14ac:dyDescent="0.3">
      <c r="C384">
        <f>Process!$I389*ref_umbral-Process!$G389</f>
        <v>3095809.4884986295</v>
      </c>
      <c r="D384">
        <f>Process!$L389*ref_umbral-Process!$J389</f>
        <v>3095803.9426603699</v>
      </c>
      <c r="E384">
        <f t="shared" si="14"/>
        <v>3095809.4884986295</v>
      </c>
      <c r="F384">
        <f>Process!$H389*ref_umbral-Process!$G389</f>
        <v>3095809.5088078734</v>
      </c>
      <c r="G384">
        <f>Process!$K389*ref_umbral-Process!$J389</f>
        <v>3095806.3555555213</v>
      </c>
      <c r="H384">
        <f t="shared" si="15"/>
        <v>3095809.5088078734</v>
      </c>
    </row>
    <row r="385" spans="3:8" x14ac:dyDescent="0.3">
      <c r="C385">
        <f>Process!$I390*ref_umbral-Process!$G390</f>
        <v>3095808.8602840174</v>
      </c>
      <c r="D385">
        <f>Process!$L390*ref_umbral-Process!$J390</f>
        <v>3095803.9809319619</v>
      </c>
      <c r="E385">
        <f t="shared" si="14"/>
        <v>3095808.8602840174</v>
      </c>
      <c r="F385">
        <f>Process!$H390*ref_umbral-Process!$G390</f>
        <v>3095808.997117395</v>
      </c>
      <c r="G385">
        <f>Process!$K390*ref_umbral-Process!$J390</f>
        <v>3095808.7308418802</v>
      </c>
      <c r="H385">
        <f t="shared" si="15"/>
        <v>3095808.997117395</v>
      </c>
    </row>
    <row r="386" spans="3:8" x14ac:dyDescent="0.3">
      <c r="C386">
        <f>Process!$I391*ref_umbral-Process!$G391</f>
        <v>3095809.4839489427</v>
      </c>
      <c r="D386">
        <f>Process!$L391*ref_umbral-Process!$J391</f>
        <v>3095805.7512635961</v>
      </c>
      <c r="E386">
        <f t="shared" si="14"/>
        <v>3095809.4839489427</v>
      </c>
      <c r="F386">
        <f>Process!$H391*ref_umbral-Process!$G391</f>
        <v>3095809.6162494756</v>
      </c>
      <c r="G386">
        <f>Process!$K391*ref_umbral-Process!$J391</f>
        <v>3095809.2556269355</v>
      </c>
      <c r="H386">
        <f t="shared" si="15"/>
        <v>3095809.6162494756</v>
      </c>
    </row>
    <row r="387" spans="3:8" x14ac:dyDescent="0.3">
      <c r="C387">
        <f>Process!$I392*ref_umbral-Process!$G392</f>
        <v>3095809.4184779581</v>
      </c>
      <c r="D387">
        <f>Process!$L392*ref_umbral-Process!$J392</f>
        <v>3095805.061372566</v>
      </c>
      <c r="E387">
        <f t="shared" si="14"/>
        <v>3095809.4184779581</v>
      </c>
      <c r="F387">
        <f>Process!$H392*ref_umbral-Process!$G392</f>
        <v>3095809.4754855479</v>
      </c>
      <c r="G387">
        <f>Process!$K392*ref_umbral-Process!$J392</f>
        <v>3095808.2526455084</v>
      </c>
      <c r="H387">
        <f t="shared" si="15"/>
        <v>3095809.4754855479</v>
      </c>
    </row>
    <row r="388" spans="3:8" x14ac:dyDescent="0.3">
      <c r="C388">
        <f>Process!$I393*ref_umbral-Process!$G393</f>
        <v>3095809.1418429296</v>
      </c>
      <c r="D388">
        <f>Process!$L393*ref_umbral-Process!$J393</f>
        <v>3095802.4174398244</v>
      </c>
      <c r="E388">
        <f t="shared" si="14"/>
        <v>3095809.1418429296</v>
      </c>
      <c r="F388">
        <f>Process!$H393*ref_umbral-Process!$G393</f>
        <v>3095809.3488210477</v>
      </c>
      <c r="G388">
        <f>Process!$K393*ref_umbral-Process!$J393</f>
        <v>3095805.199643305</v>
      </c>
      <c r="H388">
        <f t="shared" si="15"/>
        <v>3095809.3488210477</v>
      </c>
    </row>
    <row r="389" spans="3:8" x14ac:dyDescent="0.3">
      <c r="C389">
        <f>Process!$I394*ref_umbral-Process!$G394</f>
        <v>3095809.4294799864</v>
      </c>
      <c r="D389">
        <f>Process!$L394*ref_umbral-Process!$J394</f>
        <v>3095803.4738479434</v>
      </c>
      <c r="E389">
        <f t="shared" si="14"/>
        <v>3095809.4294799864</v>
      </c>
      <c r="F389">
        <f>Process!$H394*ref_umbral-Process!$G394</f>
        <v>3095809.549060808</v>
      </c>
      <c r="G389">
        <f>Process!$K394*ref_umbral-Process!$J394</f>
        <v>3095805.8135206811</v>
      </c>
      <c r="H389">
        <f t="shared" si="15"/>
        <v>3095809.549060808</v>
      </c>
    </row>
    <row r="390" spans="3:8" x14ac:dyDescent="0.3">
      <c r="C390">
        <f>Process!$I395*ref_umbral-Process!$G395</f>
        <v>3095808.1222342742</v>
      </c>
      <c r="D390">
        <f>Process!$L395*ref_umbral-Process!$J395</f>
        <v>3095795.3415458109</v>
      </c>
      <c r="E390">
        <f t="shared" si="14"/>
        <v>3095808.1222342742</v>
      </c>
      <c r="F390">
        <f>Process!$H395*ref_umbral-Process!$G395</f>
        <v>3095808.4492281969</v>
      </c>
      <c r="G390">
        <f>Process!$K395*ref_umbral-Process!$J395</f>
        <v>3095798.2306298148</v>
      </c>
      <c r="H390">
        <f t="shared" si="15"/>
        <v>3095808.4492281969</v>
      </c>
    </row>
    <row r="391" spans="3:8" x14ac:dyDescent="0.3">
      <c r="C391">
        <f>Process!$I396*ref_umbral-Process!$G396</f>
        <v>3095809.3796861041</v>
      </c>
      <c r="D391">
        <f>Process!$L396*ref_umbral-Process!$J396</f>
        <v>3095807.1134645063</v>
      </c>
      <c r="E391">
        <f t="shared" ref="E391:E454" si="16">MAX(C391,D391)</f>
        <v>3095809.3796861041</v>
      </c>
      <c r="F391">
        <f>Process!$H396*ref_umbral-Process!$G396</f>
        <v>3095809.5291646374</v>
      </c>
      <c r="G391">
        <f>Process!$K396*ref_umbral-Process!$J396</f>
        <v>3095809.3265425269</v>
      </c>
      <c r="H391">
        <f t="shared" ref="H391:H454" si="17">MAX(F391,G391)</f>
        <v>3095809.5291646374</v>
      </c>
    </row>
    <row r="392" spans="3:8" x14ac:dyDescent="0.3">
      <c r="C392">
        <f>Process!$I397*ref_umbral-Process!$G397</f>
        <v>3095809.2231887658</v>
      </c>
      <c r="D392">
        <f>Process!$L397*ref_umbral-Process!$J397</f>
        <v>3095802.0356641901</v>
      </c>
      <c r="E392">
        <f t="shared" si="16"/>
        <v>3095809.2231887658</v>
      </c>
      <c r="F392">
        <f>Process!$H397*ref_umbral-Process!$G397</f>
        <v>3095809.3200627691</v>
      </c>
      <c r="G392">
        <f>Process!$K397*ref_umbral-Process!$J397</f>
        <v>3095804.6680935603</v>
      </c>
      <c r="H392">
        <f t="shared" si="17"/>
        <v>3095809.3200627691</v>
      </c>
    </row>
    <row r="393" spans="3:8" x14ac:dyDescent="0.3">
      <c r="C393">
        <f>Process!$I398*ref_umbral-Process!$G398</f>
        <v>3095808.9100786522</v>
      </c>
      <c r="D393">
        <f>Process!$L398*ref_umbral-Process!$J398</f>
        <v>3095796.2009989587</v>
      </c>
      <c r="E393">
        <f t="shared" si="16"/>
        <v>3095808.9100786522</v>
      </c>
      <c r="F393">
        <f>Process!$H398*ref_umbral-Process!$G398</f>
        <v>3095808.9321966125</v>
      </c>
      <c r="G393">
        <f>Process!$K398*ref_umbral-Process!$J398</f>
        <v>3095797.7683525318</v>
      </c>
      <c r="H393">
        <f t="shared" si="17"/>
        <v>3095808.9321966125</v>
      </c>
    </row>
    <row r="394" spans="3:8" x14ac:dyDescent="0.3">
      <c r="C394">
        <f>Process!$I399*ref_umbral-Process!$G399</f>
        <v>3095809.6633354076</v>
      </c>
      <c r="D394">
        <f>Process!$L399*ref_umbral-Process!$J399</f>
        <v>3095806.8929507872</v>
      </c>
      <c r="E394">
        <f t="shared" si="16"/>
        <v>3095809.6633354076</v>
      </c>
      <c r="F394">
        <f>Process!$H399*ref_umbral-Process!$G399</f>
        <v>3095809.7570916107</v>
      </c>
      <c r="G394">
        <f>Process!$K399*ref_umbral-Process!$J399</f>
        <v>3095808.6210564566</v>
      </c>
      <c r="H394">
        <f t="shared" si="17"/>
        <v>3095809.7570916107</v>
      </c>
    </row>
    <row r="395" spans="3:8" x14ac:dyDescent="0.3">
      <c r="C395">
        <f>Process!$I400*ref_umbral-Process!$G400</f>
        <v>3095809.0286446456</v>
      </c>
      <c r="D395">
        <f>Process!$L400*ref_umbral-Process!$J400</f>
        <v>3095802.6876899977</v>
      </c>
      <c r="E395">
        <f t="shared" si="16"/>
        <v>3095809.0286446456</v>
      </c>
      <c r="F395">
        <f>Process!$H400*ref_umbral-Process!$G400</f>
        <v>3095809.2538195327</v>
      </c>
      <c r="G395">
        <f>Process!$K400*ref_umbral-Process!$J400</f>
        <v>3095805.699044555</v>
      </c>
      <c r="H395">
        <f t="shared" si="17"/>
        <v>3095809.2538195327</v>
      </c>
    </row>
    <row r="396" spans="3:8" x14ac:dyDescent="0.3">
      <c r="C396">
        <f>Process!$I401*ref_umbral-Process!$G401</f>
        <v>3095809.2096861782</v>
      </c>
      <c r="D396">
        <f>Process!$L401*ref_umbral-Process!$J401</f>
        <v>3095799.8766535036</v>
      </c>
      <c r="E396">
        <f t="shared" si="16"/>
        <v>3095809.2096861782</v>
      </c>
      <c r="F396">
        <f>Process!$H401*ref_umbral-Process!$G401</f>
        <v>3095809.3193068546</v>
      </c>
      <c r="G396">
        <f>Process!$K401*ref_umbral-Process!$J401</f>
        <v>3095801.6381791667</v>
      </c>
      <c r="H396">
        <f t="shared" si="17"/>
        <v>3095809.3193068546</v>
      </c>
    </row>
    <row r="397" spans="3:8" x14ac:dyDescent="0.3">
      <c r="C397">
        <f>Process!$I402*ref_umbral-Process!$G402</f>
        <v>3095809.2762419232</v>
      </c>
      <c r="D397">
        <f>Process!$L402*ref_umbral-Process!$J402</f>
        <v>3095801.9022137164</v>
      </c>
      <c r="E397">
        <f t="shared" si="16"/>
        <v>3095809.2762419232</v>
      </c>
      <c r="F397">
        <f>Process!$H402*ref_umbral-Process!$G402</f>
        <v>3095809.3932163902</v>
      </c>
      <c r="G397">
        <f>Process!$K402*ref_umbral-Process!$J402</f>
        <v>3095804.4596208236</v>
      </c>
      <c r="H397">
        <f t="shared" si="17"/>
        <v>3095809.3932163902</v>
      </c>
    </row>
    <row r="398" spans="3:8" x14ac:dyDescent="0.3">
      <c r="C398">
        <f>Process!$I403*ref_umbral-Process!$G403</f>
        <v>3095809.2459800523</v>
      </c>
      <c r="D398">
        <f>Process!$L403*ref_umbral-Process!$J403</f>
        <v>3095804.8136107624</v>
      </c>
      <c r="E398">
        <f t="shared" si="16"/>
        <v>3095809.2459800523</v>
      </c>
      <c r="F398">
        <f>Process!$H403*ref_umbral-Process!$G403</f>
        <v>3095809.4774666405</v>
      </c>
      <c r="G398">
        <f>Process!$K403*ref_umbral-Process!$J403</f>
        <v>3095806.6710807299</v>
      </c>
      <c r="H398">
        <f t="shared" si="17"/>
        <v>3095809.4774666405</v>
      </c>
    </row>
    <row r="399" spans="3:8" x14ac:dyDescent="0.3">
      <c r="C399">
        <f>Process!$I404*ref_umbral-Process!$G404</f>
        <v>3095809.1291492302</v>
      </c>
      <c r="D399">
        <f>Process!$L404*ref_umbral-Process!$J404</f>
        <v>3095803.7021443727</v>
      </c>
      <c r="E399">
        <f t="shared" si="16"/>
        <v>3095809.1291492302</v>
      </c>
      <c r="F399">
        <f>Process!$H404*ref_umbral-Process!$G404</f>
        <v>3095809.1993835145</v>
      </c>
      <c r="G399">
        <f>Process!$K404*ref_umbral-Process!$J404</f>
        <v>3095807.1249764757</v>
      </c>
      <c r="H399">
        <f t="shared" si="17"/>
        <v>3095809.1993835145</v>
      </c>
    </row>
    <row r="400" spans="3:8" x14ac:dyDescent="0.3">
      <c r="C400">
        <f>Process!$I405*ref_umbral-Process!$G405</f>
        <v>3095809.2372211483</v>
      </c>
      <c r="D400">
        <f>Process!$L405*ref_umbral-Process!$J405</f>
        <v>3095805.9347457415</v>
      </c>
      <c r="E400">
        <f t="shared" si="16"/>
        <v>3095809.2372211483</v>
      </c>
      <c r="F400">
        <f>Process!$H405*ref_umbral-Process!$G405</f>
        <v>3095809.3443858353</v>
      </c>
      <c r="G400">
        <f>Process!$K405*ref_umbral-Process!$J405</f>
        <v>3095807.8924728623</v>
      </c>
      <c r="H400">
        <f t="shared" si="17"/>
        <v>3095809.3443858353</v>
      </c>
    </row>
    <row r="401" spans="3:8" x14ac:dyDescent="0.3">
      <c r="C401">
        <f>Process!$I406*ref_umbral-Process!$G406</f>
        <v>3095809.0208607484</v>
      </c>
      <c r="D401">
        <f>Process!$L406*ref_umbral-Process!$J406</f>
        <v>3095790.6540389354</v>
      </c>
      <c r="E401">
        <f t="shared" si="16"/>
        <v>3095809.0208607484</v>
      </c>
      <c r="F401">
        <f>Process!$H406*ref_umbral-Process!$G406</f>
        <v>3095809.0977023365</v>
      </c>
      <c r="G401">
        <f>Process!$K406*ref_umbral-Process!$J406</f>
        <v>3095794.6577235437</v>
      </c>
      <c r="H401">
        <f t="shared" si="17"/>
        <v>3095809.0977023365</v>
      </c>
    </row>
    <row r="402" spans="3:8" x14ac:dyDescent="0.3">
      <c r="C402">
        <f>Process!$I407*ref_umbral-Process!$G407</f>
        <v>3095809.5579730566</v>
      </c>
      <c r="D402">
        <f>Process!$L407*ref_umbral-Process!$J407</f>
        <v>3095804.1449805512</v>
      </c>
      <c r="E402">
        <f t="shared" si="16"/>
        <v>3095809.5579730566</v>
      </c>
      <c r="F402">
        <f>Process!$H407*ref_umbral-Process!$G407</f>
        <v>3095809.633587277</v>
      </c>
      <c r="G402">
        <f>Process!$K407*ref_umbral-Process!$J407</f>
        <v>3095805.1085623708</v>
      </c>
      <c r="H402">
        <f t="shared" si="17"/>
        <v>3095809.633587277</v>
      </c>
    </row>
    <row r="403" spans="3:8" x14ac:dyDescent="0.3">
      <c r="C403">
        <f>Process!$I408*ref_umbral-Process!$G408</f>
        <v>3095809.1231581504</v>
      </c>
      <c r="D403">
        <f>Process!$L408*ref_umbral-Process!$J408</f>
        <v>3095801.5450697453</v>
      </c>
      <c r="E403">
        <f t="shared" si="16"/>
        <v>3095809.1231581504</v>
      </c>
      <c r="F403">
        <f>Process!$H408*ref_umbral-Process!$G408</f>
        <v>3095809.297414382</v>
      </c>
      <c r="G403">
        <f>Process!$K408*ref_umbral-Process!$J408</f>
        <v>3095805.9699454778</v>
      </c>
      <c r="H403">
        <f t="shared" si="17"/>
        <v>3095809.297414382</v>
      </c>
    </row>
    <row r="404" spans="3:8" x14ac:dyDescent="0.3">
      <c r="C404">
        <f>Process!$I409*ref_umbral-Process!$G409</f>
        <v>3095809.4414885961</v>
      </c>
      <c r="D404">
        <f>Process!$L409*ref_umbral-Process!$J409</f>
        <v>3095806.1846972848</v>
      </c>
      <c r="E404">
        <f t="shared" si="16"/>
        <v>3095809.4414885961</v>
      </c>
      <c r="F404">
        <f>Process!$H409*ref_umbral-Process!$G409</f>
        <v>3095809.4842170649</v>
      </c>
      <c r="G404">
        <f>Process!$K409*ref_umbral-Process!$J409</f>
        <v>3095808.664563268</v>
      </c>
      <c r="H404">
        <f t="shared" si="17"/>
        <v>3095809.4842170649</v>
      </c>
    </row>
    <row r="405" spans="3:8" x14ac:dyDescent="0.3">
      <c r="C405">
        <f>Process!$I410*ref_umbral-Process!$G410</f>
        <v>3095808.8702860996</v>
      </c>
      <c r="D405">
        <f>Process!$L410*ref_umbral-Process!$J410</f>
        <v>3095804.1025588927</v>
      </c>
      <c r="E405">
        <f t="shared" si="16"/>
        <v>3095808.8702860996</v>
      </c>
      <c r="F405">
        <f>Process!$H410*ref_umbral-Process!$G410</f>
        <v>3095808.9833159833</v>
      </c>
      <c r="G405">
        <f>Process!$K410*ref_umbral-Process!$J410</f>
        <v>3095806.8497041222</v>
      </c>
      <c r="H405">
        <f t="shared" si="17"/>
        <v>3095808.9833159833</v>
      </c>
    </row>
    <row r="406" spans="3:8" x14ac:dyDescent="0.3">
      <c r="C406">
        <f>Process!$I411*ref_umbral-Process!$G411</f>
        <v>3095808.7186911767</v>
      </c>
      <c r="D406">
        <f>Process!$L411*ref_umbral-Process!$J411</f>
        <v>3095804.2609786266</v>
      </c>
      <c r="E406">
        <f t="shared" si="16"/>
        <v>3095808.7186911767</v>
      </c>
      <c r="F406">
        <f>Process!$H411*ref_umbral-Process!$G411</f>
        <v>3095809.1500897715</v>
      </c>
      <c r="G406">
        <f>Process!$K411*ref_umbral-Process!$J411</f>
        <v>3095807.9116977868</v>
      </c>
      <c r="H406">
        <f t="shared" si="17"/>
        <v>3095809.1500897715</v>
      </c>
    </row>
    <row r="407" spans="3:8" x14ac:dyDescent="0.3">
      <c r="C407">
        <f>Process!$I412*ref_umbral-Process!$G412</f>
        <v>3095809.4662549193</v>
      </c>
      <c r="D407">
        <f>Process!$L412*ref_umbral-Process!$J412</f>
        <v>3095806.8208873933</v>
      </c>
      <c r="E407">
        <f t="shared" si="16"/>
        <v>3095809.4662549193</v>
      </c>
      <c r="F407">
        <f>Process!$H412*ref_umbral-Process!$G412</f>
        <v>3095809.6238820371</v>
      </c>
      <c r="G407">
        <f>Process!$K412*ref_umbral-Process!$J412</f>
        <v>3095808.5279364269</v>
      </c>
      <c r="H407">
        <f t="shared" si="17"/>
        <v>3095809.6238820371</v>
      </c>
    </row>
    <row r="408" spans="3:8" x14ac:dyDescent="0.3">
      <c r="C408">
        <f>Process!$I413*ref_umbral-Process!$G413</f>
        <v>3095809.6441963273</v>
      </c>
      <c r="D408">
        <f>Process!$L413*ref_umbral-Process!$J413</f>
        <v>3095804.2297348599</v>
      </c>
      <c r="E408">
        <f t="shared" si="16"/>
        <v>3095809.6441963273</v>
      </c>
      <c r="F408">
        <f>Process!$H413*ref_umbral-Process!$G413</f>
        <v>3095809.7013041209</v>
      </c>
      <c r="G408">
        <f>Process!$K413*ref_umbral-Process!$J413</f>
        <v>3095805.5997626446</v>
      </c>
      <c r="H408">
        <f t="shared" si="17"/>
        <v>3095809.7013041209</v>
      </c>
    </row>
    <row r="409" spans="3:8" x14ac:dyDescent="0.3">
      <c r="C409">
        <f>Process!$I414*ref_umbral-Process!$G414</f>
        <v>3095809.2530952608</v>
      </c>
      <c r="D409">
        <f>Process!$L414*ref_umbral-Process!$J414</f>
        <v>3095802.8731467272</v>
      </c>
      <c r="E409">
        <f t="shared" si="16"/>
        <v>3095809.2530952608</v>
      </c>
      <c r="F409">
        <f>Process!$H414*ref_umbral-Process!$G414</f>
        <v>3095809.3497721553</v>
      </c>
      <c r="G409">
        <f>Process!$K414*ref_umbral-Process!$J414</f>
        <v>3095804.8581454228</v>
      </c>
      <c r="H409">
        <f t="shared" si="17"/>
        <v>3095809.3497721553</v>
      </c>
    </row>
    <row r="410" spans="3:8" x14ac:dyDescent="0.3">
      <c r="C410">
        <f>Process!$I415*ref_umbral-Process!$G415</f>
        <v>3095809.5853389152</v>
      </c>
      <c r="D410">
        <f>Process!$L415*ref_umbral-Process!$J415</f>
        <v>3095805.8698177147</v>
      </c>
      <c r="E410">
        <f t="shared" si="16"/>
        <v>3095809.5853389152</v>
      </c>
      <c r="F410">
        <f>Process!$H415*ref_umbral-Process!$G415</f>
        <v>3095809.7210258851</v>
      </c>
      <c r="G410">
        <f>Process!$K415*ref_umbral-Process!$J415</f>
        <v>3095809.3563416633</v>
      </c>
      <c r="H410">
        <f t="shared" si="17"/>
        <v>3095809.7210258851</v>
      </c>
    </row>
    <row r="411" spans="3:8" x14ac:dyDescent="0.3">
      <c r="C411">
        <f>Process!$I416*ref_umbral-Process!$G416</f>
        <v>3095808.8180901823</v>
      </c>
      <c r="D411">
        <f>Process!$L416*ref_umbral-Process!$J416</f>
        <v>3095796.2639326006</v>
      </c>
      <c r="E411">
        <f t="shared" si="16"/>
        <v>3095808.8180901823</v>
      </c>
      <c r="F411">
        <f>Process!$H416*ref_umbral-Process!$G416</f>
        <v>3095809.1878370084</v>
      </c>
      <c r="G411">
        <f>Process!$K416*ref_umbral-Process!$J416</f>
        <v>3095799.1138652116</v>
      </c>
      <c r="H411">
        <f t="shared" si="17"/>
        <v>3095809.1878370084</v>
      </c>
    </row>
    <row r="412" spans="3:8" x14ac:dyDescent="0.3">
      <c r="C412">
        <f>Process!$I417*ref_umbral-Process!$G417</f>
        <v>3095809.6888332465</v>
      </c>
      <c r="D412">
        <f>Process!$L417*ref_umbral-Process!$J417</f>
        <v>3095802.7775332145</v>
      </c>
      <c r="E412">
        <f t="shared" si="16"/>
        <v>3095809.6888332465</v>
      </c>
      <c r="F412">
        <f>Process!$H417*ref_umbral-Process!$G417</f>
        <v>3095809.7035586876</v>
      </c>
      <c r="G412">
        <f>Process!$K417*ref_umbral-Process!$J417</f>
        <v>3095803.793115681</v>
      </c>
      <c r="H412">
        <f t="shared" si="17"/>
        <v>3095809.7035586876</v>
      </c>
    </row>
    <row r="413" spans="3:8" x14ac:dyDescent="0.3">
      <c r="C413">
        <f>Process!$I418*ref_umbral-Process!$G418</f>
        <v>3095809.2111209752</v>
      </c>
      <c r="D413">
        <f>Process!$L418*ref_umbral-Process!$J418</f>
        <v>3095806.3350772993</v>
      </c>
      <c r="E413">
        <f t="shared" si="16"/>
        <v>3095809.2111209752</v>
      </c>
      <c r="F413">
        <f>Process!$H418*ref_umbral-Process!$G418</f>
        <v>3095809.4403349753</v>
      </c>
      <c r="G413">
        <f>Process!$K418*ref_umbral-Process!$J418</f>
        <v>3095808.8595163384</v>
      </c>
      <c r="H413">
        <f t="shared" si="17"/>
        <v>3095809.4403349753</v>
      </c>
    </row>
    <row r="414" spans="3:8" x14ac:dyDescent="0.3">
      <c r="C414">
        <f>Process!$I419*ref_umbral-Process!$G419</f>
        <v>3095809.4379350278</v>
      </c>
      <c r="D414">
        <f>Process!$L419*ref_umbral-Process!$J419</f>
        <v>3095800.6735381023</v>
      </c>
      <c r="E414">
        <f t="shared" si="16"/>
        <v>3095809.4379350278</v>
      </c>
      <c r="F414">
        <f>Process!$H419*ref_umbral-Process!$G419</f>
        <v>3095809.4524630019</v>
      </c>
      <c r="G414">
        <f>Process!$K419*ref_umbral-Process!$J419</f>
        <v>3095802.4270841428</v>
      </c>
      <c r="H414">
        <f t="shared" si="17"/>
        <v>3095809.4524630019</v>
      </c>
    </row>
    <row r="415" spans="3:8" x14ac:dyDescent="0.3">
      <c r="C415">
        <f>Process!$I420*ref_umbral-Process!$G420</f>
        <v>3095808.944789479</v>
      </c>
      <c r="D415">
        <f>Process!$L420*ref_umbral-Process!$J420</f>
        <v>3095799.3881242569</v>
      </c>
      <c r="E415">
        <f t="shared" si="16"/>
        <v>3095808.944789479</v>
      </c>
      <c r="F415">
        <f>Process!$H420*ref_umbral-Process!$G420</f>
        <v>3095809.4469054681</v>
      </c>
      <c r="G415">
        <f>Process!$K420*ref_umbral-Process!$J420</f>
        <v>3095802.9027438289</v>
      </c>
      <c r="H415">
        <f t="shared" si="17"/>
        <v>3095809.4469054681</v>
      </c>
    </row>
    <row r="416" spans="3:8" x14ac:dyDescent="0.3">
      <c r="C416">
        <f>Process!$I421*ref_umbral-Process!$G421</f>
        <v>3095809.1502121757</v>
      </c>
      <c r="D416">
        <f>Process!$L421*ref_umbral-Process!$J421</f>
        <v>3095804.3780888016</v>
      </c>
      <c r="E416">
        <f t="shared" si="16"/>
        <v>3095809.1502121757</v>
      </c>
      <c r="F416">
        <f>Process!$H421*ref_umbral-Process!$G421</f>
        <v>3095809.3519284357</v>
      </c>
      <c r="G416">
        <f>Process!$K421*ref_umbral-Process!$J421</f>
        <v>3095808.7455636486</v>
      </c>
      <c r="H416">
        <f t="shared" si="17"/>
        <v>3095809.3519284357</v>
      </c>
    </row>
    <row r="417" spans="3:8" x14ac:dyDescent="0.3">
      <c r="C417">
        <f>Process!$I422*ref_umbral-Process!$G422</f>
        <v>3095809.2034936906</v>
      </c>
      <c r="D417">
        <f>Process!$L422*ref_umbral-Process!$J422</f>
        <v>3095803.2477410738</v>
      </c>
      <c r="E417">
        <f t="shared" si="16"/>
        <v>3095809.2034936906</v>
      </c>
      <c r="F417">
        <f>Process!$H422*ref_umbral-Process!$G422</f>
        <v>3095809.2708932264</v>
      </c>
      <c r="G417">
        <f>Process!$K422*ref_umbral-Process!$J422</f>
        <v>3095808.1759739406</v>
      </c>
      <c r="H417">
        <f t="shared" si="17"/>
        <v>3095809.2708932264</v>
      </c>
    </row>
    <row r="418" spans="3:8" x14ac:dyDescent="0.3">
      <c r="C418">
        <f>Process!$I423*ref_umbral-Process!$G423</f>
        <v>3095809.502057388</v>
      </c>
      <c r="D418">
        <f>Process!$L423*ref_umbral-Process!$J423</f>
        <v>3095807.2727509905</v>
      </c>
      <c r="E418">
        <f t="shared" si="16"/>
        <v>3095809.502057388</v>
      </c>
      <c r="F418">
        <f>Process!$H423*ref_umbral-Process!$G423</f>
        <v>3095809.6581114819</v>
      </c>
      <c r="G418">
        <f>Process!$K423*ref_umbral-Process!$J423</f>
        <v>3095809.469584574</v>
      </c>
      <c r="H418">
        <f t="shared" si="17"/>
        <v>3095809.6581114819</v>
      </c>
    </row>
    <row r="419" spans="3:8" x14ac:dyDescent="0.3">
      <c r="C419">
        <f>Process!$I424*ref_umbral-Process!$G424</f>
        <v>3095809.1169189089</v>
      </c>
      <c r="D419">
        <f>Process!$L424*ref_umbral-Process!$J424</f>
        <v>3095804.7389124297</v>
      </c>
      <c r="E419">
        <f t="shared" si="16"/>
        <v>3095809.1169189089</v>
      </c>
      <c r="F419">
        <f>Process!$H424*ref_umbral-Process!$G424</f>
        <v>3095809.1476322319</v>
      </c>
      <c r="G419">
        <f>Process!$K424*ref_umbral-Process!$J424</f>
        <v>3095808.0816333154</v>
      </c>
      <c r="H419">
        <f t="shared" si="17"/>
        <v>3095809.1476322319</v>
      </c>
    </row>
    <row r="420" spans="3:8" x14ac:dyDescent="0.3">
      <c r="C420">
        <f>Process!$I425*ref_umbral-Process!$G425</f>
        <v>3095809.5048603807</v>
      </c>
      <c r="D420">
        <f>Process!$L425*ref_umbral-Process!$J425</f>
        <v>3095802.4562982139</v>
      </c>
      <c r="E420">
        <f t="shared" si="16"/>
        <v>3095809.5048603807</v>
      </c>
      <c r="F420">
        <f>Process!$H425*ref_umbral-Process!$G425</f>
        <v>3095809.5568808834</v>
      </c>
      <c r="G420">
        <f>Process!$K425*ref_umbral-Process!$J425</f>
        <v>3095804.5689586727</v>
      </c>
      <c r="H420">
        <f t="shared" si="17"/>
        <v>3095809.5568808834</v>
      </c>
    </row>
    <row r="421" spans="3:8" x14ac:dyDescent="0.3">
      <c r="C421">
        <f>Process!$I426*ref_umbral-Process!$G426</f>
        <v>3095809.0657935552</v>
      </c>
      <c r="D421">
        <f>Process!$L426*ref_umbral-Process!$J426</f>
        <v>3095802.3431122536</v>
      </c>
      <c r="E421">
        <f t="shared" si="16"/>
        <v>3095809.0657935552</v>
      </c>
      <c r="F421">
        <f>Process!$H426*ref_umbral-Process!$G426</f>
        <v>3095809.2225373066</v>
      </c>
      <c r="G421">
        <f>Process!$K426*ref_umbral-Process!$J426</f>
        <v>3095806.4435428525</v>
      </c>
      <c r="H421">
        <f t="shared" si="17"/>
        <v>3095809.2225373066</v>
      </c>
    </row>
    <row r="422" spans="3:8" x14ac:dyDescent="0.3">
      <c r="C422">
        <f>Process!$I427*ref_umbral-Process!$G427</f>
        <v>3095809.4098334536</v>
      </c>
      <c r="D422">
        <f>Process!$L427*ref_umbral-Process!$J427</f>
        <v>3095806.9763341569</v>
      </c>
      <c r="E422">
        <f t="shared" si="16"/>
        <v>3095809.4098334536</v>
      </c>
      <c r="F422">
        <f>Process!$H427*ref_umbral-Process!$G427</f>
        <v>3095809.5230425568</v>
      </c>
      <c r="G422">
        <f>Process!$K427*ref_umbral-Process!$J427</f>
        <v>3095808.6393122119</v>
      </c>
      <c r="H422">
        <f t="shared" si="17"/>
        <v>3095809.5230425568</v>
      </c>
    </row>
    <row r="423" spans="3:8" x14ac:dyDescent="0.3">
      <c r="C423">
        <f>Process!$I428*ref_umbral-Process!$G428</f>
        <v>3095809.5329038952</v>
      </c>
      <c r="D423">
        <f>Process!$L428*ref_umbral-Process!$J428</f>
        <v>3095805.9385036929</v>
      </c>
      <c r="E423">
        <f t="shared" si="16"/>
        <v>3095809.5329038952</v>
      </c>
      <c r="F423">
        <f>Process!$H428*ref_umbral-Process!$G428</f>
        <v>3095809.6273295083</v>
      </c>
      <c r="G423">
        <f>Process!$K428*ref_umbral-Process!$J428</f>
        <v>3095809.0877465992</v>
      </c>
      <c r="H423">
        <f t="shared" si="17"/>
        <v>3095809.6273295083</v>
      </c>
    </row>
    <row r="424" spans="3:8" x14ac:dyDescent="0.3">
      <c r="C424">
        <f>Process!$I429*ref_umbral-Process!$G429</f>
        <v>3095809.205365438</v>
      </c>
      <c r="D424">
        <f>Process!$L429*ref_umbral-Process!$J429</f>
        <v>3095804.0223350376</v>
      </c>
      <c r="E424">
        <f t="shared" si="16"/>
        <v>3095809.205365438</v>
      </c>
      <c r="F424">
        <f>Process!$H429*ref_umbral-Process!$G429</f>
        <v>3095809.3002511612</v>
      </c>
      <c r="G424">
        <f>Process!$K429*ref_umbral-Process!$J429</f>
        <v>3095805.4910424389</v>
      </c>
      <c r="H424">
        <f t="shared" si="17"/>
        <v>3095809.3002511612</v>
      </c>
    </row>
    <row r="425" spans="3:8" x14ac:dyDescent="0.3">
      <c r="C425">
        <f>Process!$I430*ref_umbral-Process!$G430</f>
        <v>3095808.9955098489</v>
      </c>
      <c r="D425">
        <f>Process!$L430*ref_umbral-Process!$J430</f>
        <v>3095803.7732501496</v>
      </c>
      <c r="E425">
        <f t="shared" si="16"/>
        <v>3095808.9955098489</v>
      </c>
      <c r="F425">
        <f>Process!$H430*ref_umbral-Process!$G430</f>
        <v>3095809.1546396469</v>
      </c>
      <c r="G425">
        <f>Process!$K430*ref_umbral-Process!$J430</f>
        <v>3095806.9384147744</v>
      </c>
      <c r="H425">
        <f t="shared" si="17"/>
        <v>3095809.1546396469</v>
      </c>
    </row>
    <row r="426" spans="3:8" x14ac:dyDescent="0.3">
      <c r="C426">
        <f>Process!$I431*ref_umbral-Process!$G431</f>
        <v>3095809.4795812629</v>
      </c>
      <c r="D426">
        <f>Process!$L431*ref_umbral-Process!$J431</f>
        <v>3095804.1007347875</v>
      </c>
      <c r="E426">
        <f t="shared" si="16"/>
        <v>3095809.4795812629</v>
      </c>
      <c r="F426">
        <f>Process!$H431*ref_umbral-Process!$G431</f>
        <v>3095809.5818781294</v>
      </c>
      <c r="G426">
        <f>Process!$K431*ref_umbral-Process!$J431</f>
        <v>3095805.8623092561</v>
      </c>
      <c r="H426">
        <f t="shared" si="17"/>
        <v>3095809.5818781294</v>
      </c>
    </row>
    <row r="427" spans="3:8" x14ac:dyDescent="0.3">
      <c r="C427">
        <f>Process!$I432*ref_umbral-Process!$G432</f>
        <v>3095809.0554665499</v>
      </c>
      <c r="D427">
        <f>Process!$L432*ref_umbral-Process!$J432</f>
        <v>3095802.9822698878</v>
      </c>
      <c r="E427">
        <f t="shared" si="16"/>
        <v>3095809.0554665499</v>
      </c>
      <c r="F427">
        <f>Process!$H432*ref_umbral-Process!$G432</f>
        <v>3095809.3949769866</v>
      </c>
      <c r="G427">
        <f>Process!$K432*ref_umbral-Process!$J432</f>
        <v>3095806.6018924075</v>
      </c>
      <c r="H427">
        <f t="shared" si="17"/>
        <v>3095809.3949769866</v>
      </c>
    </row>
    <row r="428" spans="3:8" x14ac:dyDescent="0.3">
      <c r="C428">
        <f>Process!$I433*ref_umbral-Process!$G433</f>
        <v>3095809.4342182186</v>
      </c>
      <c r="D428">
        <f>Process!$L433*ref_umbral-Process!$J433</f>
        <v>3095801.7937218319</v>
      </c>
      <c r="E428">
        <f t="shared" si="16"/>
        <v>3095809.4342182186</v>
      </c>
      <c r="F428">
        <f>Process!$H433*ref_umbral-Process!$G433</f>
        <v>3095809.5068247747</v>
      </c>
      <c r="G428">
        <f>Process!$K433*ref_umbral-Process!$J433</f>
        <v>3095803.9209020985</v>
      </c>
      <c r="H428">
        <f t="shared" si="17"/>
        <v>3095809.5068247747</v>
      </c>
    </row>
    <row r="429" spans="3:8" x14ac:dyDescent="0.3">
      <c r="C429">
        <f>Process!$I434*ref_umbral-Process!$G434</f>
        <v>3095809.3744970905</v>
      </c>
      <c r="D429">
        <f>Process!$L434*ref_umbral-Process!$J434</f>
        <v>3095805.2594740037</v>
      </c>
      <c r="E429">
        <f t="shared" si="16"/>
        <v>3095809.3744970905</v>
      </c>
      <c r="F429">
        <f>Process!$H434*ref_umbral-Process!$G434</f>
        <v>3095809.4951095954</v>
      </c>
      <c r="G429">
        <f>Process!$K434*ref_umbral-Process!$J434</f>
        <v>3095806.8336337241</v>
      </c>
      <c r="H429">
        <f t="shared" si="17"/>
        <v>3095809.4951095954</v>
      </c>
    </row>
    <row r="430" spans="3:8" x14ac:dyDescent="0.3">
      <c r="C430">
        <f>Process!$I435*ref_umbral-Process!$G435</f>
        <v>3095809.1138438019</v>
      </c>
      <c r="D430">
        <f>Process!$L435*ref_umbral-Process!$J435</f>
        <v>3095803.0011322768</v>
      </c>
      <c r="E430">
        <f t="shared" si="16"/>
        <v>3095809.1138438019</v>
      </c>
      <c r="F430">
        <f>Process!$H435*ref_umbral-Process!$G435</f>
        <v>3095809.3806857117</v>
      </c>
      <c r="G430">
        <f>Process!$K435*ref_umbral-Process!$J435</f>
        <v>3095805.1000914024</v>
      </c>
      <c r="H430">
        <f t="shared" si="17"/>
        <v>3095809.3806857117</v>
      </c>
    </row>
    <row r="431" spans="3:8" x14ac:dyDescent="0.3">
      <c r="C431">
        <f>Process!$I436*ref_umbral-Process!$G436</f>
        <v>3095809.0763463108</v>
      </c>
      <c r="D431">
        <f>Process!$L436*ref_umbral-Process!$J436</f>
        <v>3095804.1233635233</v>
      </c>
      <c r="E431">
        <f t="shared" si="16"/>
        <v>3095809.0763463108</v>
      </c>
      <c r="F431">
        <f>Process!$H436*ref_umbral-Process!$G436</f>
        <v>3095809.285781851</v>
      </c>
      <c r="G431">
        <f>Process!$K436*ref_umbral-Process!$J436</f>
        <v>3095806.5228880043</v>
      </c>
      <c r="H431">
        <f t="shared" si="17"/>
        <v>3095809.285781851</v>
      </c>
    </row>
    <row r="432" spans="3:8" x14ac:dyDescent="0.3">
      <c r="C432">
        <f>Process!$I437*ref_umbral-Process!$G437</f>
        <v>3095809.0951436614</v>
      </c>
      <c r="D432">
        <f>Process!$L437*ref_umbral-Process!$J437</f>
        <v>3095803.3833881533</v>
      </c>
      <c r="E432">
        <f t="shared" si="16"/>
        <v>3095809.0951436614</v>
      </c>
      <c r="F432">
        <f>Process!$H437*ref_umbral-Process!$G437</f>
        <v>3095809.4239619151</v>
      </c>
      <c r="G432">
        <f>Process!$K437*ref_umbral-Process!$J437</f>
        <v>3095807.0993560436</v>
      </c>
      <c r="H432">
        <f t="shared" si="17"/>
        <v>3095809.4239619151</v>
      </c>
    </row>
    <row r="433" spans="3:8" x14ac:dyDescent="0.3">
      <c r="C433">
        <f>Process!$I438*ref_umbral-Process!$G438</f>
        <v>3095809.574708954</v>
      </c>
      <c r="D433">
        <f>Process!$L438*ref_umbral-Process!$J438</f>
        <v>3095799.7386572012</v>
      </c>
      <c r="E433">
        <f t="shared" si="16"/>
        <v>3095809.574708954</v>
      </c>
      <c r="F433">
        <f>Process!$H438*ref_umbral-Process!$G438</f>
        <v>3095809.5970441718</v>
      </c>
      <c r="G433">
        <f>Process!$K438*ref_umbral-Process!$J438</f>
        <v>3095800.6292001139</v>
      </c>
      <c r="H433">
        <f t="shared" si="17"/>
        <v>3095809.5970441718</v>
      </c>
    </row>
    <row r="434" spans="3:8" x14ac:dyDescent="0.3">
      <c r="C434">
        <f>Process!$I439*ref_umbral-Process!$G439</f>
        <v>3095808.985931729</v>
      </c>
      <c r="D434">
        <f>Process!$L439*ref_umbral-Process!$J439</f>
        <v>3095802.9306904292</v>
      </c>
      <c r="E434">
        <f t="shared" si="16"/>
        <v>3095808.985931729</v>
      </c>
      <c r="F434">
        <f>Process!$H439*ref_umbral-Process!$G439</f>
        <v>3095809.122829346</v>
      </c>
      <c r="G434">
        <f>Process!$K439*ref_umbral-Process!$J439</f>
        <v>3095805.1654200642</v>
      </c>
      <c r="H434">
        <f t="shared" si="17"/>
        <v>3095809.122829346</v>
      </c>
    </row>
    <row r="435" spans="3:8" x14ac:dyDescent="0.3">
      <c r="C435">
        <f>Process!$I440*ref_umbral-Process!$G440</f>
        <v>3095809.4070839537</v>
      </c>
      <c r="D435">
        <f>Process!$L440*ref_umbral-Process!$J440</f>
        <v>3095796.4508641465</v>
      </c>
      <c r="E435">
        <f t="shared" si="16"/>
        <v>3095809.4070839537</v>
      </c>
      <c r="F435">
        <f>Process!$H440*ref_umbral-Process!$G440</f>
        <v>3095809.4824988372</v>
      </c>
      <c r="G435">
        <f>Process!$K440*ref_umbral-Process!$J440</f>
        <v>3095797.0819545002</v>
      </c>
      <c r="H435">
        <f t="shared" si="17"/>
        <v>3095809.4824988372</v>
      </c>
    </row>
    <row r="436" spans="3:8" x14ac:dyDescent="0.3">
      <c r="C436">
        <f>Process!$I441*ref_umbral-Process!$G441</f>
        <v>3095808.0777110397</v>
      </c>
      <c r="D436">
        <f>Process!$L441*ref_umbral-Process!$J441</f>
        <v>3095794.3798325495</v>
      </c>
      <c r="E436">
        <f t="shared" si="16"/>
        <v>3095808.0777110397</v>
      </c>
      <c r="F436">
        <f>Process!$H441*ref_umbral-Process!$G441</f>
        <v>3095808.4929375271</v>
      </c>
      <c r="G436">
        <f>Process!$K441*ref_umbral-Process!$J441</f>
        <v>3095797.9758273759</v>
      </c>
      <c r="H436">
        <f t="shared" si="17"/>
        <v>3095808.4929375271</v>
      </c>
    </row>
    <row r="437" spans="3:8" x14ac:dyDescent="0.3">
      <c r="C437">
        <f>Process!$I442*ref_umbral-Process!$G442</f>
        <v>3095809.2574514709</v>
      </c>
      <c r="D437">
        <f>Process!$L442*ref_umbral-Process!$J442</f>
        <v>3095800.8706364841</v>
      </c>
      <c r="E437">
        <f t="shared" si="16"/>
        <v>3095809.2574514709</v>
      </c>
      <c r="F437">
        <f>Process!$H442*ref_umbral-Process!$G442</f>
        <v>3095809.2780789579</v>
      </c>
      <c r="G437">
        <f>Process!$K442*ref_umbral-Process!$J442</f>
        <v>3095802.5283875735</v>
      </c>
      <c r="H437">
        <f t="shared" si="17"/>
        <v>3095809.2780789579</v>
      </c>
    </row>
    <row r="438" spans="3:8" x14ac:dyDescent="0.3">
      <c r="C438">
        <f>Process!$I443*ref_umbral-Process!$G443</f>
        <v>3095809.3263720935</v>
      </c>
      <c r="D438">
        <f>Process!$L443*ref_umbral-Process!$J443</f>
        <v>3095797.613741084</v>
      </c>
      <c r="E438">
        <f t="shared" si="16"/>
        <v>3095809.3263720935</v>
      </c>
      <c r="F438">
        <f>Process!$H443*ref_umbral-Process!$G443</f>
        <v>3095809.4516359661</v>
      </c>
      <c r="G438">
        <f>Process!$K443*ref_umbral-Process!$J443</f>
        <v>3095799.6921617249</v>
      </c>
      <c r="H438">
        <f t="shared" si="17"/>
        <v>3095809.4516359661</v>
      </c>
    </row>
    <row r="439" spans="3:8" x14ac:dyDescent="0.3">
      <c r="C439">
        <f>Process!$I444*ref_umbral-Process!$G444</f>
        <v>3095809.2533069947</v>
      </c>
      <c r="D439">
        <f>Process!$L444*ref_umbral-Process!$J444</f>
        <v>3095804.5739378873</v>
      </c>
      <c r="E439">
        <f t="shared" si="16"/>
        <v>3095809.2533069947</v>
      </c>
      <c r="F439">
        <f>Process!$H444*ref_umbral-Process!$G444</f>
        <v>3095809.4169444512</v>
      </c>
      <c r="G439">
        <f>Process!$K444*ref_umbral-Process!$J444</f>
        <v>3095807.2179948553</v>
      </c>
      <c r="H439">
        <f t="shared" si="17"/>
        <v>3095809.4169444512</v>
      </c>
    </row>
    <row r="440" spans="3:8" x14ac:dyDescent="0.3">
      <c r="C440">
        <f>Process!$I445*ref_umbral-Process!$G445</f>
        <v>3095809.3416249719</v>
      </c>
      <c r="D440">
        <f>Process!$L445*ref_umbral-Process!$J445</f>
        <v>3095802.4045515833</v>
      </c>
      <c r="E440">
        <f t="shared" si="16"/>
        <v>3095809.3416249719</v>
      </c>
      <c r="F440">
        <f>Process!$H445*ref_umbral-Process!$G445</f>
        <v>3095809.3766550468</v>
      </c>
      <c r="G440">
        <f>Process!$K445*ref_umbral-Process!$J445</f>
        <v>3095804.5096168807</v>
      </c>
      <c r="H440">
        <f t="shared" si="17"/>
        <v>3095809.3766550468</v>
      </c>
    </row>
    <row r="441" spans="3:8" x14ac:dyDescent="0.3">
      <c r="C441">
        <f>Process!$I446*ref_umbral-Process!$G446</f>
        <v>3095809.2136725434</v>
      </c>
      <c r="D441">
        <f>Process!$L446*ref_umbral-Process!$J446</f>
        <v>3095794.0017284397</v>
      </c>
      <c r="E441">
        <f t="shared" si="16"/>
        <v>3095809.2136725434</v>
      </c>
      <c r="F441">
        <f>Process!$H446*ref_umbral-Process!$G446</f>
        <v>3095809.3935633362</v>
      </c>
      <c r="G441">
        <f>Process!$K446*ref_umbral-Process!$J446</f>
        <v>3095795.7029153635</v>
      </c>
      <c r="H441">
        <f t="shared" si="17"/>
        <v>3095809.3935633362</v>
      </c>
    </row>
    <row r="442" spans="3:8" x14ac:dyDescent="0.3">
      <c r="C442">
        <f>Process!$I447*ref_umbral-Process!$G447</f>
        <v>3095809.2079093037</v>
      </c>
      <c r="D442">
        <f>Process!$L447*ref_umbral-Process!$J447</f>
        <v>3095802.5725208675</v>
      </c>
      <c r="E442">
        <f t="shared" si="16"/>
        <v>3095809.2079093037</v>
      </c>
      <c r="F442">
        <f>Process!$H447*ref_umbral-Process!$G447</f>
        <v>3095809.3360003624</v>
      </c>
      <c r="G442">
        <f>Process!$K447*ref_umbral-Process!$J447</f>
        <v>3095805.7957192175</v>
      </c>
      <c r="H442">
        <f t="shared" si="17"/>
        <v>3095809.3360003624</v>
      </c>
    </row>
    <row r="443" spans="3:8" x14ac:dyDescent="0.3">
      <c r="C443">
        <f>Process!$I448*ref_umbral-Process!$G448</f>
        <v>3095809.5645012665</v>
      </c>
      <c r="D443">
        <f>Process!$L448*ref_umbral-Process!$J448</f>
        <v>3095797.2121948902</v>
      </c>
      <c r="E443">
        <f t="shared" si="16"/>
        <v>3095809.5645012665</v>
      </c>
      <c r="F443">
        <f>Process!$H448*ref_umbral-Process!$G448</f>
        <v>3095809.5700620688</v>
      </c>
      <c r="G443">
        <f>Process!$K448*ref_umbral-Process!$J448</f>
        <v>3095801.1663109716</v>
      </c>
      <c r="H443">
        <f t="shared" si="17"/>
        <v>3095809.5700620688</v>
      </c>
    </row>
    <row r="444" spans="3:8" x14ac:dyDescent="0.3">
      <c r="C444">
        <f>Process!$I449*ref_umbral-Process!$G449</f>
        <v>3095808.8558828388</v>
      </c>
      <c r="D444">
        <f>Process!$L449*ref_umbral-Process!$J449</f>
        <v>3095798.8444201606</v>
      </c>
      <c r="E444">
        <f t="shared" si="16"/>
        <v>3095808.8558828388</v>
      </c>
      <c r="F444">
        <f>Process!$H449*ref_umbral-Process!$G449</f>
        <v>3095809.0370016643</v>
      </c>
      <c r="G444">
        <f>Process!$K449*ref_umbral-Process!$J449</f>
        <v>3095800.8661431251</v>
      </c>
      <c r="H444">
        <f t="shared" si="17"/>
        <v>3095809.0370016643</v>
      </c>
    </row>
    <row r="445" spans="3:8" x14ac:dyDescent="0.3">
      <c r="C445">
        <f>Process!$I450*ref_umbral-Process!$G450</f>
        <v>3095808.6557462416</v>
      </c>
      <c r="D445">
        <f>Process!$L450*ref_umbral-Process!$J450</f>
        <v>3095799.1291565862</v>
      </c>
      <c r="E445">
        <f t="shared" si="16"/>
        <v>3095808.6557462416</v>
      </c>
      <c r="F445">
        <f>Process!$H450*ref_umbral-Process!$G450</f>
        <v>3095808.7827283139</v>
      </c>
      <c r="G445">
        <f>Process!$K450*ref_umbral-Process!$J450</f>
        <v>3095800.5756280352</v>
      </c>
      <c r="H445">
        <f t="shared" si="17"/>
        <v>3095808.7827283139</v>
      </c>
    </row>
    <row r="446" spans="3:8" x14ac:dyDescent="0.3">
      <c r="C446">
        <f>Process!$I451*ref_umbral-Process!$G451</f>
        <v>3095808.0628017415</v>
      </c>
      <c r="D446">
        <f>Process!$L451*ref_umbral-Process!$J451</f>
        <v>3095800.8711225679</v>
      </c>
      <c r="E446">
        <f t="shared" si="16"/>
        <v>3095808.0628017415</v>
      </c>
      <c r="F446">
        <f>Process!$H451*ref_umbral-Process!$G451</f>
        <v>3095808.2355763167</v>
      </c>
      <c r="G446">
        <f>Process!$K451*ref_umbral-Process!$J451</f>
        <v>3095801.7146365545</v>
      </c>
      <c r="H446">
        <f t="shared" si="17"/>
        <v>3095808.2355763167</v>
      </c>
    </row>
    <row r="447" spans="3:8" x14ac:dyDescent="0.3">
      <c r="C447">
        <f>Process!$I452*ref_umbral-Process!$G452</f>
        <v>3095809.4308596496</v>
      </c>
      <c r="D447">
        <f>Process!$L452*ref_umbral-Process!$J452</f>
        <v>3095805.3984721964</v>
      </c>
      <c r="E447">
        <f t="shared" si="16"/>
        <v>3095809.4308596496</v>
      </c>
      <c r="F447">
        <f>Process!$H452*ref_umbral-Process!$G452</f>
        <v>3095809.6064875089</v>
      </c>
      <c r="G447">
        <f>Process!$K452*ref_umbral-Process!$J452</f>
        <v>3095807.2204651409</v>
      </c>
      <c r="H447">
        <f t="shared" si="17"/>
        <v>3095809.6064875089</v>
      </c>
    </row>
    <row r="448" spans="3:8" x14ac:dyDescent="0.3">
      <c r="C448">
        <f>Process!$I453*ref_umbral-Process!$G453</f>
        <v>3095809.2485713153</v>
      </c>
      <c r="D448">
        <f>Process!$L453*ref_umbral-Process!$J453</f>
        <v>3095803.2738486845</v>
      </c>
      <c r="E448">
        <f t="shared" si="16"/>
        <v>3095809.2485713153</v>
      </c>
      <c r="F448">
        <f>Process!$H453*ref_umbral-Process!$G453</f>
        <v>3095809.4063542155</v>
      </c>
      <c r="G448">
        <f>Process!$K453*ref_umbral-Process!$J453</f>
        <v>3095805.5588924391</v>
      </c>
      <c r="H448">
        <f t="shared" si="17"/>
        <v>3095809.4063542155</v>
      </c>
    </row>
    <row r="449" spans="3:8" x14ac:dyDescent="0.3">
      <c r="C449">
        <f>Process!$I454*ref_umbral-Process!$G454</f>
        <v>3095808.3576962082</v>
      </c>
      <c r="D449">
        <f>Process!$L454*ref_umbral-Process!$J454</f>
        <v>3095791.5908865114</v>
      </c>
      <c r="E449">
        <f t="shared" si="16"/>
        <v>3095808.3576962082</v>
      </c>
      <c r="F449">
        <f>Process!$H454*ref_umbral-Process!$G454</f>
        <v>3095808.507677237</v>
      </c>
      <c r="G449">
        <f>Process!$K454*ref_umbral-Process!$J454</f>
        <v>3095792.655423976</v>
      </c>
      <c r="H449">
        <f t="shared" si="17"/>
        <v>3095808.507677237</v>
      </c>
    </row>
    <row r="450" spans="3:8" x14ac:dyDescent="0.3">
      <c r="C450">
        <f>Process!$I455*ref_umbral-Process!$G455</f>
        <v>3095808.4627625146</v>
      </c>
      <c r="D450">
        <f>Process!$L455*ref_umbral-Process!$J455</f>
        <v>3095795.4442804484</v>
      </c>
      <c r="E450">
        <f t="shared" si="16"/>
        <v>3095808.4627625146</v>
      </c>
      <c r="F450">
        <f>Process!$H455*ref_umbral-Process!$G455</f>
        <v>3095808.7338032736</v>
      </c>
      <c r="G450">
        <f>Process!$K455*ref_umbral-Process!$J455</f>
        <v>3095799.2560201711</v>
      </c>
      <c r="H450">
        <f t="shared" si="17"/>
        <v>3095808.7338032736</v>
      </c>
    </row>
    <row r="451" spans="3:8" x14ac:dyDescent="0.3">
      <c r="C451">
        <f>Process!$I456*ref_umbral-Process!$G456</f>
        <v>3095809.4693313702</v>
      </c>
      <c r="D451">
        <f>Process!$L456*ref_umbral-Process!$J456</f>
        <v>3095806.6469203578</v>
      </c>
      <c r="E451">
        <f t="shared" si="16"/>
        <v>3095809.4693313702</v>
      </c>
      <c r="F451">
        <f>Process!$H456*ref_umbral-Process!$G456</f>
        <v>3095809.6075048279</v>
      </c>
      <c r="G451">
        <f>Process!$K456*ref_umbral-Process!$J456</f>
        <v>3095809.0424324172</v>
      </c>
      <c r="H451">
        <f t="shared" si="17"/>
        <v>3095809.6075048279</v>
      </c>
    </row>
    <row r="452" spans="3:8" x14ac:dyDescent="0.3">
      <c r="C452">
        <f>Process!$I457*ref_umbral-Process!$G457</f>
        <v>3095808.7818126823</v>
      </c>
      <c r="D452">
        <f>Process!$L457*ref_umbral-Process!$J457</f>
        <v>3095805.5616082116</v>
      </c>
      <c r="E452">
        <f t="shared" si="16"/>
        <v>3095808.7818126823</v>
      </c>
      <c r="F452">
        <f>Process!$H457*ref_umbral-Process!$G457</f>
        <v>3095809.1747264001</v>
      </c>
      <c r="G452">
        <f>Process!$K457*ref_umbral-Process!$J457</f>
        <v>3095808.8742124802</v>
      </c>
      <c r="H452">
        <f t="shared" si="17"/>
        <v>3095809.1747264001</v>
      </c>
    </row>
    <row r="453" spans="3:8" x14ac:dyDescent="0.3">
      <c r="C453">
        <f>Process!$I458*ref_umbral-Process!$G458</f>
        <v>3095809.8076866916</v>
      </c>
      <c r="D453">
        <f>Process!$L458*ref_umbral-Process!$J458</f>
        <v>3095805.7229476236</v>
      </c>
      <c r="E453">
        <f t="shared" si="16"/>
        <v>3095809.8076866916</v>
      </c>
      <c r="F453">
        <f>Process!$H458*ref_umbral-Process!$G458</f>
        <v>3095809.8708492527</v>
      </c>
      <c r="G453">
        <f>Process!$K458*ref_umbral-Process!$J458</f>
        <v>3095807.5380669083</v>
      </c>
      <c r="H453">
        <f t="shared" si="17"/>
        <v>3095809.8708492527</v>
      </c>
    </row>
    <row r="454" spans="3:8" x14ac:dyDescent="0.3">
      <c r="C454">
        <f>Process!$I459*ref_umbral-Process!$G459</f>
        <v>3095809.5646048398</v>
      </c>
      <c r="D454">
        <f>Process!$L459*ref_umbral-Process!$J459</f>
        <v>3095801.37109156</v>
      </c>
      <c r="E454">
        <f t="shared" si="16"/>
        <v>3095809.5646048398</v>
      </c>
      <c r="F454">
        <f>Process!$H459*ref_umbral-Process!$G459</f>
        <v>3095809.682632945</v>
      </c>
      <c r="G454">
        <f>Process!$K459*ref_umbral-Process!$J459</f>
        <v>3095803.4916495932</v>
      </c>
      <c r="H454">
        <f t="shared" si="17"/>
        <v>3095809.682632945</v>
      </c>
    </row>
    <row r="455" spans="3:8" x14ac:dyDescent="0.3">
      <c r="C455">
        <f>Process!$I460*ref_umbral-Process!$G460</f>
        <v>3095809.064227249</v>
      </c>
      <c r="D455">
        <f>Process!$L460*ref_umbral-Process!$J460</f>
        <v>3095799.8365751603</v>
      </c>
      <c r="E455">
        <f t="shared" ref="E455:E518" si="18">MAX(C455,D455)</f>
        <v>3095809.064227249</v>
      </c>
      <c r="F455">
        <f>Process!$H460*ref_umbral-Process!$G460</f>
        <v>3095809.276030561</v>
      </c>
      <c r="G455">
        <f>Process!$K460*ref_umbral-Process!$J460</f>
        <v>3095801.9793544193</v>
      </c>
      <c r="H455">
        <f t="shared" ref="H455:H518" si="19">MAX(F455,G455)</f>
        <v>3095809.276030561</v>
      </c>
    </row>
    <row r="456" spans="3:8" x14ac:dyDescent="0.3">
      <c r="C456">
        <f>Process!$I461*ref_umbral-Process!$G461</f>
        <v>3095809.3701592842</v>
      </c>
      <c r="D456">
        <f>Process!$L461*ref_umbral-Process!$J461</f>
        <v>3095805.4325758303</v>
      </c>
      <c r="E456">
        <f t="shared" si="18"/>
        <v>3095809.3701592842</v>
      </c>
      <c r="F456">
        <f>Process!$H461*ref_umbral-Process!$G461</f>
        <v>3095809.5304912515</v>
      </c>
      <c r="G456">
        <f>Process!$K461*ref_umbral-Process!$J461</f>
        <v>3095807.8006682657</v>
      </c>
      <c r="H456">
        <f t="shared" si="19"/>
        <v>3095809.5304912515</v>
      </c>
    </row>
    <row r="457" spans="3:8" x14ac:dyDescent="0.3">
      <c r="C457">
        <f>Process!$I462*ref_umbral-Process!$G462</f>
        <v>3095809.5040007243</v>
      </c>
      <c r="D457">
        <f>Process!$L462*ref_umbral-Process!$J462</f>
        <v>3095802.6192449355</v>
      </c>
      <c r="E457">
        <f t="shared" si="18"/>
        <v>3095809.5040007243</v>
      </c>
      <c r="F457">
        <f>Process!$H462*ref_umbral-Process!$G462</f>
        <v>3095809.5991181773</v>
      </c>
      <c r="G457">
        <f>Process!$K462*ref_umbral-Process!$J462</f>
        <v>3095804.7986829788</v>
      </c>
      <c r="H457">
        <f t="shared" si="19"/>
        <v>3095809.5991181773</v>
      </c>
    </row>
    <row r="458" spans="3:8" x14ac:dyDescent="0.3">
      <c r="C458">
        <f>Process!$I463*ref_umbral-Process!$G463</f>
        <v>3095809.7623648108</v>
      </c>
      <c r="D458">
        <f>Process!$L463*ref_umbral-Process!$J463</f>
        <v>3095805.0734126363</v>
      </c>
      <c r="E458">
        <f t="shared" si="18"/>
        <v>3095809.7623648108</v>
      </c>
      <c r="F458">
        <f>Process!$H463*ref_umbral-Process!$G463</f>
        <v>3095809.7731545153</v>
      </c>
      <c r="G458">
        <f>Process!$K463*ref_umbral-Process!$J463</f>
        <v>3095806.3165948167</v>
      </c>
      <c r="H458">
        <f t="shared" si="19"/>
        <v>3095809.7731545153</v>
      </c>
    </row>
    <row r="459" spans="3:8" x14ac:dyDescent="0.3">
      <c r="C459">
        <f>Process!$I464*ref_umbral-Process!$G464</f>
        <v>3095808.5121684722</v>
      </c>
      <c r="D459">
        <f>Process!$L464*ref_umbral-Process!$J464</f>
        <v>3095797.7913386449</v>
      </c>
      <c r="E459">
        <f t="shared" si="18"/>
        <v>3095808.5121684722</v>
      </c>
      <c r="F459">
        <f>Process!$H464*ref_umbral-Process!$G464</f>
        <v>3095808.8854416814</v>
      </c>
      <c r="G459">
        <f>Process!$K464*ref_umbral-Process!$J464</f>
        <v>3095800.6864947909</v>
      </c>
      <c r="H459">
        <f t="shared" si="19"/>
        <v>3095808.8854416814</v>
      </c>
    </row>
    <row r="460" spans="3:8" x14ac:dyDescent="0.3">
      <c r="C460">
        <f>Process!$I465*ref_umbral-Process!$G465</f>
        <v>3095809.3965678173</v>
      </c>
      <c r="D460">
        <f>Process!$L465*ref_umbral-Process!$J465</f>
        <v>3095805.8083624756</v>
      </c>
      <c r="E460">
        <f t="shared" si="18"/>
        <v>3095809.3965678173</v>
      </c>
      <c r="F460">
        <f>Process!$H465*ref_umbral-Process!$G465</f>
        <v>3095809.4801243977</v>
      </c>
      <c r="G460">
        <f>Process!$K465*ref_umbral-Process!$J465</f>
        <v>3095808.6906215376</v>
      </c>
      <c r="H460">
        <f t="shared" si="19"/>
        <v>3095809.4801243977</v>
      </c>
    </row>
    <row r="461" spans="3:8" x14ac:dyDescent="0.3">
      <c r="C461">
        <f>Process!$I466*ref_umbral-Process!$G466</f>
        <v>3095809.3561750506</v>
      </c>
      <c r="D461">
        <f>Process!$L466*ref_umbral-Process!$J466</f>
        <v>3095807.2577889408</v>
      </c>
      <c r="E461">
        <f t="shared" si="18"/>
        <v>3095809.3561750506</v>
      </c>
      <c r="F461">
        <f>Process!$H466*ref_umbral-Process!$G466</f>
        <v>3095809.5293884333</v>
      </c>
      <c r="G461">
        <f>Process!$K466*ref_umbral-Process!$J466</f>
        <v>3095808.8832530156</v>
      </c>
      <c r="H461">
        <f t="shared" si="19"/>
        <v>3095809.5293884333</v>
      </c>
    </row>
    <row r="462" spans="3:8" x14ac:dyDescent="0.3">
      <c r="C462">
        <f>Process!$I467*ref_umbral-Process!$G467</f>
        <v>3095809.5209372123</v>
      </c>
      <c r="D462">
        <f>Process!$L467*ref_umbral-Process!$J467</f>
        <v>3095806.7047239663</v>
      </c>
      <c r="E462">
        <f t="shared" si="18"/>
        <v>3095809.5209372123</v>
      </c>
      <c r="F462">
        <f>Process!$H467*ref_umbral-Process!$G467</f>
        <v>3095809.5291737625</v>
      </c>
      <c r="G462">
        <f>Process!$K467*ref_umbral-Process!$J467</f>
        <v>3095809.2187015512</v>
      </c>
      <c r="H462">
        <f t="shared" si="19"/>
        <v>3095809.5291737625</v>
      </c>
    </row>
    <row r="463" spans="3:8" x14ac:dyDescent="0.3">
      <c r="C463">
        <f>Process!$I468*ref_umbral-Process!$G468</f>
        <v>3095809.6212830599</v>
      </c>
      <c r="D463">
        <f>Process!$L468*ref_umbral-Process!$J468</f>
        <v>3095807.3383458736</v>
      </c>
      <c r="E463">
        <f t="shared" si="18"/>
        <v>3095809.6212830599</v>
      </c>
      <c r="F463">
        <f>Process!$H468*ref_umbral-Process!$G468</f>
        <v>3095809.7556809513</v>
      </c>
      <c r="G463">
        <f>Process!$K468*ref_umbral-Process!$J468</f>
        <v>3095809.8043163056</v>
      </c>
      <c r="H463">
        <f t="shared" si="19"/>
        <v>3095809.8043163056</v>
      </c>
    </row>
    <row r="464" spans="3:8" x14ac:dyDescent="0.3">
      <c r="C464">
        <f>Process!$I469*ref_umbral-Process!$G469</f>
        <v>3095809.1484240275</v>
      </c>
      <c r="D464">
        <f>Process!$L469*ref_umbral-Process!$J469</f>
        <v>3095804.2898329375</v>
      </c>
      <c r="E464">
        <f t="shared" si="18"/>
        <v>3095809.1484240275</v>
      </c>
      <c r="F464">
        <f>Process!$H469*ref_umbral-Process!$G469</f>
        <v>3095809.1561286929</v>
      </c>
      <c r="G464">
        <f>Process!$K469*ref_umbral-Process!$J469</f>
        <v>3095807.624477766</v>
      </c>
      <c r="H464">
        <f t="shared" si="19"/>
        <v>3095809.1561286929</v>
      </c>
    </row>
    <row r="465" spans="3:8" x14ac:dyDescent="0.3">
      <c r="C465">
        <f>Process!$I470*ref_umbral-Process!$G470</f>
        <v>3095809.2974556135</v>
      </c>
      <c r="D465">
        <f>Process!$L470*ref_umbral-Process!$J470</f>
        <v>3095804.0815640655</v>
      </c>
      <c r="E465">
        <f t="shared" si="18"/>
        <v>3095809.2974556135</v>
      </c>
      <c r="F465">
        <f>Process!$H470*ref_umbral-Process!$G470</f>
        <v>3095809.500303633</v>
      </c>
      <c r="G465">
        <f>Process!$K470*ref_umbral-Process!$J470</f>
        <v>3095806.5604799362</v>
      </c>
      <c r="H465">
        <f t="shared" si="19"/>
        <v>3095809.500303633</v>
      </c>
    </row>
    <row r="466" spans="3:8" x14ac:dyDescent="0.3">
      <c r="C466">
        <f>Process!$I471*ref_umbral-Process!$G471</f>
        <v>3095809.4403773369</v>
      </c>
      <c r="D466">
        <f>Process!$L471*ref_umbral-Process!$J471</f>
        <v>3095806.8755211509</v>
      </c>
      <c r="E466">
        <f t="shared" si="18"/>
        <v>3095809.4403773369</v>
      </c>
      <c r="F466">
        <f>Process!$H471*ref_umbral-Process!$G471</f>
        <v>3095809.5275537386</v>
      </c>
      <c r="G466">
        <f>Process!$K471*ref_umbral-Process!$J471</f>
        <v>3095808.7968874951</v>
      </c>
      <c r="H466">
        <f t="shared" si="19"/>
        <v>3095809.5275537386</v>
      </c>
    </row>
    <row r="467" spans="3:8" x14ac:dyDescent="0.3">
      <c r="C467">
        <f>Process!$I472*ref_umbral-Process!$G472</f>
        <v>3095809.2119335765</v>
      </c>
      <c r="D467">
        <f>Process!$L472*ref_umbral-Process!$J472</f>
        <v>3095804.873190593</v>
      </c>
      <c r="E467">
        <f t="shared" si="18"/>
        <v>3095809.2119335765</v>
      </c>
      <c r="F467">
        <f>Process!$H472*ref_umbral-Process!$G472</f>
        <v>3095809.3342633359</v>
      </c>
      <c r="G467">
        <f>Process!$K472*ref_umbral-Process!$J472</f>
        <v>3095809.7621961241</v>
      </c>
      <c r="H467">
        <f t="shared" si="19"/>
        <v>3095809.7621961241</v>
      </c>
    </row>
    <row r="468" spans="3:8" x14ac:dyDescent="0.3">
      <c r="C468">
        <f>Process!$I473*ref_umbral-Process!$G473</f>
        <v>3095809.2145672655</v>
      </c>
      <c r="D468">
        <f>Process!$L473*ref_umbral-Process!$J473</f>
        <v>3095792.9452917515</v>
      </c>
      <c r="E468">
        <f t="shared" si="18"/>
        <v>3095809.2145672655</v>
      </c>
      <c r="F468">
        <f>Process!$H473*ref_umbral-Process!$G473</f>
        <v>3095809.3789079632</v>
      </c>
      <c r="G468">
        <f>Process!$K473*ref_umbral-Process!$J473</f>
        <v>3095794.0490157418</v>
      </c>
      <c r="H468">
        <f t="shared" si="19"/>
        <v>3095809.3789079632</v>
      </c>
    </row>
    <row r="469" spans="3:8" x14ac:dyDescent="0.3">
      <c r="C469">
        <f>Process!$I474*ref_umbral-Process!$G474</f>
        <v>3095809.3571493626</v>
      </c>
      <c r="D469">
        <f>Process!$L474*ref_umbral-Process!$J474</f>
        <v>3095794.623497142</v>
      </c>
      <c r="E469">
        <f t="shared" si="18"/>
        <v>3095809.3571493626</v>
      </c>
      <c r="F469">
        <f>Process!$H474*ref_umbral-Process!$G474</f>
        <v>3095809.4332364867</v>
      </c>
      <c r="G469">
        <f>Process!$K474*ref_umbral-Process!$J474</f>
        <v>3095796.310193703</v>
      </c>
      <c r="H469">
        <f t="shared" si="19"/>
        <v>3095809.4332364867</v>
      </c>
    </row>
    <row r="470" spans="3:8" x14ac:dyDescent="0.3">
      <c r="C470">
        <f>Process!$I475*ref_umbral-Process!$G475</f>
        <v>3095809.4080866775</v>
      </c>
      <c r="D470">
        <f>Process!$L475*ref_umbral-Process!$J475</f>
        <v>3095804.4394069114</v>
      </c>
      <c r="E470">
        <f t="shared" si="18"/>
        <v>3095809.4080866775</v>
      </c>
      <c r="F470">
        <f>Process!$H475*ref_umbral-Process!$G475</f>
        <v>3095809.435411131</v>
      </c>
      <c r="G470">
        <f>Process!$K475*ref_umbral-Process!$J475</f>
        <v>3095806.8007856831</v>
      </c>
      <c r="H470">
        <f t="shared" si="19"/>
        <v>3095809.435411131</v>
      </c>
    </row>
    <row r="471" spans="3:8" x14ac:dyDescent="0.3">
      <c r="C471">
        <f>Process!$I476*ref_umbral-Process!$G476</f>
        <v>3095809.2724341247</v>
      </c>
      <c r="D471">
        <f>Process!$L476*ref_umbral-Process!$J476</f>
        <v>3095805.0771654467</v>
      </c>
      <c r="E471">
        <f t="shared" si="18"/>
        <v>3095809.2724341247</v>
      </c>
      <c r="F471">
        <f>Process!$H476*ref_umbral-Process!$G476</f>
        <v>3095809.4056440284</v>
      </c>
      <c r="G471">
        <f>Process!$K476*ref_umbral-Process!$J476</f>
        <v>3095806.9026183225</v>
      </c>
      <c r="H471">
        <f t="shared" si="19"/>
        <v>3095809.4056440284</v>
      </c>
    </row>
    <row r="472" spans="3:8" x14ac:dyDescent="0.3">
      <c r="C472">
        <f>Process!$I477*ref_umbral-Process!$G477</f>
        <v>3095808.9777079728</v>
      </c>
      <c r="D472">
        <f>Process!$L477*ref_umbral-Process!$J477</f>
        <v>3095803.4894063706</v>
      </c>
      <c r="E472">
        <f t="shared" si="18"/>
        <v>3095808.9777079728</v>
      </c>
      <c r="F472">
        <f>Process!$H477*ref_umbral-Process!$G477</f>
        <v>3095809.50538914</v>
      </c>
      <c r="G472">
        <f>Process!$K477*ref_umbral-Process!$J477</f>
        <v>3095807.3257828522</v>
      </c>
      <c r="H472">
        <f t="shared" si="19"/>
        <v>3095809.50538914</v>
      </c>
    </row>
    <row r="473" spans="3:8" x14ac:dyDescent="0.3">
      <c r="C473">
        <f>Process!$I478*ref_umbral-Process!$G478</f>
        <v>3095808.5511723459</v>
      </c>
      <c r="D473">
        <f>Process!$L478*ref_umbral-Process!$J478</f>
        <v>3095799.7558890311</v>
      </c>
      <c r="E473">
        <f t="shared" si="18"/>
        <v>3095808.5511723459</v>
      </c>
      <c r="F473">
        <f>Process!$H478*ref_umbral-Process!$G478</f>
        <v>3095808.8377178581</v>
      </c>
      <c r="G473">
        <f>Process!$K478*ref_umbral-Process!$J478</f>
        <v>3095802.1077912091</v>
      </c>
      <c r="H473">
        <f t="shared" si="19"/>
        <v>3095808.8377178581</v>
      </c>
    </row>
    <row r="474" spans="3:8" x14ac:dyDescent="0.3">
      <c r="C474">
        <f>Process!$I479*ref_umbral-Process!$G479</f>
        <v>3095809.4934168728</v>
      </c>
      <c r="D474">
        <f>Process!$L479*ref_umbral-Process!$J479</f>
        <v>3095803.464020675</v>
      </c>
      <c r="E474">
        <f t="shared" si="18"/>
        <v>3095809.4934168728</v>
      </c>
      <c r="F474">
        <f>Process!$H479*ref_umbral-Process!$G479</f>
        <v>3095809.5918328771</v>
      </c>
      <c r="G474">
        <f>Process!$K479*ref_umbral-Process!$J479</f>
        <v>3095805.6696286169</v>
      </c>
      <c r="H474">
        <f t="shared" si="19"/>
        <v>3095809.5918328771</v>
      </c>
    </row>
    <row r="475" spans="3:8" x14ac:dyDescent="0.3">
      <c r="C475">
        <f>Process!$I480*ref_umbral-Process!$G480</f>
        <v>3095809.5726825008</v>
      </c>
      <c r="D475">
        <f>Process!$L480*ref_umbral-Process!$J480</f>
        <v>3095801.3402212542</v>
      </c>
      <c r="E475">
        <f t="shared" si="18"/>
        <v>3095809.5726825008</v>
      </c>
      <c r="F475">
        <f>Process!$H480*ref_umbral-Process!$G480</f>
        <v>3095809.7363804979</v>
      </c>
      <c r="G475">
        <f>Process!$K480*ref_umbral-Process!$J480</f>
        <v>3095803.0471095131</v>
      </c>
      <c r="H475">
        <f t="shared" si="19"/>
        <v>3095809.7363804979</v>
      </c>
    </row>
    <row r="476" spans="3:8" x14ac:dyDescent="0.3">
      <c r="C476">
        <f>Process!$I481*ref_umbral-Process!$G481</f>
        <v>3095809.4601002727</v>
      </c>
      <c r="D476">
        <f>Process!$L481*ref_umbral-Process!$J481</f>
        <v>3095795.1019609962</v>
      </c>
      <c r="E476">
        <f t="shared" si="18"/>
        <v>3095809.4601002727</v>
      </c>
      <c r="F476">
        <f>Process!$H481*ref_umbral-Process!$G481</f>
        <v>3095809.5163952187</v>
      </c>
      <c r="G476">
        <f>Process!$K481*ref_umbral-Process!$J481</f>
        <v>3095795.8663476398</v>
      </c>
      <c r="H476">
        <f t="shared" si="19"/>
        <v>3095809.5163952187</v>
      </c>
    </row>
    <row r="477" spans="3:8" x14ac:dyDescent="0.3">
      <c r="C477">
        <f>Process!$I482*ref_umbral-Process!$G482</f>
        <v>3095809.2713412018</v>
      </c>
      <c r="D477">
        <f>Process!$L482*ref_umbral-Process!$J482</f>
        <v>3095807.3554114643</v>
      </c>
      <c r="E477">
        <f t="shared" si="18"/>
        <v>3095809.2713412018</v>
      </c>
      <c r="F477">
        <f>Process!$H482*ref_umbral-Process!$G482</f>
        <v>3095809.4290333977</v>
      </c>
      <c r="G477">
        <f>Process!$K482*ref_umbral-Process!$J482</f>
        <v>3095809.7688920889</v>
      </c>
      <c r="H477">
        <f t="shared" si="19"/>
        <v>3095809.7688920889</v>
      </c>
    </row>
    <row r="478" spans="3:8" x14ac:dyDescent="0.3">
      <c r="C478">
        <f>Process!$I483*ref_umbral-Process!$G483</f>
        <v>3095809.2749638273</v>
      </c>
      <c r="D478">
        <f>Process!$L483*ref_umbral-Process!$J483</f>
        <v>3095803.4610159388</v>
      </c>
      <c r="E478">
        <f t="shared" si="18"/>
        <v>3095809.2749638273</v>
      </c>
      <c r="F478">
        <f>Process!$H483*ref_umbral-Process!$G483</f>
        <v>3095809.4010204016</v>
      </c>
      <c r="G478">
        <f>Process!$K483*ref_umbral-Process!$J483</f>
        <v>3095804.6703469162</v>
      </c>
      <c r="H478">
        <f t="shared" si="19"/>
        <v>3095809.4010204016</v>
      </c>
    </row>
    <row r="479" spans="3:8" x14ac:dyDescent="0.3">
      <c r="C479">
        <f>Process!$I484*ref_umbral-Process!$G484</f>
        <v>3095809.475840562</v>
      </c>
      <c r="D479">
        <f>Process!$L484*ref_umbral-Process!$J484</f>
        <v>3095807.1309268307</v>
      </c>
      <c r="E479">
        <f t="shared" si="18"/>
        <v>3095809.475840562</v>
      </c>
      <c r="F479">
        <f>Process!$H484*ref_umbral-Process!$G484</f>
        <v>3095809.4863044978</v>
      </c>
      <c r="G479">
        <f>Process!$K484*ref_umbral-Process!$J484</f>
        <v>3095809.0086476267</v>
      </c>
      <c r="H479">
        <f t="shared" si="19"/>
        <v>3095809.4863044978</v>
      </c>
    </row>
    <row r="480" spans="3:8" x14ac:dyDescent="0.3">
      <c r="C480">
        <f>Process!$I485*ref_umbral-Process!$G485</f>
        <v>3095809.4534710343</v>
      </c>
      <c r="D480">
        <f>Process!$L485*ref_umbral-Process!$J485</f>
        <v>3095808.2629474429</v>
      </c>
      <c r="E480">
        <f t="shared" si="18"/>
        <v>3095809.4534710343</v>
      </c>
      <c r="F480">
        <f>Process!$H485*ref_umbral-Process!$G485</f>
        <v>3095809.5467211925</v>
      </c>
      <c r="G480">
        <f>Process!$K485*ref_umbral-Process!$J485</f>
        <v>3095809.9371353909</v>
      </c>
      <c r="H480">
        <f t="shared" si="19"/>
        <v>3095809.9371353909</v>
      </c>
    </row>
    <row r="481" spans="3:8" x14ac:dyDescent="0.3">
      <c r="C481">
        <f>Process!$I486*ref_umbral-Process!$G486</f>
        <v>3095809.2525046011</v>
      </c>
      <c r="D481">
        <f>Process!$L486*ref_umbral-Process!$J486</f>
        <v>3095803.5290902755</v>
      </c>
      <c r="E481">
        <f t="shared" si="18"/>
        <v>3095809.2525046011</v>
      </c>
      <c r="F481">
        <f>Process!$H486*ref_umbral-Process!$G486</f>
        <v>3095809.3416718715</v>
      </c>
      <c r="G481">
        <f>Process!$K486*ref_umbral-Process!$J486</f>
        <v>3095806.444724916</v>
      </c>
      <c r="H481">
        <f t="shared" si="19"/>
        <v>3095809.3416718715</v>
      </c>
    </row>
    <row r="482" spans="3:8" x14ac:dyDescent="0.3">
      <c r="C482">
        <f>Process!$I487*ref_umbral-Process!$G487</f>
        <v>3095808.5876725195</v>
      </c>
      <c r="D482">
        <f>Process!$L487*ref_umbral-Process!$J487</f>
        <v>3095790.3861413887</v>
      </c>
      <c r="E482">
        <f t="shared" si="18"/>
        <v>3095808.5876725195</v>
      </c>
      <c r="F482">
        <f>Process!$H487*ref_umbral-Process!$G487</f>
        <v>3095808.6759373024</v>
      </c>
      <c r="G482">
        <f>Process!$K487*ref_umbral-Process!$J487</f>
        <v>3095794.9047760917</v>
      </c>
      <c r="H482">
        <f t="shared" si="19"/>
        <v>3095808.6759373024</v>
      </c>
    </row>
    <row r="483" spans="3:8" x14ac:dyDescent="0.3">
      <c r="C483">
        <f>Process!$I488*ref_umbral-Process!$G488</f>
        <v>3095809.4188060891</v>
      </c>
      <c r="D483">
        <f>Process!$L488*ref_umbral-Process!$J488</f>
        <v>3095802.3454214968</v>
      </c>
      <c r="E483">
        <f t="shared" si="18"/>
        <v>3095809.4188060891</v>
      </c>
      <c r="F483">
        <f>Process!$H488*ref_umbral-Process!$G488</f>
        <v>3095809.4256724035</v>
      </c>
      <c r="G483">
        <f>Process!$K488*ref_umbral-Process!$J488</f>
        <v>3095804.1060951073</v>
      </c>
      <c r="H483">
        <f t="shared" si="19"/>
        <v>3095809.4256724035</v>
      </c>
    </row>
    <row r="484" spans="3:8" x14ac:dyDescent="0.3">
      <c r="C484">
        <f>Process!$I489*ref_umbral-Process!$G489</f>
        <v>3095809.2391772079</v>
      </c>
      <c r="D484">
        <f>Process!$L489*ref_umbral-Process!$J489</f>
        <v>3095804.8451561183</v>
      </c>
      <c r="E484">
        <f t="shared" si="18"/>
        <v>3095809.2391772079</v>
      </c>
      <c r="F484">
        <f>Process!$H489*ref_umbral-Process!$G489</f>
        <v>3095809.4292974286</v>
      </c>
      <c r="G484">
        <f>Process!$K489*ref_umbral-Process!$J489</f>
        <v>3095807.5352488291</v>
      </c>
      <c r="H484">
        <f t="shared" si="19"/>
        <v>3095809.4292974286</v>
      </c>
    </row>
    <row r="485" spans="3:8" x14ac:dyDescent="0.3">
      <c r="C485">
        <f>Process!$I490*ref_umbral-Process!$G490</f>
        <v>3095809.0347745554</v>
      </c>
      <c r="D485">
        <f>Process!$L490*ref_umbral-Process!$J490</f>
        <v>3095798.3459533565</v>
      </c>
      <c r="E485">
        <f t="shared" si="18"/>
        <v>3095809.0347745554</v>
      </c>
      <c r="F485">
        <f>Process!$H490*ref_umbral-Process!$G490</f>
        <v>3095809.2176306047</v>
      </c>
      <c r="G485">
        <f>Process!$K490*ref_umbral-Process!$J490</f>
        <v>3095803.5060412786</v>
      </c>
      <c r="H485">
        <f t="shared" si="19"/>
        <v>3095809.2176306047</v>
      </c>
    </row>
    <row r="486" spans="3:8" x14ac:dyDescent="0.3">
      <c r="C486">
        <f>Process!$I491*ref_umbral-Process!$G491</f>
        <v>3095809.425327274</v>
      </c>
      <c r="D486">
        <f>Process!$L491*ref_umbral-Process!$J491</f>
        <v>3095807.104016026</v>
      </c>
      <c r="E486">
        <f t="shared" si="18"/>
        <v>3095809.425327274</v>
      </c>
      <c r="F486">
        <f>Process!$H491*ref_umbral-Process!$G491</f>
        <v>3095809.5657831337</v>
      </c>
      <c r="G486">
        <f>Process!$K491*ref_umbral-Process!$J491</f>
        <v>3095809.6033898275</v>
      </c>
      <c r="H486">
        <f t="shared" si="19"/>
        <v>3095809.6033898275</v>
      </c>
    </row>
    <row r="487" spans="3:8" x14ac:dyDescent="0.3">
      <c r="C487">
        <f>Process!$I492*ref_umbral-Process!$G492</f>
        <v>3095809.0939991926</v>
      </c>
      <c r="D487">
        <f>Process!$L492*ref_umbral-Process!$J492</f>
        <v>3095802.030800581</v>
      </c>
      <c r="E487">
        <f t="shared" si="18"/>
        <v>3095809.0939991926</v>
      </c>
      <c r="F487">
        <f>Process!$H492*ref_umbral-Process!$G492</f>
        <v>3095809.4383129296</v>
      </c>
      <c r="G487">
        <f>Process!$K492*ref_umbral-Process!$J492</f>
        <v>3095805.9548526807</v>
      </c>
      <c r="H487">
        <f t="shared" si="19"/>
        <v>3095809.4383129296</v>
      </c>
    </row>
    <row r="488" spans="3:8" x14ac:dyDescent="0.3">
      <c r="C488">
        <f>Process!$I493*ref_umbral-Process!$G493</f>
        <v>3095809.1449141842</v>
      </c>
      <c r="D488">
        <f>Process!$L493*ref_umbral-Process!$J493</f>
        <v>3095805.9415683676</v>
      </c>
      <c r="E488">
        <f t="shared" si="18"/>
        <v>3095809.1449141842</v>
      </c>
      <c r="F488">
        <f>Process!$H493*ref_umbral-Process!$G493</f>
        <v>3095809.3108244562</v>
      </c>
      <c r="G488">
        <f>Process!$K493*ref_umbral-Process!$J493</f>
        <v>3095806.9051290918</v>
      </c>
      <c r="H488">
        <f t="shared" si="19"/>
        <v>3095809.3108244562</v>
      </c>
    </row>
    <row r="489" spans="3:8" x14ac:dyDescent="0.3">
      <c r="C489">
        <f>Process!$I494*ref_umbral-Process!$G494</f>
        <v>3095809.467032026</v>
      </c>
      <c r="D489">
        <f>Process!$L494*ref_umbral-Process!$J494</f>
        <v>3095803.4878522004</v>
      </c>
      <c r="E489">
        <f t="shared" si="18"/>
        <v>3095809.467032026</v>
      </c>
      <c r="F489">
        <f>Process!$H494*ref_umbral-Process!$G494</f>
        <v>3095809.6148889335</v>
      </c>
      <c r="G489">
        <f>Process!$K494*ref_umbral-Process!$J494</f>
        <v>3095805.7401159769</v>
      </c>
      <c r="H489">
        <f t="shared" si="19"/>
        <v>3095809.6148889335</v>
      </c>
    </row>
    <row r="490" spans="3:8" x14ac:dyDescent="0.3">
      <c r="C490">
        <f>Process!$I495*ref_umbral-Process!$G495</f>
        <v>3095809.1104463735</v>
      </c>
      <c r="D490">
        <f>Process!$L495*ref_umbral-Process!$J495</f>
        <v>3095798.6912335027</v>
      </c>
      <c r="E490">
        <f t="shared" si="18"/>
        <v>3095809.1104463735</v>
      </c>
      <c r="F490">
        <f>Process!$H495*ref_umbral-Process!$G495</f>
        <v>3095809.2028475953</v>
      </c>
      <c r="G490">
        <f>Process!$K495*ref_umbral-Process!$J495</f>
        <v>3095800.6426804229</v>
      </c>
      <c r="H490">
        <f t="shared" si="19"/>
        <v>3095809.2028475953</v>
      </c>
    </row>
    <row r="491" spans="3:8" x14ac:dyDescent="0.3">
      <c r="C491">
        <f>Process!$I496*ref_umbral-Process!$G496</f>
        <v>3095809.2305632071</v>
      </c>
      <c r="D491">
        <f>Process!$L496*ref_umbral-Process!$J496</f>
        <v>3095795.5373737807</v>
      </c>
      <c r="E491">
        <f t="shared" si="18"/>
        <v>3095809.2305632071</v>
      </c>
      <c r="F491">
        <f>Process!$H496*ref_umbral-Process!$G496</f>
        <v>3095809.4035161603</v>
      </c>
      <c r="G491">
        <f>Process!$K496*ref_umbral-Process!$J496</f>
        <v>3095798.4046696648</v>
      </c>
      <c r="H491">
        <f t="shared" si="19"/>
        <v>3095809.4035161603</v>
      </c>
    </row>
    <row r="492" spans="3:8" x14ac:dyDescent="0.3">
      <c r="C492">
        <f>Process!$I497*ref_umbral-Process!$G497</f>
        <v>3095808.8321322757</v>
      </c>
      <c r="D492">
        <f>Process!$L497*ref_umbral-Process!$J497</f>
        <v>3095801.4320432604</v>
      </c>
      <c r="E492">
        <f t="shared" si="18"/>
        <v>3095808.8321322757</v>
      </c>
      <c r="F492">
        <f>Process!$H497*ref_umbral-Process!$G497</f>
        <v>3095809.1907358789</v>
      </c>
      <c r="G492">
        <f>Process!$K497*ref_umbral-Process!$J497</f>
        <v>3095804.2732951003</v>
      </c>
      <c r="H492">
        <f t="shared" si="19"/>
        <v>3095809.1907358789</v>
      </c>
    </row>
    <row r="493" spans="3:8" x14ac:dyDescent="0.3">
      <c r="C493">
        <f>Process!$I498*ref_umbral-Process!$G498</f>
        <v>3095809.6916150921</v>
      </c>
      <c r="D493">
        <f>Process!$L498*ref_umbral-Process!$J498</f>
        <v>3095806.0103423796</v>
      </c>
      <c r="E493">
        <f t="shared" si="18"/>
        <v>3095809.6916150921</v>
      </c>
      <c r="F493">
        <f>Process!$H498*ref_umbral-Process!$G498</f>
        <v>3095809.7792923241</v>
      </c>
      <c r="G493">
        <f>Process!$K498*ref_umbral-Process!$J498</f>
        <v>3095807.9376591984</v>
      </c>
      <c r="H493">
        <f t="shared" si="19"/>
        <v>3095809.7792923241</v>
      </c>
    </row>
    <row r="494" spans="3:8" x14ac:dyDescent="0.3">
      <c r="C494">
        <f>Process!$I499*ref_umbral-Process!$G499</f>
        <v>3095809.6379891988</v>
      </c>
      <c r="D494">
        <f>Process!$L499*ref_umbral-Process!$J499</f>
        <v>3095802.4447780191</v>
      </c>
      <c r="E494">
        <f t="shared" si="18"/>
        <v>3095809.6379891988</v>
      </c>
      <c r="F494">
        <f>Process!$H499*ref_umbral-Process!$G499</f>
        <v>3095809.6816211413</v>
      </c>
      <c r="G494">
        <f>Process!$K499*ref_umbral-Process!$J499</f>
        <v>3095805.9273051973</v>
      </c>
      <c r="H494">
        <f t="shared" si="19"/>
        <v>3095809.6816211413</v>
      </c>
    </row>
    <row r="495" spans="3:8" x14ac:dyDescent="0.3">
      <c r="C495">
        <f>Process!$I500*ref_umbral-Process!$G500</f>
        <v>3095809.5099505731</v>
      </c>
      <c r="D495">
        <f>Process!$L500*ref_umbral-Process!$J500</f>
        <v>3095789.4764793399</v>
      </c>
      <c r="E495">
        <f t="shared" si="18"/>
        <v>3095809.5099505731</v>
      </c>
      <c r="F495">
        <f>Process!$H500*ref_umbral-Process!$G500</f>
        <v>3095809.5553290751</v>
      </c>
      <c r="G495">
        <f>Process!$K500*ref_umbral-Process!$J500</f>
        <v>3095790.2539400687</v>
      </c>
      <c r="H495">
        <f t="shared" si="19"/>
        <v>3095809.5553290751</v>
      </c>
    </row>
    <row r="496" spans="3:8" x14ac:dyDescent="0.3">
      <c r="C496">
        <f>Process!$I501*ref_umbral-Process!$G501</f>
        <v>3095809.2844709642</v>
      </c>
      <c r="D496">
        <f>Process!$L501*ref_umbral-Process!$J501</f>
        <v>3095805.8933537742</v>
      </c>
      <c r="E496">
        <f t="shared" si="18"/>
        <v>3095809.2844709642</v>
      </c>
      <c r="F496">
        <f>Process!$H501*ref_umbral-Process!$G501</f>
        <v>3095809.5892833332</v>
      </c>
      <c r="G496">
        <f>Process!$K501*ref_umbral-Process!$J501</f>
        <v>3095808.733054202</v>
      </c>
      <c r="H496">
        <f t="shared" si="19"/>
        <v>3095809.5892833332</v>
      </c>
    </row>
    <row r="497" spans="3:8" x14ac:dyDescent="0.3">
      <c r="C497">
        <f>Process!$I502*ref_umbral-Process!$G502</f>
        <v>3095809.5278275078</v>
      </c>
      <c r="D497">
        <f>Process!$L502*ref_umbral-Process!$J502</f>
        <v>3095807.2445542789</v>
      </c>
      <c r="E497">
        <f t="shared" si="18"/>
        <v>3095809.5278275078</v>
      </c>
      <c r="F497">
        <f>Process!$H502*ref_umbral-Process!$G502</f>
        <v>3095809.6562749222</v>
      </c>
      <c r="G497">
        <f>Process!$K502*ref_umbral-Process!$J502</f>
        <v>3095809.4101822372</v>
      </c>
      <c r="H497">
        <f t="shared" si="19"/>
        <v>3095809.6562749222</v>
      </c>
    </row>
    <row r="498" spans="3:8" x14ac:dyDescent="0.3">
      <c r="C498">
        <f>Process!$I503*ref_umbral-Process!$G503</f>
        <v>3095809.4608507049</v>
      </c>
      <c r="D498">
        <f>Process!$L503*ref_umbral-Process!$J503</f>
        <v>3095792.3850645325</v>
      </c>
      <c r="E498">
        <f t="shared" si="18"/>
        <v>3095809.4608507049</v>
      </c>
      <c r="F498">
        <f>Process!$H503*ref_umbral-Process!$G503</f>
        <v>3095809.4725420685</v>
      </c>
      <c r="G498">
        <f>Process!$K503*ref_umbral-Process!$J503</f>
        <v>3095793.0692094546</v>
      </c>
      <c r="H498">
        <f t="shared" si="19"/>
        <v>3095809.4725420685</v>
      </c>
    </row>
    <row r="499" spans="3:8" x14ac:dyDescent="0.3">
      <c r="C499">
        <f>Process!$I504*ref_umbral-Process!$G504</f>
        <v>3095809.6474032695</v>
      </c>
      <c r="D499">
        <f>Process!$L504*ref_umbral-Process!$J504</f>
        <v>3095807.5753243743</v>
      </c>
      <c r="E499">
        <f t="shared" si="18"/>
        <v>3095809.6474032695</v>
      </c>
      <c r="F499">
        <f>Process!$H504*ref_umbral-Process!$G504</f>
        <v>3095809.7540850807</v>
      </c>
      <c r="G499">
        <f>Process!$K504*ref_umbral-Process!$J504</f>
        <v>3095809.6395107922</v>
      </c>
      <c r="H499">
        <f t="shared" si="19"/>
        <v>3095809.7540850807</v>
      </c>
    </row>
    <row r="500" spans="3:8" x14ac:dyDescent="0.3">
      <c r="C500">
        <f>Process!$I505*ref_umbral-Process!$G505</f>
        <v>3095809.1616932028</v>
      </c>
      <c r="D500">
        <f>Process!$L505*ref_umbral-Process!$J505</f>
        <v>3095806.7230094457</v>
      </c>
      <c r="E500">
        <f t="shared" si="18"/>
        <v>3095809.1616932028</v>
      </c>
      <c r="F500">
        <f>Process!$H505*ref_umbral-Process!$G505</f>
        <v>3095809.309293651</v>
      </c>
      <c r="G500">
        <f>Process!$K505*ref_umbral-Process!$J505</f>
        <v>3095808.6394299325</v>
      </c>
      <c r="H500">
        <f t="shared" si="19"/>
        <v>3095809.309293651</v>
      </c>
    </row>
    <row r="501" spans="3:8" x14ac:dyDescent="0.3">
      <c r="C501">
        <f>Process!$I506*ref_umbral-Process!$G506</f>
        <v>3095808.8042728994</v>
      </c>
      <c r="D501">
        <f>Process!$L506*ref_umbral-Process!$J506</f>
        <v>3095799.7068173834</v>
      </c>
      <c r="E501">
        <f t="shared" si="18"/>
        <v>3095808.8042728994</v>
      </c>
      <c r="F501">
        <f>Process!$H506*ref_umbral-Process!$G506</f>
        <v>3095809.1537003573</v>
      </c>
      <c r="G501">
        <f>Process!$K506*ref_umbral-Process!$J506</f>
        <v>3095803.686481982</v>
      </c>
      <c r="H501">
        <f t="shared" si="19"/>
        <v>3095809.1537003573</v>
      </c>
    </row>
    <row r="502" spans="3:8" x14ac:dyDescent="0.3">
      <c r="C502">
        <f>Process!$I507*ref_umbral-Process!$G507</f>
        <v>3095808.6752404324</v>
      </c>
      <c r="D502">
        <f>Process!$L507*ref_umbral-Process!$J507</f>
        <v>3095798.2781186462</v>
      </c>
      <c r="E502">
        <f t="shared" si="18"/>
        <v>3095808.6752404324</v>
      </c>
      <c r="F502">
        <f>Process!$H507*ref_umbral-Process!$G507</f>
        <v>3095809.040834575</v>
      </c>
      <c r="G502">
        <f>Process!$K507*ref_umbral-Process!$J507</f>
        <v>3095801.7693869402</v>
      </c>
      <c r="H502">
        <f t="shared" si="19"/>
        <v>3095809.040834575</v>
      </c>
    </row>
    <row r="503" spans="3:8" x14ac:dyDescent="0.3">
      <c r="C503">
        <f>Process!$I508*ref_umbral-Process!$G508</f>
        <v>3095809.6925604045</v>
      </c>
      <c r="D503">
        <f>Process!$L508*ref_umbral-Process!$J508</f>
        <v>3095806.3539643218</v>
      </c>
      <c r="E503">
        <f t="shared" si="18"/>
        <v>3095809.6925604045</v>
      </c>
      <c r="F503">
        <f>Process!$H508*ref_umbral-Process!$G508</f>
        <v>3095809.7573726298</v>
      </c>
      <c r="G503">
        <f>Process!$K508*ref_umbral-Process!$J508</f>
        <v>3095808.4544186057</v>
      </c>
      <c r="H503">
        <f t="shared" si="19"/>
        <v>3095809.7573726298</v>
      </c>
    </row>
    <row r="504" spans="3:8" x14ac:dyDescent="0.3">
      <c r="C504">
        <f>Process!$I509*ref_umbral-Process!$G509</f>
        <v>3095809.1807794548</v>
      </c>
      <c r="D504">
        <f>Process!$L509*ref_umbral-Process!$J509</f>
        <v>3095798.0782010909</v>
      </c>
      <c r="E504">
        <f t="shared" si="18"/>
        <v>3095809.1807794548</v>
      </c>
      <c r="F504">
        <f>Process!$H509*ref_umbral-Process!$G509</f>
        <v>3095809.334106158</v>
      </c>
      <c r="G504">
        <f>Process!$K509*ref_umbral-Process!$J509</f>
        <v>3095800.7281049881</v>
      </c>
      <c r="H504">
        <f t="shared" si="19"/>
        <v>3095809.334106158</v>
      </c>
    </row>
    <row r="505" spans="3:8" x14ac:dyDescent="0.3">
      <c r="C505">
        <f>Process!$I510*ref_umbral-Process!$G510</f>
        <v>3095809.3408431755</v>
      </c>
      <c r="D505">
        <f>Process!$L510*ref_umbral-Process!$J510</f>
        <v>3095802.102007186</v>
      </c>
      <c r="E505">
        <f t="shared" si="18"/>
        <v>3095809.3408431755</v>
      </c>
      <c r="F505">
        <f>Process!$H510*ref_umbral-Process!$G510</f>
        <v>3095809.3929836205</v>
      </c>
      <c r="G505">
        <f>Process!$K510*ref_umbral-Process!$J510</f>
        <v>3095805.2292271801</v>
      </c>
      <c r="H505">
        <f t="shared" si="19"/>
        <v>3095809.3929836205</v>
      </c>
    </row>
    <row r="506" spans="3:8" x14ac:dyDescent="0.3">
      <c r="C506">
        <f>Process!$I511*ref_umbral-Process!$G511</f>
        <v>3095808.4582178593</v>
      </c>
      <c r="D506">
        <f>Process!$L511*ref_umbral-Process!$J511</f>
        <v>3095798.4287643572</v>
      </c>
      <c r="E506">
        <f t="shared" si="18"/>
        <v>3095808.4582178593</v>
      </c>
      <c r="F506">
        <f>Process!$H511*ref_umbral-Process!$G511</f>
        <v>3095808.7814102173</v>
      </c>
      <c r="G506">
        <f>Process!$K511*ref_umbral-Process!$J511</f>
        <v>3095801.0919405189</v>
      </c>
      <c r="H506">
        <f t="shared" si="19"/>
        <v>3095808.7814102173</v>
      </c>
    </row>
    <row r="507" spans="3:8" x14ac:dyDescent="0.3">
      <c r="C507">
        <f>Process!$I512*ref_umbral-Process!$G512</f>
        <v>3095809.2097934424</v>
      </c>
      <c r="D507">
        <f>Process!$L512*ref_umbral-Process!$J512</f>
        <v>3095802.4081447707</v>
      </c>
      <c r="E507">
        <f t="shared" si="18"/>
        <v>3095809.2097934424</v>
      </c>
      <c r="F507">
        <f>Process!$H512*ref_umbral-Process!$G512</f>
        <v>3095809.4052606001</v>
      </c>
      <c r="G507">
        <f>Process!$K512*ref_umbral-Process!$J512</f>
        <v>3095805.9244570229</v>
      </c>
      <c r="H507">
        <f t="shared" si="19"/>
        <v>3095809.4052606001</v>
      </c>
    </row>
    <row r="508" spans="3:8" x14ac:dyDescent="0.3">
      <c r="C508">
        <f>Process!$I513*ref_umbral-Process!$G513</f>
        <v>3095809.4185520923</v>
      </c>
      <c r="D508">
        <f>Process!$L513*ref_umbral-Process!$J513</f>
        <v>3095805.9167174804</v>
      </c>
      <c r="E508">
        <f t="shared" si="18"/>
        <v>3095809.4185520923</v>
      </c>
      <c r="F508">
        <f>Process!$H513*ref_umbral-Process!$G513</f>
        <v>3095809.5414720969</v>
      </c>
      <c r="G508">
        <f>Process!$K513*ref_umbral-Process!$J513</f>
        <v>3095807.627240859</v>
      </c>
      <c r="H508">
        <f t="shared" si="19"/>
        <v>3095809.5414720969</v>
      </c>
    </row>
    <row r="509" spans="3:8" x14ac:dyDescent="0.3">
      <c r="C509">
        <f>Process!$I514*ref_umbral-Process!$G514</f>
        <v>3095809.0441587484</v>
      </c>
      <c r="D509">
        <f>Process!$L514*ref_umbral-Process!$J514</f>
        <v>3095807.8334375289</v>
      </c>
      <c r="E509">
        <f t="shared" si="18"/>
        <v>3095809.0441587484</v>
      </c>
      <c r="F509">
        <f>Process!$H514*ref_umbral-Process!$G514</f>
        <v>3095809.7878499893</v>
      </c>
      <c r="G509">
        <f>Process!$K514*ref_umbral-Process!$J514</f>
        <v>3095810.0401926907</v>
      </c>
      <c r="H509">
        <f t="shared" si="19"/>
        <v>3095810.0401926907</v>
      </c>
    </row>
    <row r="510" spans="3:8" x14ac:dyDescent="0.3">
      <c r="C510">
        <f>Process!$I515*ref_umbral-Process!$G515</f>
        <v>3095809.0678947549</v>
      </c>
      <c r="D510">
        <f>Process!$L515*ref_umbral-Process!$J515</f>
        <v>3095805.5072833789</v>
      </c>
      <c r="E510">
        <f t="shared" si="18"/>
        <v>3095809.0678947549</v>
      </c>
      <c r="F510">
        <f>Process!$H515*ref_umbral-Process!$G515</f>
        <v>3095809.4358555065</v>
      </c>
      <c r="G510">
        <f>Process!$K515*ref_umbral-Process!$J515</f>
        <v>3095808.6701959199</v>
      </c>
      <c r="H510">
        <f t="shared" si="19"/>
        <v>3095809.4358555065</v>
      </c>
    </row>
    <row r="511" spans="3:8" x14ac:dyDescent="0.3">
      <c r="C511">
        <f>Process!$I516*ref_umbral-Process!$G516</f>
        <v>3095809.0135582746</v>
      </c>
      <c r="D511">
        <f>Process!$L516*ref_umbral-Process!$J516</f>
        <v>3095803.9324557227</v>
      </c>
      <c r="E511">
        <f t="shared" si="18"/>
        <v>3095809.0135582746</v>
      </c>
      <c r="F511">
        <f>Process!$H516*ref_umbral-Process!$G516</f>
        <v>3095809.268460087</v>
      </c>
      <c r="G511">
        <f>Process!$K516*ref_umbral-Process!$J516</f>
        <v>3095807.4935780163</v>
      </c>
      <c r="H511">
        <f t="shared" si="19"/>
        <v>3095809.268460087</v>
      </c>
    </row>
    <row r="512" spans="3:8" x14ac:dyDescent="0.3">
      <c r="C512">
        <f>Process!$I517*ref_umbral-Process!$G517</f>
        <v>3095809.4432538399</v>
      </c>
      <c r="D512">
        <f>Process!$L517*ref_umbral-Process!$J517</f>
        <v>3095804.7867789418</v>
      </c>
      <c r="E512">
        <f t="shared" si="18"/>
        <v>3095809.4432538399</v>
      </c>
      <c r="F512">
        <f>Process!$H517*ref_umbral-Process!$G517</f>
        <v>3095809.6752718259</v>
      </c>
      <c r="G512">
        <f>Process!$K517*ref_umbral-Process!$J517</f>
        <v>3095808.1724312017</v>
      </c>
      <c r="H512">
        <f t="shared" si="19"/>
        <v>3095809.6752718259</v>
      </c>
    </row>
    <row r="513" spans="3:8" x14ac:dyDescent="0.3">
      <c r="C513">
        <f>Process!$I518*ref_umbral-Process!$G518</f>
        <v>3095809.4704812518</v>
      </c>
      <c r="D513">
        <f>Process!$L518*ref_umbral-Process!$J518</f>
        <v>3095804.9400022225</v>
      </c>
      <c r="E513">
        <f t="shared" si="18"/>
        <v>3095809.4704812518</v>
      </c>
      <c r="F513">
        <f>Process!$H518*ref_umbral-Process!$G518</f>
        <v>3095809.5551330028</v>
      </c>
      <c r="G513">
        <f>Process!$K518*ref_umbral-Process!$J518</f>
        <v>3095807.7659272342</v>
      </c>
      <c r="H513">
        <f t="shared" si="19"/>
        <v>3095809.5551330028</v>
      </c>
    </row>
    <row r="514" spans="3:8" x14ac:dyDescent="0.3">
      <c r="C514">
        <f>Process!$I519*ref_umbral-Process!$G519</f>
        <v>3095808.8821119955</v>
      </c>
      <c r="D514">
        <f>Process!$L519*ref_umbral-Process!$J519</f>
        <v>3095785.1476855143</v>
      </c>
      <c r="E514">
        <f t="shared" si="18"/>
        <v>3095808.8821119955</v>
      </c>
      <c r="F514">
        <f>Process!$H519*ref_umbral-Process!$G519</f>
        <v>3095808.9869024684</v>
      </c>
      <c r="G514">
        <f>Process!$K519*ref_umbral-Process!$J519</f>
        <v>3095786.5315603823</v>
      </c>
      <c r="H514">
        <f t="shared" si="19"/>
        <v>3095808.9869024684</v>
      </c>
    </row>
    <row r="515" spans="3:8" x14ac:dyDescent="0.3">
      <c r="C515">
        <f>Process!$I520*ref_umbral-Process!$G520</f>
        <v>3095809.0911991359</v>
      </c>
      <c r="D515">
        <f>Process!$L520*ref_umbral-Process!$J520</f>
        <v>3095794.9012966156</v>
      </c>
      <c r="E515">
        <f t="shared" si="18"/>
        <v>3095809.0911991359</v>
      </c>
      <c r="F515">
        <f>Process!$H520*ref_umbral-Process!$G520</f>
        <v>3095809.2019007388</v>
      </c>
      <c r="G515">
        <f>Process!$K520*ref_umbral-Process!$J520</f>
        <v>3095796.7125502662</v>
      </c>
      <c r="H515">
        <f t="shared" si="19"/>
        <v>3095809.2019007388</v>
      </c>
    </row>
    <row r="516" spans="3:8" x14ac:dyDescent="0.3">
      <c r="C516">
        <f>Process!$I521*ref_umbral-Process!$G521</f>
        <v>3095807.4987904686</v>
      </c>
      <c r="D516">
        <f>Process!$L521*ref_umbral-Process!$J521</f>
        <v>3095800.0114680589</v>
      </c>
      <c r="E516">
        <f t="shared" si="18"/>
        <v>3095807.4987904686</v>
      </c>
      <c r="F516">
        <f>Process!$H521*ref_umbral-Process!$G521</f>
        <v>3095807.9432398896</v>
      </c>
      <c r="G516">
        <f>Process!$K521*ref_umbral-Process!$J521</f>
        <v>3095802.1119598146</v>
      </c>
      <c r="H516">
        <f t="shared" si="19"/>
        <v>3095807.9432398896</v>
      </c>
    </row>
    <row r="517" spans="3:8" x14ac:dyDescent="0.3">
      <c r="C517">
        <f>Process!$I522*ref_umbral-Process!$G522</f>
        <v>3095809.4325787011</v>
      </c>
      <c r="D517">
        <f>Process!$L522*ref_umbral-Process!$J522</f>
        <v>3095805.7066920544</v>
      </c>
      <c r="E517">
        <f t="shared" si="18"/>
        <v>3095809.4325787011</v>
      </c>
      <c r="F517">
        <f>Process!$H522*ref_umbral-Process!$G522</f>
        <v>3095809.5600457019</v>
      </c>
      <c r="G517">
        <f>Process!$K522*ref_umbral-Process!$J522</f>
        <v>3095808.0204210263</v>
      </c>
      <c r="H517">
        <f t="shared" si="19"/>
        <v>3095809.5600457019</v>
      </c>
    </row>
    <row r="518" spans="3:8" x14ac:dyDescent="0.3">
      <c r="C518">
        <f>Process!$I523*ref_umbral-Process!$G523</f>
        <v>3095809.3693873188</v>
      </c>
      <c r="D518">
        <f>Process!$L523*ref_umbral-Process!$J523</f>
        <v>3095800.9930155152</v>
      </c>
      <c r="E518">
        <f t="shared" si="18"/>
        <v>3095809.3693873188</v>
      </c>
      <c r="F518">
        <f>Process!$H523*ref_umbral-Process!$G523</f>
        <v>3095809.5631883037</v>
      </c>
      <c r="G518">
        <f>Process!$K523*ref_umbral-Process!$J523</f>
        <v>3095803.6750072762</v>
      </c>
      <c r="H518">
        <f t="shared" si="19"/>
        <v>3095809.5631883037</v>
      </c>
    </row>
    <row r="519" spans="3:8" x14ac:dyDescent="0.3">
      <c r="C519">
        <f>Process!$I524*ref_umbral-Process!$G524</f>
        <v>3095809.54645591</v>
      </c>
      <c r="D519">
        <f>Process!$L524*ref_umbral-Process!$J524</f>
        <v>3095804.5478317807</v>
      </c>
      <c r="E519">
        <f t="shared" ref="E519:E582" si="20">MAX(C519,D519)</f>
        <v>3095809.54645591</v>
      </c>
      <c r="F519">
        <f>Process!$H524*ref_umbral-Process!$G524</f>
        <v>3095809.557773354</v>
      </c>
      <c r="G519">
        <f>Process!$K524*ref_umbral-Process!$J524</f>
        <v>3095806.1675680988</v>
      </c>
      <c r="H519">
        <f t="shared" ref="H519:H582" si="21">MAX(F519,G519)</f>
        <v>3095809.557773354</v>
      </c>
    </row>
    <row r="520" spans="3:8" x14ac:dyDescent="0.3">
      <c r="C520">
        <f>Process!$I525*ref_umbral-Process!$G525</f>
        <v>3095809.4420663542</v>
      </c>
      <c r="D520">
        <f>Process!$L525*ref_umbral-Process!$J525</f>
        <v>3095803.9264627304</v>
      </c>
      <c r="E520">
        <f t="shared" si="20"/>
        <v>3095809.4420663542</v>
      </c>
      <c r="F520">
        <f>Process!$H525*ref_umbral-Process!$G525</f>
        <v>3095809.5913544367</v>
      </c>
      <c r="G520">
        <f>Process!$K525*ref_umbral-Process!$J525</f>
        <v>3095805.664739727</v>
      </c>
      <c r="H520">
        <f t="shared" si="21"/>
        <v>3095809.5913544367</v>
      </c>
    </row>
    <row r="521" spans="3:8" x14ac:dyDescent="0.3">
      <c r="C521">
        <f>Process!$I526*ref_umbral-Process!$G526</f>
        <v>3095809.6357591851</v>
      </c>
      <c r="D521">
        <f>Process!$L526*ref_umbral-Process!$J526</f>
        <v>3095807.4935993762</v>
      </c>
      <c r="E521">
        <f t="shared" si="20"/>
        <v>3095809.6357591851</v>
      </c>
      <c r="F521">
        <f>Process!$H526*ref_umbral-Process!$G526</f>
        <v>3095809.6497143633</v>
      </c>
      <c r="G521">
        <f>Process!$K526*ref_umbral-Process!$J526</f>
        <v>3095808.9916847921</v>
      </c>
      <c r="H521">
        <f t="shared" si="21"/>
        <v>3095809.6497143633</v>
      </c>
    </row>
    <row r="522" spans="3:8" x14ac:dyDescent="0.3">
      <c r="C522">
        <f>Process!$I527*ref_umbral-Process!$G527</f>
        <v>3095809.6789378151</v>
      </c>
      <c r="D522">
        <f>Process!$L527*ref_umbral-Process!$J527</f>
        <v>3095808.1236707759</v>
      </c>
      <c r="E522">
        <f t="shared" si="20"/>
        <v>3095809.6789378151</v>
      </c>
      <c r="F522">
        <f>Process!$H527*ref_umbral-Process!$G527</f>
        <v>3095809.7275019945</v>
      </c>
      <c r="G522">
        <f>Process!$K527*ref_umbral-Process!$J527</f>
        <v>3095808.8975721253</v>
      </c>
      <c r="H522">
        <f t="shared" si="21"/>
        <v>3095809.7275019945</v>
      </c>
    </row>
    <row r="523" spans="3:8" x14ac:dyDescent="0.3">
      <c r="C523">
        <f>Process!$I528*ref_umbral-Process!$G528</f>
        <v>3095809.4552651774</v>
      </c>
      <c r="D523">
        <f>Process!$L528*ref_umbral-Process!$J528</f>
        <v>3095804.9423790872</v>
      </c>
      <c r="E523">
        <f t="shared" si="20"/>
        <v>3095809.4552651774</v>
      </c>
      <c r="F523">
        <f>Process!$H528*ref_umbral-Process!$G528</f>
        <v>3095809.5568560367</v>
      </c>
      <c r="G523">
        <f>Process!$K528*ref_umbral-Process!$J528</f>
        <v>3095807.840306506</v>
      </c>
      <c r="H523">
        <f t="shared" si="21"/>
        <v>3095809.5568560367</v>
      </c>
    </row>
    <row r="524" spans="3:8" x14ac:dyDescent="0.3">
      <c r="C524">
        <f>Process!$I529*ref_umbral-Process!$G529</f>
        <v>3095809.5043014912</v>
      </c>
      <c r="D524">
        <f>Process!$L529*ref_umbral-Process!$J529</f>
        <v>3095807.4246097808</v>
      </c>
      <c r="E524">
        <f t="shared" si="20"/>
        <v>3095809.5043014912</v>
      </c>
      <c r="F524">
        <f>Process!$H529*ref_umbral-Process!$G529</f>
        <v>3095809.6421103049</v>
      </c>
      <c r="G524">
        <f>Process!$K529*ref_umbral-Process!$J529</f>
        <v>3095809.7446459928</v>
      </c>
      <c r="H524">
        <f t="shared" si="21"/>
        <v>3095809.7446459928</v>
      </c>
    </row>
    <row r="525" spans="3:8" x14ac:dyDescent="0.3">
      <c r="C525">
        <f>Process!$I530*ref_umbral-Process!$G530</f>
        <v>3095809.0523007521</v>
      </c>
      <c r="D525">
        <f>Process!$L530*ref_umbral-Process!$J530</f>
        <v>3095801.1139991861</v>
      </c>
      <c r="E525">
        <f t="shared" si="20"/>
        <v>3095809.0523007521</v>
      </c>
      <c r="F525">
        <f>Process!$H530*ref_umbral-Process!$G530</f>
        <v>3095809.2352801845</v>
      </c>
      <c r="G525">
        <f>Process!$K530*ref_umbral-Process!$J530</f>
        <v>3095803.4109390271</v>
      </c>
      <c r="H525">
        <f t="shared" si="21"/>
        <v>3095809.2352801845</v>
      </c>
    </row>
    <row r="526" spans="3:8" x14ac:dyDescent="0.3">
      <c r="C526">
        <f>Process!$I531*ref_umbral-Process!$G531</f>
        <v>3095809.5969926966</v>
      </c>
      <c r="D526">
        <f>Process!$L531*ref_umbral-Process!$J531</f>
        <v>3095803.7317844387</v>
      </c>
      <c r="E526">
        <f t="shared" si="20"/>
        <v>3095809.5969926966</v>
      </c>
      <c r="F526">
        <f>Process!$H531*ref_umbral-Process!$G531</f>
        <v>3095809.6087855422</v>
      </c>
      <c r="G526">
        <f>Process!$K531*ref_umbral-Process!$J531</f>
        <v>3095807.9227484185</v>
      </c>
      <c r="H526">
        <f t="shared" si="21"/>
        <v>3095809.6087855422</v>
      </c>
    </row>
    <row r="527" spans="3:8" x14ac:dyDescent="0.3">
      <c r="C527">
        <f>Process!$I532*ref_umbral-Process!$G532</f>
        <v>3095808.9103784421</v>
      </c>
      <c r="D527">
        <f>Process!$L532*ref_umbral-Process!$J532</f>
        <v>3095802.9021100211</v>
      </c>
      <c r="E527">
        <f t="shared" si="20"/>
        <v>3095808.9103784421</v>
      </c>
      <c r="F527">
        <f>Process!$H532*ref_umbral-Process!$G532</f>
        <v>3095809.1238674074</v>
      </c>
      <c r="G527">
        <f>Process!$K532*ref_umbral-Process!$J532</f>
        <v>3095805.9874709467</v>
      </c>
      <c r="H527">
        <f t="shared" si="21"/>
        <v>3095809.1238674074</v>
      </c>
    </row>
    <row r="528" spans="3:8" x14ac:dyDescent="0.3">
      <c r="C528">
        <f>Process!$I533*ref_umbral-Process!$G533</f>
        <v>3095809.4398454954</v>
      </c>
      <c r="D528">
        <f>Process!$L533*ref_umbral-Process!$J533</f>
        <v>3095805.9989107698</v>
      </c>
      <c r="E528">
        <f t="shared" si="20"/>
        <v>3095809.4398454954</v>
      </c>
      <c r="F528">
        <f>Process!$H533*ref_umbral-Process!$G533</f>
        <v>3095809.6279716128</v>
      </c>
      <c r="G528">
        <f>Process!$K533*ref_umbral-Process!$J533</f>
        <v>3095808.9238307648</v>
      </c>
      <c r="H528">
        <f t="shared" si="21"/>
        <v>3095809.6279716128</v>
      </c>
    </row>
    <row r="529" spans="3:8" x14ac:dyDescent="0.3">
      <c r="C529">
        <f>Process!$I534*ref_umbral-Process!$G534</f>
        <v>3095809.6750549101</v>
      </c>
      <c r="D529">
        <f>Process!$L534*ref_umbral-Process!$J534</f>
        <v>3095807.019733204</v>
      </c>
      <c r="E529">
        <f t="shared" si="20"/>
        <v>3095809.6750549101</v>
      </c>
      <c r="F529">
        <f>Process!$H534*ref_umbral-Process!$G534</f>
        <v>3095809.7550783441</v>
      </c>
      <c r="G529">
        <f>Process!$K534*ref_umbral-Process!$J534</f>
        <v>3095807.8353917459</v>
      </c>
      <c r="H529">
        <f t="shared" si="21"/>
        <v>3095809.7550783441</v>
      </c>
    </row>
    <row r="530" spans="3:8" x14ac:dyDescent="0.3">
      <c r="C530">
        <f>Process!$I535*ref_umbral-Process!$G535</f>
        <v>3095809.5130298585</v>
      </c>
      <c r="D530">
        <f>Process!$L535*ref_umbral-Process!$J535</f>
        <v>3095796.6929861871</v>
      </c>
      <c r="E530">
        <f t="shared" si="20"/>
        <v>3095809.5130298585</v>
      </c>
      <c r="F530">
        <f>Process!$H535*ref_umbral-Process!$G535</f>
        <v>3095809.5482297954</v>
      </c>
      <c r="G530">
        <f>Process!$K535*ref_umbral-Process!$J535</f>
        <v>3095798.4967106762</v>
      </c>
      <c r="H530">
        <f t="shared" si="21"/>
        <v>3095809.5482297954</v>
      </c>
    </row>
    <row r="531" spans="3:8" x14ac:dyDescent="0.3">
      <c r="C531">
        <f>Process!$I536*ref_umbral-Process!$G536</f>
        <v>3095808.9508759398</v>
      </c>
      <c r="D531">
        <f>Process!$L536*ref_umbral-Process!$J536</f>
        <v>3095802.7707791049</v>
      </c>
      <c r="E531">
        <f t="shared" si="20"/>
        <v>3095808.9508759398</v>
      </c>
      <c r="F531">
        <f>Process!$H536*ref_umbral-Process!$G536</f>
        <v>3095809.1473737531</v>
      </c>
      <c r="G531">
        <f>Process!$K536*ref_umbral-Process!$J536</f>
        <v>3095806.2771657417</v>
      </c>
      <c r="H531">
        <f t="shared" si="21"/>
        <v>3095809.1473737531</v>
      </c>
    </row>
    <row r="532" spans="3:8" x14ac:dyDescent="0.3">
      <c r="C532">
        <f>Process!$I537*ref_umbral-Process!$G537</f>
        <v>3095809.0580177968</v>
      </c>
      <c r="D532">
        <f>Process!$L537*ref_umbral-Process!$J537</f>
        <v>3095807.4616820132</v>
      </c>
      <c r="E532">
        <f t="shared" si="20"/>
        <v>3095809.0580177968</v>
      </c>
      <c r="F532">
        <f>Process!$H537*ref_umbral-Process!$G537</f>
        <v>3095809.4937798278</v>
      </c>
      <c r="G532">
        <f>Process!$K537*ref_umbral-Process!$J537</f>
        <v>3095809.6721054544</v>
      </c>
      <c r="H532">
        <f t="shared" si="21"/>
        <v>3095809.6721054544</v>
      </c>
    </row>
    <row r="533" spans="3:8" x14ac:dyDescent="0.3">
      <c r="C533">
        <f>Process!$I538*ref_umbral-Process!$G538</f>
        <v>3095809.2415790027</v>
      </c>
      <c r="D533">
        <f>Process!$L538*ref_umbral-Process!$J538</f>
        <v>3095804.9536940823</v>
      </c>
      <c r="E533">
        <f t="shared" si="20"/>
        <v>3095809.2415790027</v>
      </c>
      <c r="F533">
        <f>Process!$H538*ref_umbral-Process!$G538</f>
        <v>3095809.3412742689</v>
      </c>
      <c r="G533">
        <f>Process!$K538*ref_umbral-Process!$J538</f>
        <v>3095806.1517399917</v>
      </c>
      <c r="H533">
        <f t="shared" si="21"/>
        <v>3095809.3412742689</v>
      </c>
    </row>
    <row r="534" spans="3:8" x14ac:dyDescent="0.3">
      <c r="C534">
        <f>Process!$I539*ref_umbral-Process!$G539</f>
        <v>3095808.5465629515</v>
      </c>
      <c r="D534">
        <f>Process!$L539*ref_umbral-Process!$J539</f>
        <v>3095804.0488947229</v>
      </c>
      <c r="E534">
        <f t="shared" si="20"/>
        <v>3095808.5465629515</v>
      </c>
      <c r="F534">
        <f>Process!$H539*ref_umbral-Process!$G539</f>
        <v>3095808.8683973113</v>
      </c>
      <c r="G534">
        <f>Process!$K539*ref_umbral-Process!$J539</f>
        <v>3095807.0548586939</v>
      </c>
      <c r="H534">
        <f t="shared" si="21"/>
        <v>3095808.8683973113</v>
      </c>
    </row>
    <row r="535" spans="3:8" x14ac:dyDescent="0.3">
      <c r="C535">
        <f>Process!$I540*ref_umbral-Process!$G540</f>
        <v>3095808.8781968686</v>
      </c>
      <c r="D535">
        <f>Process!$L540*ref_umbral-Process!$J540</f>
        <v>3095801.4254569947</v>
      </c>
      <c r="E535">
        <f t="shared" si="20"/>
        <v>3095808.8781968686</v>
      </c>
      <c r="F535">
        <f>Process!$H540*ref_umbral-Process!$G540</f>
        <v>3095809.1231492134</v>
      </c>
      <c r="G535">
        <f>Process!$K540*ref_umbral-Process!$J540</f>
        <v>3095803.0997377974</v>
      </c>
      <c r="H535">
        <f t="shared" si="21"/>
        <v>3095809.1231492134</v>
      </c>
    </row>
    <row r="536" spans="3:8" x14ac:dyDescent="0.3">
      <c r="C536">
        <f>Process!$I541*ref_umbral-Process!$G541</f>
        <v>3095809.0179118328</v>
      </c>
      <c r="D536">
        <f>Process!$L541*ref_umbral-Process!$J541</f>
        <v>3095803.5940857376</v>
      </c>
      <c r="E536">
        <f t="shared" si="20"/>
        <v>3095809.0179118328</v>
      </c>
      <c r="F536">
        <f>Process!$H541*ref_umbral-Process!$G541</f>
        <v>3095809.3540156949</v>
      </c>
      <c r="G536">
        <f>Process!$K541*ref_umbral-Process!$J541</f>
        <v>3095806.4570157928</v>
      </c>
      <c r="H536">
        <f t="shared" si="21"/>
        <v>3095809.3540156949</v>
      </c>
    </row>
    <row r="537" spans="3:8" x14ac:dyDescent="0.3">
      <c r="C537">
        <f>Process!$I542*ref_umbral-Process!$G542</f>
        <v>3095809.3948992719</v>
      </c>
      <c r="D537">
        <f>Process!$L542*ref_umbral-Process!$J542</f>
        <v>3095804.1900693015</v>
      </c>
      <c r="E537">
        <f t="shared" si="20"/>
        <v>3095809.3948992719</v>
      </c>
      <c r="F537">
        <f>Process!$H542*ref_umbral-Process!$G542</f>
        <v>3095809.5528022707</v>
      </c>
      <c r="G537">
        <f>Process!$K542*ref_umbral-Process!$J542</f>
        <v>3095807.4852338596</v>
      </c>
      <c r="H537">
        <f t="shared" si="21"/>
        <v>3095809.5528022707</v>
      </c>
    </row>
    <row r="538" spans="3:8" x14ac:dyDescent="0.3">
      <c r="C538">
        <f>Process!$I543*ref_umbral-Process!$G543</f>
        <v>3095809.6784245386</v>
      </c>
      <c r="D538">
        <f>Process!$L543*ref_umbral-Process!$J543</f>
        <v>3095803.9471183759</v>
      </c>
      <c r="E538">
        <f t="shared" si="20"/>
        <v>3095809.6784245386</v>
      </c>
      <c r="F538">
        <f>Process!$H543*ref_umbral-Process!$G543</f>
        <v>3095809.7658966412</v>
      </c>
      <c r="G538">
        <f>Process!$K543*ref_umbral-Process!$J543</f>
        <v>3095806.1917184917</v>
      </c>
      <c r="H538">
        <f t="shared" si="21"/>
        <v>3095809.7658966412</v>
      </c>
    </row>
    <row r="539" spans="3:8" x14ac:dyDescent="0.3">
      <c r="C539">
        <f>Process!$I544*ref_umbral-Process!$G544</f>
        <v>3095809.3030888471</v>
      </c>
      <c r="D539">
        <f>Process!$L544*ref_umbral-Process!$J544</f>
        <v>3095804.0934610059</v>
      </c>
      <c r="E539">
        <f t="shared" si="20"/>
        <v>3095809.3030888471</v>
      </c>
      <c r="F539">
        <f>Process!$H544*ref_umbral-Process!$G544</f>
        <v>3095809.394516963</v>
      </c>
      <c r="G539">
        <f>Process!$K544*ref_umbral-Process!$J544</f>
        <v>3095806.5442349054</v>
      </c>
      <c r="H539">
        <f t="shared" si="21"/>
        <v>3095809.394516963</v>
      </c>
    </row>
    <row r="540" spans="3:8" x14ac:dyDescent="0.3">
      <c r="C540">
        <f>Process!$I545*ref_umbral-Process!$G545</f>
        <v>3095809.3694948652</v>
      </c>
      <c r="D540">
        <f>Process!$L545*ref_umbral-Process!$J545</f>
        <v>3095806.2886713659</v>
      </c>
      <c r="E540">
        <f t="shared" si="20"/>
        <v>3095809.3694948652</v>
      </c>
      <c r="F540">
        <f>Process!$H545*ref_umbral-Process!$G545</f>
        <v>3095809.4237320949</v>
      </c>
      <c r="G540">
        <f>Process!$K545*ref_umbral-Process!$J545</f>
        <v>3095808.0734635764</v>
      </c>
      <c r="H540">
        <f t="shared" si="21"/>
        <v>3095809.4237320949</v>
      </c>
    </row>
    <row r="541" spans="3:8" x14ac:dyDescent="0.3">
      <c r="C541">
        <f>Process!$I546*ref_umbral-Process!$G546</f>
        <v>3095809.315286383</v>
      </c>
      <c r="D541">
        <f>Process!$L546*ref_umbral-Process!$J546</f>
        <v>3095807.0634924266</v>
      </c>
      <c r="E541">
        <f t="shared" si="20"/>
        <v>3095809.315286383</v>
      </c>
      <c r="F541">
        <f>Process!$H546*ref_umbral-Process!$G546</f>
        <v>3095809.5564884627</v>
      </c>
      <c r="G541">
        <f>Process!$K546*ref_umbral-Process!$J546</f>
        <v>3095809.3765569008</v>
      </c>
      <c r="H541">
        <f t="shared" si="21"/>
        <v>3095809.5564884627</v>
      </c>
    </row>
    <row r="542" spans="3:8" x14ac:dyDescent="0.3">
      <c r="C542">
        <f>Process!$I547*ref_umbral-Process!$G547</f>
        <v>3095809.0361112291</v>
      </c>
      <c r="D542">
        <f>Process!$L547*ref_umbral-Process!$J547</f>
        <v>3095801.8416241412</v>
      </c>
      <c r="E542">
        <f t="shared" si="20"/>
        <v>3095809.0361112291</v>
      </c>
      <c r="F542">
        <f>Process!$H547*ref_umbral-Process!$G547</f>
        <v>3095809.2296634698</v>
      </c>
      <c r="G542">
        <f>Process!$K547*ref_umbral-Process!$J547</f>
        <v>3095805.5483336635</v>
      </c>
      <c r="H542">
        <f t="shared" si="21"/>
        <v>3095809.2296634698</v>
      </c>
    </row>
    <row r="543" spans="3:8" x14ac:dyDescent="0.3">
      <c r="C543">
        <f>Process!$I548*ref_umbral-Process!$G548</f>
        <v>3095809.3786406391</v>
      </c>
      <c r="D543">
        <f>Process!$L548*ref_umbral-Process!$J548</f>
        <v>3095805.8278895197</v>
      </c>
      <c r="E543">
        <f t="shared" si="20"/>
        <v>3095809.3786406391</v>
      </c>
      <c r="F543">
        <f>Process!$H548*ref_umbral-Process!$G548</f>
        <v>3095809.5151985744</v>
      </c>
      <c r="G543">
        <f>Process!$K548*ref_umbral-Process!$J548</f>
        <v>3095807.7736520339</v>
      </c>
      <c r="H543">
        <f t="shared" si="21"/>
        <v>3095809.5151985744</v>
      </c>
    </row>
    <row r="544" spans="3:8" x14ac:dyDescent="0.3">
      <c r="C544">
        <f>Process!$I549*ref_umbral-Process!$G549</f>
        <v>3095809.4048453975</v>
      </c>
      <c r="D544">
        <f>Process!$L549*ref_umbral-Process!$J549</f>
        <v>3095806.1311002434</v>
      </c>
      <c r="E544">
        <f t="shared" si="20"/>
        <v>3095809.4048453975</v>
      </c>
      <c r="F544">
        <f>Process!$H549*ref_umbral-Process!$G549</f>
        <v>3095809.4679721761</v>
      </c>
      <c r="G544">
        <f>Process!$K549*ref_umbral-Process!$J549</f>
        <v>3095809.0100965789</v>
      </c>
      <c r="H544">
        <f t="shared" si="21"/>
        <v>3095809.4679721761</v>
      </c>
    </row>
    <row r="545" spans="3:8" x14ac:dyDescent="0.3">
      <c r="C545">
        <f>Process!$I550*ref_umbral-Process!$G550</f>
        <v>3095808.8004414421</v>
      </c>
      <c r="D545">
        <f>Process!$L550*ref_umbral-Process!$J550</f>
        <v>3095799.6177607193</v>
      </c>
      <c r="E545">
        <f t="shared" si="20"/>
        <v>3095808.8004414421</v>
      </c>
      <c r="F545">
        <f>Process!$H550*ref_umbral-Process!$G550</f>
        <v>3095809.0844551604</v>
      </c>
      <c r="G545">
        <f>Process!$K550*ref_umbral-Process!$J550</f>
        <v>3095803.3546637022</v>
      </c>
      <c r="H545">
        <f t="shared" si="21"/>
        <v>3095809.0844551604</v>
      </c>
    </row>
    <row r="546" spans="3:8" x14ac:dyDescent="0.3">
      <c r="C546">
        <f>Process!$I551*ref_umbral-Process!$G551</f>
        <v>3095809.111272438</v>
      </c>
      <c r="D546">
        <f>Process!$L551*ref_umbral-Process!$J551</f>
        <v>3095804.0059573776</v>
      </c>
      <c r="E546">
        <f t="shared" si="20"/>
        <v>3095809.111272438</v>
      </c>
      <c r="F546">
        <f>Process!$H551*ref_umbral-Process!$G551</f>
        <v>3095809.424609303</v>
      </c>
      <c r="G546">
        <f>Process!$K551*ref_umbral-Process!$J551</f>
        <v>3095807.6634843275</v>
      </c>
      <c r="H546">
        <f t="shared" si="21"/>
        <v>3095809.424609303</v>
      </c>
    </row>
    <row r="547" spans="3:8" x14ac:dyDescent="0.3">
      <c r="C547">
        <f>Process!$I552*ref_umbral-Process!$G552</f>
        <v>3095809.4260340082</v>
      </c>
      <c r="D547">
        <f>Process!$L552*ref_umbral-Process!$J552</f>
        <v>3095804.5371476519</v>
      </c>
      <c r="E547">
        <f t="shared" si="20"/>
        <v>3095809.4260340082</v>
      </c>
      <c r="F547">
        <f>Process!$H552*ref_umbral-Process!$G552</f>
        <v>3095809.4885286479</v>
      </c>
      <c r="G547">
        <f>Process!$K552*ref_umbral-Process!$J552</f>
        <v>3095807.9665510212</v>
      </c>
      <c r="H547">
        <f t="shared" si="21"/>
        <v>3095809.4885286479</v>
      </c>
    </row>
    <row r="548" spans="3:8" x14ac:dyDescent="0.3">
      <c r="C548">
        <f>Process!$I553*ref_umbral-Process!$G553</f>
        <v>3095809.5583334961</v>
      </c>
      <c r="D548">
        <f>Process!$L553*ref_umbral-Process!$J553</f>
        <v>3095807.8443606207</v>
      </c>
      <c r="E548">
        <f t="shared" si="20"/>
        <v>3095809.5583334961</v>
      </c>
      <c r="F548">
        <f>Process!$H553*ref_umbral-Process!$G553</f>
        <v>3095809.632341654</v>
      </c>
      <c r="G548">
        <f>Process!$K553*ref_umbral-Process!$J553</f>
        <v>3095808.9666786725</v>
      </c>
      <c r="H548">
        <f t="shared" si="21"/>
        <v>3095809.632341654</v>
      </c>
    </row>
    <row r="549" spans="3:8" x14ac:dyDescent="0.3">
      <c r="C549">
        <f>Process!$I554*ref_umbral-Process!$G554</f>
        <v>3095809.7405840959</v>
      </c>
      <c r="D549">
        <f>Process!$L554*ref_umbral-Process!$J554</f>
        <v>3095808.2567289225</v>
      </c>
      <c r="E549">
        <f t="shared" si="20"/>
        <v>3095809.7405840959</v>
      </c>
      <c r="F549">
        <f>Process!$H554*ref_umbral-Process!$G554</f>
        <v>3095809.8090493181</v>
      </c>
      <c r="G549">
        <f>Process!$K554*ref_umbral-Process!$J554</f>
        <v>3095809.3988559954</v>
      </c>
      <c r="H549">
        <f t="shared" si="21"/>
        <v>3095809.8090493181</v>
      </c>
    </row>
    <row r="550" spans="3:8" x14ac:dyDescent="0.3">
      <c r="C550">
        <f>Process!$I555*ref_umbral-Process!$G555</f>
        <v>3095809.0915583158</v>
      </c>
      <c r="D550">
        <f>Process!$L555*ref_umbral-Process!$J555</f>
        <v>3095805.0083178501</v>
      </c>
      <c r="E550">
        <f t="shared" si="20"/>
        <v>3095809.0915583158</v>
      </c>
      <c r="F550">
        <f>Process!$H555*ref_umbral-Process!$G555</f>
        <v>3095809.2458554478</v>
      </c>
      <c r="G550">
        <f>Process!$K555*ref_umbral-Process!$J555</f>
        <v>3095807.5106610274</v>
      </c>
      <c r="H550">
        <f t="shared" si="21"/>
        <v>3095809.2458554478</v>
      </c>
    </row>
    <row r="551" spans="3:8" x14ac:dyDescent="0.3">
      <c r="C551">
        <f>Process!$I556*ref_umbral-Process!$G556</f>
        <v>3095809.2970290049</v>
      </c>
      <c r="D551">
        <f>Process!$L556*ref_umbral-Process!$J556</f>
        <v>3095805.5012729294</v>
      </c>
      <c r="E551">
        <f t="shared" si="20"/>
        <v>3095809.2970290049</v>
      </c>
      <c r="F551">
        <f>Process!$H556*ref_umbral-Process!$G556</f>
        <v>3095809.5280162264</v>
      </c>
      <c r="G551">
        <f>Process!$K556*ref_umbral-Process!$J556</f>
        <v>3095808.5534427552</v>
      </c>
      <c r="H551">
        <f t="shared" si="21"/>
        <v>3095809.5280162264</v>
      </c>
    </row>
    <row r="552" spans="3:8" x14ac:dyDescent="0.3">
      <c r="C552">
        <f>Process!$I557*ref_umbral-Process!$G557</f>
        <v>3095809.1669886862</v>
      </c>
      <c r="D552">
        <f>Process!$L557*ref_umbral-Process!$J557</f>
        <v>3095801.3528396422</v>
      </c>
      <c r="E552">
        <f t="shared" si="20"/>
        <v>3095809.1669886862</v>
      </c>
      <c r="F552">
        <f>Process!$H557*ref_umbral-Process!$G557</f>
        <v>3095809.4020128208</v>
      </c>
      <c r="G552">
        <f>Process!$K557*ref_umbral-Process!$J557</f>
        <v>3095804.1257080557</v>
      </c>
      <c r="H552">
        <f t="shared" si="21"/>
        <v>3095809.4020128208</v>
      </c>
    </row>
    <row r="553" spans="3:8" x14ac:dyDescent="0.3">
      <c r="C553">
        <f>Process!$I558*ref_umbral-Process!$G558</f>
        <v>3095809.2812542384</v>
      </c>
      <c r="D553">
        <f>Process!$L558*ref_umbral-Process!$J558</f>
        <v>3095803.9889669819</v>
      </c>
      <c r="E553">
        <f t="shared" si="20"/>
        <v>3095809.2812542384</v>
      </c>
      <c r="F553">
        <f>Process!$H558*ref_umbral-Process!$G558</f>
        <v>3095809.4164608112</v>
      </c>
      <c r="G553">
        <f>Process!$K558*ref_umbral-Process!$J558</f>
        <v>3095806.6207687813</v>
      </c>
      <c r="H553">
        <f t="shared" si="21"/>
        <v>3095809.4164608112</v>
      </c>
    </row>
    <row r="554" spans="3:8" x14ac:dyDescent="0.3">
      <c r="C554">
        <f>Process!$I559*ref_umbral-Process!$G559</f>
        <v>3095808.4000120298</v>
      </c>
      <c r="D554">
        <f>Process!$L559*ref_umbral-Process!$J559</f>
        <v>3095791.3694879585</v>
      </c>
      <c r="E554">
        <f t="shared" si="20"/>
        <v>3095808.4000120298</v>
      </c>
      <c r="F554">
        <f>Process!$H559*ref_umbral-Process!$G559</f>
        <v>3095808.7058230187</v>
      </c>
      <c r="G554">
        <f>Process!$K559*ref_umbral-Process!$J559</f>
        <v>3095794.2196676973</v>
      </c>
      <c r="H554">
        <f t="shared" si="21"/>
        <v>3095808.7058230187</v>
      </c>
    </row>
    <row r="555" spans="3:8" x14ac:dyDescent="0.3">
      <c r="C555">
        <f>Process!$I560*ref_umbral-Process!$G560</f>
        <v>3095809.5177084636</v>
      </c>
      <c r="D555">
        <f>Process!$L560*ref_umbral-Process!$J560</f>
        <v>3095803.6299264757</v>
      </c>
      <c r="E555">
        <f t="shared" si="20"/>
        <v>3095809.5177084636</v>
      </c>
      <c r="F555">
        <f>Process!$H560*ref_umbral-Process!$G560</f>
        <v>3095809.6455550455</v>
      </c>
      <c r="G555">
        <f>Process!$K560*ref_umbral-Process!$J560</f>
        <v>3095807.7886699582</v>
      </c>
      <c r="H555">
        <f t="shared" si="21"/>
        <v>3095809.6455550455</v>
      </c>
    </row>
    <row r="556" spans="3:8" x14ac:dyDescent="0.3">
      <c r="C556">
        <f>Process!$I561*ref_umbral-Process!$G561</f>
        <v>3095809.5899056429</v>
      </c>
      <c r="D556">
        <f>Process!$L561*ref_umbral-Process!$J561</f>
        <v>3095807.616997933</v>
      </c>
      <c r="E556">
        <f t="shared" si="20"/>
        <v>3095809.5899056429</v>
      </c>
      <c r="F556">
        <f>Process!$H561*ref_umbral-Process!$G561</f>
        <v>3095809.704675701</v>
      </c>
      <c r="G556">
        <f>Process!$K561*ref_umbral-Process!$J561</f>
        <v>3095809.4170406158</v>
      </c>
      <c r="H556">
        <f t="shared" si="21"/>
        <v>3095809.704675701</v>
      </c>
    </row>
    <row r="557" spans="3:8" x14ac:dyDescent="0.3">
      <c r="C557">
        <f>Process!$I562*ref_umbral-Process!$G562</f>
        <v>3095809.3695632922</v>
      </c>
      <c r="D557">
        <f>Process!$L562*ref_umbral-Process!$J562</f>
        <v>3095805.1792445593</v>
      </c>
      <c r="E557">
        <f t="shared" si="20"/>
        <v>3095809.3695632922</v>
      </c>
      <c r="F557">
        <f>Process!$H562*ref_umbral-Process!$G562</f>
        <v>3095809.502317524</v>
      </c>
      <c r="G557">
        <f>Process!$K562*ref_umbral-Process!$J562</f>
        <v>3095807.5099829147</v>
      </c>
      <c r="H557">
        <f t="shared" si="21"/>
        <v>3095809.502317524</v>
      </c>
    </row>
    <row r="558" spans="3:8" x14ac:dyDescent="0.3">
      <c r="C558">
        <f>Process!$I563*ref_umbral-Process!$G563</f>
        <v>3095809.4907750292</v>
      </c>
      <c r="D558">
        <f>Process!$L563*ref_umbral-Process!$J563</f>
        <v>3095803.2296668766</v>
      </c>
      <c r="E558">
        <f t="shared" si="20"/>
        <v>3095809.4907750292</v>
      </c>
      <c r="F558">
        <f>Process!$H563*ref_umbral-Process!$G563</f>
        <v>3095809.5518661132</v>
      </c>
      <c r="G558">
        <f>Process!$K563*ref_umbral-Process!$J563</f>
        <v>3095807.4455750585</v>
      </c>
      <c r="H558">
        <f t="shared" si="21"/>
        <v>3095809.5518661132</v>
      </c>
    </row>
    <row r="559" spans="3:8" x14ac:dyDescent="0.3">
      <c r="C559">
        <f>Process!$I564*ref_umbral-Process!$G564</f>
        <v>3095809.660940459</v>
      </c>
      <c r="D559">
        <f>Process!$L564*ref_umbral-Process!$J564</f>
        <v>3095805.9778315369</v>
      </c>
      <c r="E559">
        <f t="shared" si="20"/>
        <v>3095809.660940459</v>
      </c>
      <c r="F559">
        <f>Process!$H564*ref_umbral-Process!$G564</f>
        <v>3095809.6904447889</v>
      </c>
      <c r="G559">
        <f>Process!$K564*ref_umbral-Process!$J564</f>
        <v>3095807.5999688422</v>
      </c>
      <c r="H559">
        <f t="shared" si="21"/>
        <v>3095809.6904447889</v>
      </c>
    </row>
    <row r="560" spans="3:8" x14ac:dyDescent="0.3">
      <c r="C560">
        <f>Process!$I565*ref_umbral-Process!$G565</f>
        <v>3095809.7126171663</v>
      </c>
      <c r="D560">
        <f>Process!$L565*ref_umbral-Process!$J565</f>
        <v>3095808.3998388541</v>
      </c>
      <c r="E560">
        <f t="shared" si="20"/>
        <v>3095809.7126171663</v>
      </c>
      <c r="F560">
        <f>Process!$H565*ref_umbral-Process!$G565</f>
        <v>3095809.7872603363</v>
      </c>
      <c r="G560">
        <f>Process!$K565*ref_umbral-Process!$J565</f>
        <v>3095809.5761481137</v>
      </c>
      <c r="H560">
        <f t="shared" si="21"/>
        <v>3095809.7872603363</v>
      </c>
    </row>
    <row r="561" spans="3:8" x14ac:dyDescent="0.3">
      <c r="C561">
        <f>Process!$I566*ref_umbral-Process!$G566</f>
        <v>3095807.7666574768</v>
      </c>
      <c r="D561">
        <f>Process!$L566*ref_umbral-Process!$J566</f>
        <v>3095802.9931185227</v>
      </c>
      <c r="E561">
        <f t="shared" si="20"/>
        <v>3095807.7666574768</v>
      </c>
      <c r="F561">
        <f>Process!$H566*ref_umbral-Process!$G566</f>
        <v>3095808.7389468099</v>
      </c>
      <c r="G561">
        <f>Process!$K566*ref_umbral-Process!$J566</f>
        <v>3095806.5189817306</v>
      </c>
      <c r="H561">
        <f t="shared" si="21"/>
        <v>3095808.7389468099</v>
      </c>
    </row>
    <row r="562" spans="3:8" x14ac:dyDescent="0.3">
      <c r="C562">
        <f>Process!$I567*ref_umbral-Process!$G567</f>
        <v>3095809.4240315179</v>
      </c>
      <c r="D562">
        <f>Process!$L567*ref_umbral-Process!$J567</f>
        <v>3095804.4292802392</v>
      </c>
      <c r="E562">
        <f t="shared" si="20"/>
        <v>3095809.4240315179</v>
      </c>
      <c r="F562">
        <f>Process!$H567*ref_umbral-Process!$G567</f>
        <v>3095809.5289008627</v>
      </c>
      <c r="G562">
        <f>Process!$K567*ref_umbral-Process!$J567</f>
        <v>3095805.6848840914</v>
      </c>
      <c r="H562">
        <f t="shared" si="21"/>
        <v>3095809.5289008627</v>
      </c>
    </row>
    <row r="563" spans="3:8" x14ac:dyDescent="0.3">
      <c r="C563">
        <f>Process!$I568*ref_umbral-Process!$G568</f>
        <v>3095809.1054010736</v>
      </c>
      <c r="D563">
        <f>Process!$L568*ref_umbral-Process!$J568</f>
        <v>3095804.390495643</v>
      </c>
      <c r="E563">
        <f t="shared" si="20"/>
        <v>3095809.1054010736</v>
      </c>
      <c r="F563">
        <f>Process!$H568*ref_umbral-Process!$G568</f>
        <v>3095809.2290838277</v>
      </c>
      <c r="G563">
        <f>Process!$K568*ref_umbral-Process!$J568</f>
        <v>3095806.4598799464</v>
      </c>
      <c r="H563">
        <f t="shared" si="21"/>
        <v>3095809.2290838277</v>
      </c>
    </row>
    <row r="564" spans="3:8" x14ac:dyDescent="0.3">
      <c r="C564">
        <f>Process!$I569*ref_umbral-Process!$G569</f>
        <v>3095809.2391674756</v>
      </c>
      <c r="D564">
        <f>Process!$L569*ref_umbral-Process!$J569</f>
        <v>3095801.5390724516</v>
      </c>
      <c r="E564">
        <f t="shared" si="20"/>
        <v>3095809.2391674756</v>
      </c>
      <c r="F564">
        <f>Process!$H569*ref_umbral-Process!$G569</f>
        <v>3095809.2818896305</v>
      </c>
      <c r="G564">
        <f>Process!$K569*ref_umbral-Process!$J569</f>
        <v>3095807.9820039934</v>
      </c>
      <c r="H564">
        <f t="shared" si="21"/>
        <v>3095809.2818896305</v>
      </c>
    </row>
    <row r="565" spans="3:8" x14ac:dyDescent="0.3">
      <c r="C565">
        <f>Process!$I570*ref_umbral-Process!$G570</f>
        <v>3095809.6535246158</v>
      </c>
      <c r="D565">
        <f>Process!$L570*ref_umbral-Process!$J570</f>
        <v>3095807.4257162786</v>
      </c>
      <c r="E565">
        <f t="shared" si="20"/>
        <v>3095809.6535246158</v>
      </c>
      <c r="F565">
        <f>Process!$H570*ref_umbral-Process!$G570</f>
        <v>3095809.7202270986</v>
      </c>
      <c r="G565">
        <f>Process!$K570*ref_umbral-Process!$J570</f>
        <v>3095809.0776554663</v>
      </c>
      <c r="H565">
        <f t="shared" si="21"/>
        <v>3095809.7202270986</v>
      </c>
    </row>
    <row r="566" spans="3:8" x14ac:dyDescent="0.3">
      <c r="C566">
        <f>Process!$I571*ref_umbral-Process!$G571</f>
        <v>3095808.9166373308</v>
      </c>
      <c r="D566">
        <f>Process!$L571*ref_umbral-Process!$J571</f>
        <v>3095799.3941610539</v>
      </c>
      <c r="E566">
        <f t="shared" si="20"/>
        <v>3095808.9166373308</v>
      </c>
      <c r="F566">
        <f>Process!$H571*ref_umbral-Process!$G571</f>
        <v>3095809.2252525319</v>
      </c>
      <c r="G566">
        <f>Process!$K571*ref_umbral-Process!$J571</f>
        <v>3095802.8202364766</v>
      </c>
      <c r="H566">
        <f t="shared" si="21"/>
        <v>3095809.2252525319</v>
      </c>
    </row>
    <row r="567" spans="3:8" x14ac:dyDescent="0.3">
      <c r="C567">
        <f>Process!$I572*ref_umbral-Process!$G572</f>
        <v>3095809.4001122392</v>
      </c>
      <c r="D567">
        <f>Process!$L572*ref_umbral-Process!$J572</f>
        <v>3095801.8462024364</v>
      </c>
      <c r="E567">
        <f t="shared" si="20"/>
        <v>3095809.4001122392</v>
      </c>
      <c r="F567">
        <f>Process!$H572*ref_umbral-Process!$G572</f>
        <v>3095809.5082687805</v>
      </c>
      <c r="G567">
        <f>Process!$K572*ref_umbral-Process!$J572</f>
        <v>3095804.3572210385</v>
      </c>
      <c r="H567">
        <f t="shared" si="21"/>
        <v>3095809.5082687805</v>
      </c>
    </row>
    <row r="568" spans="3:8" x14ac:dyDescent="0.3">
      <c r="C568">
        <f>Process!$I573*ref_umbral-Process!$G573</f>
        <v>3095809.4355999702</v>
      </c>
      <c r="D568">
        <f>Process!$L573*ref_umbral-Process!$J573</f>
        <v>3095801.2797075496</v>
      </c>
      <c r="E568">
        <f t="shared" si="20"/>
        <v>3095809.4355999702</v>
      </c>
      <c r="F568">
        <f>Process!$H573*ref_umbral-Process!$G573</f>
        <v>3095809.4623820973</v>
      </c>
      <c r="G568">
        <f>Process!$K573*ref_umbral-Process!$J573</f>
        <v>3095803.4780149199</v>
      </c>
      <c r="H568">
        <f t="shared" si="21"/>
        <v>3095809.4623820973</v>
      </c>
    </row>
    <row r="569" spans="3:8" x14ac:dyDescent="0.3">
      <c r="C569">
        <f>Process!$I574*ref_umbral-Process!$G574</f>
        <v>3095809.0787198469</v>
      </c>
      <c r="D569">
        <f>Process!$L574*ref_umbral-Process!$J574</f>
        <v>3095802.5942340316</v>
      </c>
      <c r="E569">
        <f t="shared" si="20"/>
        <v>3095809.0787198469</v>
      </c>
      <c r="F569">
        <f>Process!$H574*ref_umbral-Process!$G574</f>
        <v>3095809.1586619695</v>
      </c>
      <c r="G569">
        <f>Process!$K574*ref_umbral-Process!$J574</f>
        <v>3095805.0877263686</v>
      </c>
      <c r="H569">
        <f t="shared" si="21"/>
        <v>3095809.1586619695</v>
      </c>
    </row>
    <row r="570" spans="3:8" x14ac:dyDescent="0.3">
      <c r="C570">
        <f>Process!$I575*ref_umbral-Process!$G575</f>
        <v>3095809.0025224597</v>
      </c>
      <c r="D570">
        <f>Process!$L575*ref_umbral-Process!$J575</f>
        <v>3095801.2191566424</v>
      </c>
      <c r="E570">
        <f t="shared" si="20"/>
        <v>3095809.0025224597</v>
      </c>
      <c r="F570">
        <f>Process!$H575*ref_umbral-Process!$G575</f>
        <v>3095809.0410650256</v>
      </c>
      <c r="G570">
        <f>Process!$K575*ref_umbral-Process!$J575</f>
        <v>3095806.0719075277</v>
      </c>
      <c r="H570">
        <f t="shared" si="21"/>
        <v>3095809.0410650256</v>
      </c>
    </row>
    <row r="571" spans="3:8" x14ac:dyDescent="0.3">
      <c r="C571">
        <f>Process!$I576*ref_umbral-Process!$G576</f>
        <v>3095808.8959041405</v>
      </c>
      <c r="D571">
        <f>Process!$L576*ref_umbral-Process!$J576</f>
        <v>3095803.8004487897</v>
      </c>
      <c r="E571">
        <f t="shared" si="20"/>
        <v>3095808.8959041405</v>
      </c>
      <c r="F571">
        <f>Process!$H576*ref_umbral-Process!$G576</f>
        <v>3095809.0746452026</v>
      </c>
      <c r="G571">
        <f>Process!$K576*ref_umbral-Process!$J576</f>
        <v>3095807.3104554703</v>
      </c>
      <c r="H571">
        <f t="shared" si="21"/>
        <v>3095809.0746452026</v>
      </c>
    </row>
    <row r="572" spans="3:8" x14ac:dyDescent="0.3">
      <c r="C572">
        <f>Process!$I577*ref_umbral-Process!$G577</f>
        <v>3095809.7268456714</v>
      </c>
      <c r="D572">
        <f>Process!$L577*ref_umbral-Process!$J577</f>
        <v>3095804.2752934815</v>
      </c>
      <c r="E572">
        <f t="shared" si="20"/>
        <v>3095809.7268456714</v>
      </c>
      <c r="F572">
        <f>Process!$H577*ref_umbral-Process!$G577</f>
        <v>3095809.7525606654</v>
      </c>
      <c r="G572">
        <f>Process!$K577*ref_umbral-Process!$J577</f>
        <v>3095805.8810794358</v>
      </c>
      <c r="H572">
        <f t="shared" si="21"/>
        <v>3095809.7525606654</v>
      </c>
    </row>
    <row r="573" spans="3:8" x14ac:dyDescent="0.3">
      <c r="C573">
        <f>Process!$I578*ref_umbral-Process!$G578</f>
        <v>3095808.7207204769</v>
      </c>
      <c r="D573">
        <f>Process!$L578*ref_umbral-Process!$J578</f>
        <v>3095801.733441541</v>
      </c>
      <c r="E573">
        <f t="shared" si="20"/>
        <v>3095808.7207204769</v>
      </c>
      <c r="F573">
        <f>Process!$H578*ref_umbral-Process!$G578</f>
        <v>3095809.1360464985</v>
      </c>
      <c r="G573">
        <f>Process!$K578*ref_umbral-Process!$J578</f>
        <v>3095805.4329367033</v>
      </c>
      <c r="H573">
        <f t="shared" si="21"/>
        <v>3095809.1360464985</v>
      </c>
    </row>
    <row r="574" spans="3:8" x14ac:dyDescent="0.3">
      <c r="C574">
        <f>Process!$I579*ref_umbral-Process!$G579</f>
        <v>3095808.7103517205</v>
      </c>
      <c r="D574">
        <f>Process!$L579*ref_umbral-Process!$J579</f>
        <v>3095795.1460290775</v>
      </c>
      <c r="E574">
        <f t="shared" si="20"/>
        <v>3095808.7103517205</v>
      </c>
      <c r="F574">
        <f>Process!$H579*ref_umbral-Process!$G579</f>
        <v>3095808.9693229967</v>
      </c>
      <c r="G574">
        <f>Process!$K579*ref_umbral-Process!$J579</f>
        <v>3095797.1679402171</v>
      </c>
      <c r="H574">
        <f t="shared" si="21"/>
        <v>3095808.9693229967</v>
      </c>
    </row>
    <row r="575" spans="3:8" x14ac:dyDescent="0.3">
      <c r="C575">
        <f>Process!$I580*ref_umbral-Process!$G580</f>
        <v>3095809.0963528375</v>
      </c>
      <c r="D575">
        <f>Process!$L580*ref_umbral-Process!$J580</f>
        <v>3095805.4028552221</v>
      </c>
      <c r="E575">
        <f t="shared" si="20"/>
        <v>3095809.0963528375</v>
      </c>
      <c r="F575">
        <f>Process!$H580*ref_umbral-Process!$G580</f>
        <v>3095809.3268405157</v>
      </c>
      <c r="G575">
        <f>Process!$K580*ref_umbral-Process!$J580</f>
        <v>3095808.6331115775</v>
      </c>
      <c r="H575">
        <f t="shared" si="21"/>
        <v>3095809.3268405157</v>
      </c>
    </row>
    <row r="576" spans="3:8" x14ac:dyDescent="0.3">
      <c r="C576">
        <f>Process!$I581*ref_umbral-Process!$G581</f>
        <v>3095808.124648781</v>
      </c>
      <c r="D576">
        <f>Process!$L581*ref_umbral-Process!$J581</f>
        <v>3095790.2561110682</v>
      </c>
      <c r="E576">
        <f t="shared" si="20"/>
        <v>3095808.124648781</v>
      </c>
      <c r="F576">
        <f>Process!$H581*ref_umbral-Process!$G581</f>
        <v>3095808.355659619</v>
      </c>
      <c r="G576">
        <f>Process!$K581*ref_umbral-Process!$J581</f>
        <v>3095791.3896905547</v>
      </c>
      <c r="H576">
        <f t="shared" si="21"/>
        <v>3095808.355659619</v>
      </c>
    </row>
    <row r="577" spans="3:8" x14ac:dyDescent="0.3">
      <c r="C577">
        <f>Process!$I582*ref_umbral-Process!$G582</f>
        <v>3095809.4865262005</v>
      </c>
      <c r="D577">
        <f>Process!$L582*ref_umbral-Process!$J582</f>
        <v>3095803.2116752286</v>
      </c>
      <c r="E577">
        <f t="shared" si="20"/>
        <v>3095809.4865262005</v>
      </c>
      <c r="F577">
        <f>Process!$H582*ref_umbral-Process!$G582</f>
        <v>3095809.626874161</v>
      </c>
      <c r="G577">
        <f>Process!$K582*ref_umbral-Process!$J582</f>
        <v>3095804.6933779768</v>
      </c>
      <c r="H577">
        <f t="shared" si="21"/>
        <v>3095809.626874161</v>
      </c>
    </row>
    <row r="578" spans="3:8" x14ac:dyDescent="0.3">
      <c r="C578">
        <f>Process!$I583*ref_umbral-Process!$G583</f>
        <v>3095809.0756199425</v>
      </c>
      <c r="D578">
        <f>Process!$L583*ref_umbral-Process!$J583</f>
        <v>3095805.3825375307</v>
      </c>
      <c r="E578">
        <f t="shared" si="20"/>
        <v>3095809.0756199425</v>
      </c>
      <c r="F578">
        <f>Process!$H583*ref_umbral-Process!$G583</f>
        <v>3095809.331302138</v>
      </c>
      <c r="G578">
        <f>Process!$K583*ref_umbral-Process!$J583</f>
        <v>3095808.1719694734</v>
      </c>
      <c r="H578">
        <f t="shared" si="21"/>
        <v>3095809.331302138</v>
      </c>
    </row>
    <row r="579" spans="3:8" x14ac:dyDescent="0.3">
      <c r="C579">
        <f>Process!$I584*ref_umbral-Process!$G584</f>
        <v>3095809.3638010416</v>
      </c>
      <c r="D579">
        <f>Process!$L584*ref_umbral-Process!$J584</f>
        <v>3095804.375014741</v>
      </c>
      <c r="E579">
        <f t="shared" si="20"/>
        <v>3095809.3638010416</v>
      </c>
      <c r="F579">
        <f>Process!$H584*ref_umbral-Process!$G584</f>
        <v>3095809.5112176859</v>
      </c>
      <c r="G579">
        <f>Process!$K584*ref_umbral-Process!$J584</f>
        <v>3095806.0088308444</v>
      </c>
      <c r="H579">
        <f t="shared" si="21"/>
        <v>3095809.5112176859</v>
      </c>
    </row>
    <row r="580" spans="3:8" x14ac:dyDescent="0.3">
      <c r="C580">
        <f>Process!$I585*ref_umbral-Process!$G585</f>
        <v>3095809.053705994</v>
      </c>
      <c r="D580">
        <f>Process!$L585*ref_umbral-Process!$J585</f>
        <v>3095794.6952413833</v>
      </c>
      <c r="E580">
        <f t="shared" si="20"/>
        <v>3095809.053705994</v>
      </c>
      <c r="F580">
        <f>Process!$H585*ref_umbral-Process!$G585</f>
        <v>3095809.2785132085</v>
      </c>
      <c r="G580">
        <f>Process!$K585*ref_umbral-Process!$J585</f>
        <v>3095797.1301727993</v>
      </c>
      <c r="H580">
        <f t="shared" si="21"/>
        <v>3095809.2785132085</v>
      </c>
    </row>
    <row r="581" spans="3:8" x14ac:dyDescent="0.3">
      <c r="C581">
        <f>Process!$I586*ref_umbral-Process!$G586</f>
        <v>3095809.5668927087</v>
      </c>
      <c r="D581">
        <f>Process!$L586*ref_umbral-Process!$J586</f>
        <v>3095806.7182998401</v>
      </c>
      <c r="E581">
        <f t="shared" si="20"/>
        <v>3095809.5668927087</v>
      </c>
      <c r="F581">
        <f>Process!$H586*ref_umbral-Process!$G586</f>
        <v>3095809.6912534041</v>
      </c>
      <c r="G581">
        <f>Process!$K586*ref_umbral-Process!$J586</f>
        <v>3095808.6226926441</v>
      </c>
      <c r="H581">
        <f t="shared" si="21"/>
        <v>3095809.6912534041</v>
      </c>
    </row>
    <row r="582" spans="3:8" x14ac:dyDescent="0.3">
      <c r="C582">
        <f>Process!$I587*ref_umbral-Process!$G587</f>
        <v>3095808.9004579186</v>
      </c>
      <c r="D582">
        <f>Process!$L587*ref_umbral-Process!$J587</f>
        <v>3095801.2920025019</v>
      </c>
      <c r="E582">
        <f t="shared" si="20"/>
        <v>3095808.9004579186</v>
      </c>
      <c r="F582">
        <f>Process!$H587*ref_umbral-Process!$G587</f>
        <v>3095809.1413758993</v>
      </c>
      <c r="G582">
        <f>Process!$K587*ref_umbral-Process!$J587</f>
        <v>3095804.0527048372</v>
      </c>
      <c r="H582">
        <f t="shared" si="21"/>
        <v>3095809.1413758993</v>
      </c>
    </row>
    <row r="583" spans="3:8" x14ac:dyDescent="0.3">
      <c r="C583">
        <f>Process!$I588*ref_umbral-Process!$G588</f>
        <v>3095809.0300363535</v>
      </c>
      <c r="D583">
        <f>Process!$L588*ref_umbral-Process!$J588</f>
        <v>3095805.1501251226</v>
      </c>
      <c r="E583">
        <f t="shared" ref="E583:E646" si="22">MAX(C583,D583)</f>
        <v>3095809.0300363535</v>
      </c>
      <c r="F583">
        <f>Process!$H588*ref_umbral-Process!$G588</f>
        <v>3095809.2444792963</v>
      </c>
      <c r="G583">
        <f>Process!$K588*ref_umbral-Process!$J588</f>
        <v>3095807.3374545765</v>
      </c>
      <c r="H583">
        <f t="shared" ref="H583:H646" si="23">MAX(F583,G583)</f>
        <v>3095809.2444792963</v>
      </c>
    </row>
    <row r="584" spans="3:8" x14ac:dyDescent="0.3">
      <c r="C584">
        <f>Process!$I589*ref_umbral-Process!$G589</f>
        <v>3095809.5157735134</v>
      </c>
      <c r="D584">
        <f>Process!$L589*ref_umbral-Process!$J589</f>
        <v>3095800.2630647072</v>
      </c>
      <c r="E584">
        <f t="shared" si="22"/>
        <v>3095809.5157735134</v>
      </c>
      <c r="F584">
        <f>Process!$H589*ref_umbral-Process!$G589</f>
        <v>3095809.5472873547</v>
      </c>
      <c r="G584">
        <f>Process!$K589*ref_umbral-Process!$J589</f>
        <v>3095802.7322951714</v>
      </c>
      <c r="H584">
        <f t="shared" si="23"/>
        <v>3095809.5472873547</v>
      </c>
    </row>
    <row r="585" spans="3:8" x14ac:dyDescent="0.3">
      <c r="C585">
        <f>Process!$I590*ref_umbral-Process!$G590</f>
        <v>3095809.4306902997</v>
      </c>
      <c r="D585">
        <f>Process!$L590*ref_umbral-Process!$J590</f>
        <v>3095802.4203100125</v>
      </c>
      <c r="E585">
        <f t="shared" si="22"/>
        <v>3095809.4306902997</v>
      </c>
      <c r="F585">
        <f>Process!$H590*ref_umbral-Process!$G590</f>
        <v>3095809.4661478843</v>
      </c>
      <c r="G585">
        <f>Process!$K590*ref_umbral-Process!$J590</f>
        <v>3095804.6472676238</v>
      </c>
      <c r="H585">
        <f t="shared" si="23"/>
        <v>3095809.4661478843</v>
      </c>
    </row>
    <row r="586" spans="3:8" x14ac:dyDescent="0.3">
      <c r="C586">
        <f>Process!$I591*ref_umbral-Process!$G591</f>
        <v>3095809.3498040107</v>
      </c>
      <c r="D586">
        <f>Process!$L591*ref_umbral-Process!$J591</f>
        <v>3095803.7929815818</v>
      </c>
      <c r="E586">
        <f t="shared" si="22"/>
        <v>3095809.3498040107</v>
      </c>
      <c r="F586">
        <f>Process!$H591*ref_umbral-Process!$G591</f>
        <v>3095809.5088729863</v>
      </c>
      <c r="G586">
        <f>Process!$K591*ref_umbral-Process!$J591</f>
        <v>3095805.6023343359</v>
      </c>
      <c r="H586">
        <f t="shared" si="23"/>
        <v>3095809.5088729863</v>
      </c>
    </row>
    <row r="587" spans="3:8" x14ac:dyDescent="0.3">
      <c r="C587">
        <f>Process!$I592*ref_umbral-Process!$G592</f>
        <v>3095808.9678194704</v>
      </c>
      <c r="D587">
        <f>Process!$L592*ref_umbral-Process!$J592</f>
        <v>3095802.7456019013</v>
      </c>
      <c r="E587">
        <f t="shared" si="22"/>
        <v>3095808.9678194704</v>
      </c>
      <c r="F587">
        <f>Process!$H592*ref_umbral-Process!$G592</f>
        <v>3095809.2979498468</v>
      </c>
      <c r="G587">
        <f>Process!$K592*ref_umbral-Process!$J592</f>
        <v>3095807.6251050527</v>
      </c>
      <c r="H587">
        <f t="shared" si="23"/>
        <v>3095809.2979498468</v>
      </c>
    </row>
    <row r="588" spans="3:8" x14ac:dyDescent="0.3">
      <c r="C588">
        <f>Process!$I593*ref_umbral-Process!$G593</f>
        <v>3095809.3789603291</v>
      </c>
      <c r="D588">
        <f>Process!$L593*ref_umbral-Process!$J593</f>
        <v>3095806.3924593288</v>
      </c>
      <c r="E588">
        <f t="shared" si="22"/>
        <v>3095809.3789603291</v>
      </c>
      <c r="F588">
        <f>Process!$H593*ref_umbral-Process!$G593</f>
        <v>3095809.5278835041</v>
      </c>
      <c r="G588">
        <f>Process!$K593*ref_umbral-Process!$J593</f>
        <v>3095809.5632503466</v>
      </c>
      <c r="H588">
        <f t="shared" si="23"/>
        <v>3095809.5632503466</v>
      </c>
    </row>
    <row r="589" spans="3:8" x14ac:dyDescent="0.3">
      <c r="C589">
        <f>Process!$I594*ref_umbral-Process!$G594</f>
        <v>3095808.8173492071</v>
      </c>
      <c r="D589">
        <f>Process!$L594*ref_umbral-Process!$J594</f>
        <v>3095803.9459863366</v>
      </c>
      <c r="E589">
        <f t="shared" si="22"/>
        <v>3095808.8173492071</v>
      </c>
      <c r="F589">
        <f>Process!$H594*ref_umbral-Process!$G594</f>
        <v>3095809.014063349</v>
      </c>
      <c r="G589">
        <f>Process!$K594*ref_umbral-Process!$J594</f>
        <v>3095806.4079179643</v>
      </c>
      <c r="H589">
        <f t="shared" si="23"/>
        <v>3095809.014063349</v>
      </c>
    </row>
    <row r="590" spans="3:8" x14ac:dyDescent="0.3">
      <c r="C590">
        <f>Process!$I595*ref_umbral-Process!$G595</f>
        <v>3095809.2573658661</v>
      </c>
      <c r="D590">
        <f>Process!$L595*ref_umbral-Process!$J595</f>
        <v>3095805.0175262922</v>
      </c>
      <c r="E590">
        <f t="shared" si="22"/>
        <v>3095809.2573658661</v>
      </c>
      <c r="F590">
        <f>Process!$H595*ref_umbral-Process!$G595</f>
        <v>3095809.4171151994</v>
      </c>
      <c r="G590">
        <f>Process!$K595*ref_umbral-Process!$J595</f>
        <v>3095807.2481797459</v>
      </c>
      <c r="H590">
        <f t="shared" si="23"/>
        <v>3095809.4171151994</v>
      </c>
    </row>
    <row r="591" spans="3:8" x14ac:dyDescent="0.3">
      <c r="C591">
        <f>Process!$I596*ref_umbral-Process!$G596</f>
        <v>3095809.3587341481</v>
      </c>
      <c r="D591">
        <f>Process!$L596*ref_umbral-Process!$J596</f>
        <v>3095805.5851221434</v>
      </c>
      <c r="E591">
        <f t="shared" si="22"/>
        <v>3095809.3587341481</v>
      </c>
      <c r="F591">
        <f>Process!$H596*ref_umbral-Process!$G596</f>
        <v>3095809.4136614944</v>
      </c>
      <c r="G591">
        <f>Process!$K596*ref_umbral-Process!$J596</f>
        <v>3095807.7575219008</v>
      </c>
      <c r="H591">
        <f t="shared" si="23"/>
        <v>3095809.4136614944</v>
      </c>
    </row>
    <row r="592" spans="3:8" x14ac:dyDescent="0.3">
      <c r="C592">
        <f>Process!$I597*ref_umbral-Process!$G597</f>
        <v>3095808.6511513842</v>
      </c>
      <c r="D592">
        <f>Process!$L597*ref_umbral-Process!$J597</f>
        <v>3095794.8381046625</v>
      </c>
      <c r="E592">
        <f t="shared" si="22"/>
        <v>3095808.6511513842</v>
      </c>
      <c r="F592">
        <f>Process!$H597*ref_umbral-Process!$G597</f>
        <v>3095808.7279977333</v>
      </c>
      <c r="G592">
        <f>Process!$K597*ref_umbral-Process!$J597</f>
        <v>3095796.2282813629</v>
      </c>
      <c r="H592">
        <f t="shared" si="23"/>
        <v>3095808.7279977333</v>
      </c>
    </row>
    <row r="593" spans="3:8" x14ac:dyDescent="0.3">
      <c r="C593">
        <f>Process!$I598*ref_umbral-Process!$G598</f>
        <v>3095809.1957324874</v>
      </c>
      <c r="D593">
        <f>Process!$L598*ref_umbral-Process!$J598</f>
        <v>3095804.9227433666</v>
      </c>
      <c r="E593">
        <f t="shared" si="22"/>
        <v>3095809.1957324874</v>
      </c>
      <c r="F593">
        <f>Process!$H598*ref_umbral-Process!$G598</f>
        <v>3095809.3155836086</v>
      </c>
      <c r="G593">
        <f>Process!$K598*ref_umbral-Process!$J598</f>
        <v>3095807.4711463838</v>
      </c>
      <c r="H593">
        <f t="shared" si="23"/>
        <v>3095809.3155836086</v>
      </c>
    </row>
    <row r="594" spans="3:8" x14ac:dyDescent="0.3">
      <c r="C594">
        <f>Process!$I599*ref_umbral-Process!$G599</f>
        <v>3095808.1256490243</v>
      </c>
      <c r="D594">
        <f>Process!$L599*ref_umbral-Process!$J599</f>
        <v>3095794.2147672516</v>
      </c>
      <c r="E594">
        <f t="shared" si="22"/>
        <v>3095808.1256490243</v>
      </c>
      <c r="F594">
        <f>Process!$H599*ref_umbral-Process!$G599</f>
        <v>3095808.6996179055</v>
      </c>
      <c r="G594">
        <f>Process!$K599*ref_umbral-Process!$J599</f>
        <v>3095797.2798308018</v>
      </c>
      <c r="H594">
        <f t="shared" si="23"/>
        <v>3095808.6996179055</v>
      </c>
    </row>
    <row r="595" spans="3:8" x14ac:dyDescent="0.3">
      <c r="C595">
        <f>Process!$I600*ref_umbral-Process!$G600</f>
        <v>3095809.3024385627</v>
      </c>
      <c r="D595">
        <f>Process!$L600*ref_umbral-Process!$J600</f>
        <v>3095805.0448458907</v>
      </c>
      <c r="E595">
        <f t="shared" si="22"/>
        <v>3095809.3024385627</v>
      </c>
      <c r="F595">
        <f>Process!$H600*ref_umbral-Process!$G600</f>
        <v>3095809.4000335746</v>
      </c>
      <c r="G595">
        <f>Process!$K600*ref_umbral-Process!$J600</f>
        <v>3095806.6733849361</v>
      </c>
      <c r="H595">
        <f t="shared" si="23"/>
        <v>3095809.4000335746</v>
      </c>
    </row>
    <row r="596" spans="3:8" x14ac:dyDescent="0.3">
      <c r="C596">
        <f>Process!$I601*ref_umbral-Process!$G601</f>
        <v>3095809.7181916307</v>
      </c>
      <c r="D596">
        <f>Process!$L601*ref_umbral-Process!$J601</f>
        <v>3095806.860388678</v>
      </c>
      <c r="E596">
        <f t="shared" si="22"/>
        <v>3095809.7181916307</v>
      </c>
      <c r="F596">
        <f>Process!$H601*ref_umbral-Process!$G601</f>
        <v>3095809.8034438645</v>
      </c>
      <c r="G596">
        <f>Process!$K601*ref_umbral-Process!$J601</f>
        <v>3095808.1673625624</v>
      </c>
      <c r="H596">
        <f t="shared" si="23"/>
        <v>3095809.8034438645</v>
      </c>
    </row>
    <row r="597" spans="3:8" x14ac:dyDescent="0.3">
      <c r="C597">
        <f>Process!$I602*ref_umbral-Process!$G602</f>
        <v>3095809.4778169696</v>
      </c>
      <c r="D597">
        <f>Process!$L602*ref_umbral-Process!$J602</f>
        <v>3095797.4623757764</v>
      </c>
      <c r="E597">
        <f t="shared" si="22"/>
        <v>3095809.4778169696</v>
      </c>
      <c r="F597">
        <f>Process!$H602*ref_umbral-Process!$G602</f>
        <v>3095809.5107714748</v>
      </c>
      <c r="G597">
        <f>Process!$K602*ref_umbral-Process!$J602</f>
        <v>3095798.4824340139</v>
      </c>
      <c r="H597">
        <f t="shared" si="23"/>
        <v>3095809.5107714748</v>
      </c>
    </row>
    <row r="598" spans="3:8" x14ac:dyDescent="0.3">
      <c r="C598">
        <f>Process!$I603*ref_umbral-Process!$G603</f>
        <v>3095808.8524200809</v>
      </c>
      <c r="D598">
        <f>Process!$L603*ref_umbral-Process!$J603</f>
        <v>3095800.2051175651</v>
      </c>
      <c r="E598">
        <f t="shared" si="22"/>
        <v>3095808.8524200809</v>
      </c>
      <c r="F598">
        <f>Process!$H603*ref_umbral-Process!$G603</f>
        <v>3095809.0300104395</v>
      </c>
      <c r="G598">
        <f>Process!$K603*ref_umbral-Process!$J603</f>
        <v>3095802.2577175195</v>
      </c>
      <c r="H598">
        <f t="shared" si="23"/>
        <v>3095809.0300104395</v>
      </c>
    </row>
    <row r="599" spans="3:8" x14ac:dyDescent="0.3">
      <c r="C599">
        <f>Process!$I604*ref_umbral-Process!$G604</f>
        <v>3095809.2968090191</v>
      </c>
      <c r="D599">
        <f>Process!$L604*ref_umbral-Process!$J604</f>
        <v>3095805.2555029341</v>
      </c>
      <c r="E599">
        <f t="shared" si="22"/>
        <v>3095809.2968090191</v>
      </c>
      <c r="F599">
        <f>Process!$H604*ref_umbral-Process!$G604</f>
        <v>3095809.5551276202</v>
      </c>
      <c r="G599">
        <f>Process!$K604*ref_umbral-Process!$J604</f>
        <v>3095808.0041005868</v>
      </c>
      <c r="H599">
        <f t="shared" si="23"/>
        <v>3095809.5551276202</v>
      </c>
    </row>
    <row r="600" spans="3:8" x14ac:dyDescent="0.3">
      <c r="C600">
        <f>Process!$I605*ref_umbral-Process!$G605</f>
        <v>3095809.1535404306</v>
      </c>
      <c r="D600">
        <f>Process!$L605*ref_umbral-Process!$J605</f>
        <v>3095794.3235651511</v>
      </c>
      <c r="E600">
        <f t="shared" si="22"/>
        <v>3095809.1535404306</v>
      </c>
      <c r="F600">
        <f>Process!$H605*ref_umbral-Process!$G605</f>
        <v>3095809.1930004754</v>
      </c>
      <c r="G600">
        <f>Process!$K605*ref_umbral-Process!$J605</f>
        <v>3095796.2298283679</v>
      </c>
      <c r="H600">
        <f t="shared" si="23"/>
        <v>3095809.1930004754</v>
      </c>
    </row>
    <row r="601" spans="3:8" x14ac:dyDescent="0.3">
      <c r="C601">
        <f>Process!$I606*ref_umbral-Process!$G606</f>
        <v>3095808.990823186</v>
      </c>
      <c r="D601">
        <f>Process!$L606*ref_umbral-Process!$J606</f>
        <v>3095800.8629766204</v>
      </c>
      <c r="E601">
        <f t="shared" si="22"/>
        <v>3095808.990823186</v>
      </c>
      <c r="F601">
        <f>Process!$H606*ref_umbral-Process!$G606</f>
        <v>3095809.3612614563</v>
      </c>
      <c r="G601">
        <f>Process!$K606*ref_umbral-Process!$J606</f>
        <v>3095805.4368760032</v>
      </c>
      <c r="H601">
        <f t="shared" si="23"/>
        <v>3095809.3612614563</v>
      </c>
    </row>
    <row r="602" spans="3:8" x14ac:dyDescent="0.3">
      <c r="C602">
        <f>Process!$I607*ref_umbral-Process!$G607</f>
        <v>3095809.358646397</v>
      </c>
      <c r="D602">
        <f>Process!$L607*ref_umbral-Process!$J607</f>
        <v>3095805.2327482845</v>
      </c>
      <c r="E602">
        <f t="shared" si="22"/>
        <v>3095809.358646397</v>
      </c>
      <c r="F602">
        <f>Process!$H607*ref_umbral-Process!$G607</f>
        <v>3095809.3813712923</v>
      </c>
      <c r="G602">
        <f>Process!$K607*ref_umbral-Process!$J607</f>
        <v>3095807.2504420411</v>
      </c>
      <c r="H602">
        <f t="shared" si="23"/>
        <v>3095809.3813712923</v>
      </c>
    </row>
    <row r="603" spans="3:8" x14ac:dyDescent="0.3">
      <c r="C603">
        <f>Process!$I608*ref_umbral-Process!$G608</f>
        <v>3095809.2909853365</v>
      </c>
      <c r="D603">
        <f>Process!$L608*ref_umbral-Process!$J608</f>
        <v>3095806.8212116035</v>
      </c>
      <c r="E603">
        <f t="shared" si="22"/>
        <v>3095809.2909853365</v>
      </c>
      <c r="F603">
        <f>Process!$H608*ref_umbral-Process!$G608</f>
        <v>3095809.3792547211</v>
      </c>
      <c r="G603">
        <f>Process!$K608*ref_umbral-Process!$J608</f>
        <v>3095808.7058364269</v>
      </c>
      <c r="H603">
        <f t="shared" si="23"/>
        <v>3095809.3792547211</v>
      </c>
    </row>
    <row r="604" spans="3:8" x14ac:dyDescent="0.3">
      <c r="C604">
        <f>Process!$I609*ref_umbral-Process!$G609</f>
        <v>3095809.6278174003</v>
      </c>
      <c r="D604">
        <f>Process!$L609*ref_umbral-Process!$J609</f>
        <v>3095806.8813998797</v>
      </c>
      <c r="E604">
        <f t="shared" si="22"/>
        <v>3095809.6278174003</v>
      </c>
      <c r="F604">
        <f>Process!$H609*ref_umbral-Process!$G609</f>
        <v>3095809.6515098903</v>
      </c>
      <c r="G604">
        <f>Process!$K609*ref_umbral-Process!$J609</f>
        <v>3095808.638325348</v>
      </c>
      <c r="H604">
        <f t="shared" si="23"/>
        <v>3095809.6515098903</v>
      </c>
    </row>
    <row r="605" spans="3:8" x14ac:dyDescent="0.3">
      <c r="C605">
        <f>Process!$I610*ref_umbral-Process!$G610</f>
        <v>3095809.4526877473</v>
      </c>
      <c r="D605">
        <f>Process!$L610*ref_umbral-Process!$J610</f>
        <v>3095804.3139385986</v>
      </c>
      <c r="E605">
        <f t="shared" si="22"/>
        <v>3095809.4526877473</v>
      </c>
      <c r="F605">
        <f>Process!$H610*ref_umbral-Process!$G610</f>
        <v>3095809.5708676837</v>
      </c>
      <c r="G605">
        <f>Process!$K610*ref_umbral-Process!$J610</f>
        <v>3095806.5214421288</v>
      </c>
      <c r="H605">
        <f t="shared" si="23"/>
        <v>3095809.5708676837</v>
      </c>
    </row>
    <row r="606" spans="3:8" x14ac:dyDescent="0.3">
      <c r="C606">
        <f>Process!$I611*ref_umbral-Process!$G611</f>
        <v>3095809.2095042481</v>
      </c>
      <c r="D606">
        <f>Process!$L611*ref_umbral-Process!$J611</f>
        <v>3095802.4567029914</v>
      </c>
      <c r="E606">
        <f t="shared" si="22"/>
        <v>3095809.2095042481</v>
      </c>
      <c r="F606">
        <f>Process!$H611*ref_umbral-Process!$G611</f>
        <v>3095809.2920511905</v>
      </c>
      <c r="G606">
        <f>Process!$K611*ref_umbral-Process!$J611</f>
        <v>3095806.3385620196</v>
      </c>
      <c r="H606">
        <f t="shared" si="23"/>
        <v>3095809.2920511905</v>
      </c>
    </row>
    <row r="607" spans="3:8" x14ac:dyDescent="0.3">
      <c r="C607">
        <f>Process!$I612*ref_umbral-Process!$G612</f>
        <v>3095809.225732618</v>
      </c>
      <c r="D607">
        <f>Process!$L612*ref_umbral-Process!$J612</f>
        <v>3095804.6690661339</v>
      </c>
      <c r="E607">
        <f t="shared" si="22"/>
        <v>3095809.225732618</v>
      </c>
      <c r="F607">
        <f>Process!$H612*ref_umbral-Process!$G612</f>
        <v>3095809.420897868</v>
      </c>
      <c r="G607">
        <f>Process!$K612*ref_umbral-Process!$J612</f>
        <v>3095807.1018004143</v>
      </c>
      <c r="H607">
        <f t="shared" si="23"/>
        <v>3095809.420897868</v>
      </c>
    </row>
    <row r="608" spans="3:8" x14ac:dyDescent="0.3">
      <c r="C608">
        <f>Process!$I613*ref_umbral-Process!$G613</f>
        <v>3095809.0913923099</v>
      </c>
      <c r="D608">
        <f>Process!$L613*ref_umbral-Process!$J613</f>
        <v>3095803.6760252528</v>
      </c>
      <c r="E608">
        <f t="shared" si="22"/>
        <v>3095809.0913923099</v>
      </c>
      <c r="F608">
        <f>Process!$H613*ref_umbral-Process!$G613</f>
        <v>3095809.2547862101</v>
      </c>
      <c r="G608">
        <f>Process!$K613*ref_umbral-Process!$J613</f>
        <v>3095805.7549914066</v>
      </c>
      <c r="H608">
        <f t="shared" si="23"/>
        <v>3095809.2547862101</v>
      </c>
    </row>
    <row r="609" spans="3:8" x14ac:dyDescent="0.3">
      <c r="C609">
        <f>Process!$I614*ref_umbral-Process!$G614</f>
        <v>3095809.3796193656</v>
      </c>
      <c r="D609">
        <f>Process!$L614*ref_umbral-Process!$J614</f>
        <v>3095800.7030404648</v>
      </c>
      <c r="E609">
        <f t="shared" si="22"/>
        <v>3095809.3796193656</v>
      </c>
      <c r="F609">
        <f>Process!$H614*ref_umbral-Process!$G614</f>
        <v>3095809.4399465276</v>
      </c>
      <c r="G609">
        <f>Process!$K614*ref_umbral-Process!$J614</f>
        <v>3095802.9952574051</v>
      </c>
      <c r="H609">
        <f t="shared" si="23"/>
        <v>3095809.4399465276</v>
      </c>
    </row>
    <row r="610" spans="3:8" x14ac:dyDescent="0.3">
      <c r="C610">
        <f>Process!$I615*ref_umbral-Process!$G615</f>
        <v>3095809.2988761854</v>
      </c>
      <c r="D610">
        <f>Process!$L615*ref_umbral-Process!$J615</f>
        <v>3095806.4914875398</v>
      </c>
      <c r="E610">
        <f t="shared" si="22"/>
        <v>3095809.2988761854</v>
      </c>
      <c r="F610">
        <f>Process!$H615*ref_umbral-Process!$G615</f>
        <v>3095809.4502310827</v>
      </c>
      <c r="G610">
        <f>Process!$K615*ref_umbral-Process!$J615</f>
        <v>3095808.5878057368</v>
      </c>
      <c r="H610">
        <f t="shared" si="23"/>
        <v>3095809.4502310827</v>
      </c>
    </row>
    <row r="611" spans="3:8" x14ac:dyDescent="0.3">
      <c r="C611">
        <f>Process!$I616*ref_umbral-Process!$G616</f>
        <v>3095805.4336772286</v>
      </c>
      <c r="D611">
        <f>Process!$L616*ref_umbral-Process!$J616</f>
        <v>3095793.9100909582</v>
      </c>
      <c r="E611">
        <f t="shared" si="22"/>
        <v>3095805.4336772286</v>
      </c>
      <c r="F611">
        <f>Process!$H616*ref_umbral-Process!$G616</f>
        <v>3095807.194535722</v>
      </c>
      <c r="G611">
        <f>Process!$K616*ref_umbral-Process!$J616</f>
        <v>3095801.0312049249</v>
      </c>
      <c r="H611">
        <f t="shared" si="23"/>
        <v>3095807.194535722</v>
      </c>
    </row>
    <row r="612" spans="3:8" x14ac:dyDescent="0.3">
      <c r="C612">
        <f>Process!$I617*ref_umbral-Process!$G617</f>
        <v>3095809.0232248222</v>
      </c>
      <c r="D612">
        <f>Process!$L617*ref_umbral-Process!$J617</f>
        <v>3095802.6700063669</v>
      </c>
      <c r="E612">
        <f t="shared" si="22"/>
        <v>3095809.0232248222</v>
      </c>
      <c r="F612">
        <f>Process!$H617*ref_umbral-Process!$G617</f>
        <v>3095809.1362624932</v>
      </c>
      <c r="G612">
        <f>Process!$K617*ref_umbral-Process!$J617</f>
        <v>3095805.8739837781</v>
      </c>
      <c r="H612">
        <f t="shared" si="23"/>
        <v>3095809.1362624932</v>
      </c>
    </row>
    <row r="613" spans="3:8" x14ac:dyDescent="0.3">
      <c r="C613">
        <f>Process!$I618*ref_umbral-Process!$G618</f>
        <v>3095809.2611106527</v>
      </c>
      <c r="D613">
        <f>Process!$L618*ref_umbral-Process!$J618</f>
        <v>3095803.3012199784</v>
      </c>
      <c r="E613">
        <f t="shared" si="22"/>
        <v>3095809.2611106527</v>
      </c>
      <c r="F613">
        <f>Process!$H618*ref_umbral-Process!$G618</f>
        <v>3095809.4172432292</v>
      </c>
      <c r="G613">
        <f>Process!$K618*ref_umbral-Process!$J618</f>
        <v>3095805.3295428338</v>
      </c>
      <c r="H613">
        <f t="shared" si="23"/>
        <v>3095809.4172432292</v>
      </c>
    </row>
    <row r="614" spans="3:8" x14ac:dyDescent="0.3">
      <c r="C614">
        <f>Process!$I619*ref_umbral-Process!$G619</f>
        <v>3095809.1271169577</v>
      </c>
      <c r="D614">
        <f>Process!$L619*ref_umbral-Process!$J619</f>
        <v>3095805.2295520944</v>
      </c>
      <c r="E614">
        <f t="shared" si="22"/>
        <v>3095809.1271169577</v>
      </c>
      <c r="F614">
        <f>Process!$H619*ref_umbral-Process!$G619</f>
        <v>3095809.3886789307</v>
      </c>
      <c r="G614">
        <f>Process!$K619*ref_umbral-Process!$J619</f>
        <v>3095807.7979235114</v>
      </c>
      <c r="H614">
        <f t="shared" si="23"/>
        <v>3095809.3886789307</v>
      </c>
    </row>
    <row r="615" spans="3:8" x14ac:dyDescent="0.3">
      <c r="C615">
        <f>Process!$I620*ref_umbral-Process!$G620</f>
        <v>3095809.5204571383</v>
      </c>
      <c r="D615">
        <f>Process!$L620*ref_umbral-Process!$J620</f>
        <v>3095806.4515003446</v>
      </c>
      <c r="E615">
        <f t="shared" si="22"/>
        <v>3095809.5204571383</v>
      </c>
      <c r="F615">
        <f>Process!$H620*ref_umbral-Process!$G620</f>
        <v>3095809.7069610818</v>
      </c>
      <c r="G615">
        <f>Process!$K620*ref_umbral-Process!$J620</f>
        <v>3095808.4245780441</v>
      </c>
      <c r="H615">
        <f t="shared" si="23"/>
        <v>3095809.7069610818</v>
      </c>
    </row>
    <row r="616" spans="3:8" x14ac:dyDescent="0.3">
      <c r="C616">
        <f>Process!$I621*ref_umbral-Process!$G621</f>
        <v>3095809.1317045041</v>
      </c>
      <c r="D616">
        <f>Process!$L621*ref_umbral-Process!$J621</f>
        <v>3095802.3852585535</v>
      </c>
      <c r="E616">
        <f t="shared" si="22"/>
        <v>3095809.1317045041</v>
      </c>
      <c r="F616">
        <f>Process!$H621*ref_umbral-Process!$G621</f>
        <v>3095809.3504660884</v>
      </c>
      <c r="G616">
        <f>Process!$K621*ref_umbral-Process!$J621</f>
        <v>3095806.0103380778</v>
      </c>
      <c r="H616">
        <f t="shared" si="23"/>
        <v>3095809.3504660884</v>
      </c>
    </row>
    <row r="617" spans="3:8" x14ac:dyDescent="0.3">
      <c r="C617">
        <f>Process!$I622*ref_umbral-Process!$G622</f>
        <v>3095809.5279487162</v>
      </c>
      <c r="D617">
        <f>Process!$L622*ref_umbral-Process!$J622</f>
        <v>3095806.3580266517</v>
      </c>
      <c r="E617">
        <f t="shared" si="22"/>
        <v>3095809.5279487162</v>
      </c>
      <c r="F617">
        <f>Process!$H622*ref_umbral-Process!$G622</f>
        <v>3095809.5553112291</v>
      </c>
      <c r="G617">
        <f>Process!$K622*ref_umbral-Process!$J622</f>
        <v>3095808.1013341574</v>
      </c>
      <c r="H617">
        <f t="shared" si="23"/>
        <v>3095809.5553112291</v>
      </c>
    </row>
    <row r="618" spans="3:8" x14ac:dyDescent="0.3">
      <c r="C618">
        <f>Process!$I623*ref_umbral-Process!$G623</f>
        <v>3095809.3681510063</v>
      </c>
      <c r="D618">
        <f>Process!$L623*ref_umbral-Process!$J623</f>
        <v>3095806.483714065</v>
      </c>
      <c r="E618">
        <f t="shared" si="22"/>
        <v>3095809.3681510063</v>
      </c>
      <c r="F618">
        <f>Process!$H623*ref_umbral-Process!$G623</f>
        <v>3095809.3903324702</v>
      </c>
      <c r="G618">
        <f>Process!$K623*ref_umbral-Process!$J623</f>
        <v>3095808.6501090904</v>
      </c>
      <c r="H618">
        <f t="shared" si="23"/>
        <v>3095809.3903324702</v>
      </c>
    </row>
    <row r="619" spans="3:8" x14ac:dyDescent="0.3">
      <c r="C619">
        <f>Process!$I624*ref_umbral-Process!$G624</f>
        <v>3095809.4672982641</v>
      </c>
      <c r="D619">
        <f>Process!$L624*ref_umbral-Process!$J624</f>
        <v>3095802.8901667721</v>
      </c>
      <c r="E619">
        <f t="shared" si="22"/>
        <v>3095809.4672982641</v>
      </c>
      <c r="F619">
        <f>Process!$H624*ref_umbral-Process!$G624</f>
        <v>3095809.4976268411</v>
      </c>
      <c r="G619">
        <f>Process!$K624*ref_umbral-Process!$J624</f>
        <v>3095805.8409628659</v>
      </c>
      <c r="H619">
        <f t="shared" si="23"/>
        <v>3095809.4976268411</v>
      </c>
    </row>
    <row r="620" spans="3:8" x14ac:dyDescent="0.3">
      <c r="C620">
        <f>Process!$I625*ref_umbral-Process!$G625</f>
        <v>3095809.3738088063</v>
      </c>
      <c r="D620">
        <f>Process!$L625*ref_umbral-Process!$J625</f>
        <v>3095794.4799838285</v>
      </c>
      <c r="E620">
        <f t="shared" si="22"/>
        <v>3095809.3738088063</v>
      </c>
      <c r="F620">
        <f>Process!$H625*ref_umbral-Process!$G625</f>
        <v>3095809.4602195057</v>
      </c>
      <c r="G620">
        <f>Process!$K625*ref_umbral-Process!$J625</f>
        <v>3095795.6352474056</v>
      </c>
      <c r="H620">
        <f t="shared" si="23"/>
        <v>3095809.4602195057</v>
      </c>
    </row>
    <row r="621" spans="3:8" x14ac:dyDescent="0.3">
      <c r="C621">
        <f>Process!$I626*ref_umbral-Process!$G626</f>
        <v>3095808.9322416177</v>
      </c>
      <c r="D621">
        <f>Process!$L626*ref_umbral-Process!$J626</f>
        <v>3095787.5230488647</v>
      </c>
      <c r="E621">
        <f t="shared" si="22"/>
        <v>3095808.9322416177</v>
      </c>
      <c r="F621">
        <f>Process!$H626*ref_umbral-Process!$G626</f>
        <v>3095809.091019813</v>
      </c>
      <c r="G621">
        <f>Process!$K626*ref_umbral-Process!$J626</f>
        <v>3095789.1957426616</v>
      </c>
      <c r="H621">
        <f t="shared" si="23"/>
        <v>3095809.091019813</v>
      </c>
    </row>
    <row r="622" spans="3:8" x14ac:dyDescent="0.3">
      <c r="C622">
        <f>Process!$I627*ref_umbral-Process!$G627</f>
        <v>3095809.4366543172</v>
      </c>
      <c r="D622">
        <f>Process!$L627*ref_umbral-Process!$J627</f>
        <v>3095806.3199671018</v>
      </c>
      <c r="E622">
        <f t="shared" si="22"/>
        <v>3095809.4366543172</v>
      </c>
      <c r="F622">
        <f>Process!$H627*ref_umbral-Process!$G627</f>
        <v>3095809.7029715138</v>
      </c>
      <c r="G622">
        <f>Process!$K627*ref_umbral-Process!$J627</f>
        <v>3095808.1900897725</v>
      </c>
      <c r="H622">
        <f t="shared" si="23"/>
        <v>3095809.7029715138</v>
      </c>
    </row>
    <row r="623" spans="3:8" x14ac:dyDescent="0.3">
      <c r="C623">
        <f>Process!$I628*ref_umbral-Process!$G628</f>
        <v>3095809.4477965743</v>
      </c>
      <c r="D623">
        <f>Process!$L628*ref_umbral-Process!$J628</f>
        <v>3095803.6902425662</v>
      </c>
      <c r="E623">
        <f t="shared" si="22"/>
        <v>3095809.4477965743</v>
      </c>
      <c r="F623">
        <f>Process!$H628*ref_umbral-Process!$G628</f>
        <v>3095809.5051626791</v>
      </c>
      <c r="G623">
        <f>Process!$K628*ref_umbral-Process!$J628</f>
        <v>3095806.1555767474</v>
      </c>
      <c r="H623">
        <f t="shared" si="23"/>
        <v>3095809.5051626791</v>
      </c>
    </row>
    <row r="624" spans="3:8" x14ac:dyDescent="0.3">
      <c r="C624">
        <f>Process!$I629*ref_umbral-Process!$G629</f>
        <v>3095807.9321570145</v>
      </c>
      <c r="D624">
        <f>Process!$L629*ref_umbral-Process!$J629</f>
        <v>3095799.1220833599</v>
      </c>
      <c r="E624">
        <f t="shared" si="22"/>
        <v>3095807.9321570145</v>
      </c>
      <c r="F624">
        <f>Process!$H629*ref_umbral-Process!$G629</f>
        <v>3095808.2648808779</v>
      </c>
      <c r="G624">
        <f>Process!$K629*ref_umbral-Process!$J629</f>
        <v>3095800.6313239159</v>
      </c>
      <c r="H624">
        <f t="shared" si="23"/>
        <v>3095808.2648808779</v>
      </c>
    </row>
    <row r="625" spans="3:8" x14ac:dyDescent="0.3">
      <c r="C625">
        <f>Process!$I630*ref_umbral-Process!$G630</f>
        <v>3095809.1170729711</v>
      </c>
      <c r="D625">
        <f>Process!$L630*ref_umbral-Process!$J630</f>
        <v>3095786.2916328982</v>
      </c>
      <c r="E625">
        <f t="shared" si="22"/>
        <v>3095809.1170729711</v>
      </c>
      <c r="F625">
        <f>Process!$H630*ref_umbral-Process!$G630</f>
        <v>3095809.1488889647</v>
      </c>
      <c r="G625">
        <f>Process!$K630*ref_umbral-Process!$J630</f>
        <v>3095787.9717080388</v>
      </c>
      <c r="H625">
        <f t="shared" si="23"/>
        <v>3095809.1488889647</v>
      </c>
    </row>
    <row r="626" spans="3:8" x14ac:dyDescent="0.3">
      <c r="C626">
        <f>Process!$I631*ref_umbral-Process!$G631</f>
        <v>3095808.7814581124</v>
      </c>
      <c r="D626">
        <f>Process!$L631*ref_umbral-Process!$J631</f>
        <v>3095803.2046786891</v>
      </c>
      <c r="E626">
        <f t="shared" si="22"/>
        <v>3095808.7814581124</v>
      </c>
      <c r="F626">
        <f>Process!$H631*ref_umbral-Process!$G631</f>
        <v>3095809.0923554744</v>
      </c>
      <c r="G626">
        <f>Process!$K631*ref_umbral-Process!$J631</f>
        <v>3095806.4838551963</v>
      </c>
      <c r="H626">
        <f t="shared" si="23"/>
        <v>3095809.0923554744</v>
      </c>
    </row>
    <row r="627" spans="3:8" x14ac:dyDescent="0.3">
      <c r="C627">
        <f>Process!$I632*ref_umbral-Process!$G632</f>
        <v>3095809.2948499569</v>
      </c>
      <c r="D627">
        <f>Process!$L632*ref_umbral-Process!$J632</f>
        <v>3095798.2722676201</v>
      </c>
      <c r="E627">
        <f t="shared" si="22"/>
        <v>3095809.2948499569</v>
      </c>
      <c r="F627">
        <f>Process!$H632*ref_umbral-Process!$G632</f>
        <v>3095809.3699481147</v>
      </c>
      <c r="G627">
        <f>Process!$K632*ref_umbral-Process!$J632</f>
        <v>3095799.6921876972</v>
      </c>
      <c r="H627">
        <f t="shared" si="23"/>
        <v>3095809.3699481147</v>
      </c>
    </row>
    <row r="628" spans="3:8" x14ac:dyDescent="0.3">
      <c r="C628">
        <f>Process!$I633*ref_umbral-Process!$G633</f>
        <v>3095809.48395553</v>
      </c>
      <c r="D628">
        <f>Process!$L633*ref_umbral-Process!$J633</f>
        <v>3095806.5223889397</v>
      </c>
      <c r="E628">
        <f t="shared" si="22"/>
        <v>3095809.48395553</v>
      </c>
      <c r="F628">
        <f>Process!$H633*ref_umbral-Process!$G633</f>
        <v>3095809.6966299801</v>
      </c>
      <c r="G628">
        <f>Process!$K633*ref_umbral-Process!$J633</f>
        <v>3095808.6092256196</v>
      </c>
      <c r="H628">
        <f t="shared" si="23"/>
        <v>3095809.6966299801</v>
      </c>
    </row>
    <row r="629" spans="3:8" x14ac:dyDescent="0.3">
      <c r="C629">
        <f>Process!$I634*ref_umbral-Process!$G634</f>
        <v>3095809.4366398742</v>
      </c>
      <c r="D629">
        <f>Process!$L634*ref_umbral-Process!$J634</f>
        <v>3095804.2303305371</v>
      </c>
      <c r="E629">
        <f t="shared" si="22"/>
        <v>3095809.4366398742</v>
      </c>
      <c r="F629">
        <f>Process!$H634*ref_umbral-Process!$G634</f>
        <v>3095809.5143792229</v>
      </c>
      <c r="G629">
        <f>Process!$K634*ref_umbral-Process!$J634</f>
        <v>3095807.1727931411</v>
      </c>
      <c r="H629">
        <f t="shared" si="23"/>
        <v>3095809.5143792229</v>
      </c>
    </row>
    <row r="630" spans="3:8" x14ac:dyDescent="0.3">
      <c r="C630">
        <f>Process!$I635*ref_umbral-Process!$G635</f>
        <v>3095808.8303372934</v>
      </c>
      <c r="D630">
        <f>Process!$L635*ref_umbral-Process!$J635</f>
        <v>3095795.1016653152</v>
      </c>
      <c r="E630">
        <f t="shared" si="22"/>
        <v>3095808.8303372934</v>
      </c>
      <c r="F630">
        <f>Process!$H635*ref_umbral-Process!$G635</f>
        <v>3095808.8780370513</v>
      </c>
      <c r="G630">
        <f>Process!$K635*ref_umbral-Process!$J635</f>
        <v>3095796.6529759895</v>
      </c>
      <c r="H630">
        <f t="shared" si="23"/>
        <v>3095808.8780370513</v>
      </c>
    </row>
    <row r="631" spans="3:8" x14ac:dyDescent="0.3">
      <c r="C631">
        <f>Process!$I636*ref_umbral-Process!$G636</f>
        <v>3095809.3707459481</v>
      </c>
      <c r="D631">
        <f>Process!$L636*ref_umbral-Process!$J636</f>
        <v>3095805.7892507012</v>
      </c>
      <c r="E631">
        <f t="shared" si="22"/>
        <v>3095809.3707459481</v>
      </c>
      <c r="F631">
        <f>Process!$H636*ref_umbral-Process!$G636</f>
        <v>3095809.4799678237</v>
      </c>
      <c r="G631">
        <f>Process!$K636*ref_umbral-Process!$J636</f>
        <v>3095807.3190510897</v>
      </c>
      <c r="H631">
        <f t="shared" si="23"/>
        <v>3095809.4799678237</v>
      </c>
    </row>
    <row r="632" spans="3:8" x14ac:dyDescent="0.3">
      <c r="C632">
        <f>Process!$I637*ref_umbral-Process!$G637</f>
        <v>3095809.2950631869</v>
      </c>
      <c r="D632">
        <f>Process!$L637*ref_umbral-Process!$J637</f>
        <v>3095805.8766512503</v>
      </c>
      <c r="E632">
        <f t="shared" si="22"/>
        <v>3095809.2950631869</v>
      </c>
      <c r="F632">
        <f>Process!$H637*ref_umbral-Process!$G637</f>
        <v>3095809.3407632969</v>
      </c>
      <c r="G632">
        <f>Process!$K637*ref_umbral-Process!$J637</f>
        <v>3095807.3967296686</v>
      </c>
      <c r="H632">
        <f t="shared" si="23"/>
        <v>3095809.3407632969</v>
      </c>
    </row>
    <row r="633" spans="3:8" x14ac:dyDescent="0.3">
      <c r="C633">
        <f>Process!$I638*ref_umbral-Process!$G638</f>
        <v>3095809.0112979738</v>
      </c>
      <c r="D633">
        <f>Process!$L638*ref_umbral-Process!$J638</f>
        <v>3095807.0080369944</v>
      </c>
      <c r="E633">
        <f t="shared" si="22"/>
        <v>3095809.0112979738</v>
      </c>
      <c r="F633">
        <f>Process!$H638*ref_umbral-Process!$G638</f>
        <v>3095809.167208516</v>
      </c>
      <c r="G633">
        <f>Process!$K638*ref_umbral-Process!$J638</f>
        <v>3095808.7579345261</v>
      </c>
      <c r="H633">
        <f t="shared" si="23"/>
        <v>3095809.167208516</v>
      </c>
    </row>
    <row r="634" spans="3:8" x14ac:dyDescent="0.3">
      <c r="C634">
        <f>Process!$I639*ref_umbral-Process!$G639</f>
        <v>3095809.2598571675</v>
      </c>
      <c r="D634">
        <f>Process!$L639*ref_umbral-Process!$J639</f>
        <v>3095804.4619350168</v>
      </c>
      <c r="E634">
        <f t="shared" si="22"/>
        <v>3095809.2598571675</v>
      </c>
      <c r="F634">
        <f>Process!$H639*ref_umbral-Process!$G639</f>
        <v>3095809.3439940894</v>
      </c>
      <c r="G634">
        <f>Process!$K639*ref_umbral-Process!$J639</f>
        <v>3095806.7229208942</v>
      </c>
      <c r="H634">
        <f t="shared" si="23"/>
        <v>3095809.3439940894</v>
      </c>
    </row>
    <row r="635" spans="3:8" x14ac:dyDescent="0.3">
      <c r="C635">
        <f>Process!$I640*ref_umbral-Process!$G640</f>
        <v>3095809.2684644288</v>
      </c>
      <c r="D635">
        <f>Process!$L640*ref_umbral-Process!$J640</f>
        <v>3095805.3920695735</v>
      </c>
      <c r="E635">
        <f t="shared" si="22"/>
        <v>3095809.2684644288</v>
      </c>
      <c r="F635">
        <f>Process!$H640*ref_umbral-Process!$G640</f>
        <v>3095809.41070764</v>
      </c>
      <c r="G635">
        <f>Process!$K640*ref_umbral-Process!$J640</f>
        <v>3095807.9698877921</v>
      </c>
      <c r="H635">
        <f t="shared" si="23"/>
        <v>3095809.41070764</v>
      </c>
    </row>
    <row r="636" spans="3:8" x14ac:dyDescent="0.3">
      <c r="C636">
        <f>Process!$I641*ref_umbral-Process!$G641</f>
        <v>3095808.8358774781</v>
      </c>
      <c r="D636">
        <f>Process!$L641*ref_umbral-Process!$J641</f>
        <v>3095801.541851223</v>
      </c>
      <c r="E636">
        <f t="shared" si="22"/>
        <v>3095808.8358774781</v>
      </c>
      <c r="F636">
        <f>Process!$H641*ref_umbral-Process!$G641</f>
        <v>3095809.1963732871</v>
      </c>
      <c r="G636">
        <f>Process!$K641*ref_umbral-Process!$J641</f>
        <v>3095805.3090014434</v>
      </c>
      <c r="H636">
        <f t="shared" si="23"/>
        <v>3095809.1963732871</v>
      </c>
    </row>
    <row r="637" spans="3:8" x14ac:dyDescent="0.3">
      <c r="C637">
        <f>Process!$I642*ref_umbral-Process!$G642</f>
        <v>3095809.4790242091</v>
      </c>
      <c r="D637">
        <f>Process!$L642*ref_umbral-Process!$J642</f>
        <v>3095798.4784389031</v>
      </c>
      <c r="E637">
        <f t="shared" si="22"/>
        <v>3095809.4790242091</v>
      </c>
      <c r="F637">
        <f>Process!$H642*ref_umbral-Process!$G642</f>
        <v>3095809.5074059647</v>
      </c>
      <c r="G637">
        <f>Process!$K642*ref_umbral-Process!$J642</f>
        <v>3095800.3363102069</v>
      </c>
      <c r="H637">
        <f t="shared" si="23"/>
        <v>3095809.5074059647</v>
      </c>
    </row>
    <row r="638" spans="3:8" x14ac:dyDescent="0.3">
      <c r="C638">
        <f>Process!$I643*ref_umbral-Process!$G643</f>
        <v>3095809.3795746444</v>
      </c>
      <c r="D638">
        <f>Process!$L643*ref_umbral-Process!$J643</f>
        <v>3095803.8264535298</v>
      </c>
      <c r="E638">
        <f t="shared" si="22"/>
        <v>3095809.3795746444</v>
      </c>
      <c r="F638">
        <f>Process!$H643*ref_umbral-Process!$G643</f>
        <v>3095809.4132996788</v>
      </c>
      <c r="G638">
        <f>Process!$K643*ref_umbral-Process!$J643</f>
        <v>3095806.0223792205</v>
      </c>
      <c r="H638">
        <f t="shared" si="23"/>
        <v>3095809.4132996788</v>
      </c>
    </row>
    <row r="639" spans="3:8" x14ac:dyDescent="0.3">
      <c r="C639">
        <f>Process!$I644*ref_umbral-Process!$G644</f>
        <v>3095808.9856218868</v>
      </c>
      <c r="D639">
        <f>Process!$L644*ref_umbral-Process!$J644</f>
        <v>3095786.1594201233</v>
      </c>
      <c r="E639">
        <f t="shared" si="22"/>
        <v>3095808.9856218868</v>
      </c>
      <c r="F639">
        <f>Process!$H644*ref_umbral-Process!$G644</f>
        <v>3095809.2772341971</v>
      </c>
      <c r="G639">
        <f>Process!$K644*ref_umbral-Process!$J644</f>
        <v>3095788.4245287427</v>
      </c>
      <c r="H639">
        <f t="shared" si="23"/>
        <v>3095809.2772341971</v>
      </c>
    </row>
    <row r="640" spans="3:8" x14ac:dyDescent="0.3">
      <c r="C640">
        <f>Process!$I645*ref_umbral-Process!$G645</f>
        <v>3095809.0756410444</v>
      </c>
      <c r="D640">
        <f>Process!$L645*ref_umbral-Process!$J645</f>
        <v>3095805.0219247877</v>
      </c>
      <c r="E640">
        <f t="shared" si="22"/>
        <v>3095809.0756410444</v>
      </c>
      <c r="F640">
        <f>Process!$H645*ref_umbral-Process!$G645</f>
        <v>3095809.297137267</v>
      </c>
      <c r="G640">
        <f>Process!$K645*ref_umbral-Process!$J645</f>
        <v>3095807.2946433071</v>
      </c>
      <c r="H640">
        <f t="shared" si="23"/>
        <v>3095809.297137267</v>
      </c>
    </row>
    <row r="641" spans="3:8" x14ac:dyDescent="0.3">
      <c r="C641">
        <f>Process!$I646*ref_umbral-Process!$G646</f>
        <v>3095809.6710743327</v>
      </c>
      <c r="D641">
        <f>Process!$L646*ref_umbral-Process!$J646</f>
        <v>3095807.9975422658</v>
      </c>
      <c r="E641">
        <f t="shared" si="22"/>
        <v>3095809.6710743327</v>
      </c>
      <c r="F641">
        <f>Process!$H646*ref_umbral-Process!$G646</f>
        <v>3095809.6899996693</v>
      </c>
      <c r="G641">
        <f>Process!$K646*ref_umbral-Process!$J646</f>
        <v>3095809.1509618023</v>
      </c>
      <c r="H641">
        <f t="shared" si="23"/>
        <v>3095809.6899996693</v>
      </c>
    </row>
    <row r="642" spans="3:8" x14ac:dyDescent="0.3">
      <c r="C642">
        <f>Process!$I647*ref_umbral-Process!$G647</f>
        <v>3095809.4034747644</v>
      </c>
      <c r="D642">
        <f>Process!$L647*ref_umbral-Process!$J647</f>
        <v>3095799.1100252154</v>
      </c>
      <c r="E642">
        <f t="shared" si="22"/>
        <v>3095809.4034747644</v>
      </c>
      <c r="F642">
        <f>Process!$H647*ref_umbral-Process!$G647</f>
        <v>3095809.4439823162</v>
      </c>
      <c r="G642">
        <f>Process!$K647*ref_umbral-Process!$J647</f>
        <v>3095801.6097175335</v>
      </c>
      <c r="H642">
        <f t="shared" si="23"/>
        <v>3095809.4439823162</v>
      </c>
    </row>
    <row r="643" spans="3:8" x14ac:dyDescent="0.3">
      <c r="C643">
        <f>Process!$I648*ref_umbral-Process!$G648</f>
        <v>3095809.4968864014</v>
      </c>
      <c r="D643">
        <f>Process!$L648*ref_umbral-Process!$J648</f>
        <v>3095800.1160395425</v>
      </c>
      <c r="E643">
        <f t="shared" si="22"/>
        <v>3095809.4968864014</v>
      </c>
      <c r="F643">
        <f>Process!$H648*ref_umbral-Process!$G648</f>
        <v>3095809.5488852747</v>
      </c>
      <c r="G643">
        <f>Process!$K648*ref_umbral-Process!$J648</f>
        <v>3095802.229788091</v>
      </c>
      <c r="H643">
        <f t="shared" si="23"/>
        <v>3095809.5488852747</v>
      </c>
    </row>
    <row r="644" spans="3:8" x14ac:dyDescent="0.3">
      <c r="C644">
        <f>Process!$I649*ref_umbral-Process!$G649</f>
        <v>3095809.1768395635</v>
      </c>
      <c r="D644">
        <f>Process!$L649*ref_umbral-Process!$J649</f>
        <v>3095792.6847523204</v>
      </c>
      <c r="E644">
        <f t="shared" si="22"/>
        <v>3095809.1768395635</v>
      </c>
      <c r="F644">
        <f>Process!$H649*ref_umbral-Process!$G649</f>
        <v>3095809.2128353664</v>
      </c>
      <c r="G644">
        <f>Process!$K649*ref_umbral-Process!$J649</f>
        <v>3095794.5456699608</v>
      </c>
      <c r="H644">
        <f t="shared" si="23"/>
        <v>3095809.2128353664</v>
      </c>
    </row>
    <row r="645" spans="3:8" x14ac:dyDescent="0.3">
      <c r="C645">
        <f>Process!$I650*ref_umbral-Process!$G650</f>
        <v>3095808.6558738868</v>
      </c>
      <c r="D645">
        <f>Process!$L650*ref_umbral-Process!$J650</f>
        <v>3095804.7623301367</v>
      </c>
      <c r="E645">
        <f t="shared" si="22"/>
        <v>3095808.6558738868</v>
      </c>
      <c r="F645">
        <f>Process!$H650*ref_umbral-Process!$G650</f>
        <v>3095809.3348396337</v>
      </c>
      <c r="G645">
        <f>Process!$K650*ref_umbral-Process!$J650</f>
        <v>3095807.9017867534</v>
      </c>
      <c r="H645">
        <f t="shared" si="23"/>
        <v>3095809.3348396337</v>
      </c>
    </row>
    <row r="646" spans="3:8" x14ac:dyDescent="0.3">
      <c r="C646">
        <f>Process!$I651*ref_umbral-Process!$G651</f>
        <v>3095809.0870509148</v>
      </c>
      <c r="D646">
        <f>Process!$L651*ref_umbral-Process!$J651</f>
        <v>3095803.9901392688</v>
      </c>
      <c r="E646">
        <f t="shared" si="22"/>
        <v>3095809.0870509148</v>
      </c>
      <c r="F646">
        <f>Process!$H651*ref_umbral-Process!$G651</f>
        <v>3095809.1280661565</v>
      </c>
      <c r="G646">
        <f>Process!$K651*ref_umbral-Process!$J651</f>
        <v>3095807.6100812037</v>
      </c>
      <c r="H646">
        <f t="shared" si="23"/>
        <v>3095809.1280661565</v>
      </c>
    </row>
    <row r="647" spans="3:8" x14ac:dyDescent="0.3">
      <c r="C647">
        <f>Process!$I652*ref_umbral-Process!$G652</f>
        <v>3095809.0220679734</v>
      </c>
      <c r="D647">
        <f>Process!$L652*ref_umbral-Process!$J652</f>
        <v>3095807.2178261941</v>
      </c>
      <c r="E647">
        <f t="shared" ref="E647:E710" si="24">MAX(C647,D647)</f>
        <v>3095809.0220679734</v>
      </c>
      <c r="F647">
        <f>Process!$H652*ref_umbral-Process!$G652</f>
        <v>3095809.4963254146</v>
      </c>
      <c r="G647">
        <f>Process!$K652*ref_umbral-Process!$J652</f>
        <v>3095809.6413777415</v>
      </c>
      <c r="H647">
        <f t="shared" ref="H647:H710" si="25">MAX(F647,G647)</f>
        <v>3095809.6413777415</v>
      </c>
    </row>
    <row r="648" spans="3:8" x14ac:dyDescent="0.3">
      <c r="C648">
        <f>Process!$I653*ref_umbral-Process!$G653</f>
        <v>3095809.4722921024</v>
      </c>
      <c r="D648">
        <f>Process!$L653*ref_umbral-Process!$J653</f>
        <v>3095806.5830768724</v>
      </c>
      <c r="E648">
        <f t="shared" si="24"/>
        <v>3095809.4722921024</v>
      </c>
      <c r="F648">
        <f>Process!$H653*ref_umbral-Process!$G653</f>
        <v>3095809.5836449773</v>
      </c>
      <c r="G648">
        <f>Process!$K653*ref_umbral-Process!$J653</f>
        <v>3095808.9975187313</v>
      </c>
      <c r="H648">
        <f t="shared" si="25"/>
        <v>3095809.5836449773</v>
      </c>
    </row>
    <row r="649" spans="3:8" x14ac:dyDescent="0.3">
      <c r="C649">
        <f>Process!$I654*ref_umbral-Process!$G654</f>
        <v>3095809.5146019198</v>
      </c>
      <c r="D649">
        <f>Process!$L654*ref_umbral-Process!$J654</f>
        <v>3095802.9006402446</v>
      </c>
      <c r="E649">
        <f t="shared" si="24"/>
        <v>3095809.5146019198</v>
      </c>
      <c r="F649">
        <f>Process!$H654*ref_umbral-Process!$G654</f>
        <v>3095809.5511161778</v>
      </c>
      <c r="G649">
        <f>Process!$K654*ref_umbral-Process!$J654</f>
        <v>3095803.6323948023</v>
      </c>
      <c r="H649">
        <f t="shared" si="25"/>
        <v>3095809.5511161778</v>
      </c>
    </row>
    <row r="650" spans="3:8" x14ac:dyDescent="0.3">
      <c r="C650">
        <f>Process!$I655*ref_umbral-Process!$G655</f>
        <v>3095809.3144039777</v>
      </c>
      <c r="D650">
        <f>Process!$L655*ref_umbral-Process!$J655</f>
        <v>3095801.4563088068</v>
      </c>
      <c r="E650">
        <f t="shared" si="24"/>
        <v>3095809.3144039777</v>
      </c>
      <c r="F650">
        <f>Process!$H655*ref_umbral-Process!$G655</f>
        <v>3095809.3865938685</v>
      </c>
      <c r="G650">
        <f>Process!$K655*ref_umbral-Process!$J655</f>
        <v>3095804.8534690887</v>
      </c>
      <c r="H650">
        <f t="shared" si="25"/>
        <v>3095809.3865938685</v>
      </c>
    </row>
    <row r="651" spans="3:8" x14ac:dyDescent="0.3">
      <c r="C651">
        <f>Process!$I656*ref_umbral-Process!$G656</f>
        <v>3095809.3528940403</v>
      </c>
      <c r="D651">
        <f>Process!$L656*ref_umbral-Process!$J656</f>
        <v>3095806.4015803514</v>
      </c>
      <c r="E651">
        <f t="shared" si="24"/>
        <v>3095809.3528940403</v>
      </c>
      <c r="F651">
        <f>Process!$H656*ref_umbral-Process!$G656</f>
        <v>3095809.4926345958</v>
      </c>
      <c r="G651">
        <f>Process!$K656*ref_umbral-Process!$J656</f>
        <v>3095808.4361813827</v>
      </c>
      <c r="H651">
        <f t="shared" si="25"/>
        <v>3095809.4926345958</v>
      </c>
    </row>
    <row r="652" spans="3:8" x14ac:dyDescent="0.3">
      <c r="C652">
        <f>Process!$I657*ref_umbral-Process!$G657</f>
        <v>3095809.2476035454</v>
      </c>
      <c r="D652">
        <f>Process!$L657*ref_umbral-Process!$J657</f>
        <v>3095792.7881951863</v>
      </c>
      <c r="E652">
        <f t="shared" si="24"/>
        <v>3095809.2476035454</v>
      </c>
      <c r="F652">
        <f>Process!$H657*ref_umbral-Process!$G657</f>
        <v>3095809.3148218328</v>
      </c>
      <c r="G652">
        <f>Process!$K657*ref_umbral-Process!$J657</f>
        <v>3095793.8426250787</v>
      </c>
      <c r="H652">
        <f t="shared" si="25"/>
        <v>3095809.3148218328</v>
      </c>
    </row>
    <row r="653" spans="3:8" x14ac:dyDescent="0.3">
      <c r="C653">
        <f>Process!$I658*ref_umbral-Process!$G658</f>
        <v>3095809.46836035</v>
      </c>
      <c r="D653">
        <f>Process!$L658*ref_umbral-Process!$J658</f>
        <v>3095803.4884300563</v>
      </c>
      <c r="E653">
        <f t="shared" si="24"/>
        <v>3095809.46836035</v>
      </c>
      <c r="F653">
        <f>Process!$H658*ref_umbral-Process!$G658</f>
        <v>3095809.6680894159</v>
      </c>
      <c r="G653">
        <f>Process!$K658*ref_umbral-Process!$J658</f>
        <v>3095807.3450790108</v>
      </c>
      <c r="H653">
        <f t="shared" si="25"/>
        <v>3095809.6680894159</v>
      </c>
    </row>
    <row r="654" spans="3:8" x14ac:dyDescent="0.3">
      <c r="C654">
        <f>Process!$I659*ref_umbral-Process!$G659</f>
        <v>3095809.4340379182</v>
      </c>
      <c r="D654">
        <f>Process!$L659*ref_umbral-Process!$J659</f>
        <v>3095805.4886524091</v>
      </c>
      <c r="E654">
        <f t="shared" si="24"/>
        <v>3095809.4340379182</v>
      </c>
      <c r="F654">
        <f>Process!$H659*ref_umbral-Process!$G659</f>
        <v>3095809.5400630618</v>
      </c>
      <c r="G654">
        <f>Process!$K659*ref_umbral-Process!$J659</f>
        <v>3095808.1352639482</v>
      </c>
      <c r="H654">
        <f t="shared" si="25"/>
        <v>3095809.5400630618</v>
      </c>
    </row>
    <row r="655" spans="3:8" x14ac:dyDescent="0.3">
      <c r="C655">
        <f>Process!$I660*ref_umbral-Process!$G660</f>
        <v>3095809.3832710837</v>
      </c>
      <c r="D655">
        <f>Process!$L660*ref_umbral-Process!$J660</f>
        <v>3095806.5204960527</v>
      </c>
      <c r="E655">
        <f t="shared" si="24"/>
        <v>3095809.3832710837</v>
      </c>
      <c r="F655">
        <f>Process!$H660*ref_umbral-Process!$G660</f>
        <v>3095809.4146240228</v>
      </c>
      <c r="G655">
        <f>Process!$K660*ref_umbral-Process!$J660</f>
        <v>3095808.0269745146</v>
      </c>
      <c r="H655">
        <f t="shared" si="25"/>
        <v>3095809.4146240228</v>
      </c>
    </row>
    <row r="656" spans="3:8" x14ac:dyDescent="0.3">
      <c r="C656">
        <f>Process!$I661*ref_umbral-Process!$G661</f>
        <v>3095809.2778993845</v>
      </c>
      <c r="D656">
        <f>Process!$L661*ref_umbral-Process!$J661</f>
        <v>3095792.5913235149</v>
      </c>
      <c r="E656">
        <f t="shared" si="24"/>
        <v>3095809.2778993845</v>
      </c>
      <c r="F656">
        <f>Process!$H661*ref_umbral-Process!$G661</f>
        <v>3095809.3770348672</v>
      </c>
      <c r="G656">
        <f>Process!$K661*ref_umbral-Process!$J661</f>
        <v>3095793.1793362228</v>
      </c>
      <c r="H656">
        <f t="shared" si="25"/>
        <v>3095809.3770348672</v>
      </c>
    </row>
    <row r="657" spans="3:8" x14ac:dyDescent="0.3">
      <c r="C657">
        <f>Process!$I662*ref_umbral-Process!$G662</f>
        <v>3095808.5790069811</v>
      </c>
      <c r="D657">
        <f>Process!$L662*ref_umbral-Process!$J662</f>
        <v>3095805.2090649889</v>
      </c>
      <c r="E657">
        <f t="shared" si="24"/>
        <v>3095808.5790069811</v>
      </c>
      <c r="F657">
        <f>Process!$H662*ref_umbral-Process!$G662</f>
        <v>3095809.2386122583</v>
      </c>
      <c r="G657">
        <f>Process!$K662*ref_umbral-Process!$J662</f>
        <v>3095808.4006645279</v>
      </c>
      <c r="H657">
        <f t="shared" si="25"/>
        <v>3095809.2386122583</v>
      </c>
    </row>
    <row r="658" spans="3:8" x14ac:dyDescent="0.3">
      <c r="C658">
        <f>Process!$I663*ref_umbral-Process!$G663</f>
        <v>3095809.684715217</v>
      </c>
      <c r="D658">
        <f>Process!$L663*ref_umbral-Process!$J663</f>
        <v>3095807.8582221889</v>
      </c>
      <c r="E658">
        <f t="shared" si="24"/>
        <v>3095809.684715217</v>
      </c>
      <c r="F658">
        <f>Process!$H663*ref_umbral-Process!$G663</f>
        <v>3095809.7919121874</v>
      </c>
      <c r="G658">
        <f>Process!$K663*ref_umbral-Process!$J663</f>
        <v>3095809.4732584567</v>
      </c>
      <c r="H658">
        <f t="shared" si="25"/>
        <v>3095809.7919121874</v>
      </c>
    </row>
    <row r="659" spans="3:8" x14ac:dyDescent="0.3">
      <c r="C659">
        <f>Process!$I664*ref_umbral-Process!$G664</f>
        <v>3095807.2083761333</v>
      </c>
      <c r="D659">
        <f>Process!$L664*ref_umbral-Process!$J664</f>
        <v>3095780.4564482779</v>
      </c>
      <c r="E659">
        <f t="shared" si="24"/>
        <v>3095807.2083761333</v>
      </c>
      <c r="F659">
        <f>Process!$H664*ref_umbral-Process!$G664</f>
        <v>3095807.3466746039</v>
      </c>
      <c r="G659">
        <f>Process!$K664*ref_umbral-Process!$J664</f>
        <v>3095781.3463276881</v>
      </c>
      <c r="H659">
        <f t="shared" si="25"/>
        <v>3095807.3466746039</v>
      </c>
    </row>
    <row r="660" spans="3:8" x14ac:dyDescent="0.3">
      <c r="C660">
        <f>Process!$I665*ref_umbral-Process!$G665</f>
        <v>3095809.5669437107</v>
      </c>
      <c r="D660">
        <f>Process!$L665*ref_umbral-Process!$J665</f>
        <v>3095808.4320873041</v>
      </c>
      <c r="E660">
        <f t="shared" si="24"/>
        <v>3095809.5669437107</v>
      </c>
      <c r="F660">
        <f>Process!$H665*ref_umbral-Process!$G665</f>
        <v>3095809.7557163481</v>
      </c>
      <c r="G660">
        <f>Process!$K665*ref_umbral-Process!$J665</f>
        <v>3095809.3743631965</v>
      </c>
      <c r="H660">
        <f t="shared" si="25"/>
        <v>3095809.7557163481</v>
      </c>
    </row>
    <row r="661" spans="3:8" x14ac:dyDescent="0.3">
      <c r="C661">
        <f>Process!$I666*ref_umbral-Process!$G666</f>
        <v>3095809.4292298434</v>
      </c>
      <c r="D661">
        <f>Process!$L666*ref_umbral-Process!$J666</f>
        <v>3095799.8804578213</v>
      </c>
      <c r="E661">
        <f t="shared" si="24"/>
        <v>3095809.4292298434</v>
      </c>
      <c r="F661">
        <f>Process!$H666*ref_umbral-Process!$G666</f>
        <v>3095809.5532946214</v>
      </c>
      <c r="G661">
        <f>Process!$K666*ref_umbral-Process!$J666</f>
        <v>3095800.68464371</v>
      </c>
      <c r="H661">
        <f t="shared" si="25"/>
        <v>3095809.5532946214</v>
      </c>
    </row>
    <row r="662" spans="3:8" x14ac:dyDescent="0.3">
      <c r="C662">
        <f>Process!$I667*ref_umbral-Process!$G667</f>
        <v>3095808.7010959038</v>
      </c>
      <c r="D662">
        <f>Process!$L667*ref_umbral-Process!$J667</f>
        <v>3095803.2308573313</v>
      </c>
      <c r="E662">
        <f t="shared" si="24"/>
        <v>3095808.7010959038</v>
      </c>
      <c r="F662">
        <f>Process!$H667*ref_umbral-Process!$G667</f>
        <v>3095808.9714441937</v>
      </c>
      <c r="G662">
        <f>Process!$K667*ref_umbral-Process!$J667</f>
        <v>3095806.4842623635</v>
      </c>
      <c r="H662">
        <f t="shared" si="25"/>
        <v>3095808.9714441937</v>
      </c>
    </row>
    <row r="663" spans="3:8" x14ac:dyDescent="0.3">
      <c r="C663">
        <f>Process!$I668*ref_umbral-Process!$G668</f>
        <v>3095809.4333976009</v>
      </c>
      <c r="D663">
        <f>Process!$L668*ref_umbral-Process!$J668</f>
        <v>3095802.8725411166</v>
      </c>
      <c r="E663">
        <f t="shared" si="24"/>
        <v>3095809.4333976009</v>
      </c>
      <c r="F663">
        <f>Process!$H668*ref_umbral-Process!$G668</f>
        <v>3095809.5106691774</v>
      </c>
      <c r="G663">
        <f>Process!$K668*ref_umbral-Process!$J668</f>
        <v>3095806.5192296882</v>
      </c>
      <c r="H663">
        <f t="shared" si="25"/>
        <v>3095809.5106691774</v>
      </c>
    </row>
    <row r="664" spans="3:8" x14ac:dyDescent="0.3">
      <c r="C664">
        <f>Process!$I669*ref_umbral-Process!$G669</f>
        <v>3095809.4319039574</v>
      </c>
      <c r="D664">
        <f>Process!$L669*ref_umbral-Process!$J669</f>
        <v>3095804.1038625124</v>
      </c>
      <c r="E664">
        <f t="shared" si="24"/>
        <v>3095809.4319039574</v>
      </c>
      <c r="F664">
        <f>Process!$H669*ref_umbral-Process!$G669</f>
        <v>3095809.5493727415</v>
      </c>
      <c r="G664">
        <f>Process!$K669*ref_umbral-Process!$J669</f>
        <v>3095805.2491323417</v>
      </c>
      <c r="H664">
        <f t="shared" si="25"/>
        <v>3095809.5493727415</v>
      </c>
    </row>
    <row r="665" spans="3:8" x14ac:dyDescent="0.3">
      <c r="C665">
        <f>Process!$I670*ref_umbral-Process!$G670</f>
        <v>3095809.4883216377</v>
      </c>
      <c r="D665">
        <f>Process!$L670*ref_umbral-Process!$J670</f>
        <v>3095807.2336334353</v>
      </c>
      <c r="E665">
        <f t="shared" si="24"/>
        <v>3095809.4883216377</v>
      </c>
      <c r="F665">
        <f>Process!$H670*ref_umbral-Process!$G670</f>
        <v>3095809.6690242873</v>
      </c>
      <c r="G665">
        <f>Process!$K670*ref_umbral-Process!$J670</f>
        <v>3095809.4766593133</v>
      </c>
      <c r="H665">
        <f t="shared" si="25"/>
        <v>3095809.6690242873</v>
      </c>
    </row>
    <row r="666" spans="3:8" x14ac:dyDescent="0.3">
      <c r="C666">
        <f>Process!$I671*ref_umbral-Process!$G671</f>
        <v>3095809.4073185283</v>
      </c>
      <c r="D666">
        <f>Process!$L671*ref_umbral-Process!$J671</f>
        <v>3095807.0140619683</v>
      </c>
      <c r="E666">
        <f t="shared" si="24"/>
        <v>3095809.4073185283</v>
      </c>
      <c r="F666">
        <f>Process!$H671*ref_umbral-Process!$G671</f>
        <v>3095809.59510059</v>
      </c>
      <c r="G666">
        <f>Process!$K671*ref_umbral-Process!$J671</f>
        <v>3095808.8539443556</v>
      </c>
      <c r="H666">
        <f t="shared" si="25"/>
        <v>3095809.59510059</v>
      </c>
    </row>
    <row r="667" spans="3:8" x14ac:dyDescent="0.3">
      <c r="C667">
        <f>Process!$I672*ref_umbral-Process!$G672</f>
        <v>3095809.1723319683</v>
      </c>
      <c r="D667">
        <f>Process!$L672*ref_umbral-Process!$J672</f>
        <v>3095802.6116126943</v>
      </c>
      <c r="E667">
        <f t="shared" si="24"/>
        <v>3095809.1723319683</v>
      </c>
      <c r="F667">
        <f>Process!$H672*ref_umbral-Process!$G672</f>
        <v>3095809.2880585515</v>
      </c>
      <c r="G667">
        <f>Process!$K672*ref_umbral-Process!$J672</f>
        <v>3095803.5739398235</v>
      </c>
      <c r="H667">
        <f t="shared" si="25"/>
        <v>3095809.2880585515</v>
      </c>
    </row>
    <row r="668" spans="3:8" x14ac:dyDescent="0.3">
      <c r="C668">
        <f>Process!$I673*ref_umbral-Process!$G673</f>
        <v>3095808.3760213861</v>
      </c>
      <c r="D668">
        <f>Process!$L673*ref_umbral-Process!$J673</f>
        <v>3095803.3572747083</v>
      </c>
      <c r="E668">
        <f t="shared" si="24"/>
        <v>3095808.3760213861</v>
      </c>
      <c r="F668">
        <f>Process!$H673*ref_umbral-Process!$G673</f>
        <v>3095808.7697088737</v>
      </c>
      <c r="G668">
        <f>Process!$K673*ref_umbral-Process!$J673</f>
        <v>3095805.8723350768</v>
      </c>
      <c r="H668">
        <f t="shared" si="25"/>
        <v>3095808.7697088737</v>
      </c>
    </row>
    <row r="669" spans="3:8" x14ac:dyDescent="0.3">
      <c r="C669">
        <f>Process!$I674*ref_umbral-Process!$G674</f>
        <v>3095809.4219842153</v>
      </c>
      <c r="D669">
        <f>Process!$L674*ref_umbral-Process!$J674</f>
        <v>3095807.7718035285</v>
      </c>
      <c r="E669">
        <f t="shared" si="24"/>
        <v>3095809.4219842153</v>
      </c>
      <c r="F669">
        <f>Process!$H674*ref_umbral-Process!$G674</f>
        <v>3095809.5213424577</v>
      </c>
      <c r="G669">
        <f>Process!$K674*ref_umbral-Process!$J674</f>
        <v>3095809.5537735345</v>
      </c>
      <c r="H669">
        <f t="shared" si="25"/>
        <v>3095809.5537735345</v>
      </c>
    </row>
    <row r="670" spans="3:8" x14ac:dyDescent="0.3">
      <c r="C670">
        <f>Process!$I675*ref_umbral-Process!$G675</f>
        <v>3095809.149113615</v>
      </c>
      <c r="D670">
        <f>Process!$L675*ref_umbral-Process!$J675</f>
        <v>3095804.5015267762</v>
      </c>
      <c r="E670">
        <f t="shared" si="24"/>
        <v>3095809.149113615</v>
      </c>
      <c r="F670">
        <f>Process!$H675*ref_umbral-Process!$G675</f>
        <v>3095809.4108163691</v>
      </c>
      <c r="G670">
        <f>Process!$K675*ref_umbral-Process!$J675</f>
        <v>3095807.9109187606</v>
      </c>
      <c r="H670">
        <f t="shared" si="25"/>
        <v>3095809.4108163691</v>
      </c>
    </row>
    <row r="671" spans="3:8" x14ac:dyDescent="0.3">
      <c r="C671">
        <f>Process!$I676*ref_umbral-Process!$G676</f>
        <v>3095809.1693578423</v>
      </c>
      <c r="D671">
        <f>Process!$L676*ref_umbral-Process!$J676</f>
        <v>3095805.4762346186</v>
      </c>
      <c r="E671">
        <f t="shared" si="24"/>
        <v>3095809.1693578423</v>
      </c>
      <c r="F671">
        <f>Process!$H676*ref_umbral-Process!$G676</f>
        <v>3095809.3601905745</v>
      </c>
      <c r="G671">
        <f>Process!$K676*ref_umbral-Process!$J676</f>
        <v>3095807.8132495894</v>
      </c>
      <c r="H671">
        <f t="shared" si="25"/>
        <v>3095809.3601905745</v>
      </c>
    </row>
    <row r="672" spans="3:8" x14ac:dyDescent="0.3">
      <c r="C672">
        <f>Process!$I677*ref_umbral-Process!$G677</f>
        <v>3095808.9599714037</v>
      </c>
      <c r="D672">
        <f>Process!$L677*ref_umbral-Process!$J677</f>
        <v>3095803.1611560769</v>
      </c>
      <c r="E672">
        <f t="shared" si="24"/>
        <v>3095808.9599714037</v>
      </c>
      <c r="F672">
        <f>Process!$H677*ref_umbral-Process!$G677</f>
        <v>3095809.2076760861</v>
      </c>
      <c r="G672">
        <f>Process!$K677*ref_umbral-Process!$J677</f>
        <v>3095805.1371490546</v>
      </c>
      <c r="H672">
        <f t="shared" si="25"/>
        <v>3095809.2076760861</v>
      </c>
    </row>
    <row r="673" spans="3:8" x14ac:dyDescent="0.3">
      <c r="C673">
        <f>Process!$I678*ref_umbral-Process!$G678</f>
        <v>3095809.1837980174</v>
      </c>
      <c r="D673">
        <f>Process!$L678*ref_umbral-Process!$J678</f>
        <v>3095804.4937347034</v>
      </c>
      <c r="E673">
        <f t="shared" si="24"/>
        <v>3095809.1837980174</v>
      </c>
      <c r="F673">
        <f>Process!$H678*ref_umbral-Process!$G678</f>
        <v>3095809.2859414448</v>
      </c>
      <c r="G673">
        <f>Process!$K678*ref_umbral-Process!$J678</f>
        <v>3095807.9240092169</v>
      </c>
      <c r="H673">
        <f t="shared" si="25"/>
        <v>3095809.2859414448</v>
      </c>
    </row>
    <row r="674" spans="3:8" x14ac:dyDescent="0.3">
      <c r="C674">
        <f>Process!$I679*ref_umbral-Process!$G679</f>
        <v>3095809.7689404003</v>
      </c>
      <c r="D674">
        <f>Process!$L679*ref_umbral-Process!$J679</f>
        <v>3095808.3148031025</v>
      </c>
      <c r="E674">
        <f t="shared" si="24"/>
        <v>3095809.7689404003</v>
      </c>
      <c r="F674">
        <f>Process!$H679*ref_umbral-Process!$G679</f>
        <v>3095809.7994351578</v>
      </c>
      <c r="G674">
        <f>Process!$K679*ref_umbral-Process!$J679</f>
        <v>3095809.5215324792</v>
      </c>
      <c r="H674">
        <f t="shared" si="25"/>
        <v>3095809.7994351578</v>
      </c>
    </row>
    <row r="675" spans="3:8" x14ac:dyDescent="0.3">
      <c r="C675">
        <f>Process!$I680*ref_umbral-Process!$G680</f>
        <v>3095808.9207047438</v>
      </c>
      <c r="D675">
        <f>Process!$L680*ref_umbral-Process!$J680</f>
        <v>3095800.6029038816</v>
      </c>
      <c r="E675">
        <f t="shared" si="24"/>
        <v>3095808.9207047438</v>
      </c>
      <c r="F675">
        <f>Process!$H680*ref_umbral-Process!$G680</f>
        <v>3095809.0329444828</v>
      </c>
      <c r="G675">
        <f>Process!$K680*ref_umbral-Process!$J680</f>
        <v>3095803.0712208003</v>
      </c>
      <c r="H675">
        <f t="shared" si="25"/>
        <v>3095809.0329444828</v>
      </c>
    </row>
    <row r="676" spans="3:8" x14ac:dyDescent="0.3">
      <c r="C676">
        <f>Process!$I681*ref_umbral-Process!$G681</f>
        <v>3095809.1503985119</v>
      </c>
      <c r="D676">
        <f>Process!$L681*ref_umbral-Process!$J681</f>
        <v>3095799.9561653882</v>
      </c>
      <c r="E676">
        <f t="shared" si="24"/>
        <v>3095809.1503985119</v>
      </c>
      <c r="F676">
        <f>Process!$H681*ref_umbral-Process!$G681</f>
        <v>3095809.3587315241</v>
      </c>
      <c r="G676">
        <f>Process!$K681*ref_umbral-Process!$J681</f>
        <v>3095803.5133675267</v>
      </c>
      <c r="H676">
        <f t="shared" si="25"/>
        <v>3095809.3587315241</v>
      </c>
    </row>
    <row r="677" spans="3:8" x14ac:dyDescent="0.3">
      <c r="C677">
        <f>Process!$I682*ref_umbral-Process!$G682</f>
        <v>3095808.5021848301</v>
      </c>
      <c r="D677">
        <f>Process!$L682*ref_umbral-Process!$J682</f>
        <v>3095803.5278093852</v>
      </c>
      <c r="E677">
        <f t="shared" si="24"/>
        <v>3095808.5021848301</v>
      </c>
      <c r="F677">
        <f>Process!$H682*ref_umbral-Process!$G682</f>
        <v>3095808.9950967701</v>
      </c>
      <c r="G677">
        <f>Process!$K682*ref_umbral-Process!$J682</f>
        <v>3095806.8566478118</v>
      </c>
      <c r="H677">
        <f t="shared" si="25"/>
        <v>3095808.9950967701</v>
      </c>
    </row>
    <row r="678" spans="3:8" x14ac:dyDescent="0.3">
      <c r="C678">
        <f>Process!$I683*ref_umbral-Process!$G683</f>
        <v>3095809.5920062182</v>
      </c>
      <c r="D678">
        <f>Process!$L683*ref_umbral-Process!$J683</f>
        <v>3095806.7990359874</v>
      </c>
      <c r="E678">
        <f t="shared" si="24"/>
        <v>3095809.5920062182</v>
      </c>
      <c r="F678">
        <f>Process!$H683*ref_umbral-Process!$G683</f>
        <v>3095809.6727797976</v>
      </c>
      <c r="G678">
        <f>Process!$K683*ref_umbral-Process!$J683</f>
        <v>3095808.1693753842</v>
      </c>
      <c r="H678">
        <f t="shared" si="25"/>
        <v>3095809.6727797976</v>
      </c>
    </row>
    <row r="679" spans="3:8" x14ac:dyDescent="0.3">
      <c r="C679">
        <f>Process!$I684*ref_umbral-Process!$G684</f>
        <v>3095809.0447648363</v>
      </c>
      <c r="D679">
        <f>Process!$L684*ref_umbral-Process!$J684</f>
        <v>3095802.5323805511</v>
      </c>
      <c r="E679">
        <f t="shared" si="24"/>
        <v>3095809.0447648363</v>
      </c>
      <c r="F679">
        <f>Process!$H684*ref_umbral-Process!$G684</f>
        <v>3095809.2336634868</v>
      </c>
      <c r="G679">
        <f>Process!$K684*ref_umbral-Process!$J684</f>
        <v>3095805.0404425752</v>
      </c>
      <c r="H679">
        <f t="shared" si="25"/>
        <v>3095809.2336634868</v>
      </c>
    </row>
    <row r="680" spans="3:8" x14ac:dyDescent="0.3">
      <c r="C680">
        <f>Process!$I685*ref_umbral-Process!$G685</f>
        <v>3095809.1064618579</v>
      </c>
      <c r="D680">
        <f>Process!$L685*ref_umbral-Process!$J685</f>
        <v>3095799.2481402545</v>
      </c>
      <c r="E680">
        <f t="shared" si="24"/>
        <v>3095809.1064618579</v>
      </c>
      <c r="F680">
        <f>Process!$H685*ref_umbral-Process!$G685</f>
        <v>3095809.1766076679</v>
      </c>
      <c r="G680">
        <f>Process!$K685*ref_umbral-Process!$J685</f>
        <v>3095800.7504873942</v>
      </c>
      <c r="H680">
        <f t="shared" si="25"/>
        <v>3095809.1766076679</v>
      </c>
    </row>
    <row r="681" spans="3:8" x14ac:dyDescent="0.3">
      <c r="C681">
        <f>Process!$I686*ref_umbral-Process!$G686</f>
        <v>3095809.5920855743</v>
      </c>
      <c r="D681">
        <f>Process!$L686*ref_umbral-Process!$J686</f>
        <v>3095806.4561644886</v>
      </c>
      <c r="E681">
        <f t="shared" si="24"/>
        <v>3095809.5920855743</v>
      </c>
      <c r="F681">
        <f>Process!$H686*ref_umbral-Process!$G686</f>
        <v>3095809.697497745</v>
      </c>
      <c r="G681">
        <f>Process!$K686*ref_umbral-Process!$J686</f>
        <v>3095808.7068846906</v>
      </c>
      <c r="H681">
        <f t="shared" si="25"/>
        <v>3095809.697497745</v>
      </c>
    </row>
    <row r="682" spans="3:8" x14ac:dyDescent="0.3">
      <c r="C682">
        <f>Process!$I687*ref_umbral-Process!$G687</f>
        <v>3095808.8973187408</v>
      </c>
      <c r="D682">
        <f>Process!$L687*ref_umbral-Process!$J687</f>
        <v>3095804.841079182</v>
      </c>
      <c r="E682">
        <f t="shared" si="24"/>
        <v>3095808.8973187408</v>
      </c>
      <c r="F682">
        <f>Process!$H687*ref_umbral-Process!$G687</f>
        <v>3095809.2774773752</v>
      </c>
      <c r="G682">
        <f>Process!$K687*ref_umbral-Process!$J687</f>
        <v>3095808.1086316123</v>
      </c>
      <c r="H682">
        <f t="shared" si="25"/>
        <v>3095809.2774773752</v>
      </c>
    </row>
    <row r="683" spans="3:8" x14ac:dyDescent="0.3">
      <c r="C683">
        <f>Process!$I688*ref_umbral-Process!$G688</f>
        <v>3095808.9735510172</v>
      </c>
      <c r="D683">
        <f>Process!$L688*ref_umbral-Process!$J688</f>
        <v>3095805.1609809776</v>
      </c>
      <c r="E683">
        <f t="shared" si="24"/>
        <v>3095808.9735510172</v>
      </c>
      <c r="F683">
        <f>Process!$H688*ref_umbral-Process!$G688</f>
        <v>3095809.2712651426</v>
      </c>
      <c r="G683">
        <f>Process!$K688*ref_umbral-Process!$J688</f>
        <v>3095807.1054975092</v>
      </c>
      <c r="H683">
        <f t="shared" si="25"/>
        <v>3095809.2712651426</v>
      </c>
    </row>
    <row r="684" spans="3:8" x14ac:dyDescent="0.3">
      <c r="C684">
        <f>Process!$I689*ref_umbral-Process!$G689</f>
        <v>3095809.5669919406</v>
      </c>
      <c r="D684">
        <f>Process!$L689*ref_umbral-Process!$J689</f>
        <v>3095799.6767253717</v>
      </c>
      <c r="E684">
        <f t="shared" si="24"/>
        <v>3095809.5669919406</v>
      </c>
      <c r="F684">
        <f>Process!$H689*ref_umbral-Process!$G689</f>
        <v>3095809.6582662314</v>
      </c>
      <c r="G684">
        <f>Process!$K689*ref_umbral-Process!$J689</f>
        <v>3095801.4983486477</v>
      </c>
      <c r="H684">
        <f t="shared" si="25"/>
        <v>3095809.6582662314</v>
      </c>
    </row>
    <row r="685" spans="3:8" x14ac:dyDescent="0.3">
      <c r="C685">
        <f>Process!$I690*ref_umbral-Process!$G690</f>
        <v>3095809.361381901</v>
      </c>
      <c r="D685">
        <f>Process!$L690*ref_umbral-Process!$J690</f>
        <v>3095800.3365259748</v>
      </c>
      <c r="E685">
        <f t="shared" si="24"/>
        <v>3095809.361381901</v>
      </c>
      <c r="F685">
        <f>Process!$H690*ref_umbral-Process!$G690</f>
        <v>3095809.4921913329</v>
      </c>
      <c r="G685">
        <f>Process!$K690*ref_umbral-Process!$J690</f>
        <v>3095802.0661032223</v>
      </c>
      <c r="H685">
        <f t="shared" si="25"/>
        <v>3095809.4921913329</v>
      </c>
    </row>
    <row r="686" spans="3:8" x14ac:dyDescent="0.3">
      <c r="C686">
        <f>Process!$I691*ref_umbral-Process!$G691</f>
        <v>3095809.2669615634</v>
      </c>
      <c r="D686">
        <f>Process!$L691*ref_umbral-Process!$J691</f>
        <v>3095805.3663059259</v>
      </c>
      <c r="E686">
        <f t="shared" si="24"/>
        <v>3095809.2669615634</v>
      </c>
      <c r="F686">
        <f>Process!$H691*ref_umbral-Process!$G691</f>
        <v>3095809.4160187151</v>
      </c>
      <c r="G686">
        <f>Process!$K691*ref_umbral-Process!$J691</f>
        <v>3095808.3486350463</v>
      </c>
      <c r="H686">
        <f t="shared" si="25"/>
        <v>3095809.4160187151</v>
      </c>
    </row>
    <row r="687" spans="3:8" x14ac:dyDescent="0.3">
      <c r="C687">
        <f>Process!$I692*ref_umbral-Process!$G692</f>
        <v>3095809.0779265994</v>
      </c>
      <c r="D687">
        <f>Process!$L692*ref_umbral-Process!$J692</f>
        <v>3095804.3991486267</v>
      </c>
      <c r="E687">
        <f t="shared" si="24"/>
        <v>3095809.0779265994</v>
      </c>
      <c r="F687">
        <f>Process!$H692*ref_umbral-Process!$G692</f>
        <v>3095809.4158129711</v>
      </c>
      <c r="G687">
        <f>Process!$K692*ref_umbral-Process!$J692</f>
        <v>3095808.827829509</v>
      </c>
      <c r="H687">
        <f t="shared" si="25"/>
        <v>3095809.4158129711</v>
      </c>
    </row>
    <row r="688" spans="3:8" x14ac:dyDescent="0.3">
      <c r="C688">
        <f>Process!$I693*ref_umbral-Process!$G693</f>
        <v>3095809.607761011</v>
      </c>
      <c r="D688">
        <f>Process!$L693*ref_umbral-Process!$J693</f>
        <v>3095800.5102970372</v>
      </c>
      <c r="E688">
        <f t="shared" si="24"/>
        <v>3095809.607761011</v>
      </c>
      <c r="F688">
        <f>Process!$H693*ref_umbral-Process!$G693</f>
        <v>3095809.7496338072</v>
      </c>
      <c r="G688">
        <f>Process!$K693*ref_umbral-Process!$J693</f>
        <v>3095801.7061533341</v>
      </c>
      <c r="H688">
        <f t="shared" si="25"/>
        <v>3095809.7496338072</v>
      </c>
    </row>
    <row r="689" spans="3:8" x14ac:dyDescent="0.3">
      <c r="C689">
        <f>Process!$I694*ref_umbral-Process!$G694</f>
        <v>3095808.9230641751</v>
      </c>
      <c r="D689">
        <f>Process!$L694*ref_umbral-Process!$J694</f>
        <v>3095787.1379204425</v>
      </c>
      <c r="E689">
        <f t="shared" si="24"/>
        <v>3095808.9230641751</v>
      </c>
      <c r="F689">
        <f>Process!$H694*ref_umbral-Process!$G694</f>
        <v>3095809.0337425941</v>
      </c>
      <c r="G689">
        <f>Process!$K694*ref_umbral-Process!$J694</f>
        <v>3095788.868384039</v>
      </c>
      <c r="H689">
        <f t="shared" si="25"/>
        <v>3095809.0337425941</v>
      </c>
    </row>
    <row r="690" spans="3:8" x14ac:dyDescent="0.3">
      <c r="C690">
        <f>Process!$I695*ref_umbral-Process!$G695</f>
        <v>3095808.9188377312</v>
      </c>
      <c r="D690">
        <f>Process!$L695*ref_umbral-Process!$J695</f>
        <v>3095805.8243242647</v>
      </c>
      <c r="E690">
        <f t="shared" si="24"/>
        <v>3095808.9188377312</v>
      </c>
      <c r="F690">
        <f>Process!$H695*ref_umbral-Process!$G695</f>
        <v>3095809.1102205683</v>
      </c>
      <c r="G690">
        <f>Process!$K695*ref_umbral-Process!$J695</f>
        <v>3095809.1951743197</v>
      </c>
      <c r="H690">
        <f t="shared" si="25"/>
        <v>3095809.1951743197</v>
      </c>
    </row>
    <row r="691" spans="3:8" x14ac:dyDescent="0.3">
      <c r="C691">
        <f>Process!$I696*ref_umbral-Process!$G696</f>
        <v>3095809.171117587</v>
      </c>
      <c r="D691">
        <f>Process!$L696*ref_umbral-Process!$J696</f>
        <v>3095806.5360319279</v>
      </c>
      <c r="E691">
        <f t="shared" si="24"/>
        <v>3095809.171117587</v>
      </c>
      <c r="F691">
        <f>Process!$H696*ref_umbral-Process!$G696</f>
        <v>3095809.3045875044</v>
      </c>
      <c r="G691">
        <f>Process!$K696*ref_umbral-Process!$J696</f>
        <v>3095809.2923389459</v>
      </c>
      <c r="H691">
        <f t="shared" si="25"/>
        <v>3095809.3045875044</v>
      </c>
    </row>
    <row r="692" spans="3:8" x14ac:dyDescent="0.3">
      <c r="C692">
        <f>Process!$I697*ref_umbral-Process!$G697</f>
        <v>3095808.7951228889</v>
      </c>
      <c r="D692">
        <f>Process!$L697*ref_umbral-Process!$J697</f>
        <v>3095796.9595957133</v>
      </c>
      <c r="E692">
        <f t="shared" si="24"/>
        <v>3095808.7951228889</v>
      </c>
      <c r="F692">
        <f>Process!$H697*ref_umbral-Process!$G697</f>
        <v>3095809.0263428758</v>
      </c>
      <c r="G692">
        <f>Process!$K697*ref_umbral-Process!$J697</f>
        <v>3095798.5801212336</v>
      </c>
      <c r="H692">
        <f t="shared" si="25"/>
        <v>3095809.0263428758</v>
      </c>
    </row>
    <row r="693" spans="3:8" x14ac:dyDescent="0.3">
      <c r="C693">
        <f>Process!$I698*ref_umbral-Process!$G698</f>
        <v>3095809.3823102354</v>
      </c>
      <c r="D693">
        <f>Process!$L698*ref_umbral-Process!$J698</f>
        <v>3095802.8851228063</v>
      </c>
      <c r="E693">
        <f t="shared" si="24"/>
        <v>3095809.3823102354</v>
      </c>
      <c r="F693">
        <f>Process!$H698*ref_umbral-Process!$G698</f>
        <v>3095809.4888416091</v>
      </c>
      <c r="G693">
        <f>Process!$K698*ref_umbral-Process!$J698</f>
        <v>3095804.8671008092</v>
      </c>
      <c r="H693">
        <f t="shared" si="25"/>
        <v>3095809.4888416091</v>
      </c>
    </row>
    <row r="694" spans="3:8" x14ac:dyDescent="0.3">
      <c r="C694">
        <f>Process!$I699*ref_umbral-Process!$G699</f>
        <v>3095809.4425480603</v>
      </c>
      <c r="D694">
        <f>Process!$L699*ref_umbral-Process!$J699</f>
        <v>3095803.1575109134</v>
      </c>
      <c r="E694">
        <f t="shared" si="24"/>
        <v>3095809.4425480603</v>
      </c>
      <c r="F694">
        <f>Process!$H699*ref_umbral-Process!$G699</f>
        <v>3095809.5327255363</v>
      </c>
      <c r="G694">
        <f>Process!$K699*ref_umbral-Process!$J699</f>
        <v>3095805.1741603408</v>
      </c>
      <c r="H694">
        <f t="shared" si="25"/>
        <v>3095809.5327255363</v>
      </c>
    </row>
    <row r="695" spans="3:8" x14ac:dyDescent="0.3">
      <c r="C695">
        <f>Process!$I700*ref_umbral-Process!$G700</f>
        <v>3095809.2098404723</v>
      </c>
      <c r="D695">
        <f>Process!$L700*ref_umbral-Process!$J700</f>
        <v>3095798.1027973853</v>
      </c>
      <c r="E695">
        <f t="shared" si="24"/>
        <v>3095809.2098404723</v>
      </c>
      <c r="F695">
        <f>Process!$H700*ref_umbral-Process!$G700</f>
        <v>3095809.2193489126</v>
      </c>
      <c r="G695">
        <f>Process!$K700*ref_umbral-Process!$J700</f>
        <v>3095801.3580668112</v>
      </c>
      <c r="H695">
        <f t="shared" si="25"/>
        <v>3095809.2193489126</v>
      </c>
    </row>
    <row r="696" spans="3:8" x14ac:dyDescent="0.3">
      <c r="C696">
        <f>Process!$I701*ref_umbral-Process!$G701</f>
        <v>3095809.0886650207</v>
      </c>
      <c r="D696">
        <f>Process!$L701*ref_umbral-Process!$J701</f>
        <v>3095805.9479454998</v>
      </c>
      <c r="E696">
        <f t="shared" si="24"/>
        <v>3095809.0886650207</v>
      </c>
      <c r="F696">
        <f>Process!$H701*ref_umbral-Process!$G701</f>
        <v>3095809.238588037</v>
      </c>
      <c r="G696">
        <f>Process!$K701*ref_umbral-Process!$J701</f>
        <v>3095807.7016285923</v>
      </c>
      <c r="H696">
        <f t="shared" si="25"/>
        <v>3095809.238588037</v>
      </c>
    </row>
    <row r="697" spans="3:8" x14ac:dyDescent="0.3">
      <c r="C697">
        <f>Process!$I702*ref_umbral-Process!$G702</f>
        <v>3095809.3594774269</v>
      </c>
      <c r="D697">
        <f>Process!$L702*ref_umbral-Process!$J702</f>
        <v>3095806.1661789105</v>
      </c>
      <c r="E697">
        <f t="shared" si="24"/>
        <v>3095809.3594774269</v>
      </c>
      <c r="F697">
        <f>Process!$H702*ref_umbral-Process!$G702</f>
        <v>3095809.4526450722</v>
      </c>
      <c r="G697">
        <f>Process!$K702*ref_umbral-Process!$J702</f>
        <v>3095808.4740898986</v>
      </c>
      <c r="H697">
        <f t="shared" si="25"/>
        <v>3095809.4526450722</v>
      </c>
    </row>
    <row r="698" spans="3:8" x14ac:dyDescent="0.3">
      <c r="C698">
        <f>Process!$I703*ref_umbral-Process!$G703</f>
        <v>3095809.5423201635</v>
      </c>
      <c r="D698">
        <f>Process!$L703*ref_umbral-Process!$J703</f>
        <v>3095806.9889229494</v>
      </c>
      <c r="E698">
        <f t="shared" si="24"/>
        <v>3095809.5423201635</v>
      </c>
      <c r="F698">
        <f>Process!$H703*ref_umbral-Process!$G703</f>
        <v>3095809.6391708557</v>
      </c>
      <c r="G698">
        <f>Process!$K703*ref_umbral-Process!$J703</f>
        <v>3095809.3210477582</v>
      </c>
      <c r="H698">
        <f t="shared" si="25"/>
        <v>3095809.6391708557</v>
      </c>
    </row>
    <row r="699" spans="3:8" x14ac:dyDescent="0.3">
      <c r="C699">
        <f>Process!$I704*ref_umbral-Process!$G704</f>
        <v>3095808.9354491965</v>
      </c>
      <c r="D699">
        <f>Process!$L704*ref_umbral-Process!$J704</f>
        <v>3095803.3124860916</v>
      </c>
      <c r="E699">
        <f t="shared" si="24"/>
        <v>3095808.9354491965</v>
      </c>
      <c r="F699">
        <f>Process!$H704*ref_umbral-Process!$G704</f>
        <v>3095809.2099967338</v>
      </c>
      <c r="G699">
        <f>Process!$K704*ref_umbral-Process!$J704</f>
        <v>3095806.9479347696</v>
      </c>
      <c r="H699">
        <f t="shared" si="25"/>
        <v>3095809.2099967338</v>
      </c>
    </row>
    <row r="700" spans="3:8" x14ac:dyDescent="0.3">
      <c r="C700">
        <f>Process!$I705*ref_umbral-Process!$G705</f>
        <v>3095809.1325658807</v>
      </c>
      <c r="D700">
        <f>Process!$L705*ref_umbral-Process!$J705</f>
        <v>3095792.8600876369</v>
      </c>
      <c r="E700">
        <f t="shared" si="24"/>
        <v>3095809.1325658807</v>
      </c>
      <c r="F700">
        <f>Process!$H705*ref_umbral-Process!$G705</f>
        <v>3095809.280904559</v>
      </c>
      <c r="G700">
        <f>Process!$K705*ref_umbral-Process!$J705</f>
        <v>3095795.1393551747</v>
      </c>
      <c r="H700">
        <f t="shared" si="25"/>
        <v>3095809.280904559</v>
      </c>
    </row>
    <row r="701" spans="3:8" x14ac:dyDescent="0.3">
      <c r="C701">
        <f>Process!$I706*ref_umbral-Process!$G706</f>
        <v>3095807.9071616097</v>
      </c>
      <c r="D701">
        <f>Process!$L706*ref_umbral-Process!$J706</f>
        <v>3095803.2432982735</v>
      </c>
      <c r="E701">
        <f t="shared" si="24"/>
        <v>3095807.9071616097</v>
      </c>
      <c r="F701">
        <f>Process!$H706*ref_umbral-Process!$G706</f>
        <v>3095808.4701119456</v>
      </c>
      <c r="G701">
        <f>Process!$K706*ref_umbral-Process!$J706</f>
        <v>3095805.3363109161</v>
      </c>
      <c r="H701">
        <f t="shared" si="25"/>
        <v>3095808.4701119456</v>
      </c>
    </row>
    <row r="702" spans="3:8" x14ac:dyDescent="0.3">
      <c r="C702">
        <f>Process!$I707*ref_umbral-Process!$G707</f>
        <v>3095809.4318175488</v>
      </c>
      <c r="D702">
        <f>Process!$L707*ref_umbral-Process!$J707</f>
        <v>3095802.8819325939</v>
      </c>
      <c r="E702">
        <f t="shared" si="24"/>
        <v>3095809.4318175488</v>
      </c>
      <c r="F702">
        <f>Process!$H707*ref_umbral-Process!$G707</f>
        <v>3095809.5124660721</v>
      </c>
      <c r="G702">
        <f>Process!$K707*ref_umbral-Process!$J707</f>
        <v>3095804.9904580349</v>
      </c>
      <c r="H702">
        <f t="shared" si="25"/>
        <v>3095809.5124660721</v>
      </c>
    </row>
    <row r="703" spans="3:8" x14ac:dyDescent="0.3">
      <c r="C703">
        <f>Process!$I708*ref_umbral-Process!$G708</f>
        <v>3095809.3459679945</v>
      </c>
      <c r="D703">
        <f>Process!$L708*ref_umbral-Process!$J708</f>
        <v>3095804.4915094492</v>
      </c>
      <c r="E703">
        <f t="shared" si="24"/>
        <v>3095809.3459679945</v>
      </c>
      <c r="F703">
        <f>Process!$H708*ref_umbral-Process!$G708</f>
        <v>3095809.4664948275</v>
      </c>
      <c r="G703">
        <f>Process!$K708*ref_umbral-Process!$J708</f>
        <v>3095805.2885502139</v>
      </c>
      <c r="H703">
        <f t="shared" si="25"/>
        <v>3095809.4664948275</v>
      </c>
    </row>
    <row r="704" spans="3:8" x14ac:dyDescent="0.3">
      <c r="C704">
        <f>Process!$I709*ref_umbral-Process!$G709</f>
        <v>3095809.388617143</v>
      </c>
      <c r="D704">
        <f>Process!$L709*ref_umbral-Process!$J709</f>
        <v>3095804.4897720208</v>
      </c>
      <c r="E704">
        <f t="shared" si="24"/>
        <v>3095809.388617143</v>
      </c>
      <c r="F704">
        <f>Process!$H709*ref_umbral-Process!$G709</f>
        <v>3095809.5558444816</v>
      </c>
      <c r="G704">
        <f>Process!$K709*ref_umbral-Process!$J709</f>
        <v>3095806.4042864423</v>
      </c>
      <c r="H704">
        <f t="shared" si="25"/>
        <v>3095809.5558444816</v>
      </c>
    </row>
    <row r="705" spans="3:8" x14ac:dyDescent="0.3">
      <c r="C705">
        <f>Process!$I710*ref_umbral-Process!$G710</f>
        <v>3095808.6571479295</v>
      </c>
      <c r="D705">
        <f>Process!$L710*ref_umbral-Process!$J710</f>
        <v>3095800.1016632705</v>
      </c>
      <c r="E705">
        <f t="shared" si="24"/>
        <v>3095808.6571479295</v>
      </c>
      <c r="F705">
        <f>Process!$H710*ref_umbral-Process!$G710</f>
        <v>3095809.0559176011</v>
      </c>
      <c r="G705">
        <f>Process!$K710*ref_umbral-Process!$J710</f>
        <v>3095803.0548164356</v>
      </c>
      <c r="H705">
        <f t="shared" si="25"/>
        <v>3095809.0559176011</v>
      </c>
    </row>
    <row r="706" spans="3:8" x14ac:dyDescent="0.3">
      <c r="C706">
        <f>Process!$I711*ref_umbral-Process!$G711</f>
        <v>3095808.7719562193</v>
      </c>
      <c r="D706">
        <f>Process!$L711*ref_umbral-Process!$J711</f>
        <v>3095803.5554899755</v>
      </c>
      <c r="E706">
        <f t="shared" si="24"/>
        <v>3095808.7719562193</v>
      </c>
      <c r="F706">
        <f>Process!$H711*ref_umbral-Process!$G711</f>
        <v>3095809.0053698476</v>
      </c>
      <c r="G706">
        <f>Process!$K711*ref_umbral-Process!$J711</f>
        <v>3095806.1687761173</v>
      </c>
      <c r="H706">
        <f t="shared" si="25"/>
        <v>3095809.0053698476</v>
      </c>
    </row>
    <row r="707" spans="3:8" x14ac:dyDescent="0.3">
      <c r="C707">
        <f>Process!$I712*ref_umbral-Process!$G712</f>
        <v>3095808.8444162691</v>
      </c>
      <c r="D707">
        <f>Process!$L712*ref_umbral-Process!$J712</f>
        <v>3095803.612791833</v>
      </c>
      <c r="E707">
        <f t="shared" si="24"/>
        <v>3095808.8444162691</v>
      </c>
      <c r="F707">
        <f>Process!$H712*ref_umbral-Process!$G712</f>
        <v>3095809.3161091078</v>
      </c>
      <c r="G707">
        <f>Process!$K712*ref_umbral-Process!$J712</f>
        <v>3095807.4896559194</v>
      </c>
      <c r="H707">
        <f t="shared" si="25"/>
        <v>3095809.3161091078</v>
      </c>
    </row>
    <row r="708" spans="3:8" x14ac:dyDescent="0.3">
      <c r="C708">
        <f>Process!$I713*ref_umbral-Process!$G713</f>
        <v>3095809.5516472426</v>
      </c>
      <c r="D708">
        <f>Process!$L713*ref_umbral-Process!$J713</f>
        <v>3095808.2056919546</v>
      </c>
      <c r="E708">
        <f t="shared" si="24"/>
        <v>3095809.5516472426</v>
      </c>
      <c r="F708">
        <f>Process!$H713*ref_umbral-Process!$G713</f>
        <v>3095809.662843504</v>
      </c>
      <c r="G708">
        <f>Process!$K713*ref_umbral-Process!$J713</f>
        <v>3095809.4619809068</v>
      </c>
      <c r="H708">
        <f t="shared" si="25"/>
        <v>3095809.662843504</v>
      </c>
    </row>
    <row r="709" spans="3:8" x14ac:dyDescent="0.3">
      <c r="C709">
        <f>Process!$I714*ref_umbral-Process!$G714</f>
        <v>3095809.020082931</v>
      </c>
      <c r="D709">
        <f>Process!$L714*ref_umbral-Process!$J714</f>
        <v>3095801.4088379024</v>
      </c>
      <c r="E709">
        <f t="shared" si="24"/>
        <v>3095809.020082931</v>
      </c>
      <c r="F709">
        <f>Process!$H714*ref_umbral-Process!$G714</f>
        <v>3095809.3251812332</v>
      </c>
      <c r="G709">
        <f>Process!$K714*ref_umbral-Process!$J714</f>
        <v>3095804.3178070714</v>
      </c>
      <c r="H709">
        <f t="shared" si="25"/>
        <v>3095809.3251812332</v>
      </c>
    </row>
    <row r="710" spans="3:8" x14ac:dyDescent="0.3">
      <c r="C710">
        <f>Process!$I715*ref_umbral-Process!$G715</f>
        <v>3095809.7550801816</v>
      </c>
      <c r="D710">
        <f>Process!$L715*ref_umbral-Process!$J715</f>
        <v>3095807.2274616733</v>
      </c>
      <c r="E710">
        <f t="shared" si="24"/>
        <v>3095809.7550801816</v>
      </c>
      <c r="F710">
        <f>Process!$H715*ref_umbral-Process!$G715</f>
        <v>3095809.7731065527</v>
      </c>
      <c r="G710">
        <f>Process!$K715*ref_umbral-Process!$J715</f>
        <v>3095809.1659509549</v>
      </c>
      <c r="H710">
        <f t="shared" si="25"/>
        <v>3095809.7731065527</v>
      </c>
    </row>
    <row r="711" spans="3:8" x14ac:dyDescent="0.3">
      <c r="C711">
        <f>Process!$I716*ref_umbral-Process!$G716</f>
        <v>3095809.5919019193</v>
      </c>
      <c r="D711">
        <f>Process!$L716*ref_umbral-Process!$J716</f>
        <v>3095801.6378460452</v>
      </c>
      <c r="E711">
        <f t="shared" ref="E711:E774" si="26">MAX(C711,D711)</f>
        <v>3095809.5919019193</v>
      </c>
      <c r="F711">
        <f>Process!$H716*ref_umbral-Process!$G716</f>
        <v>3095809.6734502437</v>
      </c>
      <c r="G711">
        <f>Process!$K716*ref_umbral-Process!$J716</f>
        <v>3095802.8706494868</v>
      </c>
      <c r="H711">
        <f t="shared" ref="H711:H774" si="27">MAX(F711,G711)</f>
        <v>3095809.6734502437</v>
      </c>
    </row>
    <row r="712" spans="3:8" x14ac:dyDescent="0.3">
      <c r="C712">
        <f>Process!$I717*ref_umbral-Process!$G717</f>
        <v>3095809.4782411447</v>
      </c>
      <c r="D712">
        <f>Process!$L717*ref_umbral-Process!$J717</f>
        <v>3095807.7580034602</v>
      </c>
      <c r="E712">
        <f t="shared" si="26"/>
        <v>3095809.4782411447</v>
      </c>
      <c r="F712">
        <f>Process!$H717*ref_umbral-Process!$G717</f>
        <v>3095809.567360186</v>
      </c>
      <c r="G712">
        <f>Process!$K717*ref_umbral-Process!$J717</f>
        <v>3095809.1467958041</v>
      </c>
      <c r="H712">
        <f t="shared" si="27"/>
        <v>3095809.567360186</v>
      </c>
    </row>
    <row r="713" spans="3:8" x14ac:dyDescent="0.3">
      <c r="C713">
        <f>Process!$I718*ref_umbral-Process!$G718</f>
        <v>3095809.3283080058</v>
      </c>
      <c r="D713">
        <f>Process!$L718*ref_umbral-Process!$J718</f>
        <v>3095804.5785940327</v>
      </c>
      <c r="E713">
        <f t="shared" si="26"/>
        <v>3095809.3283080058</v>
      </c>
      <c r="F713">
        <f>Process!$H718*ref_umbral-Process!$G718</f>
        <v>3095809.4665693594</v>
      </c>
      <c r="G713">
        <f>Process!$K718*ref_umbral-Process!$J718</f>
        <v>3095806.6169988434</v>
      </c>
      <c r="H713">
        <f t="shared" si="27"/>
        <v>3095809.4665693594</v>
      </c>
    </row>
    <row r="714" spans="3:8" x14ac:dyDescent="0.3">
      <c r="C714">
        <f>Process!$I719*ref_umbral-Process!$G719</f>
        <v>3095809.2362495782</v>
      </c>
      <c r="D714">
        <f>Process!$L719*ref_umbral-Process!$J719</f>
        <v>3095802.8980146698</v>
      </c>
      <c r="E714">
        <f t="shared" si="26"/>
        <v>3095809.2362495782</v>
      </c>
      <c r="F714">
        <f>Process!$H719*ref_umbral-Process!$G719</f>
        <v>3095809.2958775456</v>
      </c>
      <c r="G714">
        <f>Process!$K719*ref_umbral-Process!$J719</f>
        <v>3095806.0463813115</v>
      </c>
      <c r="H714">
        <f t="shared" si="27"/>
        <v>3095809.2958775456</v>
      </c>
    </row>
    <row r="715" spans="3:8" x14ac:dyDescent="0.3">
      <c r="C715">
        <f>Process!$I720*ref_umbral-Process!$G720</f>
        <v>3095809.4474700955</v>
      </c>
      <c r="D715">
        <f>Process!$L720*ref_umbral-Process!$J720</f>
        <v>3095805.2786414539</v>
      </c>
      <c r="E715">
        <f t="shared" si="26"/>
        <v>3095809.4474700955</v>
      </c>
      <c r="F715">
        <f>Process!$H720*ref_umbral-Process!$G720</f>
        <v>3095809.6129937205</v>
      </c>
      <c r="G715">
        <f>Process!$K720*ref_umbral-Process!$J720</f>
        <v>3095808.2334103668</v>
      </c>
      <c r="H715">
        <f t="shared" si="27"/>
        <v>3095809.6129937205</v>
      </c>
    </row>
    <row r="716" spans="3:8" x14ac:dyDescent="0.3">
      <c r="C716">
        <f>Process!$I721*ref_umbral-Process!$G721</f>
        <v>3095809.3321850789</v>
      </c>
      <c r="D716">
        <f>Process!$L721*ref_umbral-Process!$J721</f>
        <v>3095804.1240294124</v>
      </c>
      <c r="E716">
        <f t="shared" si="26"/>
        <v>3095809.3321850789</v>
      </c>
      <c r="F716">
        <f>Process!$H721*ref_umbral-Process!$G721</f>
        <v>3095809.3799891393</v>
      </c>
      <c r="G716">
        <f>Process!$K721*ref_umbral-Process!$J721</f>
        <v>3095806.0713912318</v>
      </c>
      <c r="H716">
        <f t="shared" si="27"/>
        <v>3095809.3799891393</v>
      </c>
    </row>
    <row r="717" spans="3:8" x14ac:dyDescent="0.3">
      <c r="C717">
        <f>Process!$I722*ref_umbral-Process!$G722</f>
        <v>3095809.429927432</v>
      </c>
      <c r="D717">
        <f>Process!$L722*ref_umbral-Process!$J722</f>
        <v>3095803.6378481104</v>
      </c>
      <c r="E717">
        <f t="shared" si="26"/>
        <v>3095809.429927432</v>
      </c>
      <c r="F717">
        <f>Process!$H722*ref_umbral-Process!$G722</f>
        <v>3095809.5393562848</v>
      </c>
      <c r="G717">
        <f>Process!$K722*ref_umbral-Process!$J722</f>
        <v>3095805.9936648873</v>
      </c>
      <c r="H717">
        <f t="shared" si="27"/>
        <v>3095809.5393562848</v>
      </c>
    </row>
    <row r="718" spans="3:8" x14ac:dyDescent="0.3">
      <c r="C718">
        <f>Process!$I723*ref_umbral-Process!$G723</f>
        <v>3095809.2743037492</v>
      </c>
      <c r="D718">
        <f>Process!$L723*ref_umbral-Process!$J723</f>
        <v>3095801.997543525</v>
      </c>
      <c r="E718">
        <f t="shared" si="26"/>
        <v>3095809.2743037492</v>
      </c>
      <c r="F718">
        <f>Process!$H723*ref_umbral-Process!$G723</f>
        <v>3095809.4746341845</v>
      </c>
      <c r="G718">
        <f>Process!$K723*ref_umbral-Process!$J723</f>
        <v>3095804.1203661142</v>
      </c>
      <c r="H718">
        <f t="shared" si="27"/>
        <v>3095809.4746341845</v>
      </c>
    </row>
    <row r="719" spans="3:8" x14ac:dyDescent="0.3">
      <c r="C719">
        <f>Process!$I724*ref_umbral-Process!$G724</f>
        <v>3095809.6035182588</v>
      </c>
      <c r="D719">
        <f>Process!$L724*ref_umbral-Process!$J724</f>
        <v>3095803.7893664292</v>
      </c>
      <c r="E719">
        <f t="shared" si="26"/>
        <v>3095809.6035182588</v>
      </c>
      <c r="F719">
        <f>Process!$H724*ref_umbral-Process!$G724</f>
        <v>3095809.7077415036</v>
      </c>
      <c r="G719">
        <f>Process!$K724*ref_umbral-Process!$J724</f>
        <v>3095805.4649373097</v>
      </c>
      <c r="H719">
        <f t="shared" si="27"/>
        <v>3095809.7077415036</v>
      </c>
    </row>
    <row r="720" spans="3:8" x14ac:dyDescent="0.3">
      <c r="C720">
        <f>Process!$I725*ref_umbral-Process!$G725</f>
        <v>3095809.7190078748</v>
      </c>
      <c r="D720">
        <f>Process!$L725*ref_umbral-Process!$J725</f>
        <v>3095804.4103720044</v>
      </c>
      <c r="E720">
        <f t="shared" si="26"/>
        <v>3095809.7190078748</v>
      </c>
      <c r="F720">
        <f>Process!$H725*ref_umbral-Process!$G725</f>
        <v>3095809.7292823428</v>
      </c>
      <c r="G720">
        <f>Process!$K725*ref_umbral-Process!$J725</f>
        <v>3095805.1417212253</v>
      </c>
      <c r="H720">
        <f t="shared" si="27"/>
        <v>3095809.7292823428</v>
      </c>
    </row>
    <row r="721" spans="3:8" x14ac:dyDescent="0.3">
      <c r="C721">
        <f>Process!$I726*ref_umbral-Process!$G726</f>
        <v>3095809.3202790213</v>
      </c>
      <c r="D721">
        <f>Process!$L726*ref_umbral-Process!$J726</f>
        <v>3095796.7472997196</v>
      </c>
      <c r="E721">
        <f t="shared" si="26"/>
        <v>3095809.3202790213</v>
      </c>
      <c r="F721">
        <f>Process!$H726*ref_umbral-Process!$G726</f>
        <v>3095809.5070018675</v>
      </c>
      <c r="G721">
        <f>Process!$K726*ref_umbral-Process!$J726</f>
        <v>3095797.8656816063</v>
      </c>
      <c r="H721">
        <f t="shared" si="27"/>
        <v>3095809.5070018675</v>
      </c>
    </row>
    <row r="722" spans="3:8" x14ac:dyDescent="0.3">
      <c r="C722">
        <f>Process!$I727*ref_umbral-Process!$G727</f>
        <v>3095808.3458684082</v>
      </c>
      <c r="D722">
        <f>Process!$L727*ref_umbral-Process!$J727</f>
        <v>3095791.5317945476</v>
      </c>
      <c r="E722">
        <f t="shared" si="26"/>
        <v>3095808.3458684082</v>
      </c>
      <c r="F722">
        <f>Process!$H727*ref_umbral-Process!$G727</f>
        <v>3095808.4832225149</v>
      </c>
      <c r="G722">
        <f>Process!$K727*ref_umbral-Process!$J727</f>
        <v>3095792.6175275347</v>
      </c>
      <c r="H722">
        <f t="shared" si="27"/>
        <v>3095808.4832225149</v>
      </c>
    </row>
    <row r="723" spans="3:8" x14ac:dyDescent="0.3">
      <c r="C723">
        <f>Process!$I728*ref_umbral-Process!$G728</f>
        <v>3095809.4367159801</v>
      </c>
      <c r="D723">
        <f>Process!$L728*ref_umbral-Process!$J728</f>
        <v>3095801.6048897025</v>
      </c>
      <c r="E723">
        <f t="shared" si="26"/>
        <v>3095809.4367159801</v>
      </c>
      <c r="F723">
        <f>Process!$H728*ref_umbral-Process!$G728</f>
        <v>3095809.5182200302</v>
      </c>
      <c r="G723">
        <f>Process!$K728*ref_umbral-Process!$J728</f>
        <v>3095803.7653134894</v>
      </c>
      <c r="H723">
        <f t="shared" si="27"/>
        <v>3095809.5182200302</v>
      </c>
    </row>
    <row r="724" spans="3:8" x14ac:dyDescent="0.3">
      <c r="C724">
        <f>Process!$I729*ref_umbral-Process!$G729</f>
        <v>3095809.1605934999</v>
      </c>
      <c r="D724">
        <f>Process!$L729*ref_umbral-Process!$J729</f>
        <v>3095800.3059981903</v>
      </c>
      <c r="E724">
        <f t="shared" si="26"/>
        <v>3095809.1605934999</v>
      </c>
      <c r="F724">
        <f>Process!$H729*ref_umbral-Process!$G729</f>
        <v>3095809.3024184084</v>
      </c>
      <c r="G724">
        <f>Process!$K729*ref_umbral-Process!$J729</f>
        <v>3095802.1743505551</v>
      </c>
      <c r="H724">
        <f t="shared" si="27"/>
        <v>3095809.3024184084</v>
      </c>
    </row>
    <row r="725" spans="3:8" x14ac:dyDescent="0.3">
      <c r="C725">
        <f>Process!$I730*ref_umbral-Process!$G730</f>
        <v>3095809.4747194243</v>
      </c>
      <c r="D725">
        <f>Process!$L730*ref_umbral-Process!$J730</f>
        <v>3095805.0647740737</v>
      </c>
      <c r="E725">
        <f t="shared" si="26"/>
        <v>3095809.4747194243</v>
      </c>
      <c r="F725">
        <f>Process!$H730*ref_umbral-Process!$G730</f>
        <v>3095809.6083741193</v>
      </c>
      <c r="G725">
        <f>Process!$K730*ref_umbral-Process!$J730</f>
        <v>3095807.1379247275</v>
      </c>
      <c r="H725">
        <f t="shared" si="27"/>
        <v>3095809.6083741193</v>
      </c>
    </row>
    <row r="726" spans="3:8" x14ac:dyDescent="0.3">
      <c r="C726">
        <f>Process!$I731*ref_umbral-Process!$G731</f>
        <v>3095809.3427367718</v>
      </c>
      <c r="D726">
        <f>Process!$L731*ref_umbral-Process!$J731</f>
        <v>3095806.0054165712</v>
      </c>
      <c r="E726">
        <f t="shared" si="26"/>
        <v>3095809.3427367718</v>
      </c>
      <c r="F726">
        <f>Process!$H731*ref_umbral-Process!$G731</f>
        <v>3095809.5382230822</v>
      </c>
      <c r="G726">
        <f>Process!$K731*ref_umbral-Process!$J731</f>
        <v>3095809.011869479</v>
      </c>
      <c r="H726">
        <f t="shared" si="27"/>
        <v>3095809.5382230822</v>
      </c>
    </row>
    <row r="727" spans="3:8" x14ac:dyDescent="0.3">
      <c r="C727">
        <f>Process!$I732*ref_umbral-Process!$G732</f>
        <v>3095808.8217768138</v>
      </c>
      <c r="D727">
        <f>Process!$L732*ref_umbral-Process!$J732</f>
        <v>3095804.9324538857</v>
      </c>
      <c r="E727">
        <f t="shared" si="26"/>
        <v>3095808.8217768138</v>
      </c>
      <c r="F727">
        <f>Process!$H732*ref_umbral-Process!$G732</f>
        <v>3095809.2116110665</v>
      </c>
      <c r="G727">
        <f>Process!$K732*ref_umbral-Process!$J732</f>
        <v>3095809.3247374063</v>
      </c>
      <c r="H727">
        <f t="shared" si="27"/>
        <v>3095809.3247374063</v>
      </c>
    </row>
    <row r="728" spans="3:8" x14ac:dyDescent="0.3">
      <c r="C728">
        <f>Process!$I733*ref_umbral-Process!$G733</f>
        <v>3095809.4611394941</v>
      </c>
      <c r="D728">
        <f>Process!$L733*ref_umbral-Process!$J733</f>
        <v>3095791.2680293494</v>
      </c>
      <c r="E728">
        <f t="shared" si="26"/>
        <v>3095809.4611394941</v>
      </c>
      <c r="F728">
        <f>Process!$H733*ref_umbral-Process!$G733</f>
        <v>3095809.5136321345</v>
      </c>
      <c r="G728">
        <f>Process!$K733*ref_umbral-Process!$J733</f>
        <v>3095793.5336549785</v>
      </c>
      <c r="H728">
        <f t="shared" si="27"/>
        <v>3095809.5136321345</v>
      </c>
    </row>
    <row r="729" spans="3:8" x14ac:dyDescent="0.3">
      <c r="C729">
        <f>Process!$I734*ref_umbral-Process!$G734</f>
        <v>3095809.2418771107</v>
      </c>
      <c r="D729">
        <f>Process!$L734*ref_umbral-Process!$J734</f>
        <v>3095804.8226246308</v>
      </c>
      <c r="E729">
        <f t="shared" si="26"/>
        <v>3095809.2418771107</v>
      </c>
      <c r="F729">
        <f>Process!$H734*ref_umbral-Process!$G734</f>
        <v>3095809.5417680899</v>
      </c>
      <c r="G729">
        <f>Process!$K734*ref_umbral-Process!$J734</f>
        <v>3095807.9689093502</v>
      </c>
      <c r="H729">
        <f t="shared" si="27"/>
        <v>3095809.5417680899</v>
      </c>
    </row>
    <row r="730" spans="3:8" x14ac:dyDescent="0.3">
      <c r="C730">
        <f>Process!$I735*ref_umbral-Process!$G735</f>
        <v>3095809.2276238021</v>
      </c>
      <c r="D730">
        <f>Process!$L735*ref_umbral-Process!$J735</f>
        <v>3095798.7536906959</v>
      </c>
      <c r="E730">
        <f t="shared" si="26"/>
        <v>3095809.2276238021</v>
      </c>
      <c r="F730">
        <f>Process!$H735*ref_umbral-Process!$G735</f>
        <v>3095809.4154059798</v>
      </c>
      <c r="G730">
        <f>Process!$K735*ref_umbral-Process!$J735</f>
        <v>3095801.5189378504</v>
      </c>
      <c r="H730">
        <f t="shared" si="27"/>
        <v>3095809.4154059798</v>
      </c>
    </row>
    <row r="731" spans="3:8" x14ac:dyDescent="0.3">
      <c r="C731">
        <f>Process!$I736*ref_umbral-Process!$G736</f>
        <v>3095809.3500011247</v>
      </c>
      <c r="D731">
        <f>Process!$L736*ref_umbral-Process!$J736</f>
        <v>3095805.9056388154</v>
      </c>
      <c r="E731">
        <f t="shared" si="26"/>
        <v>3095809.3500011247</v>
      </c>
      <c r="F731">
        <f>Process!$H736*ref_umbral-Process!$G736</f>
        <v>3095809.5338742225</v>
      </c>
      <c r="G731">
        <f>Process!$K736*ref_umbral-Process!$J736</f>
        <v>3095808.2519891164</v>
      </c>
      <c r="H731">
        <f t="shared" si="27"/>
        <v>3095809.5338742225</v>
      </c>
    </row>
    <row r="732" spans="3:8" x14ac:dyDescent="0.3">
      <c r="C732">
        <f>Process!$I737*ref_umbral-Process!$G737</f>
        <v>3095809.543250226</v>
      </c>
      <c r="D732">
        <f>Process!$L737*ref_umbral-Process!$J737</f>
        <v>3095806.7596700587</v>
      </c>
      <c r="E732">
        <f t="shared" si="26"/>
        <v>3095809.543250226</v>
      </c>
      <c r="F732">
        <f>Process!$H737*ref_umbral-Process!$G737</f>
        <v>3095809.6382040912</v>
      </c>
      <c r="G732">
        <f>Process!$K737*ref_umbral-Process!$J737</f>
        <v>3095808.2844233001</v>
      </c>
      <c r="H732">
        <f t="shared" si="27"/>
        <v>3095809.6382040912</v>
      </c>
    </row>
    <row r="733" spans="3:8" x14ac:dyDescent="0.3">
      <c r="C733">
        <f>Process!$I738*ref_umbral-Process!$G738</f>
        <v>3095808.6368095982</v>
      </c>
      <c r="D733">
        <f>Process!$L738*ref_umbral-Process!$J738</f>
        <v>3095803.0327683245</v>
      </c>
      <c r="E733">
        <f t="shared" si="26"/>
        <v>3095808.6368095982</v>
      </c>
      <c r="F733">
        <f>Process!$H738*ref_umbral-Process!$G738</f>
        <v>3095808.9131752928</v>
      </c>
      <c r="G733">
        <f>Process!$K738*ref_umbral-Process!$J738</f>
        <v>3095805.4848173307</v>
      </c>
      <c r="H733">
        <f t="shared" si="27"/>
        <v>3095808.9131752928</v>
      </c>
    </row>
    <row r="734" spans="3:8" x14ac:dyDescent="0.3">
      <c r="C734">
        <f>Process!$I739*ref_umbral-Process!$G739</f>
        <v>3095809.5072849789</v>
      </c>
      <c r="D734">
        <f>Process!$L739*ref_umbral-Process!$J739</f>
        <v>3095805.3795070881</v>
      </c>
      <c r="E734">
        <f t="shared" si="26"/>
        <v>3095809.5072849789</v>
      </c>
      <c r="F734">
        <f>Process!$H739*ref_umbral-Process!$G739</f>
        <v>3095809.5471520894</v>
      </c>
      <c r="G734">
        <f>Process!$K739*ref_umbral-Process!$J739</f>
        <v>3095807.4392101988</v>
      </c>
      <c r="H734">
        <f t="shared" si="27"/>
        <v>3095809.5471520894</v>
      </c>
    </row>
    <row r="735" spans="3:8" x14ac:dyDescent="0.3">
      <c r="C735">
        <f>Process!$I740*ref_umbral-Process!$G740</f>
        <v>3095809.1991115971</v>
      </c>
      <c r="D735">
        <f>Process!$L740*ref_umbral-Process!$J740</f>
        <v>3095803.4450543257</v>
      </c>
      <c r="E735">
        <f t="shared" si="26"/>
        <v>3095809.1991115971</v>
      </c>
      <c r="F735">
        <f>Process!$H740*ref_umbral-Process!$G740</f>
        <v>3095809.3914873842</v>
      </c>
      <c r="G735">
        <f>Process!$K740*ref_umbral-Process!$J740</f>
        <v>3095805.5594213428</v>
      </c>
      <c r="H735">
        <f t="shared" si="27"/>
        <v>3095809.3914873842</v>
      </c>
    </row>
    <row r="736" spans="3:8" x14ac:dyDescent="0.3">
      <c r="C736">
        <f>Process!$I741*ref_umbral-Process!$G741</f>
        <v>3095809.4742039125</v>
      </c>
      <c r="D736">
        <f>Process!$L741*ref_umbral-Process!$J741</f>
        <v>3095798.1512301578</v>
      </c>
      <c r="E736">
        <f t="shared" si="26"/>
        <v>3095809.4742039125</v>
      </c>
      <c r="F736">
        <f>Process!$H741*ref_umbral-Process!$G741</f>
        <v>3095809.562055646</v>
      </c>
      <c r="G736">
        <f>Process!$K741*ref_umbral-Process!$J741</f>
        <v>3095799.9008161537</v>
      </c>
      <c r="H736">
        <f t="shared" si="27"/>
        <v>3095809.562055646</v>
      </c>
    </row>
    <row r="737" spans="3:8" x14ac:dyDescent="0.3">
      <c r="C737">
        <f>Process!$I742*ref_umbral-Process!$G742</f>
        <v>3095808.8990079253</v>
      </c>
      <c r="D737">
        <f>Process!$L742*ref_umbral-Process!$J742</f>
        <v>3095804.4979058467</v>
      </c>
      <c r="E737">
        <f t="shared" si="26"/>
        <v>3095808.8990079253</v>
      </c>
      <c r="F737">
        <f>Process!$H742*ref_umbral-Process!$G742</f>
        <v>3095809.1852180362</v>
      </c>
      <c r="G737">
        <f>Process!$K742*ref_umbral-Process!$J742</f>
        <v>3095808.3151108702</v>
      </c>
      <c r="H737">
        <f t="shared" si="27"/>
        <v>3095809.1852180362</v>
      </c>
    </row>
    <row r="738" spans="3:8" x14ac:dyDescent="0.3">
      <c r="C738">
        <f>Process!$I743*ref_umbral-Process!$G743</f>
        <v>3095809.3093588031</v>
      </c>
      <c r="D738">
        <f>Process!$L743*ref_umbral-Process!$J743</f>
        <v>3095806.9036112432</v>
      </c>
      <c r="E738">
        <f t="shared" si="26"/>
        <v>3095809.3093588031</v>
      </c>
      <c r="F738">
        <f>Process!$H743*ref_umbral-Process!$G743</f>
        <v>3095809.3881510794</v>
      </c>
      <c r="G738">
        <f>Process!$K743*ref_umbral-Process!$J743</f>
        <v>3095808.2800733889</v>
      </c>
      <c r="H738">
        <f t="shared" si="27"/>
        <v>3095809.3881510794</v>
      </c>
    </row>
    <row r="739" spans="3:8" x14ac:dyDescent="0.3">
      <c r="C739">
        <f>Process!$I744*ref_umbral-Process!$G744</f>
        <v>3095808.6139808954</v>
      </c>
      <c r="D739">
        <f>Process!$L744*ref_umbral-Process!$J744</f>
        <v>3095798.6591106541</v>
      </c>
      <c r="E739">
        <f t="shared" si="26"/>
        <v>3095808.6139808954</v>
      </c>
      <c r="F739">
        <f>Process!$H744*ref_umbral-Process!$G744</f>
        <v>3095808.8263292219</v>
      </c>
      <c r="G739">
        <f>Process!$K744*ref_umbral-Process!$J744</f>
        <v>3095800.4494884615</v>
      </c>
      <c r="H739">
        <f t="shared" si="27"/>
        <v>3095808.8263292219</v>
      </c>
    </row>
    <row r="740" spans="3:8" x14ac:dyDescent="0.3">
      <c r="C740">
        <f>Process!$I745*ref_umbral-Process!$G745</f>
        <v>3095809.0334680993</v>
      </c>
      <c r="D740">
        <f>Process!$L745*ref_umbral-Process!$J745</f>
        <v>3095807.1273350115</v>
      </c>
      <c r="E740">
        <f t="shared" si="26"/>
        <v>3095809.0334680993</v>
      </c>
      <c r="F740">
        <f>Process!$H745*ref_umbral-Process!$G745</f>
        <v>3095809.3982915827</v>
      </c>
      <c r="G740">
        <f>Process!$K745*ref_umbral-Process!$J745</f>
        <v>3095808.5280235247</v>
      </c>
      <c r="H740">
        <f t="shared" si="27"/>
        <v>3095809.3982915827</v>
      </c>
    </row>
    <row r="741" spans="3:8" x14ac:dyDescent="0.3">
      <c r="C741">
        <f>Process!$I746*ref_umbral-Process!$G746</f>
        <v>3095809.4382477943</v>
      </c>
      <c r="D741">
        <f>Process!$L746*ref_umbral-Process!$J746</f>
        <v>3095799.7448611865</v>
      </c>
      <c r="E741">
        <f t="shared" si="26"/>
        <v>3095809.4382477943</v>
      </c>
      <c r="F741">
        <f>Process!$H746*ref_umbral-Process!$G746</f>
        <v>3095809.5658887713</v>
      </c>
      <c r="G741">
        <f>Process!$K746*ref_umbral-Process!$J746</f>
        <v>3095800.9649065579</v>
      </c>
      <c r="H741">
        <f t="shared" si="27"/>
        <v>3095809.5658887713</v>
      </c>
    </row>
    <row r="742" spans="3:8" x14ac:dyDescent="0.3">
      <c r="C742">
        <f>Process!$I747*ref_umbral-Process!$G747</f>
        <v>3095809.1884837463</v>
      </c>
      <c r="D742">
        <f>Process!$L747*ref_umbral-Process!$J747</f>
        <v>3095804.7351478841</v>
      </c>
      <c r="E742">
        <f t="shared" si="26"/>
        <v>3095809.1884837463</v>
      </c>
      <c r="F742">
        <f>Process!$H747*ref_umbral-Process!$G747</f>
        <v>3095809.3341657314</v>
      </c>
      <c r="G742">
        <f>Process!$K747*ref_umbral-Process!$J747</f>
        <v>3095806.0219585388</v>
      </c>
      <c r="H742">
        <f t="shared" si="27"/>
        <v>3095809.3341657314</v>
      </c>
    </row>
    <row r="743" spans="3:8" x14ac:dyDescent="0.3">
      <c r="C743">
        <f>Process!$I748*ref_umbral-Process!$G748</f>
        <v>3095809.6622685953</v>
      </c>
      <c r="D743">
        <f>Process!$L748*ref_umbral-Process!$J748</f>
        <v>3095807.3458485184</v>
      </c>
      <c r="E743">
        <f t="shared" si="26"/>
        <v>3095809.6622685953</v>
      </c>
      <c r="F743">
        <f>Process!$H748*ref_umbral-Process!$G748</f>
        <v>3095809.7334408178</v>
      </c>
      <c r="G743">
        <f>Process!$K748*ref_umbral-Process!$J748</f>
        <v>3095808.1643896159</v>
      </c>
      <c r="H743">
        <f t="shared" si="27"/>
        <v>3095809.7334408178</v>
      </c>
    </row>
    <row r="744" spans="3:8" x14ac:dyDescent="0.3">
      <c r="C744">
        <f>Process!$I749*ref_umbral-Process!$G749</f>
        <v>3095809.6078574182</v>
      </c>
      <c r="D744">
        <f>Process!$L749*ref_umbral-Process!$J749</f>
        <v>3095808.0233086441</v>
      </c>
      <c r="E744">
        <f t="shared" si="26"/>
        <v>3095809.6078574182</v>
      </c>
      <c r="F744">
        <f>Process!$H749*ref_umbral-Process!$G749</f>
        <v>3095809.6736759739</v>
      </c>
      <c r="G744">
        <f>Process!$K749*ref_umbral-Process!$J749</f>
        <v>3095809.7254252746</v>
      </c>
      <c r="H744">
        <f t="shared" si="27"/>
        <v>3095809.7254252746</v>
      </c>
    </row>
    <row r="745" spans="3:8" x14ac:dyDescent="0.3">
      <c r="C745">
        <f>Process!$I750*ref_umbral-Process!$G750</f>
        <v>3095809.2338045728</v>
      </c>
      <c r="D745">
        <f>Process!$L750*ref_umbral-Process!$J750</f>
        <v>3095800.8350652764</v>
      </c>
      <c r="E745">
        <f t="shared" si="26"/>
        <v>3095809.2338045728</v>
      </c>
      <c r="F745">
        <f>Process!$H750*ref_umbral-Process!$G750</f>
        <v>3095809.3539971355</v>
      </c>
      <c r="G745">
        <f>Process!$K750*ref_umbral-Process!$J750</f>
        <v>3095803.4437771165</v>
      </c>
      <c r="H745">
        <f t="shared" si="27"/>
        <v>3095809.3539971355</v>
      </c>
    </row>
    <row r="746" spans="3:8" x14ac:dyDescent="0.3">
      <c r="C746">
        <f>Process!$I751*ref_umbral-Process!$G751</f>
        <v>3095808.8494998701</v>
      </c>
      <c r="D746">
        <f>Process!$L751*ref_umbral-Process!$J751</f>
        <v>3095802.3765203017</v>
      </c>
      <c r="E746">
        <f t="shared" si="26"/>
        <v>3095808.8494998701</v>
      </c>
      <c r="F746">
        <f>Process!$H751*ref_umbral-Process!$G751</f>
        <v>3095809.0463956096</v>
      </c>
      <c r="G746">
        <f>Process!$K751*ref_umbral-Process!$J751</f>
        <v>3095805.3812734596</v>
      </c>
      <c r="H746">
        <f t="shared" si="27"/>
        <v>3095809.0463956096</v>
      </c>
    </row>
    <row r="747" spans="3:8" x14ac:dyDescent="0.3">
      <c r="C747">
        <f>Process!$I752*ref_umbral-Process!$G752</f>
        <v>3095809.5284962123</v>
      </c>
      <c r="D747">
        <f>Process!$L752*ref_umbral-Process!$J752</f>
        <v>3095802.9123935644</v>
      </c>
      <c r="E747">
        <f t="shared" si="26"/>
        <v>3095809.5284962123</v>
      </c>
      <c r="F747">
        <f>Process!$H752*ref_umbral-Process!$G752</f>
        <v>3095809.6045156503</v>
      </c>
      <c r="G747">
        <f>Process!$K752*ref_umbral-Process!$J752</f>
        <v>3095805.1502774823</v>
      </c>
      <c r="H747">
        <f t="shared" si="27"/>
        <v>3095809.6045156503</v>
      </c>
    </row>
    <row r="748" spans="3:8" x14ac:dyDescent="0.3">
      <c r="C748">
        <f>Process!$I753*ref_umbral-Process!$G753</f>
        <v>3095809.3510105321</v>
      </c>
      <c r="D748">
        <f>Process!$L753*ref_umbral-Process!$J753</f>
        <v>3095804.8726073159</v>
      </c>
      <c r="E748">
        <f t="shared" si="26"/>
        <v>3095809.3510105321</v>
      </c>
      <c r="F748">
        <f>Process!$H753*ref_umbral-Process!$G753</f>
        <v>3095809.5120181162</v>
      </c>
      <c r="G748">
        <f>Process!$K753*ref_umbral-Process!$J753</f>
        <v>3095807.6001317929</v>
      </c>
      <c r="H748">
        <f t="shared" si="27"/>
        <v>3095809.5120181162</v>
      </c>
    </row>
    <row r="749" spans="3:8" x14ac:dyDescent="0.3">
      <c r="C749">
        <f>Process!$I754*ref_umbral-Process!$G754</f>
        <v>3095809.6135089137</v>
      </c>
      <c r="D749">
        <f>Process!$L754*ref_umbral-Process!$J754</f>
        <v>3095806.4634964294</v>
      </c>
      <c r="E749">
        <f t="shared" si="26"/>
        <v>3095809.6135089137</v>
      </c>
      <c r="F749">
        <f>Process!$H754*ref_umbral-Process!$G754</f>
        <v>3095809.697774115</v>
      </c>
      <c r="G749">
        <f>Process!$K754*ref_umbral-Process!$J754</f>
        <v>3095807.9052252714</v>
      </c>
      <c r="H749">
        <f t="shared" si="27"/>
        <v>3095809.697774115</v>
      </c>
    </row>
    <row r="750" spans="3:8" x14ac:dyDescent="0.3">
      <c r="C750">
        <f>Process!$I755*ref_umbral-Process!$G755</f>
        <v>3095809.2907003108</v>
      </c>
      <c r="D750">
        <f>Process!$L755*ref_umbral-Process!$J755</f>
        <v>3095805.9299345948</v>
      </c>
      <c r="E750">
        <f t="shared" si="26"/>
        <v>3095809.2907003108</v>
      </c>
      <c r="F750">
        <f>Process!$H755*ref_umbral-Process!$G755</f>
        <v>3095809.4629445891</v>
      </c>
      <c r="G750">
        <f>Process!$K755*ref_umbral-Process!$J755</f>
        <v>3095808.3196411943</v>
      </c>
      <c r="H750">
        <f t="shared" si="27"/>
        <v>3095809.4629445891</v>
      </c>
    </row>
    <row r="751" spans="3:8" x14ac:dyDescent="0.3">
      <c r="C751">
        <f>Process!$I756*ref_umbral-Process!$G756</f>
        <v>3095809.6044851746</v>
      </c>
      <c r="D751">
        <f>Process!$L756*ref_umbral-Process!$J756</f>
        <v>3095805.8005357627</v>
      </c>
      <c r="E751">
        <f t="shared" si="26"/>
        <v>3095809.6044851746</v>
      </c>
      <c r="F751">
        <f>Process!$H756*ref_umbral-Process!$G756</f>
        <v>3095809.6675504968</v>
      </c>
      <c r="G751">
        <f>Process!$K756*ref_umbral-Process!$J756</f>
        <v>3095807.1725358814</v>
      </c>
      <c r="H751">
        <f t="shared" si="27"/>
        <v>3095809.6675504968</v>
      </c>
    </row>
    <row r="752" spans="3:8" x14ac:dyDescent="0.3">
      <c r="C752">
        <f>Process!$I757*ref_umbral-Process!$G757</f>
        <v>3095808.9038688471</v>
      </c>
      <c r="D752">
        <f>Process!$L757*ref_umbral-Process!$J757</f>
        <v>3095800.8599731498</v>
      </c>
      <c r="E752">
        <f t="shared" si="26"/>
        <v>3095808.9038688471</v>
      </c>
      <c r="F752">
        <f>Process!$H757*ref_umbral-Process!$G757</f>
        <v>3095809.0346580953</v>
      </c>
      <c r="G752">
        <f>Process!$K757*ref_umbral-Process!$J757</f>
        <v>3095803.3515145849</v>
      </c>
      <c r="H752">
        <f t="shared" si="27"/>
        <v>3095809.0346580953</v>
      </c>
    </row>
    <row r="753" spans="3:8" x14ac:dyDescent="0.3">
      <c r="C753">
        <f>Process!$I758*ref_umbral-Process!$G758</f>
        <v>3095809.1482742312</v>
      </c>
      <c r="D753">
        <f>Process!$L758*ref_umbral-Process!$J758</f>
        <v>3095799.0392951351</v>
      </c>
      <c r="E753">
        <f t="shared" si="26"/>
        <v>3095809.1482742312</v>
      </c>
      <c r="F753">
        <f>Process!$H758*ref_umbral-Process!$G758</f>
        <v>3095809.4162246003</v>
      </c>
      <c r="G753">
        <f>Process!$K758*ref_umbral-Process!$J758</f>
        <v>3095801.4563253475</v>
      </c>
      <c r="H753">
        <f t="shared" si="27"/>
        <v>3095809.4162246003</v>
      </c>
    </row>
    <row r="754" spans="3:8" x14ac:dyDescent="0.3">
      <c r="C754">
        <f>Process!$I759*ref_umbral-Process!$G759</f>
        <v>3095809.3990394608</v>
      </c>
      <c r="D754">
        <f>Process!$L759*ref_umbral-Process!$J759</f>
        <v>3095799.3730191044</v>
      </c>
      <c r="E754">
        <f t="shared" si="26"/>
        <v>3095809.3990394608</v>
      </c>
      <c r="F754">
        <f>Process!$H759*ref_umbral-Process!$G759</f>
        <v>3095809.4937805249</v>
      </c>
      <c r="G754">
        <f>Process!$K759*ref_umbral-Process!$J759</f>
        <v>3095800.9358328353</v>
      </c>
      <c r="H754">
        <f t="shared" si="27"/>
        <v>3095809.4937805249</v>
      </c>
    </row>
    <row r="755" spans="3:8" x14ac:dyDescent="0.3">
      <c r="C755">
        <f>Process!$I760*ref_umbral-Process!$G760</f>
        <v>3095809.4577253219</v>
      </c>
      <c r="D755">
        <f>Process!$L760*ref_umbral-Process!$J760</f>
        <v>3095806.1528361598</v>
      </c>
      <c r="E755">
        <f t="shared" si="26"/>
        <v>3095809.4577253219</v>
      </c>
      <c r="F755">
        <f>Process!$H760*ref_umbral-Process!$G760</f>
        <v>3095809.5559645547</v>
      </c>
      <c r="G755">
        <f>Process!$K760*ref_umbral-Process!$J760</f>
        <v>3095809.1150120357</v>
      </c>
      <c r="H755">
        <f t="shared" si="27"/>
        <v>3095809.5559645547</v>
      </c>
    </row>
    <row r="756" spans="3:8" x14ac:dyDescent="0.3">
      <c r="C756">
        <f>Process!$I761*ref_umbral-Process!$G761</f>
        <v>3095809.342123514</v>
      </c>
      <c r="D756">
        <f>Process!$L761*ref_umbral-Process!$J761</f>
        <v>3095805.8125993991</v>
      </c>
      <c r="E756">
        <f t="shared" si="26"/>
        <v>3095809.342123514</v>
      </c>
      <c r="F756">
        <f>Process!$H761*ref_umbral-Process!$G761</f>
        <v>3095809.5056532705</v>
      </c>
      <c r="G756">
        <f>Process!$K761*ref_umbral-Process!$J761</f>
        <v>3095808.5304155522</v>
      </c>
      <c r="H756">
        <f t="shared" si="27"/>
        <v>3095809.5056532705</v>
      </c>
    </row>
    <row r="757" spans="3:8" x14ac:dyDescent="0.3">
      <c r="C757">
        <f>Process!$I762*ref_umbral-Process!$G762</f>
        <v>3095809.1308831661</v>
      </c>
      <c r="D757">
        <f>Process!$L762*ref_umbral-Process!$J762</f>
        <v>3095805.6032693437</v>
      </c>
      <c r="E757">
        <f t="shared" si="26"/>
        <v>3095809.1308831661</v>
      </c>
      <c r="F757">
        <f>Process!$H762*ref_umbral-Process!$G762</f>
        <v>3095809.2032369785</v>
      </c>
      <c r="G757">
        <f>Process!$K762*ref_umbral-Process!$J762</f>
        <v>3095807.9676513127</v>
      </c>
      <c r="H757">
        <f t="shared" si="27"/>
        <v>3095809.2032369785</v>
      </c>
    </row>
    <row r="758" spans="3:8" x14ac:dyDescent="0.3">
      <c r="C758">
        <f>Process!$I763*ref_umbral-Process!$G763</f>
        <v>3095808.5863096085</v>
      </c>
      <c r="D758">
        <f>Process!$L763*ref_umbral-Process!$J763</f>
        <v>3095795.0960465828</v>
      </c>
      <c r="E758">
        <f t="shared" si="26"/>
        <v>3095808.5863096085</v>
      </c>
      <c r="F758">
        <f>Process!$H763*ref_umbral-Process!$G763</f>
        <v>3095808.8156270701</v>
      </c>
      <c r="G758">
        <f>Process!$K763*ref_umbral-Process!$J763</f>
        <v>3095798.2132168752</v>
      </c>
      <c r="H758">
        <f t="shared" si="27"/>
        <v>3095808.8156270701</v>
      </c>
    </row>
    <row r="759" spans="3:8" x14ac:dyDescent="0.3">
      <c r="C759">
        <f>Process!$I764*ref_umbral-Process!$G764</f>
        <v>3095809.7463241774</v>
      </c>
      <c r="D759">
        <f>Process!$L764*ref_umbral-Process!$J764</f>
        <v>3095805.8681682851</v>
      </c>
      <c r="E759">
        <f t="shared" si="26"/>
        <v>3095809.7463241774</v>
      </c>
      <c r="F759">
        <f>Process!$H764*ref_umbral-Process!$G764</f>
        <v>3095809.7732365774</v>
      </c>
      <c r="G759">
        <f>Process!$K764*ref_umbral-Process!$J764</f>
        <v>3095807.2730609314</v>
      </c>
      <c r="H759">
        <f t="shared" si="27"/>
        <v>3095809.7732365774</v>
      </c>
    </row>
    <row r="760" spans="3:8" x14ac:dyDescent="0.3">
      <c r="C760">
        <f>Process!$I765*ref_umbral-Process!$G765</f>
        <v>3095809.4586324687</v>
      </c>
      <c r="D760">
        <f>Process!$L765*ref_umbral-Process!$J765</f>
        <v>3095807.4359588171</v>
      </c>
      <c r="E760">
        <f t="shared" si="26"/>
        <v>3095809.4586324687</v>
      </c>
      <c r="F760">
        <f>Process!$H765*ref_umbral-Process!$G765</f>
        <v>3095809.4791753306</v>
      </c>
      <c r="G760">
        <f>Process!$K765*ref_umbral-Process!$J765</f>
        <v>3095809.3597331378</v>
      </c>
      <c r="H760">
        <f t="shared" si="27"/>
        <v>3095809.4791753306</v>
      </c>
    </row>
    <row r="761" spans="3:8" x14ac:dyDescent="0.3">
      <c r="C761">
        <f>Process!$I766*ref_umbral-Process!$G766</f>
        <v>3095809.6660998417</v>
      </c>
      <c r="D761">
        <f>Process!$L766*ref_umbral-Process!$J766</f>
        <v>3095804.3088711295</v>
      </c>
      <c r="E761">
        <f t="shared" si="26"/>
        <v>3095809.6660998417</v>
      </c>
      <c r="F761">
        <f>Process!$H766*ref_umbral-Process!$G766</f>
        <v>3095809.7016512793</v>
      </c>
      <c r="G761">
        <f>Process!$K766*ref_umbral-Process!$J766</f>
        <v>3095805.7913634293</v>
      </c>
      <c r="H761">
        <f t="shared" si="27"/>
        <v>3095809.7016512793</v>
      </c>
    </row>
    <row r="762" spans="3:8" x14ac:dyDescent="0.3">
      <c r="C762">
        <f>Process!$I767*ref_umbral-Process!$G767</f>
        <v>3095808.9069972937</v>
      </c>
      <c r="D762">
        <f>Process!$L767*ref_umbral-Process!$J767</f>
        <v>3095807.0346636437</v>
      </c>
      <c r="E762">
        <f t="shared" si="26"/>
        <v>3095808.9069972937</v>
      </c>
      <c r="F762">
        <f>Process!$H767*ref_umbral-Process!$G767</f>
        <v>3095809.2514677267</v>
      </c>
      <c r="G762">
        <f>Process!$K767*ref_umbral-Process!$J767</f>
        <v>3095808.2386743943</v>
      </c>
      <c r="H762">
        <f t="shared" si="27"/>
        <v>3095809.2514677267</v>
      </c>
    </row>
    <row r="763" spans="3:8" x14ac:dyDescent="0.3">
      <c r="C763">
        <f>Process!$I768*ref_umbral-Process!$G768</f>
        <v>3095809.646317197</v>
      </c>
      <c r="D763">
        <f>Process!$L768*ref_umbral-Process!$J768</f>
        <v>3095806.0776275066</v>
      </c>
      <c r="E763">
        <f t="shared" si="26"/>
        <v>3095809.646317197</v>
      </c>
      <c r="F763">
        <f>Process!$H768*ref_umbral-Process!$G768</f>
        <v>3095809.6783942967</v>
      </c>
      <c r="G763">
        <f>Process!$K768*ref_umbral-Process!$J768</f>
        <v>3095808.263000316</v>
      </c>
      <c r="H763">
        <f t="shared" si="27"/>
        <v>3095809.6783942967</v>
      </c>
    </row>
    <row r="764" spans="3:8" x14ac:dyDescent="0.3">
      <c r="C764">
        <f>Process!$I769*ref_umbral-Process!$G769</f>
        <v>3095809.3570046187</v>
      </c>
      <c r="D764">
        <f>Process!$L769*ref_umbral-Process!$J769</f>
        <v>3095806.8658307577</v>
      </c>
      <c r="E764">
        <f t="shared" si="26"/>
        <v>3095809.3570046187</v>
      </c>
      <c r="F764">
        <f>Process!$H769*ref_umbral-Process!$G769</f>
        <v>3095809.4212093088</v>
      </c>
      <c r="G764">
        <f>Process!$K769*ref_umbral-Process!$J769</f>
        <v>3095808.3720383141</v>
      </c>
      <c r="H764">
        <f t="shared" si="27"/>
        <v>3095809.4212093088</v>
      </c>
    </row>
    <row r="765" spans="3:8" x14ac:dyDescent="0.3">
      <c r="C765">
        <f>Process!$I770*ref_umbral-Process!$G770</f>
        <v>3095809.3820422031</v>
      </c>
      <c r="D765">
        <f>Process!$L770*ref_umbral-Process!$J770</f>
        <v>3095802.8992572594</v>
      </c>
      <c r="E765">
        <f t="shared" si="26"/>
        <v>3095809.3820422031</v>
      </c>
      <c r="F765">
        <f>Process!$H770*ref_umbral-Process!$G770</f>
        <v>3095809.4743940393</v>
      </c>
      <c r="G765">
        <f>Process!$K770*ref_umbral-Process!$J770</f>
        <v>3095804.5519087561</v>
      </c>
      <c r="H765">
        <f t="shared" si="27"/>
        <v>3095809.4743940393</v>
      </c>
    </row>
    <row r="766" spans="3:8" x14ac:dyDescent="0.3">
      <c r="C766">
        <f>Process!$I771*ref_umbral-Process!$G771</f>
        <v>3095809.1421794211</v>
      </c>
      <c r="D766">
        <f>Process!$L771*ref_umbral-Process!$J771</f>
        <v>3095804.6240404053</v>
      </c>
      <c r="E766">
        <f t="shared" si="26"/>
        <v>3095809.1421794211</v>
      </c>
      <c r="F766">
        <f>Process!$H771*ref_umbral-Process!$G771</f>
        <v>3095809.4455452673</v>
      </c>
      <c r="G766">
        <f>Process!$K771*ref_umbral-Process!$J771</f>
        <v>3095806.9995888402</v>
      </c>
      <c r="H766">
        <f t="shared" si="27"/>
        <v>3095809.4455452673</v>
      </c>
    </row>
    <row r="767" spans="3:8" x14ac:dyDescent="0.3">
      <c r="C767">
        <f>Process!$I772*ref_umbral-Process!$G772</f>
        <v>3095809.1067919526</v>
      </c>
      <c r="D767">
        <f>Process!$L772*ref_umbral-Process!$J772</f>
        <v>3095801.8357987404</v>
      </c>
      <c r="E767">
        <f t="shared" si="26"/>
        <v>3095809.1067919526</v>
      </c>
      <c r="F767">
        <f>Process!$H772*ref_umbral-Process!$G772</f>
        <v>3095809.2579300092</v>
      </c>
      <c r="G767">
        <f>Process!$K772*ref_umbral-Process!$J772</f>
        <v>3095803.2151170284</v>
      </c>
      <c r="H767">
        <f t="shared" si="27"/>
        <v>3095809.2579300092</v>
      </c>
    </row>
    <row r="768" spans="3:8" x14ac:dyDescent="0.3">
      <c r="C768">
        <f>Process!$I773*ref_umbral-Process!$G773</f>
        <v>3095809.076318257</v>
      </c>
      <c r="D768">
        <f>Process!$L773*ref_umbral-Process!$J773</f>
        <v>3095799.9912894415</v>
      </c>
      <c r="E768">
        <f t="shared" si="26"/>
        <v>3095809.076318257</v>
      </c>
      <c r="F768">
        <f>Process!$H773*ref_umbral-Process!$G773</f>
        <v>3095809.156162004</v>
      </c>
      <c r="G768">
        <f>Process!$K773*ref_umbral-Process!$J773</f>
        <v>3095802.964749278</v>
      </c>
      <c r="H768">
        <f t="shared" si="27"/>
        <v>3095809.156162004</v>
      </c>
    </row>
    <row r="769" spans="3:8" x14ac:dyDescent="0.3">
      <c r="C769">
        <f>Process!$I774*ref_umbral-Process!$G774</f>
        <v>3095809.4097261135</v>
      </c>
      <c r="D769">
        <f>Process!$L774*ref_umbral-Process!$J774</f>
        <v>3095799.5675728377</v>
      </c>
      <c r="E769">
        <f t="shared" si="26"/>
        <v>3095809.4097261135</v>
      </c>
      <c r="F769">
        <f>Process!$H774*ref_umbral-Process!$G774</f>
        <v>3095809.4798997408</v>
      </c>
      <c r="G769">
        <f>Process!$K774*ref_umbral-Process!$J774</f>
        <v>3095802.9040979068</v>
      </c>
      <c r="H769">
        <f t="shared" si="27"/>
        <v>3095809.4798997408</v>
      </c>
    </row>
    <row r="770" spans="3:8" x14ac:dyDescent="0.3">
      <c r="C770">
        <f>Process!$I775*ref_umbral-Process!$G775</f>
        <v>3095809.3280580333</v>
      </c>
      <c r="D770">
        <f>Process!$L775*ref_umbral-Process!$J775</f>
        <v>3095802.1795889786</v>
      </c>
      <c r="E770">
        <f t="shared" si="26"/>
        <v>3095809.3280580333</v>
      </c>
      <c r="F770">
        <f>Process!$H775*ref_umbral-Process!$G775</f>
        <v>3095809.4046022473</v>
      </c>
      <c r="G770">
        <f>Process!$K775*ref_umbral-Process!$J775</f>
        <v>3095805.2079698453</v>
      </c>
      <c r="H770">
        <f t="shared" si="27"/>
        <v>3095809.4046022473</v>
      </c>
    </row>
    <row r="771" spans="3:8" x14ac:dyDescent="0.3">
      <c r="C771">
        <f>Process!$I776*ref_umbral-Process!$G776</f>
        <v>3095809.5370990583</v>
      </c>
      <c r="D771">
        <f>Process!$L776*ref_umbral-Process!$J776</f>
        <v>3095800.7352399747</v>
      </c>
      <c r="E771">
        <f t="shared" si="26"/>
        <v>3095809.5370990583</v>
      </c>
      <c r="F771">
        <f>Process!$H776*ref_umbral-Process!$G776</f>
        <v>3095809.7009251197</v>
      </c>
      <c r="G771">
        <f>Process!$K776*ref_umbral-Process!$J776</f>
        <v>3095802.2317501339</v>
      </c>
      <c r="H771">
        <f t="shared" si="27"/>
        <v>3095809.7009251197</v>
      </c>
    </row>
    <row r="772" spans="3:8" x14ac:dyDescent="0.3">
      <c r="C772">
        <f>Process!$I777*ref_umbral-Process!$G777</f>
        <v>3095808.8479900849</v>
      </c>
      <c r="D772">
        <f>Process!$L777*ref_umbral-Process!$J777</f>
        <v>3095804.506631515</v>
      </c>
      <c r="E772">
        <f t="shared" si="26"/>
        <v>3095808.8479900849</v>
      </c>
      <c r="F772">
        <f>Process!$H777*ref_umbral-Process!$G777</f>
        <v>3095809.0603991719</v>
      </c>
      <c r="G772">
        <f>Process!$K777*ref_umbral-Process!$J777</f>
        <v>3095807.8717443869</v>
      </c>
      <c r="H772">
        <f t="shared" si="27"/>
        <v>3095809.0603991719</v>
      </c>
    </row>
    <row r="773" spans="3:8" x14ac:dyDescent="0.3">
      <c r="C773">
        <f>Process!$I778*ref_umbral-Process!$G778</f>
        <v>3095808.8968921248</v>
      </c>
      <c r="D773">
        <f>Process!$L778*ref_umbral-Process!$J778</f>
        <v>3095797.233514884</v>
      </c>
      <c r="E773">
        <f t="shared" si="26"/>
        <v>3095808.8968921248</v>
      </c>
      <c r="F773">
        <f>Process!$H778*ref_umbral-Process!$G778</f>
        <v>3095809.0979542364</v>
      </c>
      <c r="G773">
        <f>Process!$K778*ref_umbral-Process!$J778</f>
        <v>3095799.3251394597</v>
      </c>
      <c r="H773">
        <f t="shared" si="27"/>
        <v>3095809.0979542364</v>
      </c>
    </row>
    <row r="774" spans="3:8" x14ac:dyDescent="0.3">
      <c r="C774">
        <f>Process!$I779*ref_umbral-Process!$G779</f>
        <v>3095809.054758945</v>
      </c>
      <c r="D774">
        <f>Process!$L779*ref_umbral-Process!$J779</f>
        <v>3095794.2459826339</v>
      </c>
      <c r="E774">
        <f t="shared" si="26"/>
        <v>3095809.054758945</v>
      </c>
      <c r="F774">
        <f>Process!$H779*ref_umbral-Process!$G779</f>
        <v>3095809.2377367727</v>
      </c>
      <c r="G774">
        <f>Process!$K779*ref_umbral-Process!$J779</f>
        <v>3095795.7211734569</v>
      </c>
      <c r="H774">
        <f t="shared" si="27"/>
        <v>3095809.2377367727</v>
      </c>
    </row>
    <row r="775" spans="3:8" x14ac:dyDescent="0.3">
      <c r="C775">
        <f>Process!$I780*ref_umbral-Process!$G780</f>
        <v>3095809.3647728749</v>
      </c>
      <c r="D775">
        <f>Process!$L780*ref_umbral-Process!$J780</f>
        <v>3095789.6016908875</v>
      </c>
      <c r="E775">
        <f t="shared" ref="E775:E838" si="28">MAX(C775,D775)</f>
        <v>3095809.3647728749</v>
      </c>
      <c r="F775">
        <f>Process!$H780*ref_umbral-Process!$G780</f>
        <v>3095809.5196769</v>
      </c>
      <c r="G775">
        <f>Process!$K780*ref_umbral-Process!$J780</f>
        <v>3095790.9636473479</v>
      </c>
      <c r="H775">
        <f t="shared" ref="H775:H838" si="29">MAX(F775,G775)</f>
        <v>3095809.5196769</v>
      </c>
    </row>
    <row r="776" spans="3:8" x14ac:dyDescent="0.3">
      <c r="C776">
        <f>Process!$I781*ref_umbral-Process!$G781</f>
        <v>3095808.1036469312</v>
      </c>
      <c r="D776">
        <f>Process!$L781*ref_umbral-Process!$J781</f>
        <v>3095799.097091726</v>
      </c>
      <c r="E776">
        <f t="shared" si="28"/>
        <v>3095808.1036469312</v>
      </c>
      <c r="F776">
        <f>Process!$H781*ref_umbral-Process!$G781</f>
        <v>3095808.3290842026</v>
      </c>
      <c r="G776">
        <f>Process!$K781*ref_umbral-Process!$J781</f>
        <v>3095800.6736480892</v>
      </c>
      <c r="H776">
        <f t="shared" si="29"/>
        <v>3095808.3290842026</v>
      </c>
    </row>
    <row r="777" spans="3:8" x14ac:dyDescent="0.3">
      <c r="C777">
        <f>Process!$I782*ref_umbral-Process!$G782</f>
        <v>3095808.5047279829</v>
      </c>
      <c r="D777">
        <f>Process!$L782*ref_umbral-Process!$J782</f>
        <v>3095802.2188954325</v>
      </c>
      <c r="E777">
        <f t="shared" si="28"/>
        <v>3095808.5047279829</v>
      </c>
      <c r="F777">
        <f>Process!$H782*ref_umbral-Process!$G782</f>
        <v>3095808.9518920402</v>
      </c>
      <c r="G777">
        <f>Process!$K782*ref_umbral-Process!$J782</f>
        <v>3095804.7082417659</v>
      </c>
      <c r="H777">
        <f t="shared" si="29"/>
        <v>3095808.9518920402</v>
      </c>
    </row>
    <row r="778" spans="3:8" x14ac:dyDescent="0.3">
      <c r="C778">
        <f>Process!$I783*ref_umbral-Process!$G783</f>
        <v>3095807.9498957768</v>
      </c>
      <c r="D778">
        <f>Process!$L783*ref_umbral-Process!$J783</f>
        <v>3095802.0144558246</v>
      </c>
      <c r="E778">
        <f t="shared" si="28"/>
        <v>3095807.9498957768</v>
      </c>
      <c r="F778">
        <f>Process!$H783*ref_umbral-Process!$G783</f>
        <v>3095808.5827790303</v>
      </c>
      <c r="G778">
        <f>Process!$K783*ref_umbral-Process!$J783</f>
        <v>3095805.9835779336</v>
      </c>
      <c r="H778">
        <f t="shared" si="29"/>
        <v>3095808.5827790303</v>
      </c>
    </row>
    <row r="779" spans="3:8" x14ac:dyDescent="0.3">
      <c r="C779">
        <f>Process!$I784*ref_umbral-Process!$G784</f>
        <v>3095809.2405444845</v>
      </c>
      <c r="D779">
        <f>Process!$L784*ref_umbral-Process!$J784</f>
        <v>3095803.169054552</v>
      </c>
      <c r="E779">
        <f t="shared" si="28"/>
        <v>3095809.2405444845</v>
      </c>
      <c r="F779">
        <f>Process!$H784*ref_umbral-Process!$G784</f>
        <v>3095809.3650088888</v>
      </c>
      <c r="G779">
        <f>Process!$K784*ref_umbral-Process!$J784</f>
        <v>3095805.5925665149</v>
      </c>
      <c r="H779">
        <f t="shared" si="29"/>
        <v>3095809.3650088888</v>
      </c>
    </row>
    <row r="780" spans="3:8" x14ac:dyDescent="0.3">
      <c r="C780">
        <f>Process!$I785*ref_umbral-Process!$G785</f>
        <v>3095809.3159516682</v>
      </c>
      <c r="D780">
        <f>Process!$L785*ref_umbral-Process!$J785</f>
        <v>3095803.7609575111</v>
      </c>
      <c r="E780">
        <f t="shared" si="28"/>
        <v>3095809.3159516682</v>
      </c>
      <c r="F780">
        <f>Process!$H785*ref_umbral-Process!$G785</f>
        <v>3095809.3837656397</v>
      </c>
      <c r="G780">
        <f>Process!$K785*ref_umbral-Process!$J785</f>
        <v>3095804.6101959739</v>
      </c>
      <c r="H780">
        <f t="shared" si="29"/>
        <v>3095809.3837656397</v>
      </c>
    </row>
    <row r="781" spans="3:8" x14ac:dyDescent="0.3">
      <c r="C781">
        <f>Process!$I786*ref_umbral-Process!$G786</f>
        <v>3095809.149511355</v>
      </c>
      <c r="D781">
        <f>Process!$L786*ref_umbral-Process!$J786</f>
        <v>3095804.5476103243</v>
      </c>
      <c r="E781">
        <f t="shared" si="28"/>
        <v>3095809.149511355</v>
      </c>
      <c r="F781">
        <f>Process!$H786*ref_umbral-Process!$G786</f>
        <v>3095809.4235792691</v>
      </c>
      <c r="G781">
        <f>Process!$K786*ref_umbral-Process!$J786</f>
        <v>3095806.4290186027</v>
      </c>
      <c r="H781">
        <f t="shared" si="29"/>
        <v>3095809.4235792691</v>
      </c>
    </row>
    <row r="782" spans="3:8" x14ac:dyDescent="0.3">
      <c r="C782">
        <f>Process!$I787*ref_umbral-Process!$G787</f>
        <v>3095809.5962282689</v>
      </c>
      <c r="D782">
        <f>Process!$L787*ref_umbral-Process!$J787</f>
        <v>3095807.4919994562</v>
      </c>
      <c r="E782">
        <f t="shared" si="28"/>
        <v>3095809.5962282689</v>
      </c>
      <c r="F782">
        <f>Process!$H787*ref_umbral-Process!$G787</f>
        <v>3095809.671379969</v>
      </c>
      <c r="G782">
        <f>Process!$K787*ref_umbral-Process!$J787</f>
        <v>3095808.3667221521</v>
      </c>
      <c r="H782">
        <f t="shared" si="29"/>
        <v>3095809.671379969</v>
      </c>
    </row>
    <row r="783" spans="3:8" x14ac:dyDescent="0.3">
      <c r="C783">
        <f>Process!$I788*ref_umbral-Process!$G788</f>
        <v>3095808.9379658643</v>
      </c>
      <c r="D783">
        <f>Process!$L788*ref_umbral-Process!$J788</f>
        <v>3095805.8782350798</v>
      </c>
      <c r="E783">
        <f t="shared" si="28"/>
        <v>3095808.9379658643</v>
      </c>
      <c r="F783">
        <f>Process!$H788*ref_umbral-Process!$G788</f>
        <v>3095809.3846516353</v>
      </c>
      <c r="G783">
        <f>Process!$K788*ref_umbral-Process!$J788</f>
        <v>3095808.2775973114</v>
      </c>
      <c r="H783">
        <f t="shared" si="29"/>
        <v>3095809.3846516353</v>
      </c>
    </row>
    <row r="784" spans="3:8" x14ac:dyDescent="0.3">
      <c r="C784">
        <f>Process!$I789*ref_umbral-Process!$G789</f>
        <v>3095808.9406899456</v>
      </c>
      <c r="D784">
        <f>Process!$L789*ref_umbral-Process!$J789</f>
        <v>3095803.127292254</v>
      </c>
      <c r="E784">
        <f t="shared" si="28"/>
        <v>3095808.9406899456</v>
      </c>
      <c r="F784">
        <f>Process!$H789*ref_umbral-Process!$G789</f>
        <v>3095809.2904706299</v>
      </c>
      <c r="G784">
        <f>Process!$K789*ref_umbral-Process!$J789</f>
        <v>3095806.8869442125</v>
      </c>
      <c r="H784">
        <f t="shared" si="29"/>
        <v>3095809.2904706299</v>
      </c>
    </row>
    <row r="785" spans="3:8" x14ac:dyDescent="0.3">
      <c r="C785">
        <f>Process!$I790*ref_umbral-Process!$G790</f>
        <v>3095809.1579757836</v>
      </c>
      <c r="D785">
        <f>Process!$L790*ref_umbral-Process!$J790</f>
        <v>3095802.6547782752</v>
      </c>
      <c r="E785">
        <f t="shared" si="28"/>
        <v>3095809.1579757836</v>
      </c>
      <c r="F785">
        <f>Process!$H790*ref_umbral-Process!$G790</f>
        <v>3095809.2402175483</v>
      </c>
      <c r="G785">
        <f>Process!$K790*ref_umbral-Process!$J790</f>
        <v>3095804.5960065466</v>
      </c>
      <c r="H785">
        <f t="shared" si="29"/>
        <v>3095809.2402175483</v>
      </c>
    </row>
    <row r="786" spans="3:8" x14ac:dyDescent="0.3">
      <c r="C786">
        <f>Process!$I791*ref_umbral-Process!$G791</f>
        <v>3095809.3082867656</v>
      </c>
      <c r="D786">
        <f>Process!$L791*ref_umbral-Process!$J791</f>
        <v>3095803.2450239789</v>
      </c>
      <c r="E786">
        <f t="shared" si="28"/>
        <v>3095809.3082867656</v>
      </c>
      <c r="F786">
        <f>Process!$H791*ref_umbral-Process!$G791</f>
        <v>3095809.4308288097</v>
      </c>
      <c r="G786">
        <f>Process!$K791*ref_umbral-Process!$J791</f>
        <v>3095804.5518759931</v>
      </c>
      <c r="H786">
        <f t="shared" si="29"/>
        <v>3095809.4308288097</v>
      </c>
    </row>
    <row r="787" spans="3:8" x14ac:dyDescent="0.3">
      <c r="C787">
        <f>Process!$I792*ref_umbral-Process!$G792</f>
        <v>3095809.2100195466</v>
      </c>
      <c r="D787">
        <f>Process!$L792*ref_umbral-Process!$J792</f>
        <v>3095804.9356081192</v>
      </c>
      <c r="E787">
        <f t="shared" si="28"/>
        <v>3095809.2100195466</v>
      </c>
      <c r="F787">
        <f>Process!$H792*ref_umbral-Process!$G792</f>
        <v>3095809.4110975452</v>
      </c>
      <c r="G787">
        <f>Process!$K792*ref_umbral-Process!$J792</f>
        <v>3095808.4133408624</v>
      </c>
      <c r="H787">
        <f t="shared" si="29"/>
        <v>3095809.4110975452</v>
      </c>
    </row>
    <row r="788" spans="3:8" x14ac:dyDescent="0.3">
      <c r="C788">
        <f>Process!$I793*ref_umbral-Process!$G793</f>
        <v>3095809.6504921154</v>
      </c>
      <c r="D788">
        <f>Process!$L793*ref_umbral-Process!$J793</f>
        <v>3095807.5082629253</v>
      </c>
      <c r="E788">
        <f t="shared" si="28"/>
        <v>3095809.6504921154</v>
      </c>
      <c r="F788">
        <f>Process!$H793*ref_umbral-Process!$G793</f>
        <v>3095809.7123698094</v>
      </c>
      <c r="G788">
        <f>Process!$K793*ref_umbral-Process!$J793</f>
        <v>3095809.6045367611</v>
      </c>
      <c r="H788">
        <f t="shared" si="29"/>
        <v>3095809.7123698094</v>
      </c>
    </row>
    <row r="789" spans="3:8" x14ac:dyDescent="0.3">
      <c r="C789">
        <f>Process!$I794*ref_umbral-Process!$G794</f>
        <v>3095809.6273347852</v>
      </c>
      <c r="D789">
        <f>Process!$L794*ref_umbral-Process!$J794</f>
        <v>3095799.7618140038</v>
      </c>
      <c r="E789">
        <f t="shared" si="28"/>
        <v>3095809.6273347852</v>
      </c>
      <c r="F789">
        <f>Process!$H794*ref_umbral-Process!$G794</f>
        <v>3095809.6687308042</v>
      </c>
      <c r="G789">
        <f>Process!$K794*ref_umbral-Process!$J794</f>
        <v>3095801.5705940663</v>
      </c>
      <c r="H789">
        <f t="shared" si="29"/>
        <v>3095809.6687308042</v>
      </c>
    </row>
    <row r="790" spans="3:8" x14ac:dyDescent="0.3">
      <c r="C790">
        <f>Process!$I795*ref_umbral-Process!$G795</f>
        <v>3095809.2420321535</v>
      </c>
      <c r="D790">
        <f>Process!$L795*ref_umbral-Process!$J795</f>
        <v>3095806.6100766836</v>
      </c>
      <c r="E790">
        <f t="shared" si="28"/>
        <v>3095809.2420321535</v>
      </c>
      <c r="F790">
        <f>Process!$H795*ref_umbral-Process!$G795</f>
        <v>3095809.4760921281</v>
      </c>
      <c r="G790">
        <f>Process!$K795*ref_umbral-Process!$J795</f>
        <v>3095808.1242110007</v>
      </c>
      <c r="H790">
        <f t="shared" si="29"/>
        <v>3095809.4760921281</v>
      </c>
    </row>
    <row r="791" spans="3:8" x14ac:dyDescent="0.3">
      <c r="C791">
        <f>Process!$I796*ref_umbral-Process!$G796</f>
        <v>3095809.5784277664</v>
      </c>
      <c r="D791">
        <f>Process!$L796*ref_umbral-Process!$J796</f>
        <v>3095803.6105404631</v>
      </c>
      <c r="E791">
        <f t="shared" si="28"/>
        <v>3095809.5784277664</v>
      </c>
      <c r="F791">
        <f>Process!$H796*ref_umbral-Process!$G796</f>
        <v>3095809.633275453</v>
      </c>
      <c r="G791">
        <f>Process!$K796*ref_umbral-Process!$J796</f>
        <v>3095804.7939318554</v>
      </c>
      <c r="H791">
        <f t="shared" si="29"/>
        <v>3095809.633275453</v>
      </c>
    </row>
    <row r="792" spans="3:8" x14ac:dyDescent="0.3">
      <c r="C792">
        <f>Process!$I797*ref_umbral-Process!$G797</f>
        <v>3095809.543695983</v>
      </c>
      <c r="D792">
        <f>Process!$L797*ref_umbral-Process!$J797</f>
        <v>3095801.6520618279</v>
      </c>
      <c r="E792">
        <f t="shared" si="28"/>
        <v>3095809.543695983</v>
      </c>
      <c r="F792">
        <f>Process!$H797*ref_umbral-Process!$G797</f>
        <v>3095809.7384616733</v>
      </c>
      <c r="G792">
        <f>Process!$K797*ref_umbral-Process!$J797</f>
        <v>3095803.7834539618</v>
      </c>
      <c r="H792">
        <f t="shared" si="29"/>
        <v>3095809.7384616733</v>
      </c>
    </row>
    <row r="793" spans="3:8" x14ac:dyDescent="0.3">
      <c r="C793">
        <f>Process!$I798*ref_umbral-Process!$G798</f>
        <v>3095809.4871424078</v>
      </c>
      <c r="D793">
        <f>Process!$L798*ref_umbral-Process!$J798</f>
        <v>3095802.3098629061</v>
      </c>
      <c r="E793">
        <f t="shared" si="28"/>
        <v>3095809.4871424078</v>
      </c>
      <c r="F793">
        <f>Process!$H798*ref_umbral-Process!$G798</f>
        <v>3095809.5193985081</v>
      </c>
      <c r="G793">
        <f>Process!$K798*ref_umbral-Process!$J798</f>
        <v>3095803.3617616976</v>
      </c>
      <c r="H793">
        <f t="shared" si="29"/>
        <v>3095809.5193985081</v>
      </c>
    </row>
    <row r="794" spans="3:8" x14ac:dyDescent="0.3">
      <c r="C794">
        <f>Process!$I799*ref_umbral-Process!$G799</f>
        <v>3095808.9015148561</v>
      </c>
      <c r="D794">
        <f>Process!$L799*ref_umbral-Process!$J799</f>
        <v>3095803.6873644488</v>
      </c>
      <c r="E794">
        <f t="shared" si="28"/>
        <v>3095808.9015148561</v>
      </c>
      <c r="F794">
        <f>Process!$H799*ref_umbral-Process!$G799</f>
        <v>3095809.3432698678</v>
      </c>
      <c r="G794">
        <f>Process!$K799*ref_umbral-Process!$J799</f>
        <v>3095807.7189646666</v>
      </c>
      <c r="H794">
        <f t="shared" si="29"/>
        <v>3095809.3432698678</v>
      </c>
    </row>
    <row r="795" spans="3:8" x14ac:dyDescent="0.3">
      <c r="C795">
        <f>Process!$I800*ref_umbral-Process!$G800</f>
        <v>3095809.5457686363</v>
      </c>
      <c r="D795">
        <f>Process!$L800*ref_umbral-Process!$J800</f>
        <v>3095803.8104979261</v>
      </c>
      <c r="E795">
        <f t="shared" si="28"/>
        <v>3095809.5457686363</v>
      </c>
      <c r="F795">
        <f>Process!$H800*ref_umbral-Process!$G800</f>
        <v>3095809.6458057221</v>
      </c>
      <c r="G795">
        <f>Process!$K800*ref_umbral-Process!$J800</f>
        <v>3095805.6403191723</v>
      </c>
      <c r="H795">
        <f t="shared" si="29"/>
        <v>3095809.6458057221</v>
      </c>
    </row>
    <row r="796" spans="3:8" x14ac:dyDescent="0.3">
      <c r="C796">
        <f>Process!$I801*ref_umbral-Process!$G801</f>
        <v>3095809.0149807548</v>
      </c>
      <c r="D796">
        <f>Process!$L801*ref_umbral-Process!$J801</f>
        <v>3095799.0607051188</v>
      </c>
      <c r="E796">
        <f t="shared" si="28"/>
        <v>3095809.0149807548</v>
      </c>
      <c r="F796">
        <f>Process!$H801*ref_umbral-Process!$G801</f>
        <v>3095809.0752602909</v>
      </c>
      <c r="G796">
        <f>Process!$K801*ref_umbral-Process!$J801</f>
        <v>3095801.3409598102</v>
      </c>
      <c r="H796">
        <f t="shared" si="29"/>
        <v>3095809.0752602909</v>
      </c>
    </row>
    <row r="797" spans="3:8" x14ac:dyDescent="0.3">
      <c r="C797">
        <f>Process!$I802*ref_umbral-Process!$G802</f>
        <v>3095809.1100816401</v>
      </c>
      <c r="D797">
        <f>Process!$L802*ref_umbral-Process!$J802</f>
        <v>3095792.6697625858</v>
      </c>
      <c r="E797">
        <f t="shared" si="28"/>
        <v>3095809.1100816401</v>
      </c>
      <c r="F797">
        <f>Process!$H802*ref_umbral-Process!$G802</f>
        <v>3095809.3598647616</v>
      </c>
      <c r="G797">
        <f>Process!$K802*ref_umbral-Process!$J802</f>
        <v>3095797.6517423098</v>
      </c>
      <c r="H797">
        <f t="shared" si="29"/>
        <v>3095809.3598647616</v>
      </c>
    </row>
    <row r="798" spans="3:8" x14ac:dyDescent="0.3">
      <c r="C798">
        <f>Process!$I803*ref_umbral-Process!$G803</f>
        <v>3095809.23271032</v>
      </c>
      <c r="D798">
        <f>Process!$L803*ref_umbral-Process!$J803</f>
        <v>3095806.2342680204</v>
      </c>
      <c r="E798">
        <f t="shared" si="28"/>
        <v>3095809.23271032</v>
      </c>
      <c r="F798">
        <f>Process!$H803*ref_umbral-Process!$G803</f>
        <v>3095809.4253751608</v>
      </c>
      <c r="G798">
        <f>Process!$K803*ref_umbral-Process!$J803</f>
        <v>3095808.0851606615</v>
      </c>
      <c r="H798">
        <f t="shared" si="29"/>
        <v>3095809.4253751608</v>
      </c>
    </row>
    <row r="799" spans="3:8" x14ac:dyDescent="0.3">
      <c r="C799">
        <f>Process!$I804*ref_umbral-Process!$G804</f>
        <v>3095809.8673689868</v>
      </c>
      <c r="D799">
        <f>Process!$L804*ref_umbral-Process!$J804</f>
        <v>3095807.5141897202</v>
      </c>
      <c r="E799">
        <f t="shared" si="28"/>
        <v>3095809.8673689868</v>
      </c>
      <c r="F799">
        <f>Process!$H804*ref_umbral-Process!$G804</f>
        <v>3095809.9083308973</v>
      </c>
      <c r="G799">
        <f>Process!$K804*ref_umbral-Process!$J804</f>
        <v>3095808.3949473444</v>
      </c>
      <c r="H799">
        <f t="shared" si="29"/>
        <v>3095809.9083308973</v>
      </c>
    </row>
    <row r="800" spans="3:8" x14ac:dyDescent="0.3">
      <c r="C800">
        <f>Process!$I805*ref_umbral-Process!$G805</f>
        <v>3095809.5079741417</v>
      </c>
      <c r="D800">
        <f>Process!$L805*ref_umbral-Process!$J805</f>
        <v>3095805.6506446265</v>
      </c>
      <c r="E800">
        <f t="shared" si="28"/>
        <v>3095809.5079741417</v>
      </c>
      <c r="F800">
        <f>Process!$H805*ref_umbral-Process!$G805</f>
        <v>3095809.6288876091</v>
      </c>
      <c r="G800">
        <f>Process!$K805*ref_umbral-Process!$J805</f>
        <v>3095807.6678021713</v>
      </c>
      <c r="H800">
        <f t="shared" si="29"/>
        <v>3095809.6288876091</v>
      </c>
    </row>
    <row r="801" spans="3:8" x14ac:dyDescent="0.3">
      <c r="C801">
        <f>Process!$I806*ref_umbral-Process!$G806</f>
        <v>3095809.6133331261</v>
      </c>
      <c r="D801">
        <f>Process!$L806*ref_umbral-Process!$J806</f>
        <v>3095804.7922820682</v>
      </c>
      <c r="E801">
        <f t="shared" si="28"/>
        <v>3095809.6133331261</v>
      </c>
      <c r="F801">
        <f>Process!$H806*ref_umbral-Process!$G806</f>
        <v>3095809.6369713596</v>
      </c>
      <c r="G801">
        <f>Process!$K806*ref_umbral-Process!$J806</f>
        <v>3095806.8552951831</v>
      </c>
      <c r="H801">
        <f t="shared" si="29"/>
        <v>3095809.6369713596</v>
      </c>
    </row>
    <row r="802" spans="3:8" x14ac:dyDescent="0.3">
      <c r="C802">
        <f>Process!$I807*ref_umbral-Process!$G807</f>
        <v>3095809.4133677431</v>
      </c>
      <c r="D802">
        <f>Process!$L807*ref_umbral-Process!$J807</f>
        <v>3095803.4223343772</v>
      </c>
      <c r="E802">
        <f t="shared" si="28"/>
        <v>3095809.4133677431</v>
      </c>
      <c r="F802">
        <f>Process!$H807*ref_umbral-Process!$G807</f>
        <v>3095809.5464041294</v>
      </c>
      <c r="G802">
        <f>Process!$K807*ref_umbral-Process!$J807</f>
        <v>3095806.9448098494</v>
      </c>
      <c r="H802">
        <f t="shared" si="29"/>
        <v>3095809.5464041294</v>
      </c>
    </row>
    <row r="803" spans="3:8" x14ac:dyDescent="0.3">
      <c r="C803">
        <f>Process!$I808*ref_umbral-Process!$G808</f>
        <v>3095809.712545726</v>
      </c>
      <c r="D803">
        <f>Process!$L808*ref_umbral-Process!$J808</f>
        <v>3095806.5397687713</v>
      </c>
      <c r="E803">
        <f t="shared" si="28"/>
        <v>3095809.712545726</v>
      </c>
      <c r="F803">
        <f>Process!$H808*ref_umbral-Process!$G808</f>
        <v>3095809.747643108</v>
      </c>
      <c r="G803">
        <f>Process!$K808*ref_umbral-Process!$J808</f>
        <v>3095807.6481058793</v>
      </c>
      <c r="H803">
        <f t="shared" si="29"/>
        <v>3095809.747643108</v>
      </c>
    </row>
    <row r="804" spans="3:8" x14ac:dyDescent="0.3">
      <c r="C804">
        <f>Process!$I809*ref_umbral-Process!$G809</f>
        <v>3095809.4314348497</v>
      </c>
      <c r="D804">
        <f>Process!$L809*ref_umbral-Process!$J809</f>
        <v>3095801.564114897</v>
      </c>
      <c r="E804">
        <f t="shared" si="28"/>
        <v>3095809.4314348497</v>
      </c>
      <c r="F804">
        <f>Process!$H809*ref_umbral-Process!$G809</f>
        <v>3095809.5687322686</v>
      </c>
      <c r="G804">
        <f>Process!$K809*ref_umbral-Process!$J809</f>
        <v>3095803.2323733643</v>
      </c>
      <c r="H804">
        <f t="shared" si="29"/>
        <v>3095809.5687322686</v>
      </c>
    </row>
    <row r="805" spans="3:8" x14ac:dyDescent="0.3">
      <c r="C805">
        <f>Process!$I810*ref_umbral-Process!$G810</f>
        <v>3095809.5131912418</v>
      </c>
      <c r="D805">
        <f>Process!$L810*ref_umbral-Process!$J810</f>
        <v>3095801.8992661103</v>
      </c>
      <c r="E805">
        <f t="shared" si="28"/>
        <v>3095809.5131912418</v>
      </c>
      <c r="F805">
        <f>Process!$H810*ref_umbral-Process!$G810</f>
        <v>3095809.5980768804</v>
      </c>
      <c r="G805">
        <f>Process!$K810*ref_umbral-Process!$J810</f>
        <v>3095802.939807069</v>
      </c>
      <c r="H805">
        <f t="shared" si="29"/>
        <v>3095809.5980768804</v>
      </c>
    </row>
    <row r="806" spans="3:8" x14ac:dyDescent="0.3">
      <c r="C806">
        <f>Process!$I811*ref_umbral-Process!$G811</f>
        <v>3095809.5189359845</v>
      </c>
      <c r="D806">
        <f>Process!$L811*ref_umbral-Process!$J811</f>
        <v>3095806.009593043</v>
      </c>
      <c r="E806">
        <f t="shared" si="28"/>
        <v>3095809.5189359845</v>
      </c>
      <c r="F806">
        <f>Process!$H811*ref_umbral-Process!$G811</f>
        <v>3095809.5931231766</v>
      </c>
      <c r="G806">
        <f>Process!$K811*ref_umbral-Process!$J811</f>
        <v>3095807.1207604534</v>
      </c>
      <c r="H806">
        <f t="shared" si="29"/>
        <v>3095809.5931231766</v>
      </c>
    </row>
    <row r="807" spans="3:8" x14ac:dyDescent="0.3">
      <c r="C807">
        <f>Process!$I812*ref_umbral-Process!$G812</f>
        <v>3095809.4070102354</v>
      </c>
      <c r="D807">
        <f>Process!$L812*ref_umbral-Process!$J812</f>
        <v>3095803.0777793573</v>
      </c>
      <c r="E807">
        <f t="shared" si="28"/>
        <v>3095809.4070102354</v>
      </c>
      <c r="F807">
        <f>Process!$H812*ref_umbral-Process!$G812</f>
        <v>3095809.438136647</v>
      </c>
      <c r="G807">
        <f>Process!$K812*ref_umbral-Process!$J812</f>
        <v>3095806.37400269</v>
      </c>
      <c r="H807">
        <f t="shared" si="29"/>
        <v>3095809.438136647</v>
      </c>
    </row>
    <row r="808" spans="3:8" x14ac:dyDescent="0.3">
      <c r="C808">
        <f>Process!$I813*ref_umbral-Process!$G813</f>
        <v>3095809.4493140229</v>
      </c>
      <c r="D808">
        <f>Process!$L813*ref_umbral-Process!$J813</f>
        <v>3095802.2506819791</v>
      </c>
      <c r="E808">
        <f t="shared" si="28"/>
        <v>3095809.4493140229</v>
      </c>
      <c r="F808">
        <f>Process!$H813*ref_umbral-Process!$G813</f>
        <v>3095809.4908506852</v>
      </c>
      <c r="G808">
        <f>Process!$K813*ref_umbral-Process!$J813</f>
        <v>3095803.3606619565</v>
      </c>
      <c r="H808">
        <f t="shared" si="29"/>
        <v>3095809.4908506852</v>
      </c>
    </row>
    <row r="809" spans="3:8" x14ac:dyDescent="0.3">
      <c r="C809">
        <f>Process!$I814*ref_umbral-Process!$G814</f>
        <v>3095809.6423075856</v>
      </c>
      <c r="D809">
        <f>Process!$L814*ref_umbral-Process!$J814</f>
        <v>3095808.2075019726</v>
      </c>
      <c r="E809">
        <f t="shared" si="28"/>
        <v>3095809.6423075856</v>
      </c>
      <c r="F809">
        <f>Process!$H814*ref_umbral-Process!$G814</f>
        <v>3095809.6739602005</v>
      </c>
      <c r="G809">
        <f>Process!$K814*ref_umbral-Process!$J814</f>
        <v>3095809.6506877751</v>
      </c>
      <c r="H809">
        <f t="shared" si="29"/>
        <v>3095809.6739602005</v>
      </c>
    </row>
    <row r="810" spans="3:8" x14ac:dyDescent="0.3">
      <c r="C810">
        <f>Process!$I815*ref_umbral-Process!$G815</f>
        <v>3095809.1032115552</v>
      </c>
      <c r="D810">
        <f>Process!$L815*ref_umbral-Process!$J815</f>
        <v>3095802.0142274708</v>
      </c>
      <c r="E810">
        <f t="shared" si="28"/>
        <v>3095809.1032115552</v>
      </c>
      <c r="F810">
        <f>Process!$H815*ref_umbral-Process!$G815</f>
        <v>3095809.3572373656</v>
      </c>
      <c r="G810">
        <f>Process!$K815*ref_umbral-Process!$J815</f>
        <v>3095804.9396130824</v>
      </c>
      <c r="H810">
        <f t="shared" si="29"/>
        <v>3095809.3572373656</v>
      </c>
    </row>
    <row r="811" spans="3:8" x14ac:dyDescent="0.3">
      <c r="C811">
        <f>Process!$I816*ref_umbral-Process!$G816</f>
        <v>3095808.7470441451</v>
      </c>
      <c r="D811">
        <f>Process!$L816*ref_umbral-Process!$J816</f>
        <v>3095803.7043057284</v>
      </c>
      <c r="E811">
        <f t="shared" si="28"/>
        <v>3095808.7470441451</v>
      </c>
      <c r="F811">
        <f>Process!$H816*ref_umbral-Process!$G816</f>
        <v>3095809.1108553819</v>
      </c>
      <c r="G811">
        <f>Process!$K816*ref_umbral-Process!$J816</f>
        <v>3095805.8361900663</v>
      </c>
      <c r="H811">
        <f t="shared" si="29"/>
        <v>3095809.1108553819</v>
      </c>
    </row>
    <row r="812" spans="3:8" x14ac:dyDescent="0.3">
      <c r="C812">
        <f>Process!$I817*ref_umbral-Process!$G817</f>
        <v>3095809.1710594385</v>
      </c>
      <c r="D812">
        <f>Process!$L817*ref_umbral-Process!$J817</f>
        <v>3095806.3362691537</v>
      </c>
      <c r="E812">
        <f t="shared" si="28"/>
        <v>3095809.1710594385</v>
      </c>
      <c r="F812">
        <f>Process!$H817*ref_umbral-Process!$G817</f>
        <v>3095809.3576707756</v>
      </c>
      <c r="G812">
        <f>Process!$K817*ref_umbral-Process!$J817</f>
        <v>3095809.6005854402</v>
      </c>
      <c r="H812">
        <f t="shared" si="29"/>
        <v>3095809.6005854402</v>
      </c>
    </row>
    <row r="813" spans="3:8" x14ac:dyDescent="0.3">
      <c r="C813">
        <f>Process!$I818*ref_umbral-Process!$G818</f>
        <v>3095809.3887317725</v>
      </c>
      <c r="D813">
        <f>Process!$L818*ref_umbral-Process!$J818</f>
        <v>3095802.8528540009</v>
      </c>
      <c r="E813">
        <f t="shared" si="28"/>
        <v>3095809.3887317725</v>
      </c>
      <c r="F813">
        <f>Process!$H818*ref_umbral-Process!$G818</f>
        <v>3095809.5793165895</v>
      </c>
      <c r="G813">
        <f>Process!$K818*ref_umbral-Process!$J818</f>
        <v>3095804.7112299544</v>
      </c>
      <c r="H813">
        <f t="shared" si="29"/>
        <v>3095809.5793165895</v>
      </c>
    </row>
    <row r="814" spans="3:8" x14ac:dyDescent="0.3">
      <c r="C814">
        <f>Process!$I819*ref_umbral-Process!$G819</f>
        <v>3095809.5643746043</v>
      </c>
      <c r="D814">
        <f>Process!$L819*ref_umbral-Process!$J819</f>
        <v>3095807.3021199447</v>
      </c>
      <c r="E814">
        <f t="shared" si="28"/>
        <v>3095809.5643746043</v>
      </c>
      <c r="F814">
        <f>Process!$H819*ref_umbral-Process!$G819</f>
        <v>3095809.6758340271</v>
      </c>
      <c r="G814">
        <f>Process!$K819*ref_umbral-Process!$J819</f>
        <v>3095809.6126299878</v>
      </c>
      <c r="H814">
        <f t="shared" si="29"/>
        <v>3095809.6758340271</v>
      </c>
    </row>
    <row r="815" spans="3:8" x14ac:dyDescent="0.3">
      <c r="C815">
        <f>Process!$I820*ref_umbral-Process!$G820</f>
        <v>3095808.5741935307</v>
      </c>
      <c r="D815">
        <f>Process!$L820*ref_umbral-Process!$J820</f>
        <v>3095804.5062895971</v>
      </c>
      <c r="E815">
        <f t="shared" si="28"/>
        <v>3095808.5741935307</v>
      </c>
      <c r="F815">
        <f>Process!$H820*ref_umbral-Process!$G820</f>
        <v>3095809.0410503447</v>
      </c>
      <c r="G815">
        <f>Process!$K820*ref_umbral-Process!$J820</f>
        <v>3095809.5850331513</v>
      </c>
      <c r="H815">
        <f t="shared" si="29"/>
        <v>3095809.5850331513</v>
      </c>
    </row>
    <row r="816" spans="3:8" x14ac:dyDescent="0.3">
      <c r="C816">
        <f>Process!$I821*ref_umbral-Process!$G821</f>
        <v>3095808.8969983249</v>
      </c>
      <c r="D816">
        <f>Process!$L821*ref_umbral-Process!$J821</f>
        <v>3095800.2522155792</v>
      </c>
      <c r="E816">
        <f t="shared" si="28"/>
        <v>3095808.8969983249</v>
      </c>
      <c r="F816">
        <f>Process!$H821*ref_umbral-Process!$G821</f>
        <v>3095809.0177163775</v>
      </c>
      <c r="G816">
        <f>Process!$K821*ref_umbral-Process!$J821</f>
        <v>3095803.0256898687</v>
      </c>
      <c r="H816">
        <f t="shared" si="29"/>
        <v>3095809.0177163775</v>
      </c>
    </row>
    <row r="817" spans="3:8" x14ac:dyDescent="0.3">
      <c r="C817">
        <f>Process!$I822*ref_umbral-Process!$G822</f>
        <v>3095809.5594921745</v>
      </c>
      <c r="D817">
        <f>Process!$L822*ref_umbral-Process!$J822</f>
        <v>3095806.4110706854</v>
      </c>
      <c r="E817">
        <f t="shared" si="28"/>
        <v>3095809.5594921745</v>
      </c>
      <c r="F817">
        <f>Process!$H822*ref_umbral-Process!$G822</f>
        <v>3095809.5883165426</v>
      </c>
      <c r="G817">
        <f>Process!$K822*ref_umbral-Process!$J822</f>
        <v>3095807.9030291187</v>
      </c>
      <c r="H817">
        <f t="shared" si="29"/>
        <v>3095809.5883165426</v>
      </c>
    </row>
    <row r="818" spans="3:8" x14ac:dyDescent="0.3">
      <c r="C818">
        <f>Process!$I823*ref_umbral-Process!$G823</f>
        <v>3095809.1868059388</v>
      </c>
      <c r="D818">
        <f>Process!$L823*ref_umbral-Process!$J823</f>
        <v>3095804.0161882662</v>
      </c>
      <c r="E818">
        <f t="shared" si="28"/>
        <v>3095809.1868059388</v>
      </c>
      <c r="F818">
        <f>Process!$H823*ref_umbral-Process!$G823</f>
        <v>3095809.3879353446</v>
      </c>
      <c r="G818">
        <f>Process!$K823*ref_umbral-Process!$J823</f>
        <v>3095805.7407354852</v>
      </c>
      <c r="H818">
        <f t="shared" si="29"/>
        <v>3095809.3879353446</v>
      </c>
    </row>
    <row r="819" spans="3:8" x14ac:dyDescent="0.3">
      <c r="C819">
        <f>Process!$I824*ref_umbral-Process!$G824</f>
        <v>3095807.7785553532</v>
      </c>
      <c r="D819">
        <f>Process!$L824*ref_umbral-Process!$J824</f>
        <v>3095789.8804699997</v>
      </c>
      <c r="E819">
        <f t="shared" si="28"/>
        <v>3095807.7785553532</v>
      </c>
      <c r="F819">
        <f>Process!$H824*ref_umbral-Process!$G824</f>
        <v>3095807.8989620404</v>
      </c>
      <c r="G819">
        <f>Process!$K824*ref_umbral-Process!$J824</f>
        <v>3095790.5881881714</v>
      </c>
      <c r="H819">
        <f t="shared" si="29"/>
        <v>3095807.8989620404</v>
      </c>
    </row>
    <row r="820" spans="3:8" x14ac:dyDescent="0.3">
      <c r="C820">
        <f>Process!$I825*ref_umbral-Process!$G825</f>
        <v>3095809.5942296311</v>
      </c>
      <c r="D820">
        <f>Process!$L825*ref_umbral-Process!$J825</f>
        <v>3095806.6981539987</v>
      </c>
      <c r="E820">
        <f t="shared" si="28"/>
        <v>3095809.5942296311</v>
      </c>
      <c r="F820">
        <f>Process!$H825*ref_umbral-Process!$G825</f>
        <v>3095809.687819757</v>
      </c>
      <c r="G820">
        <f>Process!$K825*ref_umbral-Process!$J825</f>
        <v>3095808.3638586192</v>
      </c>
      <c r="H820">
        <f t="shared" si="29"/>
        <v>3095809.687819757</v>
      </c>
    </row>
    <row r="821" spans="3:8" x14ac:dyDescent="0.3">
      <c r="C821">
        <f>Process!$I826*ref_umbral-Process!$G826</f>
        <v>3095809.1453971001</v>
      </c>
      <c r="D821">
        <f>Process!$L826*ref_umbral-Process!$J826</f>
        <v>3095801.9442553478</v>
      </c>
      <c r="E821">
        <f t="shared" si="28"/>
        <v>3095809.1453971001</v>
      </c>
      <c r="F821">
        <f>Process!$H826*ref_umbral-Process!$G826</f>
        <v>3095809.2903903364</v>
      </c>
      <c r="G821">
        <f>Process!$K826*ref_umbral-Process!$J826</f>
        <v>3095803.7894201661</v>
      </c>
      <c r="H821">
        <f t="shared" si="29"/>
        <v>3095809.2903903364</v>
      </c>
    </row>
    <row r="822" spans="3:8" x14ac:dyDescent="0.3">
      <c r="C822">
        <f>Process!$I827*ref_umbral-Process!$G827</f>
        <v>3095808.9493699288</v>
      </c>
      <c r="D822">
        <f>Process!$L827*ref_umbral-Process!$J827</f>
        <v>3095800.1262240396</v>
      </c>
      <c r="E822">
        <f t="shared" si="28"/>
        <v>3095808.9493699288</v>
      </c>
      <c r="F822">
        <f>Process!$H827*ref_umbral-Process!$G827</f>
        <v>3095809.0732870726</v>
      </c>
      <c r="G822">
        <f>Process!$K827*ref_umbral-Process!$J827</f>
        <v>3095803.2711453098</v>
      </c>
      <c r="H822">
        <f t="shared" si="29"/>
        <v>3095809.0732870726</v>
      </c>
    </row>
    <row r="823" spans="3:8" x14ac:dyDescent="0.3">
      <c r="C823">
        <f>Process!$I828*ref_umbral-Process!$G828</f>
        <v>3095809.3026907961</v>
      </c>
      <c r="D823">
        <f>Process!$L828*ref_umbral-Process!$J828</f>
        <v>3095806.6036203615</v>
      </c>
      <c r="E823">
        <f t="shared" si="28"/>
        <v>3095809.3026907961</v>
      </c>
      <c r="F823">
        <f>Process!$H828*ref_umbral-Process!$G828</f>
        <v>3095809.4111777553</v>
      </c>
      <c r="G823">
        <f>Process!$K828*ref_umbral-Process!$J828</f>
        <v>3095808.7640366699</v>
      </c>
      <c r="H823">
        <f t="shared" si="29"/>
        <v>3095809.4111777553</v>
      </c>
    </row>
    <row r="824" spans="3:8" x14ac:dyDescent="0.3">
      <c r="C824">
        <f>Process!$I829*ref_umbral-Process!$G829</f>
        <v>3095809.4270479479</v>
      </c>
      <c r="D824">
        <f>Process!$L829*ref_umbral-Process!$J829</f>
        <v>3095800.6890340382</v>
      </c>
      <c r="E824">
        <f t="shared" si="28"/>
        <v>3095809.4270479479</v>
      </c>
      <c r="F824">
        <f>Process!$H829*ref_umbral-Process!$G829</f>
        <v>3095809.5584517145</v>
      </c>
      <c r="G824">
        <f>Process!$K829*ref_umbral-Process!$J829</f>
        <v>3095802.4787270552</v>
      </c>
      <c r="H824">
        <f t="shared" si="29"/>
        <v>3095809.5584517145</v>
      </c>
    </row>
    <row r="825" spans="3:8" x14ac:dyDescent="0.3">
      <c r="C825">
        <f>Process!$I830*ref_umbral-Process!$G830</f>
        <v>3095809.4558309326</v>
      </c>
      <c r="D825">
        <f>Process!$L830*ref_umbral-Process!$J830</f>
        <v>3095802.7494659093</v>
      </c>
      <c r="E825">
        <f t="shared" si="28"/>
        <v>3095809.4558309326</v>
      </c>
      <c r="F825">
        <f>Process!$H830*ref_umbral-Process!$G830</f>
        <v>3095809.5277300398</v>
      </c>
      <c r="G825">
        <f>Process!$K830*ref_umbral-Process!$J830</f>
        <v>3095804.6477608047</v>
      </c>
      <c r="H825">
        <f t="shared" si="29"/>
        <v>3095809.5277300398</v>
      </c>
    </row>
    <row r="826" spans="3:8" x14ac:dyDescent="0.3">
      <c r="C826">
        <f>Process!$I831*ref_umbral-Process!$G831</f>
        <v>3095809.3128802083</v>
      </c>
      <c r="D826">
        <f>Process!$L831*ref_umbral-Process!$J831</f>
        <v>3095805.9198325975</v>
      </c>
      <c r="E826">
        <f t="shared" si="28"/>
        <v>3095809.3128802083</v>
      </c>
      <c r="F826">
        <f>Process!$H831*ref_umbral-Process!$G831</f>
        <v>3095809.5221743304</v>
      </c>
      <c r="G826">
        <f>Process!$K831*ref_umbral-Process!$J831</f>
        <v>3095809.079192881</v>
      </c>
      <c r="H826">
        <f t="shared" si="29"/>
        <v>3095809.5221743304</v>
      </c>
    </row>
    <row r="827" spans="3:8" x14ac:dyDescent="0.3">
      <c r="C827">
        <f>Process!$I832*ref_umbral-Process!$G832</f>
        <v>3095809.2320807166</v>
      </c>
      <c r="D827">
        <f>Process!$L832*ref_umbral-Process!$J832</f>
        <v>3095802.6379156318</v>
      </c>
      <c r="E827">
        <f t="shared" si="28"/>
        <v>3095809.2320807166</v>
      </c>
      <c r="F827">
        <f>Process!$H832*ref_umbral-Process!$G832</f>
        <v>3095809.4296120689</v>
      </c>
      <c r="G827">
        <f>Process!$K832*ref_umbral-Process!$J832</f>
        <v>3095806.7869646214</v>
      </c>
      <c r="H827">
        <f t="shared" si="29"/>
        <v>3095809.4296120689</v>
      </c>
    </row>
    <row r="828" spans="3:8" x14ac:dyDescent="0.3">
      <c r="C828">
        <f>Process!$I833*ref_umbral-Process!$G833</f>
        <v>3095807.3200153541</v>
      </c>
      <c r="D828">
        <f>Process!$L833*ref_umbral-Process!$J833</f>
        <v>3095795.3030498377</v>
      </c>
      <c r="E828">
        <f t="shared" si="28"/>
        <v>3095807.3200153541</v>
      </c>
      <c r="F828">
        <f>Process!$H833*ref_umbral-Process!$G833</f>
        <v>3095807.7949411082</v>
      </c>
      <c r="G828">
        <f>Process!$K833*ref_umbral-Process!$J833</f>
        <v>3095798.3006883548</v>
      </c>
      <c r="H828">
        <f t="shared" si="29"/>
        <v>3095807.7949411082</v>
      </c>
    </row>
    <row r="829" spans="3:8" x14ac:dyDescent="0.3">
      <c r="C829">
        <f>Process!$I834*ref_umbral-Process!$G834</f>
        <v>3095809.3988921386</v>
      </c>
      <c r="D829">
        <f>Process!$L834*ref_umbral-Process!$J834</f>
        <v>3095805.6905795326</v>
      </c>
      <c r="E829">
        <f t="shared" si="28"/>
        <v>3095809.3988921386</v>
      </c>
      <c r="F829">
        <f>Process!$H834*ref_umbral-Process!$G834</f>
        <v>3095809.5021544467</v>
      </c>
      <c r="G829">
        <f>Process!$K834*ref_umbral-Process!$J834</f>
        <v>3095807.4043303728</v>
      </c>
      <c r="H829">
        <f t="shared" si="29"/>
        <v>3095809.5021544467</v>
      </c>
    </row>
    <row r="830" spans="3:8" x14ac:dyDescent="0.3">
      <c r="C830">
        <f>Process!$I835*ref_umbral-Process!$G835</f>
        <v>3095809.2714923937</v>
      </c>
      <c r="D830">
        <f>Process!$L835*ref_umbral-Process!$J835</f>
        <v>3095807.1381593309</v>
      </c>
      <c r="E830">
        <f t="shared" si="28"/>
        <v>3095809.2714923937</v>
      </c>
      <c r="F830">
        <f>Process!$H835*ref_umbral-Process!$G835</f>
        <v>3095809.4030786003</v>
      </c>
      <c r="G830">
        <f>Process!$K835*ref_umbral-Process!$J835</f>
        <v>3095809.5794254318</v>
      </c>
      <c r="H830">
        <f t="shared" si="29"/>
        <v>3095809.5794254318</v>
      </c>
    </row>
    <row r="831" spans="3:8" x14ac:dyDescent="0.3">
      <c r="C831">
        <f>Process!$I836*ref_umbral-Process!$G836</f>
        <v>3095809.384886398</v>
      </c>
      <c r="D831">
        <f>Process!$L836*ref_umbral-Process!$J836</f>
        <v>3095805.2440075423</v>
      </c>
      <c r="E831">
        <f t="shared" si="28"/>
        <v>3095809.384886398</v>
      </c>
      <c r="F831">
        <f>Process!$H836*ref_umbral-Process!$G836</f>
        <v>3095809.5207142653</v>
      </c>
      <c r="G831">
        <f>Process!$K836*ref_umbral-Process!$J836</f>
        <v>3095806.8007112718</v>
      </c>
      <c r="H831">
        <f t="shared" si="29"/>
        <v>3095809.5207142653</v>
      </c>
    </row>
    <row r="832" spans="3:8" x14ac:dyDescent="0.3">
      <c r="C832">
        <f>Process!$I837*ref_umbral-Process!$G837</f>
        <v>3095809.4073304133</v>
      </c>
      <c r="D832">
        <f>Process!$L837*ref_umbral-Process!$J837</f>
        <v>3095806.2723907311</v>
      </c>
      <c r="E832">
        <f t="shared" si="28"/>
        <v>3095809.4073304133</v>
      </c>
      <c r="F832">
        <f>Process!$H837*ref_umbral-Process!$G837</f>
        <v>3095809.5632748259</v>
      </c>
      <c r="G832">
        <f>Process!$K837*ref_umbral-Process!$J837</f>
        <v>3095808.3420671728</v>
      </c>
      <c r="H832">
        <f t="shared" si="29"/>
        <v>3095809.5632748259</v>
      </c>
    </row>
    <row r="833" spans="3:8" x14ac:dyDescent="0.3">
      <c r="C833">
        <f>Process!$I838*ref_umbral-Process!$G838</f>
        <v>3095809.4839479313</v>
      </c>
      <c r="D833">
        <f>Process!$L838*ref_umbral-Process!$J838</f>
        <v>3095806.1472171526</v>
      </c>
      <c r="E833">
        <f t="shared" si="28"/>
        <v>3095809.4839479313</v>
      </c>
      <c r="F833">
        <f>Process!$H838*ref_umbral-Process!$G838</f>
        <v>3095809.5971363061</v>
      </c>
      <c r="G833">
        <f>Process!$K838*ref_umbral-Process!$J838</f>
        <v>3095808.2107939557</v>
      </c>
      <c r="H833">
        <f t="shared" si="29"/>
        <v>3095809.5971363061</v>
      </c>
    </row>
    <row r="834" spans="3:8" x14ac:dyDescent="0.3">
      <c r="C834">
        <f>Process!$I839*ref_umbral-Process!$G839</f>
        <v>3095809.4990243157</v>
      </c>
      <c r="D834">
        <f>Process!$L839*ref_umbral-Process!$J839</f>
        <v>3095806.3737906027</v>
      </c>
      <c r="E834">
        <f t="shared" si="28"/>
        <v>3095809.4990243157</v>
      </c>
      <c r="F834">
        <f>Process!$H839*ref_umbral-Process!$G839</f>
        <v>3095809.6498999214</v>
      </c>
      <c r="G834">
        <f>Process!$K839*ref_umbral-Process!$J839</f>
        <v>3095808.4081652504</v>
      </c>
      <c r="H834">
        <f t="shared" si="29"/>
        <v>3095809.6498999214</v>
      </c>
    </row>
    <row r="835" spans="3:8" x14ac:dyDescent="0.3">
      <c r="C835">
        <f>Process!$I840*ref_umbral-Process!$G840</f>
        <v>3095809.2212914126</v>
      </c>
      <c r="D835">
        <f>Process!$L840*ref_umbral-Process!$J840</f>
        <v>3095804.8122889502</v>
      </c>
      <c r="E835">
        <f t="shared" si="28"/>
        <v>3095809.2212914126</v>
      </c>
      <c r="F835">
        <f>Process!$H840*ref_umbral-Process!$G840</f>
        <v>3095809.3948580269</v>
      </c>
      <c r="G835">
        <f>Process!$K840*ref_umbral-Process!$J840</f>
        <v>3095806.7189590535</v>
      </c>
      <c r="H835">
        <f t="shared" si="29"/>
        <v>3095809.3948580269</v>
      </c>
    </row>
    <row r="836" spans="3:8" x14ac:dyDescent="0.3">
      <c r="C836">
        <f>Process!$I841*ref_umbral-Process!$G841</f>
        <v>3095809.5034611351</v>
      </c>
      <c r="D836">
        <f>Process!$L841*ref_umbral-Process!$J841</f>
        <v>3095801.4502210193</v>
      </c>
      <c r="E836">
        <f t="shared" si="28"/>
        <v>3095809.5034611351</v>
      </c>
      <c r="F836">
        <f>Process!$H841*ref_umbral-Process!$G841</f>
        <v>3095809.52608218</v>
      </c>
      <c r="G836">
        <f>Process!$K841*ref_umbral-Process!$J841</f>
        <v>3095802.3401469821</v>
      </c>
      <c r="H836">
        <f t="shared" si="29"/>
        <v>3095809.52608218</v>
      </c>
    </row>
    <row r="837" spans="3:8" x14ac:dyDescent="0.3">
      <c r="C837">
        <f>Process!$I842*ref_umbral-Process!$G842</f>
        <v>3095809.2398923603</v>
      </c>
      <c r="D837">
        <f>Process!$L842*ref_umbral-Process!$J842</f>
        <v>3095805.9615520509</v>
      </c>
      <c r="E837">
        <f t="shared" si="28"/>
        <v>3095809.2398923603</v>
      </c>
      <c r="F837">
        <f>Process!$H842*ref_umbral-Process!$G842</f>
        <v>3095809.3493238147</v>
      </c>
      <c r="G837">
        <f>Process!$K842*ref_umbral-Process!$J842</f>
        <v>3095808.2201074571</v>
      </c>
      <c r="H837">
        <f t="shared" si="29"/>
        <v>3095809.3493238147</v>
      </c>
    </row>
    <row r="838" spans="3:8" x14ac:dyDescent="0.3">
      <c r="C838">
        <f>Process!$I843*ref_umbral-Process!$G843</f>
        <v>3095809.1871692711</v>
      </c>
      <c r="D838">
        <f>Process!$L843*ref_umbral-Process!$J843</f>
        <v>3095801.4349027816</v>
      </c>
      <c r="E838">
        <f t="shared" si="28"/>
        <v>3095809.1871692711</v>
      </c>
      <c r="F838">
        <f>Process!$H843*ref_umbral-Process!$G843</f>
        <v>3095809.2829287825</v>
      </c>
      <c r="G838">
        <f>Process!$K843*ref_umbral-Process!$J843</f>
        <v>3095803.3984566471</v>
      </c>
      <c r="H838">
        <f t="shared" si="29"/>
        <v>3095809.2829287825</v>
      </c>
    </row>
    <row r="839" spans="3:8" x14ac:dyDescent="0.3">
      <c r="C839">
        <f>Process!$I844*ref_umbral-Process!$G844</f>
        <v>3095808.4440129949</v>
      </c>
      <c r="D839">
        <f>Process!$L844*ref_umbral-Process!$J844</f>
        <v>3095797.0518219164</v>
      </c>
      <c r="E839">
        <f t="shared" ref="E839:E902" si="30">MAX(C839,D839)</f>
        <v>3095808.4440129949</v>
      </c>
      <c r="F839">
        <f>Process!$H844*ref_umbral-Process!$G844</f>
        <v>3095808.7314864649</v>
      </c>
      <c r="G839">
        <f>Process!$K844*ref_umbral-Process!$J844</f>
        <v>3095799.0657484462</v>
      </c>
      <c r="H839">
        <f t="shared" ref="H839:H902" si="31">MAX(F839,G839)</f>
        <v>3095808.7314864649</v>
      </c>
    </row>
    <row r="840" spans="3:8" x14ac:dyDescent="0.3">
      <c r="C840">
        <f>Process!$I845*ref_umbral-Process!$G845</f>
        <v>3095809.1881005145</v>
      </c>
      <c r="D840">
        <f>Process!$L845*ref_umbral-Process!$J845</f>
        <v>3095803.8868221762</v>
      </c>
      <c r="E840">
        <f t="shared" si="30"/>
        <v>3095809.1881005145</v>
      </c>
      <c r="F840">
        <f>Process!$H845*ref_umbral-Process!$G845</f>
        <v>3095809.337569111</v>
      </c>
      <c r="G840">
        <f>Process!$K845*ref_umbral-Process!$J845</f>
        <v>3095805.5019490365</v>
      </c>
      <c r="H840">
        <f t="shared" si="31"/>
        <v>3095809.337569111</v>
      </c>
    </row>
    <row r="841" spans="3:8" x14ac:dyDescent="0.3">
      <c r="C841">
        <f>Process!$I846*ref_umbral-Process!$G846</f>
        <v>3095808.0365578774</v>
      </c>
      <c r="D841">
        <f>Process!$L846*ref_umbral-Process!$J846</f>
        <v>3095797.9911181941</v>
      </c>
      <c r="E841">
        <f t="shared" si="30"/>
        <v>3095808.0365578774</v>
      </c>
      <c r="F841">
        <f>Process!$H846*ref_umbral-Process!$G846</f>
        <v>3095808.1819183887</v>
      </c>
      <c r="G841">
        <f>Process!$K846*ref_umbral-Process!$J846</f>
        <v>3095798.9744196027</v>
      </c>
      <c r="H841">
        <f t="shared" si="31"/>
        <v>3095808.1819183887</v>
      </c>
    </row>
    <row r="842" spans="3:8" x14ac:dyDescent="0.3">
      <c r="C842">
        <f>Process!$I847*ref_umbral-Process!$G847</f>
        <v>3095809.5559836999</v>
      </c>
      <c r="D842">
        <f>Process!$L847*ref_umbral-Process!$J847</f>
        <v>3095807.1620568833</v>
      </c>
      <c r="E842">
        <f t="shared" si="30"/>
        <v>3095809.5559836999</v>
      </c>
      <c r="F842">
        <f>Process!$H847*ref_umbral-Process!$G847</f>
        <v>3095809.6000552457</v>
      </c>
      <c r="G842">
        <f>Process!$K847*ref_umbral-Process!$J847</f>
        <v>3095809.0451095812</v>
      </c>
      <c r="H842">
        <f t="shared" si="31"/>
        <v>3095809.6000552457</v>
      </c>
    </row>
    <row r="843" spans="3:8" x14ac:dyDescent="0.3">
      <c r="C843">
        <f>Process!$I848*ref_umbral-Process!$G848</f>
        <v>3095808.8536857613</v>
      </c>
      <c r="D843">
        <f>Process!$L848*ref_umbral-Process!$J848</f>
        <v>3095797.9875053875</v>
      </c>
      <c r="E843">
        <f t="shared" si="30"/>
        <v>3095808.8536857613</v>
      </c>
      <c r="F843">
        <f>Process!$H848*ref_umbral-Process!$G848</f>
        <v>3095809.0806274684</v>
      </c>
      <c r="G843">
        <f>Process!$K848*ref_umbral-Process!$J848</f>
        <v>3095801.0956003205</v>
      </c>
      <c r="H843">
        <f t="shared" si="31"/>
        <v>3095809.0806274684</v>
      </c>
    </row>
    <row r="844" spans="3:8" x14ac:dyDescent="0.3">
      <c r="C844">
        <f>Process!$I849*ref_umbral-Process!$G849</f>
        <v>3095809.6510009179</v>
      </c>
      <c r="D844">
        <f>Process!$L849*ref_umbral-Process!$J849</f>
        <v>3095807.1558448854</v>
      </c>
      <c r="E844">
        <f t="shared" si="30"/>
        <v>3095809.6510009179</v>
      </c>
      <c r="F844">
        <f>Process!$H849*ref_umbral-Process!$G849</f>
        <v>3095809.6868101913</v>
      </c>
      <c r="G844">
        <f>Process!$K849*ref_umbral-Process!$J849</f>
        <v>3095808.8848993885</v>
      </c>
      <c r="H844">
        <f t="shared" si="31"/>
        <v>3095809.6868101913</v>
      </c>
    </row>
    <row r="845" spans="3:8" x14ac:dyDescent="0.3">
      <c r="C845">
        <f>Process!$I850*ref_umbral-Process!$G850</f>
        <v>3095808.9507865855</v>
      </c>
      <c r="D845">
        <f>Process!$L850*ref_umbral-Process!$J850</f>
        <v>3095802.8455805392</v>
      </c>
      <c r="E845">
        <f t="shared" si="30"/>
        <v>3095808.9507865855</v>
      </c>
      <c r="F845">
        <f>Process!$H850*ref_umbral-Process!$G850</f>
        <v>3095809.2689064997</v>
      </c>
      <c r="G845">
        <f>Process!$K850*ref_umbral-Process!$J850</f>
        <v>3095807.5600610557</v>
      </c>
      <c r="H845">
        <f t="shared" si="31"/>
        <v>3095809.2689064997</v>
      </c>
    </row>
    <row r="846" spans="3:8" x14ac:dyDescent="0.3">
      <c r="C846">
        <f>Process!$I851*ref_umbral-Process!$G851</f>
        <v>3095809.5505523197</v>
      </c>
      <c r="D846">
        <f>Process!$L851*ref_umbral-Process!$J851</f>
        <v>3095806.6892303983</v>
      </c>
      <c r="E846">
        <f t="shared" si="30"/>
        <v>3095809.5505523197</v>
      </c>
      <c r="F846">
        <f>Process!$H851*ref_umbral-Process!$G851</f>
        <v>3095809.6937426287</v>
      </c>
      <c r="G846">
        <f>Process!$K851*ref_umbral-Process!$J851</f>
        <v>3095809.2181535726</v>
      </c>
      <c r="H846">
        <f t="shared" si="31"/>
        <v>3095809.6937426287</v>
      </c>
    </row>
    <row r="847" spans="3:8" x14ac:dyDescent="0.3">
      <c r="C847">
        <f>Process!$I852*ref_umbral-Process!$G852</f>
        <v>3095809.6522730296</v>
      </c>
      <c r="D847">
        <f>Process!$L852*ref_umbral-Process!$J852</f>
        <v>3095805.3846445926</v>
      </c>
      <c r="E847">
        <f t="shared" si="30"/>
        <v>3095809.6522730296</v>
      </c>
      <c r="F847">
        <f>Process!$H852*ref_umbral-Process!$G852</f>
        <v>3095809.7199476222</v>
      </c>
      <c r="G847">
        <f>Process!$K852*ref_umbral-Process!$J852</f>
        <v>3095807.3462385661</v>
      </c>
      <c r="H847">
        <f t="shared" si="31"/>
        <v>3095809.7199476222</v>
      </c>
    </row>
    <row r="848" spans="3:8" x14ac:dyDescent="0.3">
      <c r="C848">
        <f>Process!$I853*ref_umbral-Process!$G853</f>
        <v>3095809.6851531705</v>
      </c>
      <c r="D848">
        <f>Process!$L853*ref_umbral-Process!$J853</f>
        <v>3095808.0780132236</v>
      </c>
      <c r="E848">
        <f t="shared" si="30"/>
        <v>3095809.6851531705</v>
      </c>
      <c r="F848">
        <f>Process!$H853*ref_umbral-Process!$G853</f>
        <v>3095809.7718096464</v>
      </c>
      <c r="G848">
        <f>Process!$K853*ref_umbral-Process!$J853</f>
        <v>3095809.2759287534</v>
      </c>
      <c r="H848">
        <f t="shared" si="31"/>
        <v>3095809.7718096464</v>
      </c>
    </row>
    <row r="849" spans="3:8" x14ac:dyDescent="0.3">
      <c r="C849">
        <f>Process!$I854*ref_umbral-Process!$G854</f>
        <v>3095809.5871109692</v>
      </c>
      <c r="D849">
        <f>Process!$L854*ref_umbral-Process!$J854</f>
        <v>3095804.8509250539</v>
      </c>
      <c r="E849">
        <f t="shared" si="30"/>
        <v>3095809.5871109692</v>
      </c>
      <c r="F849">
        <f>Process!$H854*ref_umbral-Process!$G854</f>
        <v>3095809.654106888</v>
      </c>
      <c r="G849">
        <f>Process!$K854*ref_umbral-Process!$J854</f>
        <v>3095806.1467106245</v>
      </c>
      <c r="H849">
        <f t="shared" si="31"/>
        <v>3095809.654106888</v>
      </c>
    </row>
    <row r="850" spans="3:8" x14ac:dyDescent="0.3">
      <c r="C850">
        <f>Process!$I855*ref_umbral-Process!$G855</f>
        <v>3095808.4492861046</v>
      </c>
      <c r="D850">
        <f>Process!$L855*ref_umbral-Process!$J855</f>
        <v>3095798.9909528638</v>
      </c>
      <c r="E850">
        <f t="shared" si="30"/>
        <v>3095808.4492861046</v>
      </c>
      <c r="F850">
        <f>Process!$H855*ref_umbral-Process!$G855</f>
        <v>3095808.967698215</v>
      </c>
      <c r="G850">
        <f>Process!$K855*ref_umbral-Process!$J855</f>
        <v>3095803.0123355137</v>
      </c>
      <c r="H850">
        <f t="shared" si="31"/>
        <v>3095808.967698215</v>
      </c>
    </row>
    <row r="851" spans="3:8" x14ac:dyDescent="0.3">
      <c r="C851">
        <f>Process!$I856*ref_umbral-Process!$G856</f>
        <v>3095809.3115467592</v>
      </c>
      <c r="D851">
        <f>Process!$L856*ref_umbral-Process!$J856</f>
        <v>3095807.5146309477</v>
      </c>
      <c r="E851">
        <f t="shared" si="30"/>
        <v>3095809.3115467592</v>
      </c>
      <c r="F851">
        <f>Process!$H856*ref_umbral-Process!$G856</f>
        <v>3095809.5050281207</v>
      </c>
      <c r="G851">
        <f>Process!$K856*ref_umbral-Process!$J856</f>
        <v>3095809.5502034803</v>
      </c>
      <c r="H851">
        <f t="shared" si="31"/>
        <v>3095809.5502034803</v>
      </c>
    </row>
    <row r="852" spans="3:8" x14ac:dyDescent="0.3">
      <c r="C852">
        <f>Process!$I857*ref_umbral-Process!$G857</f>
        <v>3095807.1598239867</v>
      </c>
      <c r="D852">
        <f>Process!$L857*ref_umbral-Process!$J857</f>
        <v>3095795.3277530386</v>
      </c>
      <c r="E852">
        <f t="shared" si="30"/>
        <v>3095807.1598239867</v>
      </c>
      <c r="F852">
        <f>Process!$H857*ref_umbral-Process!$G857</f>
        <v>3095807.781555979</v>
      </c>
      <c r="G852">
        <f>Process!$K857*ref_umbral-Process!$J857</f>
        <v>3095799.523425776</v>
      </c>
      <c r="H852">
        <f t="shared" si="31"/>
        <v>3095807.781555979</v>
      </c>
    </row>
    <row r="853" spans="3:8" x14ac:dyDescent="0.3">
      <c r="C853">
        <f>Process!$I858*ref_umbral-Process!$G858</f>
        <v>3095809.3467097511</v>
      </c>
      <c r="D853">
        <f>Process!$L858*ref_umbral-Process!$J858</f>
        <v>3095801.6402624082</v>
      </c>
      <c r="E853">
        <f t="shared" si="30"/>
        <v>3095809.3467097511</v>
      </c>
      <c r="F853">
        <f>Process!$H858*ref_umbral-Process!$G858</f>
        <v>3095809.6149932062</v>
      </c>
      <c r="G853">
        <f>Process!$K858*ref_umbral-Process!$J858</f>
        <v>3095804.4481029939</v>
      </c>
      <c r="H853">
        <f t="shared" si="31"/>
        <v>3095809.6149932062</v>
      </c>
    </row>
    <row r="854" spans="3:8" x14ac:dyDescent="0.3">
      <c r="C854">
        <f>Process!$I859*ref_umbral-Process!$G859</f>
        <v>3095809.5613848031</v>
      </c>
      <c r="D854">
        <f>Process!$L859*ref_umbral-Process!$J859</f>
        <v>3095807.5388978464</v>
      </c>
      <c r="E854">
        <f t="shared" si="30"/>
        <v>3095809.5613848031</v>
      </c>
      <c r="F854">
        <f>Process!$H859*ref_umbral-Process!$G859</f>
        <v>3095809.6376548382</v>
      </c>
      <c r="G854">
        <f>Process!$K859*ref_umbral-Process!$J859</f>
        <v>3095808.8504513851</v>
      </c>
      <c r="H854">
        <f t="shared" si="31"/>
        <v>3095809.6376548382</v>
      </c>
    </row>
    <row r="855" spans="3:8" x14ac:dyDescent="0.3">
      <c r="C855">
        <f>Process!$I860*ref_umbral-Process!$G860</f>
        <v>3095808.335792542</v>
      </c>
      <c r="D855">
        <f>Process!$L860*ref_umbral-Process!$J860</f>
        <v>3095800.6104683881</v>
      </c>
      <c r="E855">
        <f t="shared" si="30"/>
        <v>3095808.335792542</v>
      </c>
      <c r="F855">
        <f>Process!$H860*ref_umbral-Process!$G860</f>
        <v>3095808.6776639163</v>
      </c>
      <c r="G855">
        <f>Process!$K860*ref_umbral-Process!$J860</f>
        <v>3095803.5950521324</v>
      </c>
      <c r="H855">
        <f t="shared" si="31"/>
        <v>3095808.6776639163</v>
      </c>
    </row>
    <row r="856" spans="3:8" x14ac:dyDescent="0.3">
      <c r="C856">
        <f>Process!$I861*ref_umbral-Process!$G861</f>
        <v>3095808.4801470302</v>
      </c>
      <c r="D856">
        <f>Process!$L861*ref_umbral-Process!$J861</f>
        <v>3095806.1331825494</v>
      </c>
      <c r="E856">
        <f t="shared" si="30"/>
        <v>3095808.4801470302</v>
      </c>
      <c r="F856">
        <f>Process!$H861*ref_umbral-Process!$G861</f>
        <v>3095809.302771674</v>
      </c>
      <c r="G856">
        <f>Process!$K861*ref_umbral-Process!$J861</f>
        <v>3095809.0630130204</v>
      </c>
      <c r="H856">
        <f t="shared" si="31"/>
        <v>3095809.302771674</v>
      </c>
    </row>
    <row r="857" spans="3:8" x14ac:dyDescent="0.3">
      <c r="C857">
        <f>Process!$I862*ref_umbral-Process!$G862</f>
        <v>3095809.3658358455</v>
      </c>
      <c r="D857">
        <f>Process!$L862*ref_umbral-Process!$J862</f>
        <v>3095805.4252596172</v>
      </c>
      <c r="E857">
        <f t="shared" si="30"/>
        <v>3095809.3658358455</v>
      </c>
      <c r="F857">
        <f>Process!$H862*ref_umbral-Process!$G862</f>
        <v>3095809.5344680077</v>
      </c>
      <c r="G857">
        <f>Process!$K862*ref_umbral-Process!$J862</f>
        <v>3095806.8808841957</v>
      </c>
      <c r="H857">
        <f t="shared" si="31"/>
        <v>3095809.5344680077</v>
      </c>
    </row>
    <row r="858" spans="3:8" x14ac:dyDescent="0.3">
      <c r="C858">
        <f>Process!$I863*ref_umbral-Process!$G863</f>
        <v>3095809.623453828</v>
      </c>
      <c r="D858">
        <f>Process!$L863*ref_umbral-Process!$J863</f>
        <v>3095802.3647360713</v>
      </c>
      <c r="E858">
        <f t="shared" si="30"/>
        <v>3095809.623453828</v>
      </c>
      <c r="F858">
        <f>Process!$H863*ref_umbral-Process!$G863</f>
        <v>3095809.7153011505</v>
      </c>
      <c r="G858">
        <f>Process!$K863*ref_umbral-Process!$J863</f>
        <v>3095803.8777319035</v>
      </c>
      <c r="H858">
        <f t="shared" si="31"/>
        <v>3095809.7153011505</v>
      </c>
    </row>
    <row r="859" spans="3:8" x14ac:dyDescent="0.3">
      <c r="C859">
        <f>Process!$I864*ref_umbral-Process!$G864</f>
        <v>3095808.8226483171</v>
      </c>
      <c r="D859">
        <f>Process!$L864*ref_umbral-Process!$J864</f>
        <v>3095801.8898625076</v>
      </c>
      <c r="E859">
        <f t="shared" si="30"/>
        <v>3095808.8226483171</v>
      </c>
      <c r="F859">
        <f>Process!$H864*ref_umbral-Process!$G864</f>
        <v>3095809.1729730759</v>
      </c>
      <c r="G859">
        <f>Process!$K864*ref_umbral-Process!$J864</f>
        <v>3095806.5939932652</v>
      </c>
      <c r="H859">
        <f t="shared" si="31"/>
        <v>3095809.1729730759</v>
      </c>
    </row>
    <row r="860" spans="3:8" x14ac:dyDescent="0.3">
      <c r="C860">
        <f>Process!$I865*ref_umbral-Process!$G865</f>
        <v>3095809.0470090574</v>
      </c>
      <c r="D860">
        <f>Process!$L865*ref_umbral-Process!$J865</f>
        <v>3095801.3499959819</v>
      </c>
      <c r="E860">
        <f t="shared" si="30"/>
        <v>3095809.0470090574</v>
      </c>
      <c r="F860">
        <f>Process!$H865*ref_umbral-Process!$G865</f>
        <v>3095809.3988781944</v>
      </c>
      <c r="G860">
        <f>Process!$K865*ref_umbral-Process!$J865</f>
        <v>3095804.4311486422</v>
      </c>
      <c r="H860">
        <f t="shared" si="31"/>
        <v>3095809.3988781944</v>
      </c>
    </row>
    <row r="861" spans="3:8" x14ac:dyDescent="0.3">
      <c r="C861">
        <f>Process!$I866*ref_umbral-Process!$G866</f>
        <v>3095808.7416380392</v>
      </c>
      <c r="D861">
        <f>Process!$L866*ref_umbral-Process!$J866</f>
        <v>3095797.1149440939</v>
      </c>
      <c r="E861">
        <f t="shared" si="30"/>
        <v>3095808.7416380392</v>
      </c>
      <c r="F861">
        <f>Process!$H866*ref_umbral-Process!$G866</f>
        <v>3095808.8808668288</v>
      </c>
      <c r="G861">
        <f>Process!$K866*ref_umbral-Process!$J866</f>
        <v>3095802.2800296433</v>
      </c>
      <c r="H861">
        <f t="shared" si="31"/>
        <v>3095808.8808668288</v>
      </c>
    </row>
    <row r="862" spans="3:8" x14ac:dyDescent="0.3">
      <c r="C862">
        <f>Process!$I867*ref_umbral-Process!$G867</f>
        <v>3095809.7208440686</v>
      </c>
      <c r="D862">
        <f>Process!$L867*ref_umbral-Process!$J867</f>
        <v>3095808.1481816499</v>
      </c>
      <c r="E862">
        <f t="shared" si="30"/>
        <v>3095809.7208440686</v>
      </c>
      <c r="F862">
        <f>Process!$H867*ref_umbral-Process!$G867</f>
        <v>3095809.736610001</v>
      </c>
      <c r="G862">
        <f>Process!$K867*ref_umbral-Process!$J867</f>
        <v>3095809.6486219834</v>
      </c>
      <c r="H862">
        <f t="shared" si="31"/>
        <v>3095809.736610001</v>
      </c>
    </row>
    <row r="863" spans="3:8" x14ac:dyDescent="0.3">
      <c r="C863">
        <f>Process!$I868*ref_umbral-Process!$G868</f>
        <v>3095809.231621928</v>
      </c>
      <c r="D863">
        <f>Process!$L868*ref_umbral-Process!$J868</f>
        <v>3095806.3108470053</v>
      </c>
      <c r="E863">
        <f t="shared" si="30"/>
        <v>3095809.231621928</v>
      </c>
      <c r="F863">
        <f>Process!$H868*ref_umbral-Process!$G868</f>
        <v>3095809.366062202</v>
      </c>
      <c r="G863">
        <f>Process!$K868*ref_umbral-Process!$J868</f>
        <v>3095809.0020956737</v>
      </c>
      <c r="H863">
        <f t="shared" si="31"/>
        <v>3095809.366062202</v>
      </c>
    </row>
    <row r="864" spans="3:8" x14ac:dyDescent="0.3">
      <c r="C864">
        <f>Process!$I869*ref_umbral-Process!$G869</f>
        <v>3095808.6519545163</v>
      </c>
      <c r="D864">
        <f>Process!$L869*ref_umbral-Process!$J869</f>
        <v>3095803.622032498</v>
      </c>
      <c r="E864">
        <f t="shared" si="30"/>
        <v>3095808.6519545163</v>
      </c>
      <c r="F864">
        <f>Process!$H869*ref_umbral-Process!$G869</f>
        <v>3095809.2051329282</v>
      </c>
      <c r="G864">
        <f>Process!$K869*ref_umbral-Process!$J869</f>
        <v>3095807.0370843932</v>
      </c>
      <c r="H864">
        <f t="shared" si="31"/>
        <v>3095809.2051329282</v>
      </c>
    </row>
    <row r="865" spans="3:8" x14ac:dyDescent="0.3">
      <c r="C865">
        <f>Process!$I870*ref_umbral-Process!$G870</f>
        <v>3095809.4882870088</v>
      </c>
      <c r="D865">
        <f>Process!$L870*ref_umbral-Process!$J870</f>
        <v>3095790.4438682296</v>
      </c>
      <c r="E865">
        <f t="shared" si="30"/>
        <v>3095809.4882870088</v>
      </c>
      <c r="F865">
        <f>Process!$H870*ref_umbral-Process!$G870</f>
        <v>3095809.6061314507</v>
      </c>
      <c r="G865">
        <f>Process!$K870*ref_umbral-Process!$J870</f>
        <v>3095792.2149927341</v>
      </c>
      <c r="H865">
        <f t="shared" si="31"/>
        <v>3095809.6061314507</v>
      </c>
    </row>
    <row r="866" spans="3:8" x14ac:dyDescent="0.3">
      <c r="C866">
        <f>Process!$I871*ref_umbral-Process!$G871</f>
        <v>3095808.6923776134</v>
      </c>
      <c r="D866">
        <f>Process!$L871*ref_umbral-Process!$J871</f>
        <v>3095799.0180801535</v>
      </c>
      <c r="E866">
        <f t="shared" si="30"/>
        <v>3095808.6923776134</v>
      </c>
      <c r="F866">
        <f>Process!$H871*ref_umbral-Process!$G871</f>
        <v>3095808.9648887385</v>
      </c>
      <c r="G866">
        <f>Process!$K871*ref_umbral-Process!$J871</f>
        <v>3095800.6183324372</v>
      </c>
      <c r="H866">
        <f t="shared" si="31"/>
        <v>3095808.9648887385</v>
      </c>
    </row>
    <row r="867" spans="3:8" x14ac:dyDescent="0.3">
      <c r="C867">
        <f>Process!$I872*ref_umbral-Process!$G872</f>
        <v>3095809.539094138</v>
      </c>
      <c r="D867">
        <f>Process!$L872*ref_umbral-Process!$J872</f>
        <v>3095804.5743732089</v>
      </c>
      <c r="E867">
        <f t="shared" si="30"/>
        <v>3095809.539094138</v>
      </c>
      <c r="F867">
        <f>Process!$H872*ref_umbral-Process!$G872</f>
        <v>3095809.6607572427</v>
      </c>
      <c r="G867">
        <f>Process!$K872*ref_umbral-Process!$J872</f>
        <v>3095806.258382869</v>
      </c>
      <c r="H867">
        <f t="shared" si="31"/>
        <v>3095809.6607572427</v>
      </c>
    </row>
    <row r="868" spans="3:8" x14ac:dyDescent="0.3">
      <c r="C868">
        <f>Process!$I873*ref_umbral-Process!$G873</f>
        <v>3095809.6581830401</v>
      </c>
      <c r="D868">
        <f>Process!$L873*ref_umbral-Process!$J873</f>
        <v>3095808.0150012942</v>
      </c>
      <c r="E868">
        <f t="shared" si="30"/>
        <v>3095809.6581830401</v>
      </c>
      <c r="F868">
        <f>Process!$H873*ref_umbral-Process!$G873</f>
        <v>3095809.7830038997</v>
      </c>
      <c r="G868">
        <f>Process!$K873*ref_umbral-Process!$J873</f>
        <v>3095809.2976058037</v>
      </c>
      <c r="H868">
        <f t="shared" si="31"/>
        <v>3095809.7830038997</v>
      </c>
    </row>
    <row r="869" spans="3:8" x14ac:dyDescent="0.3">
      <c r="C869">
        <f>Process!$I874*ref_umbral-Process!$G874</f>
        <v>3095809.4690277828</v>
      </c>
      <c r="D869">
        <f>Process!$L874*ref_umbral-Process!$J874</f>
        <v>3095804.3549398757</v>
      </c>
      <c r="E869">
        <f t="shared" si="30"/>
        <v>3095809.4690277828</v>
      </c>
      <c r="F869">
        <f>Process!$H874*ref_umbral-Process!$G874</f>
        <v>3095809.5937452572</v>
      </c>
      <c r="G869">
        <f>Process!$K874*ref_umbral-Process!$J874</f>
        <v>3095806.3317646319</v>
      </c>
      <c r="H869">
        <f t="shared" si="31"/>
        <v>3095809.5937452572</v>
      </c>
    </row>
    <row r="870" spans="3:8" x14ac:dyDescent="0.3">
      <c r="C870">
        <f>Process!$I875*ref_umbral-Process!$G875</f>
        <v>3095809.4367805743</v>
      </c>
      <c r="D870">
        <f>Process!$L875*ref_umbral-Process!$J875</f>
        <v>3095805.8169227117</v>
      </c>
      <c r="E870">
        <f t="shared" si="30"/>
        <v>3095809.4367805743</v>
      </c>
      <c r="F870">
        <f>Process!$H875*ref_umbral-Process!$G875</f>
        <v>3095809.5050384062</v>
      </c>
      <c r="G870">
        <f>Process!$K875*ref_umbral-Process!$J875</f>
        <v>3095808.284351036</v>
      </c>
      <c r="H870">
        <f t="shared" si="31"/>
        <v>3095809.5050384062</v>
      </c>
    </row>
    <row r="871" spans="3:8" x14ac:dyDescent="0.3">
      <c r="C871">
        <f>Process!$I876*ref_umbral-Process!$G876</f>
        <v>3095808.8734556786</v>
      </c>
      <c r="D871">
        <f>Process!$L876*ref_umbral-Process!$J876</f>
        <v>3095793.9715837524</v>
      </c>
      <c r="E871">
        <f t="shared" si="30"/>
        <v>3095808.8734556786</v>
      </c>
      <c r="F871">
        <f>Process!$H876*ref_umbral-Process!$G876</f>
        <v>3095808.9210711657</v>
      </c>
      <c r="G871">
        <f>Process!$K876*ref_umbral-Process!$J876</f>
        <v>3095797.7244881303</v>
      </c>
      <c r="H871">
        <f t="shared" si="31"/>
        <v>3095808.9210711657</v>
      </c>
    </row>
    <row r="872" spans="3:8" x14ac:dyDescent="0.3">
      <c r="C872">
        <f>Process!$I877*ref_umbral-Process!$G877</f>
        <v>3095809.6122490577</v>
      </c>
      <c r="D872">
        <f>Process!$L877*ref_umbral-Process!$J877</f>
        <v>3095807.6738184313</v>
      </c>
      <c r="E872">
        <f t="shared" si="30"/>
        <v>3095809.6122490577</v>
      </c>
      <c r="F872">
        <f>Process!$H877*ref_umbral-Process!$G877</f>
        <v>3095809.7243818287</v>
      </c>
      <c r="G872">
        <f>Process!$K877*ref_umbral-Process!$J877</f>
        <v>3095809.7363917679</v>
      </c>
      <c r="H872">
        <f t="shared" si="31"/>
        <v>3095809.7363917679</v>
      </c>
    </row>
    <row r="873" spans="3:8" x14ac:dyDescent="0.3">
      <c r="C873">
        <f>Process!$I878*ref_umbral-Process!$G878</f>
        <v>3095809.1212902307</v>
      </c>
      <c r="D873">
        <f>Process!$L878*ref_umbral-Process!$J878</f>
        <v>3095806.4660103158</v>
      </c>
      <c r="E873">
        <f t="shared" si="30"/>
        <v>3095809.1212902307</v>
      </c>
      <c r="F873">
        <f>Process!$H878*ref_umbral-Process!$G878</f>
        <v>3095809.3244184363</v>
      </c>
      <c r="G873">
        <f>Process!$K878*ref_umbral-Process!$J878</f>
        <v>3095808.4794099485</v>
      </c>
      <c r="H873">
        <f t="shared" si="31"/>
        <v>3095809.3244184363</v>
      </c>
    </row>
    <row r="874" spans="3:8" x14ac:dyDescent="0.3">
      <c r="C874">
        <f>Process!$I879*ref_umbral-Process!$G879</f>
        <v>3095808.858279021</v>
      </c>
      <c r="D874">
        <f>Process!$L879*ref_umbral-Process!$J879</f>
        <v>3095803.0764658563</v>
      </c>
      <c r="E874">
        <f t="shared" si="30"/>
        <v>3095808.858279021</v>
      </c>
      <c r="F874">
        <f>Process!$H879*ref_umbral-Process!$G879</f>
        <v>3095809.2765143048</v>
      </c>
      <c r="G874">
        <f>Process!$K879*ref_umbral-Process!$J879</f>
        <v>3095806.9929088117</v>
      </c>
      <c r="H874">
        <f t="shared" si="31"/>
        <v>3095809.2765143048</v>
      </c>
    </row>
    <row r="875" spans="3:8" x14ac:dyDescent="0.3">
      <c r="C875">
        <f>Process!$I880*ref_umbral-Process!$G880</f>
        <v>3095809.3755011093</v>
      </c>
      <c r="D875">
        <f>Process!$L880*ref_umbral-Process!$J880</f>
        <v>3095806.7836725344</v>
      </c>
      <c r="E875">
        <f t="shared" si="30"/>
        <v>3095809.3755011093</v>
      </c>
      <c r="F875">
        <f>Process!$H880*ref_umbral-Process!$G880</f>
        <v>3095809.4448767318</v>
      </c>
      <c r="G875">
        <f>Process!$K880*ref_umbral-Process!$J880</f>
        <v>3095808.350517856</v>
      </c>
      <c r="H875">
        <f t="shared" si="31"/>
        <v>3095809.4448767318</v>
      </c>
    </row>
    <row r="876" spans="3:8" x14ac:dyDescent="0.3">
      <c r="C876">
        <f>Process!$I881*ref_umbral-Process!$G881</f>
        <v>3095809.3897716072</v>
      </c>
      <c r="D876">
        <f>Process!$L881*ref_umbral-Process!$J881</f>
        <v>3095802.8716159617</v>
      </c>
      <c r="E876">
        <f t="shared" si="30"/>
        <v>3095809.3897716072</v>
      </c>
      <c r="F876">
        <f>Process!$H881*ref_umbral-Process!$G881</f>
        <v>3095809.5296758297</v>
      </c>
      <c r="G876">
        <f>Process!$K881*ref_umbral-Process!$J881</f>
        <v>3095803.9483019374</v>
      </c>
      <c r="H876">
        <f t="shared" si="31"/>
        <v>3095809.5296758297</v>
      </c>
    </row>
    <row r="877" spans="3:8" x14ac:dyDescent="0.3">
      <c r="C877">
        <f>Process!$I882*ref_umbral-Process!$G882</f>
        <v>3095809.3130051028</v>
      </c>
      <c r="D877">
        <f>Process!$L882*ref_umbral-Process!$J882</f>
        <v>3095796.6190124694</v>
      </c>
      <c r="E877">
        <f t="shared" si="30"/>
        <v>3095809.3130051028</v>
      </c>
      <c r="F877">
        <f>Process!$H882*ref_umbral-Process!$G882</f>
        <v>3095809.4345860709</v>
      </c>
      <c r="G877">
        <f>Process!$K882*ref_umbral-Process!$J882</f>
        <v>3095797.6774494881</v>
      </c>
      <c r="H877">
        <f t="shared" si="31"/>
        <v>3095809.4345860709</v>
      </c>
    </row>
    <row r="878" spans="3:8" x14ac:dyDescent="0.3">
      <c r="C878">
        <f>Process!$I883*ref_umbral-Process!$G883</f>
        <v>3095809.2059841058</v>
      </c>
      <c r="D878">
        <f>Process!$L883*ref_umbral-Process!$J883</f>
        <v>3095804.1335228779</v>
      </c>
      <c r="E878">
        <f t="shared" si="30"/>
        <v>3095809.2059841058</v>
      </c>
      <c r="F878">
        <f>Process!$H883*ref_umbral-Process!$G883</f>
        <v>3095809.3259255178</v>
      </c>
      <c r="G878">
        <f>Process!$K883*ref_umbral-Process!$J883</f>
        <v>3095807.0202151737</v>
      </c>
      <c r="H878">
        <f t="shared" si="31"/>
        <v>3095809.3259255178</v>
      </c>
    </row>
    <row r="879" spans="3:8" x14ac:dyDescent="0.3">
      <c r="C879">
        <f>Process!$I884*ref_umbral-Process!$G884</f>
        <v>3095809.7028602459</v>
      </c>
      <c r="D879">
        <f>Process!$L884*ref_umbral-Process!$J884</f>
        <v>3095805.8017772324</v>
      </c>
      <c r="E879">
        <f t="shared" si="30"/>
        <v>3095809.7028602459</v>
      </c>
      <c r="F879">
        <f>Process!$H884*ref_umbral-Process!$G884</f>
        <v>3095809.7259622938</v>
      </c>
      <c r="G879">
        <f>Process!$K884*ref_umbral-Process!$J884</f>
        <v>3095807.4793311614</v>
      </c>
      <c r="H879">
        <f t="shared" si="31"/>
        <v>3095809.7259622938</v>
      </c>
    </row>
    <row r="880" spans="3:8" x14ac:dyDescent="0.3">
      <c r="C880">
        <f>Process!$I885*ref_umbral-Process!$G885</f>
        <v>3095809.1749270866</v>
      </c>
      <c r="D880">
        <f>Process!$L885*ref_umbral-Process!$J885</f>
        <v>3095805.9333840013</v>
      </c>
      <c r="E880">
        <f t="shared" si="30"/>
        <v>3095809.1749270866</v>
      </c>
      <c r="F880">
        <f>Process!$H885*ref_umbral-Process!$G885</f>
        <v>3095809.4431726695</v>
      </c>
      <c r="G880">
        <f>Process!$K885*ref_umbral-Process!$J885</f>
        <v>3095808.6865389962</v>
      </c>
      <c r="H880">
        <f t="shared" si="31"/>
        <v>3095809.4431726695</v>
      </c>
    </row>
    <row r="881" spans="3:8" x14ac:dyDescent="0.3">
      <c r="C881">
        <f>Process!$I886*ref_umbral-Process!$G886</f>
        <v>3095809.4300347115</v>
      </c>
      <c r="D881">
        <f>Process!$L886*ref_umbral-Process!$J886</f>
        <v>3095802.8565457705</v>
      </c>
      <c r="E881">
        <f t="shared" si="30"/>
        <v>3095809.4300347115</v>
      </c>
      <c r="F881">
        <f>Process!$H886*ref_umbral-Process!$G886</f>
        <v>3095809.5312219621</v>
      </c>
      <c r="G881">
        <f>Process!$K886*ref_umbral-Process!$J886</f>
        <v>3095804.9786124309</v>
      </c>
      <c r="H881">
        <f t="shared" si="31"/>
        <v>3095809.5312219621</v>
      </c>
    </row>
    <row r="882" spans="3:8" x14ac:dyDescent="0.3">
      <c r="C882">
        <f>Process!$I887*ref_umbral-Process!$G887</f>
        <v>3095809.3083124096</v>
      </c>
      <c r="D882">
        <f>Process!$L887*ref_umbral-Process!$J887</f>
        <v>3095795.3593017394</v>
      </c>
      <c r="E882">
        <f t="shared" si="30"/>
        <v>3095809.3083124096</v>
      </c>
      <c r="F882">
        <f>Process!$H887*ref_umbral-Process!$G887</f>
        <v>3095809.3719146843</v>
      </c>
      <c r="G882">
        <f>Process!$K887*ref_umbral-Process!$J887</f>
        <v>3095797.4816512382</v>
      </c>
      <c r="H882">
        <f t="shared" si="31"/>
        <v>3095809.3719146843</v>
      </c>
    </row>
    <row r="883" spans="3:8" x14ac:dyDescent="0.3">
      <c r="C883">
        <f>Process!$I888*ref_umbral-Process!$G888</f>
        <v>3095809.3610977633</v>
      </c>
      <c r="D883">
        <f>Process!$L888*ref_umbral-Process!$J888</f>
        <v>3095807.1761404164</v>
      </c>
      <c r="E883">
        <f t="shared" si="30"/>
        <v>3095809.3610977633</v>
      </c>
      <c r="F883">
        <f>Process!$H888*ref_umbral-Process!$G888</f>
        <v>3095809.5272368528</v>
      </c>
      <c r="G883">
        <f>Process!$K888*ref_umbral-Process!$J888</f>
        <v>3095809.1468396923</v>
      </c>
      <c r="H883">
        <f t="shared" si="31"/>
        <v>3095809.5272368528</v>
      </c>
    </row>
    <row r="884" spans="3:8" x14ac:dyDescent="0.3">
      <c r="C884">
        <f>Process!$I889*ref_umbral-Process!$G889</f>
        <v>3095809.2416544268</v>
      </c>
      <c r="D884">
        <f>Process!$L889*ref_umbral-Process!$J889</f>
        <v>3095797.7348489529</v>
      </c>
      <c r="E884">
        <f t="shared" si="30"/>
        <v>3095809.2416544268</v>
      </c>
      <c r="F884">
        <f>Process!$H889*ref_umbral-Process!$G889</f>
        <v>3095809.3440684937</v>
      </c>
      <c r="G884">
        <f>Process!$K889*ref_umbral-Process!$J889</f>
        <v>3095802.2795491195</v>
      </c>
      <c r="H884">
        <f t="shared" si="31"/>
        <v>3095809.3440684937</v>
      </c>
    </row>
    <row r="885" spans="3:8" x14ac:dyDescent="0.3">
      <c r="C885">
        <f>Process!$I890*ref_umbral-Process!$G890</f>
        <v>3095809.4337940952</v>
      </c>
      <c r="D885">
        <f>Process!$L890*ref_umbral-Process!$J890</f>
        <v>3095803.6846878394</v>
      </c>
      <c r="E885">
        <f t="shared" si="30"/>
        <v>3095809.4337940952</v>
      </c>
      <c r="F885">
        <f>Process!$H890*ref_umbral-Process!$G890</f>
        <v>3095809.4745607162</v>
      </c>
      <c r="G885">
        <f>Process!$K890*ref_umbral-Process!$J890</f>
        <v>3095806.1126567726</v>
      </c>
      <c r="H885">
        <f t="shared" si="31"/>
        <v>3095809.4745607162</v>
      </c>
    </row>
    <row r="886" spans="3:8" x14ac:dyDescent="0.3">
      <c r="C886">
        <f>Process!$I891*ref_umbral-Process!$G891</f>
        <v>3095808.2265795744</v>
      </c>
      <c r="D886">
        <f>Process!$L891*ref_umbral-Process!$J891</f>
        <v>3095803.5427351194</v>
      </c>
      <c r="E886">
        <f t="shared" si="30"/>
        <v>3095808.2265795744</v>
      </c>
      <c r="F886">
        <f>Process!$H891*ref_umbral-Process!$G891</f>
        <v>3095808.8653684957</v>
      </c>
      <c r="G886">
        <f>Process!$K891*ref_umbral-Process!$J891</f>
        <v>3095806.1805248242</v>
      </c>
      <c r="H886">
        <f t="shared" si="31"/>
        <v>3095808.8653684957</v>
      </c>
    </row>
    <row r="887" spans="3:8" x14ac:dyDescent="0.3">
      <c r="C887">
        <f>Process!$I892*ref_umbral-Process!$G892</f>
        <v>3095809.6080013486</v>
      </c>
      <c r="D887">
        <f>Process!$L892*ref_umbral-Process!$J892</f>
        <v>3095806.514231714</v>
      </c>
      <c r="E887">
        <f t="shared" si="30"/>
        <v>3095809.6080013486</v>
      </c>
      <c r="F887">
        <f>Process!$H892*ref_umbral-Process!$G892</f>
        <v>3095809.6923477366</v>
      </c>
      <c r="G887">
        <f>Process!$K892*ref_umbral-Process!$J892</f>
        <v>3095809.2602125262</v>
      </c>
      <c r="H887">
        <f t="shared" si="31"/>
        <v>3095809.6923477366</v>
      </c>
    </row>
    <row r="888" spans="3:8" x14ac:dyDescent="0.3">
      <c r="C888">
        <f>Process!$I893*ref_umbral-Process!$G893</f>
        <v>3095809.4232209814</v>
      </c>
      <c r="D888">
        <f>Process!$L893*ref_umbral-Process!$J893</f>
        <v>3095807.4174066731</v>
      </c>
      <c r="E888">
        <f t="shared" si="30"/>
        <v>3095809.4232209814</v>
      </c>
      <c r="F888">
        <f>Process!$H893*ref_umbral-Process!$G893</f>
        <v>3095809.4778632806</v>
      </c>
      <c r="G888">
        <f>Process!$K893*ref_umbral-Process!$J893</f>
        <v>3095808.9956204393</v>
      </c>
      <c r="H888">
        <f t="shared" si="31"/>
        <v>3095809.4778632806</v>
      </c>
    </row>
    <row r="889" spans="3:8" x14ac:dyDescent="0.3">
      <c r="C889">
        <f>Process!$I894*ref_umbral-Process!$G894</f>
        <v>3095808.8467375748</v>
      </c>
      <c r="D889">
        <f>Process!$L894*ref_umbral-Process!$J894</f>
        <v>3095801.9283829532</v>
      </c>
      <c r="E889">
        <f t="shared" si="30"/>
        <v>3095808.8467375748</v>
      </c>
      <c r="F889">
        <f>Process!$H894*ref_umbral-Process!$G894</f>
        <v>3095809.0518669463</v>
      </c>
      <c r="G889">
        <f>Process!$K894*ref_umbral-Process!$J894</f>
        <v>3095805.2901999187</v>
      </c>
      <c r="H889">
        <f t="shared" si="31"/>
        <v>3095809.0518669463</v>
      </c>
    </row>
    <row r="890" spans="3:8" x14ac:dyDescent="0.3">
      <c r="C890">
        <f>Process!$I895*ref_umbral-Process!$G895</f>
        <v>3095809.0717540691</v>
      </c>
      <c r="D890">
        <f>Process!$L895*ref_umbral-Process!$J895</f>
        <v>3095796.110459934</v>
      </c>
      <c r="E890">
        <f t="shared" si="30"/>
        <v>3095809.0717540691</v>
      </c>
      <c r="F890">
        <f>Process!$H895*ref_umbral-Process!$G895</f>
        <v>3095809.2603264777</v>
      </c>
      <c r="G890">
        <f>Process!$K895*ref_umbral-Process!$J895</f>
        <v>3095797.8507475243</v>
      </c>
      <c r="H890">
        <f t="shared" si="31"/>
        <v>3095809.2603264777</v>
      </c>
    </row>
    <row r="891" spans="3:8" x14ac:dyDescent="0.3">
      <c r="C891">
        <f>Process!$I896*ref_umbral-Process!$G896</f>
        <v>3095809.0390087701</v>
      </c>
      <c r="D891">
        <f>Process!$L896*ref_umbral-Process!$J896</f>
        <v>3095804.2253980772</v>
      </c>
      <c r="E891">
        <f t="shared" si="30"/>
        <v>3095809.0390087701</v>
      </c>
      <c r="F891">
        <f>Process!$H896*ref_umbral-Process!$G896</f>
        <v>3095809.2919152738</v>
      </c>
      <c r="G891">
        <f>Process!$K896*ref_umbral-Process!$J896</f>
        <v>3095806.2456691847</v>
      </c>
      <c r="H891">
        <f t="shared" si="31"/>
        <v>3095809.2919152738</v>
      </c>
    </row>
    <row r="892" spans="3:8" x14ac:dyDescent="0.3">
      <c r="C892">
        <f>Process!$I897*ref_umbral-Process!$G897</f>
        <v>3095809.47769095</v>
      </c>
      <c r="D892">
        <f>Process!$L897*ref_umbral-Process!$J897</f>
        <v>3095806.4342390015</v>
      </c>
      <c r="E892">
        <f t="shared" si="30"/>
        <v>3095809.47769095</v>
      </c>
      <c r="F892">
        <f>Process!$H897*ref_umbral-Process!$G897</f>
        <v>3095809.6309011672</v>
      </c>
      <c r="G892">
        <f>Process!$K897*ref_umbral-Process!$J897</f>
        <v>3095807.5604288941</v>
      </c>
      <c r="H892">
        <f t="shared" si="31"/>
        <v>3095809.6309011672</v>
      </c>
    </row>
    <row r="893" spans="3:8" x14ac:dyDescent="0.3">
      <c r="C893">
        <f>Process!$I898*ref_umbral-Process!$G898</f>
        <v>3095809.4823103934</v>
      </c>
      <c r="D893">
        <f>Process!$L898*ref_umbral-Process!$J898</f>
        <v>3095807.3278131494</v>
      </c>
      <c r="E893">
        <f t="shared" si="30"/>
        <v>3095809.4823103934</v>
      </c>
      <c r="F893">
        <f>Process!$H898*ref_umbral-Process!$G898</f>
        <v>3095809.6292750249</v>
      </c>
      <c r="G893">
        <f>Process!$K898*ref_umbral-Process!$J898</f>
        <v>3095808.9627486938</v>
      </c>
      <c r="H893">
        <f t="shared" si="31"/>
        <v>3095809.6292750249</v>
      </c>
    </row>
    <row r="894" spans="3:8" x14ac:dyDescent="0.3">
      <c r="C894">
        <f>Process!$I899*ref_umbral-Process!$G899</f>
        <v>3095809.4827596406</v>
      </c>
      <c r="D894">
        <f>Process!$L899*ref_umbral-Process!$J899</f>
        <v>3095805.3857453344</v>
      </c>
      <c r="E894">
        <f t="shared" si="30"/>
        <v>3095809.4827596406</v>
      </c>
      <c r="F894">
        <f>Process!$H899*ref_umbral-Process!$G899</f>
        <v>3095809.5885415371</v>
      </c>
      <c r="G894">
        <f>Process!$K899*ref_umbral-Process!$J899</f>
        <v>3095807.9271446746</v>
      </c>
      <c r="H894">
        <f t="shared" si="31"/>
        <v>3095809.5885415371</v>
      </c>
    </row>
    <row r="895" spans="3:8" x14ac:dyDescent="0.3">
      <c r="C895">
        <f>Process!$I900*ref_umbral-Process!$G900</f>
        <v>3095808.9875643812</v>
      </c>
      <c r="D895">
        <f>Process!$L900*ref_umbral-Process!$J900</f>
        <v>3095801.4487363929</v>
      </c>
      <c r="E895">
        <f t="shared" si="30"/>
        <v>3095808.9875643812</v>
      </c>
      <c r="F895">
        <f>Process!$H900*ref_umbral-Process!$G900</f>
        <v>3095809.2326214132</v>
      </c>
      <c r="G895">
        <f>Process!$K900*ref_umbral-Process!$J900</f>
        <v>3095803.8415549863</v>
      </c>
      <c r="H895">
        <f t="shared" si="31"/>
        <v>3095809.2326214132</v>
      </c>
    </row>
    <row r="896" spans="3:8" x14ac:dyDescent="0.3">
      <c r="C896">
        <f>Process!$I901*ref_umbral-Process!$G901</f>
        <v>3095809.2071738997</v>
      </c>
      <c r="D896">
        <f>Process!$L901*ref_umbral-Process!$J901</f>
        <v>3095799.0437461822</v>
      </c>
      <c r="E896">
        <f t="shared" si="30"/>
        <v>3095809.2071738997</v>
      </c>
      <c r="F896">
        <f>Process!$H901*ref_umbral-Process!$G901</f>
        <v>3095809.260251808</v>
      </c>
      <c r="G896">
        <f>Process!$K901*ref_umbral-Process!$J901</f>
        <v>3095801.9835213795</v>
      </c>
      <c r="H896">
        <f t="shared" si="31"/>
        <v>3095809.260251808</v>
      </c>
    </row>
    <row r="897" spans="3:8" x14ac:dyDescent="0.3">
      <c r="C897">
        <f>Process!$I902*ref_umbral-Process!$G902</f>
        <v>3095809.4206564357</v>
      </c>
      <c r="D897">
        <f>Process!$L902*ref_umbral-Process!$J902</f>
        <v>3095804.4742678297</v>
      </c>
      <c r="E897">
        <f t="shared" si="30"/>
        <v>3095809.4206564357</v>
      </c>
      <c r="F897">
        <f>Process!$H902*ref_umbral-Process!$G902</f>
        <v>3095809.4838965083</v>
      </c>
      <c r="G897">
        <f>Process!$K902*ref_umbral-Process!$J902</f>
        <v>3095805.9423846696</v>
      </c>
      <c r="H897">
        <f t="shared" si="31"/>
        <v>3095809.4838965083</v>
      </c>
    </row>
    <row r="898" spans="3:8" x14ac:dyDescent="0.3">
      <c r="C898">
        <f>Process!$I903*ref_umbral-Process!$G903</f>
        <v>3095809.466971579</v>
      </c>
      <c r="D898">
        <f>Process!$L903*ref_umbral-Process!$J903</f>
        <v>3095803.6109836418</v>
      </c>
      <c r="E898">
        <f t="shared" si="30"/>
        <v>3095809.466971579</v>
      </c>
      <c r="F898">
        <f>Process!$H903*ref_umbral-Process!$G903</f>
        <v>3095809.6040352713</v>
      </c>
      <c r="G898">
        <f>Process!$K903*ref_umbral-Process!$J903</f>
        <v>3095805.4724214179</v>
      </c>
      <c r="H898">
        <f t="shared" si="31"/>
        <v>3095809.6040352713</v>
      </c>
    </row>
    <row r="899" spans="3:8" x14ac:dyDescent="0.3">
      <c r="C899">
        <f>Process!$I904*ref_umbral-Process!$G904</f>
        <v>3095808.8038434451</v>
      </c>
      <c r="D899">
        <f>Process!$L904*ref_umbral-Process!$J904</f>
        <v>3095800.1381304213</v>
      </c>
      <c r="E899">
        <f t="shared" si="30"/>
        <v>3095808.8038434451</v>
      </c>
      <c r="F899">
        <f>Process!$H904*ref_umbral-Process!$G904</f>
        <v>3095809.0889192782</v>
      </c>
      <c r="G899">
        <f>Process!$K904*ref_umbral-Process!$J904</f>
        <v>3095803.5905787563</v>
      </c>
      <c r="H899">
        <f t="shared" si="31"/>
        <v>3095809.0889192782</v>
      </c>
    </row>
    <row r="900" spans="3:8" x14ac:dyDescent="0.3">
      <c r="C900">
        <f>Process!$I905*ref_umbral-Process!$G905</f>
        <v>3095809.2747639851</v>
      </c>
      <c r="D900">
        <f>Process!$L905*ref_umbral-Process!$J905</f>
        <v>3095802.8259713906</v>
      </c>
      <c r="E900">
        <f t="shared" si="30"/>
        <v>3095809.2747639851</v>
      </c>
      <c r="F900">
        <f>Process!$H905*ref_umbral-Process!$G905</f>
        <v>3095809.4275974003</v>
      </c>
      <c r="G900">
        <f>Process!$K905*ref_umbral-Process!$J905</f>
        <v>3095805.9401890449</v>
      </c>
      <c r="H900">
        <f t="shared" si="31"/>
        <v>3095809.4275974003</v>
      </c>
    </row>
    <row r="901" spans="3:8" x14ac:dyDescent="0.3">
      <c r="C901">
        <f>Process!$I906*ref_umbral-Process!$G906</f>
        <v>3095809.3671173439</v>
      </c>
      <c r="D901">
        <f>Process!$L906*ref_umbral-Process!$J906</f>
        <v>3095803.7759338473</v>
      </c>
      <c r="E901">
        <f t="shared" si="30"/>
        <v>3095809.3671173439</v>
      </c>
      <c r="F901">
        <f>Process!$H906*ref_umbral-Process!$G906</f>
        <v>3095809.4817528268</v>
      </c>
      <c r="G901">
        <f>Process!$K906*ref_umbral-Process!$J906</f>
        <v>3095805.9441602086</v>
      </c>
      <c r="H901">
        <f t="shared" si="31"/>
        <v>3095809.4817528268</v>
      </c>
    </row>
    <row r="902" spans="3:8" x14ac:dyDescent="0.3">
      <c r="C902">
        <f>Process!$I907*ref_umbral-Process!$G907</f>
        <v>3095809.0667417231</v>
      </c>
      <c r="D902">
        <f>Process!$L907*ref_umbral-Process!$J907</f>
        <v>3095794.0501211528</v>
      </c>
      <c r="E902">
        <f t="shared" si="30"/>
        <v>3095809.0667417231</v>
      </c>
      <c r="F902">
        <f>Process!$H907*ref_umbral-Process!$G907</f>
        <v>3095809.1618357338</v>
      </c>
      <c r="G902">
        <f>Process!$K907*ref_umbral-Process!$J907</f>
        <v>3095794.8637352772</v>
      </c>
      <c r="H902">
        <f t="shared" si="31"/>
        <v>3095809.1618357338</v>
      </c>
    </row>
    <row r="903" spans="3:8" x14ac:dyDescent="0.3">
      <c r="C903">
        <f>Process!$I908*ref_umbral-Process!$G908</f>
        <v>3095809.4948730036</v>
      </c>
      <c r="D903">
        <f>Process!$L908*ref_umbral-Process!$J908</f>
        <v>3095808.1024447172</v>
      </c>
      <c r="E903">
        <f t="shared" ref="E903:E966" si="32">MAX(C903,D903)</f>
        <v>3095809.4948730036</v>
      </c>
      <c r="F903">
        <f>Process!$H908*ref_umbral-Process!$G908</f>
        <v>3095809.5638084519</v>
      </c>
      <c r="G903">
        <f>Process!$K908*ref_umbral-Process!$J908</f>
        <v>3095809.206753145</v>
      </c>
      <c r="H903">
        <f t="shared" ref="H903:H966" si="33">MAX(F903,G903)</f>
        <v>3095809.5638084519</v>
      </c>
    </row>
    <row r="904" spans="3:8" x14ac:dyDescent="0.3">
      <c r="C904">
        <f>Process!$I909*ref_umbral-Process!$G909</f>
        <v>3095809.5309266588</v>
      </c>
      <c r="D904">
        <f>Process!$L909*ref_umbral-Process!$J909</f>
        <v>3095795.3581631291</v>
      </c>
      <c r="E904">
        <f t="shared" si="32"/>
        <v>3095809.5309266588</v>
      </c>
      <c r="F904">
        <f>Process!$H909*ref_umbral-Process!$G909</f>
        <v>3095809.6204551202</v>
      </c>
      <c r="G904">
        <f>Process!$K909*ref_umbral-Process!$J909</f>
        <v>3095797.6165363952</v>
      </c>
      <c r="H904">
        <f t="shared" si="33"/>
        <v>3095809.6204551202</v>
      </c>
    </row>
    <row r="905" spans="3:8" x14ac:dyDescent="0.3">
      <c r="C905">
        <f>Process!$I910*ref_umbral-Process!$G910</f>
        <v>3095809.2745669647</v>
      </c>
      <c r="D905">
        <f>Process!$L910*ref_umbral-Process!$J910</f>
        <v>3095791.5695461766</v>
      </c>
      <c r="E905">
        <f t="shared" si="32"/>
        <v>3095809.2745669647</v>
      </c>
      <c r="F905">
        <f>Process!$H910*ref_umbral-Process!$G910</f>
        <v>3095809.3529785387</v>
      </c>
      <c r="G905">
        <f>Process!$K910*ref_umbral-Process!$J910</f>
        <v>3095793.0126311015</v>
      </c>
      <c r="H905">
        <f t="shared" si="33"/>
        <v>3095809.3529785387</v>
      </c>
    </row>
    <row r="906" spans="3:8" x14ac:dyDescent="0.3">
      <c r="C906">
        <f>Process!$I911*ref_umbral-Process!$G911</f>
        <v>3095809.1356788217</v>
      </c>
      <c r="D906">
        <f>Process!$L911*ref_umbral-Process!$J911</f>
        <v>3095803.8010550039</v>
      </c>
      <c r="E906">
        <f t="shared" si="32"/>
        <v>3095809.1356788217</v>
      </c>
      <c r="F906">
        <f>Process!$H911*ref_umbral-Process!$G911</f>
        <v>3095809.3812818183</v>
      </c>
      <c r="G906">
        <f>Process!$K911*ref_umbral-Process!$J911</f>
        <v>3095805.764889475</v>
      </c>
      <c r="H906">
        <f t="shared" si="33"/>
        <v>3095809.3812818183</v>
      </c>
    </row>
    <row r="907" spans="3:8" x14ac:dyDescent="0.3">
      <c r="C907">
        <f>Process!$I912*ref_umbral-Process!$G912</f>
        <v>3095809.5304283225</v>
      </c>
      <c r="D907">
        <f>Process!$L912*ref_umbral-Process!$J912</f>
        <v>3095805.4548267024</v>
      </c>
      <c r="E907">
        <f t="shared" si="32"/>
        <v>3095809.5304283225</v>
      </c>
      <c r="F907">
        <f>Process!$H912*ref_umbral-Process!$G912</f>
        <v>3095809.5441031186</v>
      </c>
      <c r="G907">
        <f>Process!$K912*ref_umbral-Process!$J912</f>
        <v>3095806.9455646896</v>
      </c>
      <c r="H907">
        <f t="shared" si="33"/>
        <v>3095809.5441031186</v>
      </c>
    </row>
    <row r="908" spans="3:8" x14ac:dyDescent="0.3">
      <c r="C908">
        <f>Process!$I913*ref_umbral-Process!$G913</f>
        <v>3095809.190527739</v>
      </c>
      <c r="D908">
        <f>Process!$L913*ref_umbral-Process!$J913</f>
        <v>3095804.5445293626</v>
      </c>
      <c r="E908">
        <f t="shared" si="32"/>
        <v>3095809.190527739</v>
      </c>
      <c r="F908">
        <f>Process!$H913*ref_umbral-Process!$G913</f>
        <v>3095809.2866734643</v>
      </c>
      <c r="G908">
        <f>Process!$K913*ref_umbral-Process!$J913</f>
        <v>3095808.035089883</v>
      </c>
      <c r="H908">
        <f t="shared" si="33"/>
        <v>3095809.2866734643</v>
      </c>
    </row>
    <row r="909" spans="3:8" x14ac:dyDescent="0.3">
      <c r="C909">
        <f>Process!$I914*ref_umbral-Process!$G914</f>
        <v>3095808.9825063082</v>
      </c>
      <c r="D909">
        <f>Process!$L914*ref_umbral-Process!$J914</f>
        <v>3095797.4777450524</v>
      </c>
      <c r="E909">
        <f t="shared" si="32"/>
        <v>3095808.9825063082</v>
      </c>
      <c r="F909">
        <f>Process!$H914*ref_umbral-Process!$G914</f>
        <v>3095809.1523057539</v>
      </c>
      <c r="G909">
        <f>Process!$K914*ref_umbral-Process!$J914</f>
        <v>3095799.7694961512</v>
      </c>
      <c r="H909">
        <f t="shared" si="33"/>
        <v>3095809.1523057539</v>
      </c>
    </row>
    <row r="910" spans="3:8" x14ac:dyDescent="0.3">
      <c r="C910">
        <f>Process!$I915*ref_umbral-Process!$G915</f>
        <v>3095809.704943262</v>
      </c>
      <c r="D910">
        <f>Process!$L915*ref_umbral-Process!$J915</f>
        <v>3095806.9216017807</v>
      </c>
      <c r="E910">
        <f t="shared" si="32"/>
        <v>3095809.704943262</v>
      </c>
      <c r="F910">
        <f>Process!$H915*ref_umbral-Process!$G915</f>
        <v>3095809.7539685508</v>
      </c>
      <c r="G910">
        <f>Process!$K915*ref_umbral-Process!$J915</f>
        <v>3095808.8522226308</v>
      </c>
      <c r="H910">
        <f t="shared" si="33"/>
        <v>3095809.7539685508</v>
      </c>
    </row>
    <row r="911" spans="3:8" x14ac:dyDescent="0.3">
      <c r="C911">
        <f>Process!$I916*ref_umbral-Process!$G916</f>
        <v>3095809.2920679981</v>
      </c>
      <c r="D911">
        <f>Process!$L916*ref_umbral-Process!$J916</f>
        <v>3095799.6912795012</v>
      </c>
      <c r="E911">
        <f t="shared" si="32"/>
        <v>3095809.2920679981</v>
      </c>
      <c r="F911">
        <f>Process!$H916*ref_umbral-Process!$G916</f>
        <v>3095809.325702331</v>
      </c>
      <c r="G911">
        <f>Process!$K916*ref_umbral-Process!$J916</f>
        <v>3095802.2427715375</v>
      </c>
      <c r="H911">
        <f t="shared" si="33"/>
        <v>3095809.325702331</v>
      </c>
    </row>
    <row r="912" spans="3:8" x14ac:dyDescent="0.3">
      <c r="C912">
        <f>Process!$I917*ref_umbral-Process!$G917</f>
        <v>3095809.6183706541</v>
      </c>
      <c r="D912">
        <f>Process!$L917*ref_umbral-Process!$J917</f>
        <v>3095805.9334691302</v>
      </c>
      <c r="E912">
        <f t="shared" si="32"/>
        <v>3095809.6183706541</v>
      </c>
      <c r="F912">
        <f>Process!$H917*ref_umbral-Process!$G917</f>
        <v>3095809.6847835826</v>
      </c>
      <c r="G912">
        <f>Process!$K917*ref_umbral-Process!$J917</f>
        <v>3095808.0412136815</v>
      </c>
      <c r="H912">
        <f t="shared" si="33"/>
        <v>3095809.6847835826</v>
      </c>
    </row>
    <row r="913" spans="3:8" x14ac:dyDescent="0.3">
      <c r="C913">
        <f>Process!$I918*ref_umbral-Process!$G918</f>
        <v>3095808.9300447269</v>
      </c>
      <c r="D913">
        <f>Process!$L918*ref_umbral-Process!$J918</f>
        <v>3095805.1075758599</v>
      </c>
      <c r="E913">
        <f t="shared" si="32"/>
        <v>3095808.9300447269</v>
      </c>
      <c r="F913">
        <f>Process!$H918*ref_umbral-Process!$G918</f>
        <v>3095809.1688817912</v>
      </c>
      <c r="G913">
        <f>Process!$K918*ref_umbral-Process!$J918</f>
        <v>3095808.1897648349</v>
      </c>
      <c r="H913">
        <f t="shared" si="33"/>
        <v>3095809.1688817912</v>
      </c>
    </row>
    <row r="914" spans="3:8" x14ac:dyDescent="0.3">
      <c r="C914">
        <f>Process!$I919*ref_umbral-Process!$G919</f>
        <v>3095808.814901975</v>
      </c>
      <c r="D914">
        <f>Process!$L919*ref_umbral-Process!$J919</f>
        <v>3095806.6992745684</v>
      </c>
      <c r="E914">
        <f t="shared" si="32"/>
        <v>3095808.814901975</v>
      </c>
      <c r="F914">
        <f>Process!$H919*ref_umbral-Process!$G919</f>
        <v>3095808.9794777464</v>
      </c>
      <c r="G914">
        <f>Process!$K919*ref_umbral-Process!$J919</f>
        <v>3095808.5388222216</v>
      </c>
      <c r="H914">
        <f t="shared" si="33"/>
        <v>3095808.9794777464</v>
      </c>
    </row>
    <row r="915" spans="3:8" x14ac:dyDescent="0.3">
      <c r="C915">
        <f>Process!$I920*ref_umbral-Process!$G920</f>
        <v>3095809.3144242354</v>
      </c>
      <c r="D915">
        <f>Process!$L920*ref_umbral-Process!$J920</f>
        <v>3095803.1918345368</v>
      </c>
      <c r="E915">
        <f t="shared" si="32"/>
        <v>3095809.3144242354</v>
      </c>
      <c r="F915">
        <f>Process!$H920*ref_umbral-Process!$G920</f>
        <v>3095809.3370873942</v>
      </c>
      <c r="G915">
        <f>Process!$K920*ref_umbral-Process!$J920</f>
        <v>3095806.6370517295</v>
      </c>
      <c r="H915">
        <f t="shared" si="33"/>
        <v>3095809.3370873942</v>
      </c>
    </row>
    <row r="916" spans="3:8" x14ac:dyDescent="0.3">
      <c r="C916">
        <f>Process!$I921*ref_umbral-Process!$G921</f>
        <v>3095808.8223357075</v>
      </c>
      <c r="D916">
        <f>Process!$L921*ref_umbral-Process!$J921</f>
        <v>3095798.3695192514</v>
      </c>
      <c r="E916">
        <f t="shared" si="32"/>
        <v>3095808.8223357075</v>
      </c>
      <c r="F916">
        <f>Process!$H921*ref_umbral-Process!$G921</f>
        <v>3095808.9228873909</v>
      </c>
      <c r="G916">
        <f>Process!$K921*ref_umbral-Process!$J921</f>
        <v>3095799.3920811405</v>
      </c>
      <c r="H916">
        <f t="shared" si="33"/>
        <v>3095808.9228873909</v>
      </c>
    </row>
    <row r="917" spans="3:8" x14ac:dyDescent="0.3">
      <c r="C917">
        <f>Process!$I922*ref_umbral-Process!$G922</f>
        <v>3095809.171586825</v>
      </c>
      <c r="D917">
        <f>Process!$L922*ref_umbral-Process!$J922</f>
        <v>3095803.1662406698</v>
      </c>
      <c r="E917">
        <f t="shared" si="32"/>
        <v>3095809.171586825</v>
      </c>
      <c r="F917">
        <f>Process!$H922*ref_umbral-Process!$G922</f>
        <v>3095809.3937178846</v>
      </c>
      <c r="G917">
        <f>Process!$K922*ref_umbral-Process!$J922</f>
        <v>3095807.0542194583</v>
      </c>
      <c r="H917">
        <f t="shared" si="33"/>
        <v>3095809.3937178846</v>
      </c>
    </row>
    <row r="918" spans="3:8" x14ac:dyDescent="0.3">
      <c r="C918">
        <f>Process!$I923*ref_umbral-Process!$G923</f>
        <v>3095809.3792589111</v>
      </c>
      <c r="D918">
        <f>Process!$L923*ref_umbral-Process!$J923</f>
        <v>3095804.8332483312</v>
      </c>
      <c r="E918">
        <f t="shared" si="32"/>
        <v>3095809.3792589111</v>
      </c>
      <c r="F918">
        <f>Process!$H923*ref_umbral-Process!$G923</f>
        <v>3095809.5787796364</v>
      </c>
      <c r="G918">
        <f>Process!$K923*ref_umbral-Process!$J923</f>
        <v>3095807.5804352998</v>
      </c>
      <c r="H918">
        <f t="shared" si="33"/>
        <v>3095809.5787796364</v>
      </c>
    </row>
    <row r="919" spans="3:8" x14ac:dyDescent="0.3">
      <c r="C919">
        <f>Process!$I924*ref_umbral-Process!$G924</f>
        <v>3095808.4486318524</v>
      </c>
      <c r="D919">
        <f>Process!$L924*ref_umbral-Process!$J924</f>
        <v>3095799.6863332023</v>
      </c>
      <c r="E919">
        <f t="shared" si="32"/>
        <v>3095808.4486318524</v>
      </c>
      <c r="F919">
        <f>Process!$H924*ref_umbral-Process!$G924</f>
        <v>3095808.6889815815</v>
      </c>
      <c r="G919">
        <f>Process!$K924*ref_umbral-Process!$J924</f>
        <v>3095801.564880142</v>
      </c>
      <c r="H919">
        <f t="shared" si="33"/>
        <v>3095808.6889815815</v>
      </c>
    </row>
    <row r="920" spans="3:8" x14ac:dyDescent="0.3">
      <c r="C920">
        <f>Process!$I925*ref_umbral-Process!$G925</f>
        <v>3095809.5198526285</v>
      </c>
      <c r="D920">
        <f>Process!$L925*ref_umbral-Process!$J925</f>
        <v>3095806.5279444298</v>
      </c>
      <c r="E920">
        <f t="shared" si="32"/>
        <v>3095809.5198526285</v>
      </c>
      <c r="F920">
        <f>Process!$H925*ref_umbral-Process!$G925</f>
        <v>3095809.6992069269</v>
      </c>
      <c r="G920">
        <f>Process!$K925*ref_umbral-Process!$J925</f>
        <v>3095809.290193852</v>
      </c>
      <c r="H920">
        <f t="shared" si="33"/>
        <v>3095809.6992069269</v>
      </c>
    </row>
    <row r="921" spans="3:8" x14ac:dyDescent="0.3">
      <c r="C921">
        <f>Process!$I926*ref_umbral-Process!$G926</f>
        <v>3095809.4462771942</v>
      </c>
      <c r="D921">
        <f>Process!$L926*ref_umbral-Process!$J926</f>
        <v>3095806.4705540561</v>
      </c>
      <c r="E921">
        <f t="shared" si="32"/>
        <v>3095809.4462771942</v>
      </c>
      <c r="F921">
        <f>Process!$H926*ref_umbral-Process!$G926</f>
        <v>3095809.5487464839</v>
      </c>
      <c r="G921">
        <f>Process!$K926*ref_umbral-Process!$J926</f>
        <v>3095809.6475626514</v>
      </c>
      <c r="H921">
        <f t="shared" si="33"/>
        <v>3095809.6475626514</v>
      </c>
    </row>
    <row r="922" spans="3:8" x14ac:dyDescent="0.3">
      <c r="C922">
        <f>Process!$I927*ref_umbral-Process!$G927</f>
        <v>3095809.3057561792</v>
      </c>
      <c r="D922">
        <f>Process!$L927*ref_umbral-Process!$J927</f>
        <v>3095806.8736136314</v>
      </c>
      <c r="E922">
        <f t="shared" si="32"/>
        <v>3095809.3057561792</v>
      </c>
      <c r="F922">
        <f>Process!$H927*ref_umbral-Process!$G927</f>
        <v>3095809.6985965772</v>
      </c>
      <c r="G922">
        <f>Process!$K927*ref_umbral-Process!$J927</f>
        <v>3095809.7083912701</v>
      </c>
      <c r="H922">
        <f t="shared" si="33"/>
        <v>3095809.7083912701</v>
      </c>
    </row>
    <row r="923" spans="3:8" x14ac:dyDescent="0.3">
      <c r="C923">
        <f>Process!$I928*ref_umbral-Process!$G928</f>
        <v>3095809.4182045585</v>
      </c>
      <c r="D923">
        <f>Process!$L928*ref_umbral-Process!$J928</f>
        <v>3095807.1456875205</v>
      </c>
      <c r="E923">
        <f t="shared" si="32"/>
        <v>3095809.4182045585</v>
      </c>
      <c r="F923">
        <f>Process!$H928*ref_umbral-Process!$G928</f>
        <v>3095809.4866965385</v>
      </c>
      <c r="G923">
        <f>Process!$K928*ref_umbral-Process!$J928</f>
        <v>3095809.4311447931</v>
      </c>
      <c r="H923">
        <f t="shared" si="33"/>
        <v>3095809.4866965385</v>
      </c>
    </row>
    <row r="924" spans="3:8" x14ac:dyDescent="0.3">
      <c r="C924">
        <f>Process!$I929*ref_umbral-Process!$G929</f>
        <v>3095809.2637996078</v>
      </c>
      <c r="D924">
        <f>Process!$L929*ref_umbral-Process!$J929</f>
        <v>3095803.6181826452</v>
      </c>
      <c r="E924">
        <f t="shared" si="32"/>
        <v>3095809.2637996078</v>
      </c>
      <c r="F924">
        <f>Process!$H929*ref_umbral-Process!$G929</f>
        <v>3095809.4608340478</v>
      </c>
      <c r="G924">
        <f>Process!$K929*ref_umbral-Process!$J929</f>
        <v>3095805.8473129268</v>
      </c>
      <c r="H924">
        <f t="shared" si="33"/>
        <v>3095809.4608340478</v>
      </c>
    </row>
    <row r="925" spans="3:8" x14ac:dyDescent="0.3">
      <c r="C925">
        <f>Process!$I930*ref_umbral-Process!$G930</f>
        <v>3095809.4306604634</v>
      </c>
      <c r="D925">
        <f>Process!$L930*ref_umbral-Process!$J930</f>
        <v>3095804.1101220017</v>
      </c>
      <c r="E925">
        <f t="shared" si="32"/>
        <v>3095809.4306604634</v>
      </c>
      <c r="F925">
        <f>Process!$H930*ref_umbral-Process!$G930</f>
        <v>3095809.522613626</v>
      </c>
      <c r="G925">
        <f>Process!$K930*ref_umbral-Process!$J930</f>
        <v>3095806.5928529655</v>
      </c>
      <c r="H925">
        <f t="shared" si="33"/>
        <v>3095809.522613626</v>
      </c>
    </row>
    <row r="926" spans="3:8" x14ac:dyDescent="0.3">
      <c r="C926">
        <f>Process!$I931*ref_umbral-Process!$G931</f>
        <v>3095808.6986435382</v>
      </c>
      <c r="D926">
        <f>Process!$L931*ref_umbral-Process!$J931</f>
        <v>3095807.2320192079</v>
      </c>
      <c r="E926">
        <f t="shared" si="32"/>
        <v>3095808.6986435382</v>
      </c>
      <c r="F926">
        <f>Process!$H931*ref_umbral-Process!$G931</f>
        <v>3095809.5032814448</v>
      </c>
      <c r="G926">
        <f>Process!$K931*ref_umbral-Process!$J931</f>
        <v>3095809.5765561829</v>
      </c>
      <c r="H926">
        <f t="shared" si="33"/>
        <v>3095809.5765561829</v>
      </c>
    </row>
    <row r="927" spans="3:8" x14ac:dyDescent="0.3">
      <c r="C927">
        <f>Process!$I932*ref_umbral-Process!$G932</f>
        <v>3095808.5952060162</v>
      </c>
      <c r="D927">
        <f>Process!$L932*ref_umbral-Process!$J932</f>
        <v>3095803.1500183763</v>
      </c>
      <c r="E927">
        <f t="shared" si="32"/>
        <v>3095808.5952060162</v>
      </c>
      <c r="F927">
        <f>Process!$H932*ref_umbral-Process!$G932</f>
        <v>3095808.816673167</v>
      </c>
      <c r="G927">
        <f>Process!$K932*ref_umbral-Process!$J932</f>
        <v>3095805.9759071455</v>
      </c>
      <c r="H927">
        <f t="shared" si="33"/>
        <v>3095808.816673167</v>
      </c>
    </row>
    <row r="928" spans="3:8" x14ac:dyDescent="0.3">
      <c r="C928">
        <f>Process!$I933*ref_umbral-Process!$G933</f>
        <v>3095808.2177575389</v>
      </c>
      <c r="D928">
        <f>Process!$L933*ref_umbral-Process!$J933</f>
        <v>3095804.1270675641</v>
      </c>
      <c r="E928">
        <f t="shared" si="32"/>
        <v>3095808.2177575389</v>
      </c>
      <c r="F928">
        <f>Process!$H933*ref_umbral-Process!$G933</f>
        <v>3095808.8876391132</v>
      </c>
      <c r="G928">
        <f>Process!$K933*ref_umbral-Process!$J933</f>
        <v>3095807.8813412245</v>
      </c>
      <c r="H928">
        <f t="shared" si="33"/>
        <v>3095808.8876391132</v>
      </c>
    </row>
    <row r="929" spans="3:8" x14ac:dyDescent="0.3">
      <c r="C929">
        <f>Process!$I934*ref_umbral-Process!$G934</f>
        <v>3095809.5558829554</v>
      </c>
      <c r="D929">
        <f>Process!$L934*ref_umbral-Process!$J934</f>
        <v>3095802.8694229457</v>
      </c>
      <c r="E929">
        <f t="shared" si="32"/>
        <v>3095809.5558829554</v>
      </c>
      <c r="F929">
        <f>Process!$H934*ref_umbral-Process!$G934</f>
        <v>3095809.6497185705</v>
      </c>
      <c r="G929">
        <f>Process!$K934*ref_umbral-Process!$J934</f>
        <v>3095805.1589345466</v>
      </c>
      <c r="H929">
        <f t="shared" si="33"/>
        <v>3095809.6497185705</v>
      </c>
    </row>
    <row r="930" spans="3:8" x14ac:dyDescent="0.3">
      <c r="C930">
        <f>Process!$I935*ref_umbral-Process!$G935</f>
        <v>3095808.6320196823</v>
      </c>
      <c r="D930">
        <f>Process!$L935*ref_umbral-Process!$J935</f>
        <v>3095786.8518764395</v>
      </c>
      <c r="E930">
        <f t="shared" si="32"/>
        <v>3095808.6320196823</v>
      </c>
      <c r="F930">
        <f>Process!$H935*ref_umbral-Process!$G935</f>
        <v>3095808.8194776922</v>
      </c>
      <c r="G930">
        <f>Process!$K935*ref_umbral-Process!$J935</f>
        <v>3095788.1998054674</v>
      </c>
      <c r="H930">
        <f t="shared" si="33"/>
        <v>3095808.8194776922</v>
      </c>
    </row>
    <row r="931" spans="3:8" x14ac:dyDescent="0.3">
      <c r="C931">
        <f>Process!$I936*ref_umbral-Process!$G936</f>
        <v>3095809.4324171632</v>
      </c>
      <c r="D931">
        <f>Process!$L936*ref_umbral-Process!$J936</f>
        <v>3095805.397757506</v>
      </c>
      <c r="E931">
        <f t="shared" si="32"/>
        <v>3095809.4324171632</v>
      </c>
      <c r="F931">
        <f>Process!$H936*ref_umbral-Process!$G936</f>
        <v>3095809.5455207149</v>
      </c>
      <c r="G931">
        <f>Process!$K936*ref_umbral-Process!$J936</f>
        <v>3095807.5595415053</v>
      </c>
      <c r="H931">
        <f t="shared" si="33"/>
        <v>3095809.5455207149</v>
      </c>
    </row>
    <row r="932" spans="3:8" x14ac:dyDescent="0.3">
      <c r="C932">
        <f>Process!$I937*ref_umbral-Process!$G937</f>
        <v>3095809.0480025578</v>
      </c>
      <c r="D932">
        <f>Process!$L937*ref_umbral-Process!$J937</f>
        <v>3095802.8780933074</v>
      </c>
      <c r="E932">
        <f t="shared" si="32"/>
        <v>3095809.0480025578</v>
      </c>
      <c r="F932">
        <f>Process!$H937*ref_umbral-Process!$G937</f>
        <v>3095809.3044218239</v>
      </c>
      <c r="G932">
        <f>Process!$K937*ref_umbral-Process!$J937</f>
        <v>3095807.4696025243</v>
      </c>
      <c r="H932">
        <f t="shared" si="33"/>
        <v>3095809.3044218239</v>
      </c>
    </row>
    <row r="933" spans="3:8" x14ac:dyDescent="0.3">
      <c r="C933">
        <f>Process!$I938*ref_umbral-Process!$G938</f>
        <v>3095809.3552390649</v>
      </c>
      <c r="D933">
        <f>Process!$L938*ref_umbral-Process!$J938</f>
        <v>3095805.581205253</v>
      </c>
      <c r="E933">
        <f t="shared" si="32"/>
        <v>3095809.3552390649</v>
      </c>
      <c r="F933">
        <f>Process!$H938*ref_umbral-Process!$G938</f>
        <v>3095809.5362340673</v>
      </c>
      <c r="G933">
        <f>Process!$K938*ref_umbral-Process!$J938</f>
        <v>3095807.1305749752</v>
      </c>
      <c r="H933">
        <f t="shared" si="33"/>
        <v>3095809.5362340673</v>
      </c>
    </row>
    <row r="934" spans="3:8" x14ac:dyDescent="0.3">
      <c r="C934">
        <f>Process!$I939*ref_umbral-Process!$G939</f>
        <v>3095809.5157562927</v>
      </c>
      <c r="D934">
        <f>Process!$L939*ref_umbral-Process!$J939</f>
        <v>3095805.6073486251</v>
      </c>
      <c r="E934">
        <f t="shared" si="32"/>
        <v>3095809.5157562927</v>
      </c>
      <c r="F934">
        <f>Process!$H939*ref_umbral-Process!$G939</f>
        <v>3095809.6185571351</v>
      </c>
      <c r="G934">
        <f>Process!$K939*ref_umbral-Process!$J939</f>
        <v>3095807.0803148076</v>
      </c>
      <c r="H934">
        <f t="shared" si="33"/>
        <v>3095809.6185571351</v>
      </c>
    </row>
    <row r="935" spans="3:8" x14ac:dyDescent="0.3">
      <c r="C935">
        <f>Process!$I940*ref_umbral-Process!$G940</f>
        <v>3095809.5195397874</v>
      </c>
      <c r="D935">
        <f>Process!$L940*ref_umbral-Process!$J940</f>
        <v>3095806.028814998</v>
      </c>
      <c r="E935">
        <f t="shared" si="32"/>
        <v>3095809.5195397874</v>
      </c>
      <c r="F935">
        <f>Process!$H940*ref_umbral-Process!$G940</f>
        <v>3095809.6727906023</v>
      </c>
      <c r="G935">
        <f>Process!$K940*ref_umbral-Process!$J940</f>
        <v>3095808.5449287812</v>
      </c>
      <c r="H935">
        <f t="shared" si="33"/>
        <v>3095809.6727906023</v>
      </c>
    </row>
    <row r="936" spans="3:8" x14ac:dyDescent="0.3">
      <c r="C936">
        <f>Process!$I941*ref_umbral-Process!$G941</f>
        <v>3095809.4570828178</v>
      </c>
      <c r="D936">
        <f>Process!$L941*ref_umbral-Process!$J941</f>
        <v>3095804.6288583823</v>
      </c>
      <c r="E936">
        <f t="shared" si="32"/>
        <v>3095809.4570828178</v>
      </c>
      <c r="F936">
        <f>Process!$H941*ref_umbral-Process!$G941</f>
        <v>3095809.5755442833</v>
      </c>
      <c r="G936">
        <f>Process!$K941*ref_umbral-Process!$J941</f>
        <v>3095807.895261087</v>
      </c>
      <c r="H936">
        <f t="shared" si="33"/>
        <v>3095809.5755442833</v>
      </c>
    </row>
    <row r="937" spans="3:8" x14ac:dyDescent="0.3">
      <c r="C937">
        <f>Process!$I942*ref_umbral-Process!$G942</f>
        <v>3095809.2568531465</v>
      </c>
      <c r="D937">
        <f>Process!$L942*ref_umbral-Process!$J942</f>
        <v>3095801.1610701354</v>
      </c>
      <c r="E937">
        <f t="shared" si="32"/>
        <v>3095809.2568531465</v>
      </c>
      <c r="F937">
        <f>Process!$H942*ref_umbral-Process!$G942</f>
        <v>3095809.4993646592</v>
      </c>
      <c r="G937">
        <f>Process!$K942*ref_umbral-Process!$J942</f>
        <v>3095804.824651659</v>
      </c>
      <c r="H937">
        <f t="shared" si="33"/>
        <v>3095809.4993646592</v>
      </c>
    </row>
    <row r="938" spans="3:8" x14ac:dyDescent="0.3">
      <c r="C938">
        <f>Process!$I943*ref_umbral-Process!$G943</f>
        <v>3095809.3251795392</v>
      </c>
      <c r="D938">
        <f>Process!$L943*ref_umbral-Process!$J943</f>
        <v>3095804.9765498783</v>
      </c>
      <c r="E938">
        <f t="shared" si="32"/>
        <v>3095809.3251795392</v>
      </c>
      <c r="F938">
        <f>Process!$H943*ref_umbral-Process!$G943</f>
        <v>3095809.5190459136</v>
      </c>
      <c r="G938">
        <f>Process!$K943*ref_umbral-Process!$J943</f>
        <v>3095806.7577331266</v>
      </c>
      <c r="H938">
        <f t="shared" si="33"/>
        <v>3095809.5190459136</v>
      </c>
    </row>
    <row r="939" spans="3:8" x14ac:dyDescent="0.3">
      <c r="C939">
        <f>Process!$I944*ref_umbral-Process!$G944</f>
        <v>3095808.9849248244</v>
      </c>
      <c r="D939">
        <f>Process!$L944*ref_umbral-Process!$J944</f>
        <v>3095788.0839348054</v>
      </c>
      <c r="E939">
        <f t="shared" si="32"/>
        <v>3095808.9849248244</v>
      </c>
      <c r="F939">
        <f>Process!$H944*ref_umbral-Process!$G944</f>
        <v>3095809.0983910454</v>
      </c>
      <c r="G939">
        <f>Process!$K944*ref_umbral-Process!$J944</f>
        <v>3095790.262909886</v>
      </c>
      <c r="H939">
        <f t="shared" si="33"/>
        <v>3095809.0983910454</v>
      </c>
    </row>
    <row r="940" spans="3:8" x14ac:dyDescent="0.3">
      <c r="C940">
        <f>Process!$I945*ref_umbral-Process!$G945</f>
        <v>3095808.8123068814</v>
      </c>
      <c r="D940">
        <f>Process!$L945*ref_umbral-Process!$J945</f>
        <v>3095798.4110675631</v>
      </c>
      <c r="E940">
        <f t="shared" si="32"/>
        <v>3095808.8123068814</v>
      </c>
      <c r="F940">
        <f>Process!$H945*ref_umbral-Process!$G945</f>
        <v>3095808.9729147148</v>
      </c>
      <c r="G940">
        <f>Process!$K945*ref_umbral-Process!$J945</f>
        <v>3095799.7351943045</v>
      </c>
      <c r="H940">
        <f t="shared" si="33"/>
        <v>3095808.9729147148</v>
      </c>
    </row>
    <row r="941" spans="3:8" x14ac:dyDescent="0.3">
      <c r="C941">
        <f>Process!$I946*ref_umbral-Process!$G946</f>
        <v>3095809.1999156834</v>
      </c>
      <c r="D941">
        <f>Process!$L946*ref_umbral-Process!$J946</f>
        <v>3095807.2747221971</v>
      </c>
      <c r="E941">
        <f t="shared" si="32"/>
        <v>3095809.1999156834</v>
      </c>
      <c r="F941">
        <f>Process!$H946*ref_umbral-Process!$G946</f>
        <v>3095809.3124675672</v>
      </c>
      <c r="G941">
        <f>Process!$K946*ref_umbral-Process!$J946</f>
        <v>3095809.3096215934</v>
      </c>
      <c r="H941">
        <f t="shared" si="33"/>
        <v>3095809.3124675672</v>
      </c>
    </row>
    <row r="942" spans="3:8" x14ac:dyDescent="0.3">
      <c r="C942">
        <f>Process!$I947*ref_umbral-Process!$G947</f>
        <v>3095809.707292886</v>
      </c>
      <c r="D942">
        <f>Process!$L947*ref_umbral-Process!$J947</f>
        <v>3095806.9455805295</v>
      </c>
      <c r="E942">
        <f t="shared" si="32"/>
        <v>3095809.707292886</v>
      </c>
      <c r="F942">
        <f>Process!$H947*ref_umbral-Process!$G947</f>
        <v>3095809.7611933369</v>
      </c>
      <c r="G942">
        <f>Process!$K947*ref_umbral-Process!$J947</f>
        <v>3095809.0928280577</v>
      </c>
      <c r="H942">
        <f t="shared" si="33"/>
        <v>3095809.7611933369</v>
      </c>
    </row>
    <row r="943" spans="3:8" x14ac:dyDescent="0.3">
      <c r="C943">
        <f>Process!$I948*ref_umbral-Process!$G948</f>
        <v>3095808.6984572047</v>
      </c>
      <c r="D943">
        <f>Process!$L948*ref_umbral-Process!$J948</f>
        <v>3095800.0868131123</v>
      </c>
      <c r="E943">
        <f t="shared" si="32"/>
        <v>3095808.6984572047</v>
      </c>
      <c r="F943">
        <f>Process!$H948*ref_umbral-Process!$G948</f>
        <v>3095809.0359081659</v>
      </c>
      <c r="G943">
        <f>Process!$K948*ref_umbral-Process!$J948</f>
        <v>3095803.2609066661</v>
      </c>
      <c r="H943">
        <f t="shared" si="33"/>
        <v>3095809.0359081659</v>
      </c>
    </row>
    <row r="944" spans="3:8" x14ac:dyDescent="0.3">
      <c r="C944">
        <f>Process!$I949*ref_umbral-Process!$G949</f>
        <v>3095809.0253577502</v>
      </c>
      <c r="D944">
        <f>Process!$L949*ref_umbral-Process!$J949</f>
        <v>3095796.592920159</v>
      </c>
      <c r="E944">
        <f t="shared" si="32"/>
        <v>3095809.0253577502</v>
      </c>
      <c r="F944">
        <f>Process!$H949*ref_umbral-Process!$G949</f>
        <v>3095809.2156042047</v>
      </c>
      <c r="G944">
        <f>Process!$K949*ref_umbral-Process!$J949</f>
        <v>3095798.2798148063</v>
      </c>
      <c r="H944">
        <f t="shared" si="33"/>
        <v>3095809.2156042047</v>
      </c>
    </row>
    <row r="945" spans="3:8" x14ac:dyDescent="0.3">
      <c r="C945">
        <f>Process!$I950*ref_umbral-Process!$G950</f>
        <v>3095809.7299002572</v>
      </c>
      <c r="D945">
        <f>Process!$L950*ref_umbral-Process!$J950</f>
        <v>3095807.7042941581</v>
      </c>
      <c r="E945">
        <f t="shared" si="32"/>
        <v>3095809.7299002572</v>
      </c>
      <c r="F945">
        <f>Process!$H950*ref_umbral-Process!$G950</f>
        <v>3095809.7661366933</v>
      </c>
      <c r="G945">
        <f>Process!$K950*ref_umbral-Process!$J950</f>
        <v>3095808.8332382385</v>
      </c>
      <c r="H945">
        <f t="shared" si="33"/>
        <v>3095809.7661366933</v>
      </c>
    </row>
    <row r="946" spans="3:8" x14ac:dyDescent="0.3">
      <c r="C946">
        <f>Process!$I951*ref_umbral-Process!$G951</f>
        <v>3095809.2952183099</v>
      </c>
      <c r="D946">
        <f>Process!$L951*ref_umbral-Process!$J951</f>
        <v>3095805.6413682248</v>
      </c>
      <c r="E946">
        <f t="shared" si="32"/>
        <v>3095809.2952183099</v>
      </c>
      <c r="F946">
        <f>Process!$H951*ref_umbral-Process!$G951</f>
        <v>3095809.3722328013</v>
      </c>
      <c r="G946">
        <f>Process!$K951*ref_umbral-Process!$J951</f>
        <v>3095808.0967509397</v>
      </c>
      <c r="H946">
        <f t="shared" si="33"/>
        <v>3095809.3722328013</v>
      </c>
    </row>
    <row r="947" spans="3:8" x14ac:dyDescent="0.3">
      <c r="C947">
        <f>Process!$I952*ref_umbral-Process!$G952</f>
        <v>3095809.411402449</v>
      </c>
      <c r="D947">
        <f>Process!$L952*ref_umbral-Process!$J952</f>
        <v>3095802.5770170121</v>
      </c>
      <c r="E947">
        <f t="shared" si="32"/>
        <v>3095809.411402449</v>
      </c>
      <c r="F947">
        <f>Process!$H952*ref_umbral-Process!$G952</f>
        <v>3095809.5439597717</v>
      </c>
      <c r="G947">
        <f>Process!$K952*ref_umbral-Process!$J952</f>
        <v>3095805.0517966924</v>
      </c>
      <c r="H947">
        <f t="shared" si="33"/>
        <v>3095809.5439597717</v>
      </c>
    </row>
    <row r="948" spans="3:8" x14ac:dyDescent="0.3">
      <c r="C948">
        <f>Process!$I953*ref_umbral-Process!$G953</f>
        <v>3095809.4824538724</v>
      </c>
      <c r="D948">
        <f>Process!$L953*ref_umbral-Process!$J953</f>
        <v>3095800.3071967745</v>
      </c>
      <c r="E948">
        <f t="shared" si="32"/>
        <v>3095809.4824538724</v>
      </c>
      <c r="F948">
        <f>Process!$H953*ref_umbral-Process!$G953</f>
        <v>3095809.5579296639</v>
      </c>
      <c r="G948">
        <f>Process!$K953*ref_umbral-Process!$J953</f>
        <v>3095801.4836884155</v>
      </c>
      <c r="H948">
        <f t="shared" si="33"/>
        <v>3095809.5579296639</v>
      </c>
    </row>
    <row r="949" spans="3:8" x14ac:dyDescent="0.3">
      <c r="C949">
        <f>Process!$I954*ref_umbral-Process!$G954</f>
        <v>3095809.1687578531</v>
      </c>
      <c r="D949">
        <f>Process!$L954*ref_umbral-Process!$J954</f>
        <v>3095805.2692585951</v>
      </c>
      <c r="E949">
        <f t="shared" si="32"/>
        <v>3095809.1687578531</v>
      </c>
      <c r="F949">
        <f>Process!$H954*ref_umbral-Process!$G954</f>
        <v>3095809.2677926463</v>
      </c>
      <c r="G949">
        <f>Process!$K954*ref_umbral-Process!$J954</f>
        <v>3095808.1536641424</v>
      </c>
      <c r="H949">
        <f t="shared" si="33"/>
        <v>3095809.2677926463</v>
      </c>
    </row>
    <row r="950" spans="3:8" x14ac:dyDescent="0.3">
      <c r="C950">
        <f>Process!$I955*ref_umbral-Process!$G955</f>
        <v>3095809.2020901074</v>
      </c>
      <c r="D950">
        <f>Process!$L955*ref_umbral-Process!$J955</f>
        <v>3095805.0409411159</v>
      </c>
      <c r="E950">
        <f t="shared" si="32"/>
        <v>3095809.2020901074</v>
      </c>
      <c r="F950">
        <f>Process!$H955*ref_umbral-Process!$G955</f>
        <v>3095809.2998895491</v>
      </c>
      <c r="G950">
        <f>Process!$K955*ref_umbral-Process!$J955</f>
        <v>3095807.1137030059</v>
      </c>
      <c r="H950">
        <f t="shared" si="33"/>
        <v>3095809.2998895491</v>
      </c>
    </row>
    <row r="951" spans="3:8" x14ac:dyDescent="0.3">
      <c r="C951">
        <f>Process!$I956*ref_umbral-Process!$G956</f>
        <v>3095809.5249269451</v>
      </c>
      <c r="D951">
        <f>Process!$L956*ref_umbral-Process!$J956</f>
        <v>3095806.4536473034</v>
      </c>
      <c r="E951">
        <f t="shared" si="32"/>
        <v>3095809.5249269451</v>
      </c>
      <c r="F951">
        <f>Process!$H956*ref_umbral-Process!$G956</f>
        <v>3095809.6837737313</v>
      </c>
      <c r="G951">
        <f>Process!$K956*ref_umbral-Process!$J956</f>
        <v>3095808.5727096647</v>
      </c>
      <c r="H951">
        <f t="shared" si="33"/>
        <v>3095809.6837737313</v>
      </c>
    </row>
    <row r="952" spans="3:8" x14ac:dyDescent="0.3">
      <c r="C952">
        <f>Process!$I957*ref_umbral-Process!$G957</f>
        <v>3095808.6868908932</v>
      </c>
      <c r="D952">
        <f>Process!$L957*ref_umbral-Process!$J957</f>
        <v>3095806.6766260988</v>
      </c>
      <c r="E952">
        <f t="shared" si="32"/>
        <v>3095808.6868908932</v>
      </c>
      <c r="F952">
        <f>Process!$H957*ref_umbral-Process!$G957</f>
        <v>3095809.1557948445</v>
      </c>
      <c r="G952">
        <f>Process!$K957*ref_umbral-Process!$J957</f>
        <v>3095808.9233655361</v>
      </c>
      <c r="H952">
        <f t="shared" si="33"/>
        <v>3095809.1557948445</v>
      </c>
    </row>
    <row r="953" spans="3:8" x14ac:dyDescent="0.3">
      <c r="C953">
        <f>Process!$I958*ref_umbral-Process!$G958</f>
        <v>3095809.5489372527</v>
      </c>
      <c r="D953">
        <f>Process!$L958*ref_umbral-Process!$J958</f>
        <v>3095803.3140188414</v>
      </c>
      <c r="E953">
        <f t="shared" si="32"/>
        <v>3095809.5489372527</v>
      </c>
      <c r="F953">
        <f>Process!$H958*ref_umbral-Process!$G958</f>
        <v>3095809.662068096</v>
      </c>
      <c r="G953">
        <f>Process!$K958*ref_umbral-Process!$J958</f>
        <v>3095804.590266156</v>
      </c>
      <c r="H953">
        <f t="shared" si="33"/>
        <v>3095809.662068096</v>
      </c>
    </row>
    <row r="954" spans="3:8" x14ac:dyDescent="0.3">
      <c r="C954">
        <f>Process!$I959*ref_umbral-Process!$G959</f>
        <v>3095809.4992232518</v>
      </c>
      <c r="D954">
        <f>Process!$L959*ref_umbral-Process!$J959</f>
        <v>3095799.4821451502</v>
      </c>
      <c r="E954">
        <f t="shared" si="32"/>
        <v>3095809.4992232518</v>
      </c>
      <c r="F954">
        <f>Process!$H959*ref_umbral-Process!$G959</f>
        <v>3095809.5112038944</v>
      </c>
      <c r="G954">
        <f>Process!$K959*ref_umbral-Process!$J959</f>
        <v>3095803.6107204128</v>
      </c>
      <c r="H954">
        <f t="shared" si="33"/>
        <v>3095809.5112038944</v>
      </c>
    </row>
    <row r="955" spans="3:8" x14ac:dyDescent="0.3">
      <c r="C955">
        <f>Process!$I960*ref_umbral-Process!$G960</f>
        <v>3095808.4848800702</v>
      </c>
      <c r="D955">
        <f>Process!$L960*ref_umbral-Process!$J960</f>
        <v>3095794.6320825382</v>
      </c>
      <c r="E955">
        <f t="shared" si="32"/>
        <v>3095808.4848800702</v>
      </c>
      <c r="F955">
        <f>Process!$H960*ref_umbral-Process!$G960</f>
        <v>3095808.6964919288</v>
      </c>
      <c r="G955">
        <f>Process!$K960*ref_umbral-Process!$J960</f>
        <v>3095796.565029941</v>
      </c>
      <c r="H955">
        <f t="shared" si="33"/>
        <v>3095808.6964919288</v>
      </c>
    </row>
    <row r="956" spans="3:8" x14ac:dyDescent="0.3">
      <c r="C956">
        <f>Process!$I961*ref_umbral-Process!$G961</f>
        <v>3095809.0886945506</v>
      </c>
      <c r="D956">
        <f>Process!$L961*ref_umbral-Process!$J961</f>
        <v>3095805.4055060144</v>
      </c>
      <c r="E956">
        <f t="shared" si="32"/>
        <v>3095809.0886945506</v>
      </c>
      <c r="F956">
        <f>Process!$H961*ref_umbral-Process!$G961</f>
        <v>3095809.2267242842</v>
      </c>
      <c r="G956">
        <f>Process!$K961*ref_umbral-Process!$J961</f>
        <v>3095808.3154101325</v>
      </c>
      <c r="H956">
        <f t="shared" si="33"/>
        <v>3095809.2267242842</v>
      </c>
    </row>
    <row r="957" spans="3:8" x14ac:dyDescent="0.3">
      <c r="C957">
        <f>Process!$I962*ref_umbral-Process!$G962</f>
        <v>3095809.3086759434</v>
      </c>
      <c r="D957">
        <f>Process!$L962*ref_umbral-Process!$J962</f>
        <v>3095804.1985935373</v>
      </c>
      <c r="E957">
        <f t="shared" si="32"/>
        <v>3095809.3086759434</v>
      </c>
      <c r="F957">
        <f>Process!$H962*ref_umbral-Process!$G962</f>
        <v>3095809.5257357848</v>
      </c>
      <c r="G957">
        <f>Process!$K962*ref_umbral-Process!$J962</f>
        <v>3095806.281990665</v>
      </c>
      <c r="H957">
        <f t="shared" si="33"/>
        <v>3095809.5257357848</v>
      </c>
    </row>
    <row r="958" spans="3:8" x14ac:dyDescent="0.3">
      <c r="C958">
        <f>Process!$I963*ref_umbral-Process!$G963</f>
        <v>3095809.5452653854</v>
      </c>
      <c r="D958">
        <f>Process!$L963*ref_umbral-Process!$J963</f>
        <v>3095806.4984883447</v>
      </c>
      <c r="E958">
        <f t="shared" si="32"/>
        <v>3095809.5452653854</v>
      </c>
      <c r="F958">
        <f>Process!$H963*ref_umbral-Process!$G963</f>
        <v>3095809.7267852579</v>
      </c>
      <c r="G958">
        <f>Process!$K963*ref_umbral-Process!$J963</f>
        <v>3095808.2500087279</v>
      </c>
      <c r="H958">
        <f t="shared" si="33"/>
        <v>3095809.7267852579</v>
      </c>
    </row>
    <row r="959" spans="3:8" x14ac:dyDescent="0.3">
      <c r="C959">
        <f>Process!$I964*ref_umbral-Process!$G964</f>
        <v>3095809.0806254577</v>
      </c>
      <c r="D959">
        <f>Process!$L964*ref_umbral-Process!$J964</f>
        <v>3095804.7590304757</v>
      </c>
      <c r="E959">
        <f t="shared" si="32"/>
        <v>3095809.0806254577</v>
      </c>
      <c r="F959">
        <f>Process!$H964*ref_umbral-Process!$G964</f>
        <v>3095809.2565452605</v>
      </c>
      <c r="G959">
        <f>Process!$K964*ref_umbral-Process!$J964</f>
        <v>3095807.6839806633</v>
      </c>
      <c r="H959">
        <f t="shared" si="33"/>
        <v>3095809.2565452605</v>
      </c>
    </row>
    <row r="960" spans="3:8" x14ac:dyDescent="0.3">
      <c r="C960">
        <f>Process!$I965*ref_umbral-Process!$G965</f>
        <v>3095808.5989571917</v>
      </c>
      <c r="D960">
        <f>Process!$L965*ref_umbral-Process!$J965</f>
        <v>3095794.4292535777</v>
      </c>
      <c r="E960">
        <f t="shared" si="32"/>
        <v>3095808.5989571917</v>
      </c>
      <c r="F960">
        <f>Process!$H965*ref_umbral-Process!$G965</f>
        <v>3095808.8391257166</v>
      </c>
      <c r="G960">
        <f>Process!$K965*ref_umbral-Process!$J965</f>
        <v>3095797.5321230618</v>
      </c>
      <c r="H960">
        <f t="shared" si="33"/>
        <v>3095808.8391257166</v>
      </c>
    </row>
    <row r="961" spans="3:8" x14ac:dyDescent="0.3">
      <c r="C961">
        <f>Process!$I966*ref_umbral-Process!$G966</f>
        <v>3095809.7452676021</v>
      </c>
      <c r="D961">
        <f>Process!$L966*ref_umbral-Process!$J966</f>
        <v>3095806.2437274889</v>
      </c>
      <c r="E961">
        <f t="shared" si="32"/>
        <v>3095809.7452676021</v>
      </c>
      <c r="F961">
        <f>Process!$H966*ref_umbral-Process!$G966</f>
        <v>3095809.759815183</v>
      </c>
      <c r="G961">
        <f>Process!$K966*ref_umbral-Process!$J966</f>
        <v>3095806.8254040331</v>
      </c>
      <c r="H961">
        <f t="shared" si="33"/>
        <v>3095809.759815183</v>
      </c>
    </row>
    <row r="962" spans="3:8" x14ac:dyDescent="0.3">
      <c r="C962">
        <f>Process!$I967*ref_umbral-Process!$G967</f>
        <v>3095809.5136931869</v>
      </c>
      <c r="D962">
        <f>Process!$L967*ref_umbral-Process!$J967</f>
        <v>3095805.875647808</v>
      </c>
      <c r="E962">
        <f t="shared" si="32"/>
        <v>3095809.5136931869</v>
      </c>
      <c r="F962">
        <f>Process!$H967*ref_umbral-Process!$G967</f>
        <v>3095809.5938236262</v>
      </c>
      <c r="G962">
        <f>Process!$K967*ref_umbral-Process!$J967</f>
        <v>3095807.7994991555</v>
      </c>
      <c r="H962">
        <f t="shared" si="33"/>
        <v>3095809.5938236262</v>
      </c>
    </row>
    <row r="963" spans="3:8" x14ac:dyDescent="0.3">
      <c r="C963">
        <f>Process!$I968*ref_umbral-Process!$G968</f>
        <v>3095809.0074566607</v>
      </c>
      <c r="D963">
        <f>Process!$L968*ref_umbral-Process!$J968</f>
        <v>3095803.7775886171</v>
      </c>
      <c r="E963">
        <f t="shared" si="32"/>
        <v>3095809.0074566607</v>
      </c>
      <c r="F963">
        <f>Process!$H968*ref_umbral-Process!$G968</f>
        <v>3095809.2870875746</v>
      </c>
      <c r="G963">
        <f>Process!$K968*ref_umbral-Process!$J968</f>
        <v>3095807.9292317093</v>
      </c>
      <c r="H963">
        <f t="shared" si="33"/>
        <v>3095809.2870875746</v>
      </c>
    </row>
    <row r="964" spans="3:8" x14ac:dyDescent="0.3">
      <c r="C964">
        <f>Process!$I969*ref_umbral-Process!$G969</f>
        <v>3095809.5004964233</v>
      </c>
      <c r="D964">
        <f>Process!$L969*ref_umbral-Process!$J969</f>
        <v>3095794.8905049008</v>
      </c>
      <c r="E964">
        <f t="shared" si="32"/>
        <v>3095809.5004964233</v>
      </c>
      <c r="F964">
        <f>Process!$H969*ref_umbral-Process!$G969</f>
        <v>3095809.6307641463</v>
      </c>
      <c r="G964">
        <f>Process!$K969*ref_umbral-Process!$J969</f>
        <v>3095796.3232561257</v>
      </c>
      <c r="H964">
        <f t="shared" si="33"/>
        <v>3095809.6307641463</v>
      </c>
    </row>
    <row r="965" spans="3:8" x14ac:dyDescent="0.3">
      <c r="C965">
        <f>Process!$I970*ref_umbral-Process!$G970</f>
        <v>3095808.5027651959</v>
      </c>
      <c r="D965">
        <f>Process!$L970*ref_umbral-Process!$J970</f>
        <v>3095797.8714151243</v>
      </c>
      <c r="E965">
        <f t="shared" si="32"/>
        <v>3095808.5027651959</v>
      </c>
      <c r="F965">
        <f>Process!$H970*ref_umbral-Process!$G970</f>
        <v>3095808.8281396236</v>
      </c>
      <c r="G965">
        <f>Process!$K970*ref_umbral-Process!$J970</f>
        <v>3095801.6912044566</v>
      </c>
      <c r="H965">
        <f t="shared" si="33"/>
        <v>3095808.8281396236</v>
      </c>
    </row>
    <row r="966" spans="3:8" x14ac:dyDescent="0.3">
      <c r="C966">
        <f>Process!$I971*ref_umbral-Process!$G971</f>
        <v>3095809.321376496</v>
      </c>
      <c r="D966">
        <f>Process!$L971*ref_umbral-Process!$J971</f>
        <v>3095797.2254123171</v>
      </c>
      <c r="E966">
        <f t="shared" si="32"/>
        <v>3095809.321376496</v>
      </c>
      <c r="F966">
        <f>Process!$H971*ref_umbral-Process!$G971</f>
        <v>3095809.3900079499</v>
      </c>
      <c r="G966">
        <f>Process!$K971*ref_umbral-Process!$J971</f>
        <v>3095798.5784811582</v>
      </c>
      <c r="H966">
        <f t="shared" si="33"/>
        <v>3095809.3900079499</v>
      </c>
    </row>
    <row r="967" spans="3:8" x14ac:dyDescent="0.3">
      <c r="C967">
        <f>Process!$I972*ref_umbral-Process!$G972</f>
        <v>3095809.3174555236</v>
      </c>
      <c r="D967">
        <f>Process!$L972*ref_umbral-Process!$J972</f>
        <v>3095805.9323201571</v>
      </c>
      <c r="E967">
        <f t="shared" ref="E967:E1006" si="34">MAX(C967,D967)</f>
        <v>3095809.3174555236</v>
      </c>
      <c r="F967">
        <f>Process!$H972*ref_umbral-Process!$G972</f>
        <v>3095809.4113588268</v>
      </c>
      <c r="G967">
        <f>Process!$K972*ref_umbral-Process!$J972</f>
        <v>3095807.7286518728</v>
      </c>
      <c r="H967">
        <f t="shared" ref="H967:H1006" si="35">MAX(F967,G967)</f>
        <v>3095809.4113588268</v>
      </c>
    </row>
    <row r="968" spans="3:8" x14ac:dyDescent="0.3">
      <c r="C968">
        <f>Process!$I973*ref_umbral-Process!$G973</f>
        <v>3095809.4171287422</v>
      </c>
      <c r="D968">
        <f>Process!$L973*ref_umbral-Process!$J973</f>
        <v>3095805.9022576143</v>
      </c>
      <c r="E968">
        <f t="shared" si="34"/>
        <v>3095809.4171287422</v>
      </c>
      <c r="F968">
        <f>Process!$H973*ref_umbral-Process!$G973</f>
        <v>3095809.5267405268</v>
      </c>
      <c r="G968">
        <f>Process!$K973*ref_umbral-Process!$J973</f>
        <v>3095808.6843116819</v>
      </c>
      <c r="H968">
        <f t="shared" si="35"/>
        <v>3095809.5267405268</v>
      </c>
    </row>
    <row r="969" spans="3:8" x14ac:dyDescent="0.3">
      <c r="C969">
        <f>Process!$I974*ref_umbral-Process!$G974</f>
        <v>3095809.4912022413</v>
      </c>
      <c r="D969">
        <f>Process!$L974*ref_umbral-Process!$J974</f>
        <v>3095801.9828364369</v>
      </c>
      <c r="E969">
        <f t="shared" si="34"/>
        <v>3095809.4912022413</v>
      </c>
      <c r="F969">
        <f>Process!$H974*ref_umbral-Process!$G974</f>
        <v>3095809.5812894967</v>
      </c>
      <c r="G969">
        <f>Process!$K974*ref_umbral-Process!$J974</f>
        <v>3095803.8474953421</v>
      </c>
      <c r="H969">
        <f t="shared" si="35"/>
        <v>3095809.5812894967</v>
      </c>
    </row>
    <row r="970" spans="3:8" x14ac:dyDescent="0.3">
      <c r="C970">
        <f>Process!$I975*ref_umbral-Process!$G975</f>
        <v>3095809.2279218389</v>
      </c>
      <c r="D970">
        <f>Process!$L975*ref_umbral-Process!$J975</f>
        <v>3095803.2757123751</v>
      </c>
      <c r="E970">
        <f t="shared" si="34"/>
        <v>3095809.2279218389</v>
      </c>
      <c r="F970">
        <f>Process!$H975*ref_umbral-Process!$G975</f>
        <v>3095809.5571392761</v>
      </c>
      <c r="G970">
        <f>Process!$K975*ref_umbral-Process!$J975</f>
        <v>3095807.15877805</v>
      </c>
      <c r="H970">
        <f t="shared" si="35"/>
        <v>3095809.5571392761</v>
      </c>
    </row>
    <row r="971" spans="3:8" x14ac:dyDescent="0.3">
      <c r="C971">
        <f>Process!$I976*ref_umbral-Process!$G976</f>
        <v>3095809.3915604595</v>
      </c>
      <c r="D971">
        <f>Process!$L976*ref_umbral-Process!$J976</f>
        <v>3095804.9690084499</v>
      </c>
      <c r="E971">
        <f t="shared" si="34"/>
        <v>3095809.3915604595</v>
      </c>
      <c r="F971">
        <f>Process!$H976*ref_umbral-Process!$G976</f>
        <v>3095809.5262520998</v>
      </c>
      <c r="G971">
        <f>Process!$K976*ref_umbral-Process!$J976</f>
        <v>3095808.6559861475</v>
      </c>
      <c r="H971">
        <f t="shared" si="35"/>
        <v>3095809.5262520998</v>
      </c>
    </row>
    <row r="972" spans="3:8" x14ac:dyDescent="0.3">
      <c r="C972">
        <f>Process!$I977*ref_umbral-Process!$G977</f>
        <v>3095808.9234034074</v>
      </c>
      <c r="D972">
        <f>Process!$L977*ref_umbral-Process!$J977</f>
        <v>3095800.5044119181</v>
      </c>
      <c r="E972">
        <f t="shared" si="34"/>
        <v>3095808.9234034074</v>
      </c>
      <c r="F972">
        <f>Process!$H977*ref_umbral-Process!$G977</f>
        <v>3095809.1182632754</v>
      </c>
      <c r="G972">
        <f>Process!$K977*ref_umbral-Process!$J977</f>
        <v>3095802.6232217411</v>
      </c>
      <c r="H972">
        <f t="shared" si="35"/>
        <v>3095809.1182632754</v>
      </c>
    </row>
    <row r="973" spans="3:8" x14ac:dyDescent="0.3">
      <c r="C973">
        <f>Process!$I978*ref_umbral-Process!$G978</f>
        <v>3095809.2271475941</v>
      </c>
      <c r="D973">
        <f>Process!$L978*ref_umbral-Process!$J978</f>
        <v>3095801.8523615953</v>
      </c>
      <c r="E973">
        <f t="shared" si="34"/>
        <v>3095809.2271475941</v>
      </c>
      <c r="F973">
        <f>Process!$H978*ref_umbral-Process!$G978</f>
        <v>3095809.4419605238</v>
      </c>
      <c r="G973">
        <f>Process!$K978*ref_umbral-Process!$J978</f>
        <v>3095805.757670355</v>
      </c>
      <c r="H973">
        <f t="shared" si="35"/>
        <v>3095809.4419605238</v>
      </c>
    </row>
    <row r="974" spans="3:8" x14ac:dyDescent="0.3">
      <c r="C974">
        <f>Process!$I979*ref_umbral-Process!$G979</f>
        <v>3095808.0625504516</v>
      </c>
      <c r="D974">
        <f>Process!$L979*ref_umbral-Process!$J979</f>
        <v>3095798.4654317736</v>
      </c>
      <c r="E974">
        <f t="shared" si="34"/>
        <v>3095808.0625504516</v>
      </c>
      <c r="F974">
        <f>Process!$H979*ref_umbral-Process!$G979</f>
        <v>3095808.4667319809</v>
      </c>
      <c r="G974">
        <f>Process!$K979*ref_umbral-Process!$J979</f>
        <v>3095801.1540092621</v>
      </c>
      <c r="H974">
        <f t="shared" si="35"/>
        <v>3095808.4667319809</v>
      </c>
    </row>
    <row r="975" spans="3:8" x14ac:dyDescent="0.3">
      <c r="C975">
        <f>Process!$I980*ref_umbral-Process!$G980</f>
        <v>3095809.3145094141</v>
      </c>
      <c r="D975">
        <f>Process!$L980*ref_umbral-Process!$J980</f>
        <v>3095804.2683520797</v>
      </c>
      <c r="E975">
        <f t="shared" si="34"/>
        <v>3095809.3145094141</v>
      </c>
      <c r="F975">
        <f>Process!$H980*ref_umbral-Process!$G980</f>
        <v>3095809.5051605897</v>
      </c>
      <c r="G975">
        <f>Process!$K980*ref_umbral-Process!$J980</f>
        <v>3095806.1598536652</v>
      </c>
      <c r="H975">
        <f t="shared" si="35"/>
        <v>3095809.5051605897</v>
      </c>
    </row>
    <row r="976" spans="3:8" x14ac:dyDescent="0.3">
      <c r="C976">
        <f>Process!$I981*ref_umbral-Process!$G981</f>
        <v>3095809.3969829087</v>
      </c>
      <c r="D976">
        <f>Process!$L981*ref_umbral-Process!$J981</f>
        <v>3095799.7296716473</v>
      </c>
      <c r="E976">
        <f t="shared" si="34"/>
        <v>3095809.3969829087</v>
      </c>
      <c r="F976">
        <f>Process!$H981*ref_umbral-Process!$G981</f>
        <v>3095809.4264621292</v>
      </c>
      <c r="G976">
        <f>Process!$K981*ref_umbral-Process!$J981</f>
        <v>3095802.5122486772</v>
      </c>
      <c r="H976">
        <f t="shared" si="35"/>
        <v>3095809.4264621292</v>
      </c>
    </row>
    <row r="977" spans="3:8" x14ac:dyDescent="0.3">
      <c r="C977">
        <f>Process!$I982*ref_umbral-Process!$G982</f>
        <v>3095808.9711786848</v>
      </c>
      <c r="D977">
        <f>Process!$L982*ref_umbral-Process!$J982</f>
        <v>3095785.575500011</v>
      </c>
      <c r="E977">
        <f t="shared" si="34"/>
        <v>3095808.9711786848</v>
      </c>
      <c r="F977">
        <f>Process!$H982*ref_umbral-Process!$G982</f>
        <v>3095809.1430538804</v>
      </c>
      <c r="G977">
        <f>Process!$K982*ref_umbral-Process!$J982</f>
        <v>3095787.269509736</v>
      </c>
      <c r="H977">
        <f t="shared" si="35"/>
        <v>3095809.1430538804</v>
      </c>
    </row>
    <row r="978" spans="3:8" x14ac:dyDescent="0.3">
      <c r="C978">
        <f>Process!$I983*ref_umbral-Process!$G983</f>
        <v>3095809.3392809606</v>
      </c>
      <c r="D978">
        <f>Process!$L983*ref_umbral-Process!$J983</f>
        <v>3095805.0910055367</v>
      </c>
      <c r="E978">
        <f t="shared" si="34"/>
        <v>3095809.3392809606</v>
      </c>
      <c r="F978">
        <f>Process!$H983*ref_umbral-Process!$G983</f>
        <v>3095809.4762365455</v>
      </c>
      <c r="G978">
        <f>Process!$K983*ref_umbral-Process!$J983</f>
        <v>3095807.1048892499</v>
      </c>
      <c r="H978">
        <f t="shared" si="35"/>
        <v>3095809.4762365455</v>
      </c>
    </row>
    <row r="979" spans="3:8" x14ac:dyDescent="0.3">
      <c r="C979">
        <f>Process!$I984*ref_umbral-Process!$G984</f>
        <v>3095809.4245468033</v>
      </c>
      <c r="D979">
        <f>Process!$L984*ref_umbral-Process!$J984</f>
        <v>3095806.1572514898</v>
      </c>
      <c r="E979">
        <f t="shared" si="34"/>
        <v>3095809.4245468033</v>
      </c>
      <c r="F979">
        <f>Process!$H984*ref_umbral-Process!$G984</f>
        <v>3095809.44722162</v>
      </c>
      <c r="G979">
        <f>Process!$K984*ref_umbral-Process!$J984</f>
        <v>3095807.801552922</v>
      </c>
      <c r="H979">
        <f t="shared" si="35"/>
        <v>3095809.44722162</v>
      </c>
    </row>
    <row r="980" spans="3:8" x14ac:dyDescent="0.3">
      <c r="C980">
        <f>Process!$I985*ref_umbral-Process!$G985</f>
        <v>3095809.3616607049</v>
      </c>
      <c r="D980">
        <f>Process!$L985*ref_umbral-Process!$J985</f>
        <v>3095804.4233094756</v>
      </c>
      <c r="E980">
        <f t="shared" si="34"/>
        <v>3095809.3616607049</v>
      </c>
      <c r="F980">
        <f>Process!$H985*ref_umbral-Process!$G985</f>
        <v>3095809.4306383822</v>
      </c>
      <c r="G980">
        <f>Process!$K985*ref_umbral-Process!$J985</f>
        <v>3095807.3552621929</v>
      </c>
      <c r="H980">
        <f t="shared" si="35"/>
        <v>3095809.4306383822</v>
      </c>
    </row>
    <row r="981" spans="3:8" x14ac:dyDescent="0.3">
      <c r="C981">
        <f>Process!$I986*ref_umbral-Process!$G986</f>
        <v>3095809.6125626424</v>
      </c>
      <c r="D981">
        <f>Process!$L986*ref_umbral-Process!$J986</f>
        <v>3095807.9043500726</v>
      </c>
      <c r="E981">
        <f t="shared" si="34"/>
        <v>3095809.6125626424</v>
      </c>
      <c r="F981">
        <f>Process!$H986*ref_umbral-Process!$G986</f>
        <v>3095809.7232720456</v>
      </c>
      <c r="G981">
        <f>Process!$K986*ref_umbral-Process!$J986</f>
        <v>3095809.4090230092</v>
      </c>
      <c r="H981">
        <f t="shared" si="35"/>
        <v>3095809.7232720456</v>
      </c>
    </row>
    <row r="982" spans="3:8" x14ac:dyDescent="0.3">
      <c r="C982">
        <f>Process!$I987*ref_umbral-Process!$G987</f>
        <v>3095809.1998153911</v>
      </c>
      <c r="D982">
        <f>Process!$L987*ref_umbral-Process!$J987</f>
        <v>3095805.423063268</v>
      </c>
      <c r="E982">
        <f t="shared" si="34"/>
        <v>3095809.1998153911</v>
      </c>
      <c r="F982">
        <f>Process!$H987*ref_umbral-Process!$G987</f>
        <v>3095809.4078002134</v>
      </c>
      <c r="G982">
        <f>Process!$K987*ref_umbral-Process!$J987</f>
        <v>3095807.3370675123</v>
      </c>
      <c r="H982">
        <f t="shared" si="35"/>
        <v>3095809.4078002134</v>
      </c>
    </row>
    <row r="983" spans="3:8" x14ac:dyDescent="0.3">
      <c r="C983">
        <f>Process!$I988*ref_umbral-Process!$G988</f>
        <v>3095809.3677455336</v>
      </c>
      <c r="D983">
        <f>Process!$L988*ref_umbral-Process!$J988</f>
        <v>3095799.7658427255</v>
      </c>
      <c r="E983">
        <f t="shared" si="34"/>
        <v>3095809.3677455336</v>
      </c>
      <c r="F983">
        <f>Process!$H988*ref_umbral-Process!$G988</f>
        <v>3095809.4224370476</v>
      </c>
      <c r="G983">
        <f>Process!$K988*ref_umbral-Process!$J988</f>
        <v>3095803.8563035247</v>
      </c>
      <c r="H983">
        <f t="shared" si="35"/>
        <v>3095809.4224370476</v>
      </c>
    </row>
    <row r="984" spans="3:8" x14ac:dyDescent="0.3">
      <c r="C984">
        <f>Process!$I989*ref_umbral-Process!$G989</f>
        <v>3095809.0062064691</v>
      </c>
      <c r="D984">
        <f>Process!$L989*ref_umbral-Process!$J989</f>
        <v>3095803.3422562093</v>
      </c>
      <c r="E984">
        <f t="shared" si="34"/>
        <v>3095809.0062064691</v>
      </c>
      <c r="F984">
        <f>Process!$H989*ref_umbral-Process!$G989</f>
        <v>3095809.2412167634</v>
      </c>
      <c r="G984">
        <f>Process!$K989*ref_umbral-Process!$J989</f>
        <v>3095807.5625049425</v>
      </c>
      <c r="H984">
        <f t="shared" si="35"/>
        <v>3095809.2412167634</v>
      </c>
    </row>
    <row r="985" spans="3:8" x14ac:dyDescent="0.3">
      <c r="C985">
        <f>Process!$I990*ref_umbral-Process!$G990</f>
        <v>3095809.150765765</v>
      </c>
      <c r="D985">
        <f>Process!$L990*ref_umbral-Process!$J990</f>
        <v>3095802.1116853426</v>
      </c>
      <c r="E985">
        <f t="shared" si="34"/>
        <v>3095809.150765765</v>
      </c>
      <c r="F985">
        <f>Process!$H990*ref_umbral-Process!$G990</f>
        <v>3095809.3573733335</v>
      </c>
      <c r="G985">
        <f>Process!$K990*ref_umbral-Process!$J990</f>
        <v>3095803.8045971864</v>
      </c>
      <c r="H985">
        <f t="shared" si="35"/>
        <v>3095809.3573733335</v>
      </c>
    </row>
    <row r="986" spans="3:8" x14ac:dyDescent="0.3">
      <c r="C986">
        <f>Process!$I991*ref_umbral-Process!$G991</f>
        <v>3095809.1215222911</v>
      </c>
      <c r="D986">
        <f>Process!$L991*ref_umbral-Process!$J991</f>
        <v>3095804.706878297</v>
      </c>
      <c r="E986">
        <f t="shared" si="34"/>
        <v>3095809.1215222911</v>
      </c>
      <c r="F986">
        <f>Process!$H991*ref_umbral-Process!$G991</f>
        <v>3095809.3133454234</v>
      </c>
      <c r="G986">
        <f>Process!$K991*ref_umbral-Process!$J991</f>
        <v>3095808.1931612408</v>
      </c>
      <c r="H986">
        <f t="shared" si="35"/>
        <v>3095809.3133454234</v>
      </c>
    </row>
    <row r="987" spans="3:8" x14ac:dyDescent="0.3">
      <c r="C987">
        <f>Process!$I992*ref_umbral-Process!$G992</f>
        <v>3095809.2482600799</v>
      </c>
      <c r="D987">
        <f>Process!$L992*ref_umbral-Process!$J992</f>
        <v>3095804.9929747204</v>
      </c>
      <c r="E987">
        <f t="shared" si="34"/>
        <v>3095809.2482600799</v>
      </c>
      <c r="F987">
        <f>Process!$H992*ref_umbral-Process!$G992</f>
        <v>3095809.4438121403</v>
      </c>
      <c r="G987">
        <f>Process!$K992*ref_umbral-Process!$J992</f>
        <v>3095808.274260968</v>
      </c>
      <c r="H987">
        <f t="shared" si="35"/>
        <v>3095809.4438121403</v>
      </c>
    </row>
    <row r="988" spans="3:8" x14ac:dyDescent="0.3">
      <c r="C988">
        <f>Process!$I993*ref_umbral-Process!$G993</f>
        <v>3095809.2165890802</v>
      </c>
      <c r="D988">
        <f>Process!$L993*ref_umbral-Process!$J993</f>
        <v>3095802.3009895505</v>
      </c>
      <c r="E988">
        <f t="shared" si="34"/>
        <v>3095809.2165890802</v>
      </c>
      <c r="F988">
        <f>Process!$H993*ref_umbral-Process!$G993</f>
        <v>3095809.430012438</v>
      </c>
      <c r="G988">
        <f>Process!$K993*ref_umbral-Process!$J993</f>
        <v>3095804.7423864016</v>
      </c>
      <c r="H988">
        <f t="shared" si="35"/>
        <v>3095809.430012438</v>
      </c>
    </row>
    <row r="989" spans="3:8" x14ac:dyDescent="0.3">
      <c r="C989">
        <f>Process!$I994*ref_umbral-Process!$G994</f>
        <v>3095809.5021968973</v>
      </c>
      <c r="D989">
        <f>Process!$L994*ref_umbral-Process!$J994</f>
        <v>3095804.418731017</v>
      </c>
      <c r="E989">
        <f t="shared" si="34"/>
        <v>3095809.5021968973</v>
      </c>
      <c r="F989">
        <f>Process!$H994*ref_umbral-Process!$G994</f>
        <v>3095809.6001055413</v>
      </c>
      <c r="G989">
        <f>Process!$K994*ref_umbral-Process!$J994</f>
        <v>3095806.4245361392</v>
      </c>
      <c r="H989">
        <f t="shared" si="35"/>
        <v>3095809.6001055413</v>
      </c>
    </row>
    <row r="990" spans="3:8" x14ac:dyDescent="0.3">
      <c r="C990">
        <f>Process!$I995*ref_umbral-Process!$G995</f>
        <v>3095808.8657302349</v>
      </c>
      <c r="D990">
        <f>Process!$L995*ref_umbral-Process!$J995</f>
        <v>3095797.1623114538</v>
      </c>
      <c r="E990">
        <f t="shared" si="34"/>
        <v>3095808.8657302349</v>
      </c>
      <c r="F990">
        <f>Process!$H995*ref_umbral-Process!$G995</f>
        <v>3095809.0594888362</v>
      </c>
      <c r="G990">
        <f>Process!$K995*ref_umbral-Process!$J995</f>
        <v>3095798.8536777073</v>
      </c>
      <c r="H990">
        <f t="shared" si="35"/>
        <v>3095809.0594888362</v>
      </c>
    </row>
    <row r="991" spans="3:8" x14ac:dyDescent="0.3">
      <c r="C991">
        <f>Process!$I996*ref_umbral-Process!$G996</f>
        <v>3095809.4342827676</v>
      </c>
      <c r="D991">
        <f>Process!$L996*ref_umbral-Process!$J996</f>
        <v>3095807.402233684</v>
      </c>
      <c r="E991">
        <f t="shared" si="34"/>
        <v>3095809.4342827676</v>
      </c>
      <c r="F991">
        <f>Process!$H996*ref_umbral-Process!$G996</f>
        <v>3095809.525577954</v>
      </c>
      <c r="G991">
        <f>Process!$K996*ref_umbral-Process!$J996</f>
        <v>3095809.2285404634</v>
      </c>
      <c r="H991">
        <f t="shared" si="35"/>
        <v>3095809.525577954</v>
      </c>
    </row>
    <row r="992" spans="3:8" x14ac:dyDescent="0.3">
      <c r="C992">
        <f>Process!$I997*ref_umbral-Process!$G997</f>
        <v>3095809.4246875118</v>
      </c>
      <c r="D992">
        <f>Process!$L997*ref_umbral-Process!$J997</f>
        <v>3095807.2599967713</v>
      </c>
      <c r="E992">
        <f t="shared" si="34"/>
        <v>3095809.4246875118</v>
      </c>
      <c r="F992">
        <f>Process!$H997*ref_umbral-Process!$G997</f>
        <v>3095809.5434085927</v>
      </c>
      <c r="G992">
        <f>Process!$K997*ref_umbral-Process!$J997</f>
        <v>3095808.8233654415</v>
      </c>
      <c r="H992">
        <f t="shared" si="35"/>
        <v>3095809.5434085927</v>
      </c>
    </row>
    <row r="993" spans="3:8" x14ac:dyDescent="0.3">
      <c r="C993">
        <f>Process!$I998*ref_umbral-Process!$G998</f>
        <v>3095809.4034557883</v>
      </c>
      <c r="D993">
        <f>Process!$L998*ref_umbral-Process!$J998</f>
        <v>3095805.9655566928</v>
      </c>
      <c r="E993">
        <f t="shared" si="34"/>
        <v>3095809.4034557883</v>
      </c>
      <c r="F993">
        <f>Process!$H998*ref_umbral-Process!$G998</f>
        <v>3095809.5698397257</v>
      </c>
      <c r="G993">
        <f>Process!$K998*ref_umbral-Process!$J998</f>
        <v>3095808.4359452743</v>
      </c>
      <c r="H993">
        <f t="shared" si="35"/>
        <v>3095809.5698397257</v>
      </c>
    </row>
    <row r="994" spans="3:8" x14ac:dyDescent="0.3">
      <c r="C994">
        <f>Process!$I999*ref_umbral-Process!$G999</f>
        <v>3095809.0136117237</v>
      </c>
      <c r="D994">
        <f>Process!$L999*ref_umbral-Process!$J999</f>
        <v>3095803.424802226</v>
      </c>
      <c r="E994">
        <f t="shared" si="34"/>
        <v>3095809.0136117237</v>
      </c>
      <c r="F994">
        <f>Process!$H999*ref_umbral-Process!$G999</f>
        <v>3095809.1111977692</v>
      </c>
      <c r="G994">
        <f>Process!$K999*ref_umbral-Process!$J999</f>
        <v>3095805.7895219349</v>
      </c>
      <c r="H994">
        <f t="shared" si="35"/>
        <v>3095809.1111977692</v>
      </c>
    </row>
    <row r="995" spans="3:8" x14ac:dyDescent="0.3">
      <c r="C995">
        <f>Process!$I1000*ref_umbral-Process!$G1000</f>
        <v>3095809.5848375713</v>
      </c>
      <c r="D995">
        <f>Process!$L1000*ref_umbral-Process!$J1000</f>
        <v>3095802.5285359873</v>
      </c>
      <c r="E995">
        <f t="shared" si="34"/>
        <v>3095809.5848375713</v>
      </c>
      <c r="F995">
        <f>Process!$H1000*ref_umbral-Process!$G1000</f>
        <v>3095809.6528404816</v>
      </c>
      <c r="G995">
        <f>Process!$K1000*ref_umbral-Process!$J1000</f>
        <v>3095804.1664700289</v>
      </c>
      <c r="H995">
        <f t="shared" si="35"/>
        <v>3095809.6528404816</v>
      </c>
    </row>
    <row r="996" spans="3:8" x14ac:dyDescent="0.3">
      <c r="C996">
        <f>Process!$I1001*ref_umbral-Process!$G1001</f>
        <v>3095808.7331565917</v>
      </c>
      <c r="D996">
        <f>Process!$L1001*ref_umbral-Process!$J1001</f>
        <v>3095802.1385635221</v>
      </c>
      <c r="E996">
        <f t="shared" si="34"/>
        <v>3095808.7331565917</v>
      </c>
      <c r="F996">
        <f>Process!$H1001*ref_umbral-Process!$G1001</f>
        <v>3095809.1112369047</v>
      </c>
      <c r="G996">
        <f>Process!$K1001*ref_umbral-Process!$J1001</f>
        <v>3095806.4376741201</v>
      </c>
      <c r="H996">
        <f t="shared" si="35"/>
        <v>3095809.1112369047</v>
      </c>
    </row>
    <row r="997" spans="3:8" x14ac:dyDescent="0.3">
      <c r="C997">
        <f>Process!$I1002*ref_umbral-Process!$G1002</f>
        <v>3095809.3929044185</v>
      </c>
      <c r="D997">
        <f>Process!$L1002*ref_umbral-Process!$J1002</f>
        <v>3095804.1122215143</v>
      </c>
      <c r="E997">
        <f t="shared" si="34"/>
        <v>3095809.3929044185</v>
      </c>
      <c r="F997">
        <f>Process!$H1002*ref_umbral-Process!$G1002</f>
        <v>3095809.5320514604</v>
      </c>
      <c r="G997">
        <f>Process!$K1002*ref_umbral-Process!$J1002</f>
        <v>3095805.8373807212</v>
      </c>
      <c r="H997">
        <f t="shared" si="35"/>
        <v>3095809.5320514604</v>
      </c>
    </row>
    <row r="998" spans="3:8" x14ac:dyDescent="0.3">
      <c r="C998">
        <f>Process!$I1003*ref_umbral-Process!$G1003</f>
        <v>3095809.1977273263</v>
      </c>
      <c r="D998">
        <f>Process!$L1003*ref_umbral-Process!$J1003</f>
        <v>3095802.0469006314</v>
      </c>
      <c r="E998">
        <f t="shared" si="34"/>
        <v>3095809.1977273263</v>
      </c>
      <c r="F998">
        <f>Process!$H1003*ref_umbral-Process!$G1003</f>
        <v>3095809.2819739101</v>
      </c>
      <c r="G998">
        <f>Process!$K1003*ref_umbral-Process!$J1003</f>
        <v>3095804.5533830263</v>
      </c>
      <c r="H998">
        <f t="shared" si="35"/>
        <v>3095809.2819739101</v>
      </c>
    </row>
    <row r="999" spans="3:8" x14ac:dyDescent="0.3">
      <c r="C999">
        <f>Process!$I1004*ref_umbral-Process!$G1004</f>
        <v>3095809.1910350816</v>
      </c>
      <c r="D999">
        <f>Process!$L1004*ref_umbral-Process!$J1004</f>
        <v>3095806.5038930899</v>
      </c>
      <c r="E999">
        <f t="shared" si="34"/>
        <v>3095809.1910350816</v>
      </c>
      <c r="F999">
        <f>Process!$H1004*ref_umbral-Process!$G1004</f>
        <v>3095809.3412416452</v>
      </c>
      <c r="G999">
        <f>Process!$K1004*ref_umbral-Process!$J1004</f>
        <v>3095808.3720911867</v>
      </c>
      <c r="H999">
        <f t="shared" si="35"/>
        <v>3095809.3412416452</v>
      </c>
    </row>
    <row r="1000" spans="3:8" x14ac:dyDescent="0.3">
      <c r="C1000">
        <f>Process!$I1005*ref_umbral-Process!$G1005</f>
        <v>3095809.3499458013</v>
      </c>
      <c r="D1000">
        <f>Process!$L1005*ref_umbral-Process!$J1005</f>
        <v>3095804.7879484827</v>
      </c>
      <c r="E1000">
        <f t="shared" si="34"/>
        <v>3095809.3499458013</v>
      </c>
      <c r="F1000">
        <f>Process!$H1005*ref_umbral-Process!$G1005</f>
        <v>3095809.54450852</v>
      </c>
      <c r="G1000">
        <f>Process!$K1005*ref_umbral-Process!$J1005</f>
        <v>3095806.2299603689</v>
      </c>
      <c r="H1000">
        <f t="shared" si="35"/>
        <v>3095809.54450852</v>
      </c>
    </row>
    <row r="1001" spans="3:8" x14ac:dyDescent="0.3">
      <c r="C1001">
        <f>Process!$I1006*ref_umbral-Process!$G1006</f>
        <v>3095809.2167612007</v>
      </c>
      <c r="D1001">
        <f>Process!$L1006*ref_umbral-Process!$J1006</f>
        <v>3095802.6933477609</v>
      </c>
      <c r="E1001">
        <f t="shared" si="34"/>
        <v>3095809.2167612007</v>
      </c>
      <c r="F1001">
        <f>Process!$H1006*ref_umbral-Process!$G1006</f>
        <v>3095809.4162102346</v>
      </c>
      <c r="G1001">
        <f>Process!$K1006*ref_umbral-Process!$J1006</f>
        <v>3095806.5215392583</v>
      </c>
      <c r="H1001">
        <f t="shared" si="35"/>
        <v>3095809.4162102346</v>
      </c>
    </row>
    <row r="1002" spans="3:8" x14ac:dyDescent="0.3">
      <c r="C1002">
        <f>Process!$I1007*ref_umbral-Process!$G1007</f>
        <v>3095809.5757556232</v>
      </c>
      <c r="D1002">
        <f>Process!$L1007*ref_umbral-Process!$J1007</f>
        <v>3095806.1248452328</v>
      </c>
      <c r="E1002">
        <f t="shared" si="34"/>
        <v>3095809.5757556232</v>
      </c>
      <c r="F1002">
        <f>Process!$H1007*ref_umbral-Process!$G1007</f>
        <v>3095809.678064723</v>
      </c>
      <c r="G1002">
        <f>Process!$K1007*ref_umbral-Process!$J1007</f>
        <v>3095807.3096896829</v>
      </c>
      <c r="H1002">
        <f t="shared" si="35"/>
        <v>3095809.678064723</v>
      </c>
    </row>
    <row r="1003" spans="3:8" x14ac:dyDescent="0.3">
      <c r="C1003">
        <f>Process!$I1008*ref_umbral-Process!$G1008</f>
        <v>3095805.2316619675</v>
      </c>
      <c r="D1003">
        <f>Process!$L1008*ref_umbral-Process!$J1008</f>
        <v>3095797.3716011988</v>
      </c>
      <c r="E1003">
        <f t="shared" si="34"/>
        <v>3095805.2316619675</v>
      </c>
      <c r="F1003">
        <f>Process!$H1008*ref_umbral-Process!$G1008</f>
        <v>3095805.9776668241</v>
      </c>
      <c r="G1003">
        <f>Process!$K1008*ref_umbral-Process!$J1008</f>
        <v>3095799.2302364516</v>
      </c>
      <c r="H1003">
        <f t="shared" si="35"/>
        <v>3095805.9776668241</v>
      </c>
    </row>
    <row r="1004" spans="3:8" x14ac:dyDescent="0.3">
      <c r="C1004">
        <f>Process!$I1009*ref_umbral-Process!$G1009</f>
        <v>3095809.3605266782</v>
      </c>
      <c r="D1004">
        <f>Process!$L1009*ref_umbral-Process!$J1009</f>
        <v>3095803.9030415835</v>
      </c>
      <c r="E1004">
        <f t="shared" si="34"/>
        <v>3095809.3605266782</v>
      </c>
      <c r="F1004">
        <f>Process!$H1009*ref_umbral-Process!$G1009</f>
        <v>3095809.5228403197</v>
      </c>
      <c r="G1004">
        <f>Process!$K1009*ref_umbral-Process!$J1009</f>
        <v>3095805.4408881892</v>
      </c>
      <c r="H1004">
        <f t="shared" si="35"/>
        <v>3095809.5228403197</v>
      </c>
    </row>
    <row r="1005" spans="3:8" x14ac:dyDescent="0.3">
      <c r="C1005">
        <f>Process!$I1010*ref_umbral-Process!$G1010</f>
        <v>3095809.3548154873</v>
      </c>
      <c r="D1005">
        <f>Process!$L1010*ref_umbral-Process!$J1010</f>
        <v>3095804.0173064461</v>
      </c>
      <c r="E1005">
        <f t="shared" si="34"/>
        <v>3095809.3548154873</v>
      </c>
      <c r="F1005">
        <f>Process!$H1010*ref_umbral-Process!$G1010</f>
        <v>3095809.4705253812</v>
      </c>
      <c r="G1005">
        <f>Process!$K1010*ref_umbral-Process!$J1010</f>
        <v>3095806.2215757198</v>
      </c>
      <c r="H1005">
        <f t="shared" si="35"/>
        <v>3095809.4705253812</v>
      </c>
    </row>
    <row r="1006" spans="3:8" x14ac:dyDescent="0.3">
      <c r="C1006">
        <f>Process!$I1011*ref_umbral-Process!$G1011</f>
        <v>3095809.7826417945</v>
      </c>
      <c r="D1006">
        <f>Process!$L1011*ref_umbral-Process!$J1011</f>
        <v>3095808.1785690966</v>
      </c>
      <c r="E1006">
        <f t="shared" si="34"/>
        <v>3095809.7826417945</v>
      </c>
      <c r="F1006">
        <f>Process!$H1011*ref_umbral-Process!$G1011</f>
        <v>3095809.8084469414</v>
      </c>
      <c r="G1006">
        <f>Process!$K1011*ref_umbral-Process!$J1011</f>
        <v>3095809.1753774062</v>
      </c>
      <c r="H1006">
        <f t="shared" si="35"/>
        <v>3095809.8084469414</v>
      </c>
    </row>
    <row r="1007" spans="3:8" x14ac:dyDescent="0.3">
      <c r="C1007"/>
      <c r="D1007"/>
      <c r="E1007"/>
      <c r="F1007"/>
      <c r="G1007"/>
      <c r="H1007"/>
    </row>
    <row r="1008" spans="3:8" x14ac:dyDescent="0.3">
      <c r="C1008"/>
      <c r="D1008"/>
      <c r="E1008"/>
      <c r="F1008"/>
      <c r="G1008"/>
      <c r="H1008"/>
    </row>
    <row r="1009" spans="3:8" x14ac:dyDescent="0.3">
      <c r="C1009"/>
      <c r="D1009"/>
      <c r="E1009"/>
      <c r="F1009"/>
      <c r="G1009"/>
      <c r="H1009"/>
    </row>
    <row r="1010" spans="3:8" x14ac:dyDescent="0.3">
      <c r="C1010"/>
      <c r="D1010"/>
      <c r="E1010"/>
      <c r="F1010"/>
      <c r="G1010"/>
      <c r="H1010"/>
    </row>
    <row r="1011" spans="3:8" x14ac:dyDescent="0.3">
      <c r="C1011"/>
      <c r="D1011"/>
      <c r="E1011"/>
      <c r="F1011"/>
      <c r="G1011"/>
      <c r="H1011"/>
    </row>
    <row r="1012" spans="3:8" x14ac:dyDescent="0.3">
      <c r="C1012"/>
      <c r="D1012"/>
      <c r="E1012"/>
      <c r="F1012"/>
      <c r="G1012"/>
      <c r="H1012"/>
    </row>
    <row r="1013" spans="3:8" x14ac:dyDescent="0.3">
      <c r="C1013"/>
      <c r="D1013"/>
      <c r="E1013"/>
      <c r="F1013"/>
      <c r="G1013"/>
      <c r="H1013"/>
    </row>
    <row r="1014" spans="3:8" x14ac:dyDescent="0.3">
      <c r="C1014"/>
      <c r="D1014"/>
      <c r="E1014"/>
      <c r="F1014"/>
      <c r="G1014"/>
      <c r="H1014"/>
    </row>
    <row r="1015" spans="3:8" x14ac:dyDescent="0.3">
      <c r="C1015"/>
      <c r="D1015"/>
      <c r="E1015"/>
      <c r="F1015"/>
      <c r="G1015"/>
      <c r="H1015"/>
    </row>
    <row r="1016" spans="3:8" x14ac:dyDescent="0.3">
      <c r="C1016"/>
      <c r="D1016"/>
      <c r="E1016"/>
      <c r="F1016"/>
      <c r="G1016"/>
      <c r="H1016"/>
    </row>
    <row r="1017" spans="3:8" x14ac:dyDescent="0.3">
      <c r="C1017"/>
      <c r="D1017"/>
      <c r="E1017"/>
      <c r="F1017"/>
      <c r="G1017"/>
      <c r="H1017"/>
    </row>
    <row r="1018" spans="3:8" x14ac:dyDescent="0.3">
      <c r="C1018"/>
      <c r="D1018"/>
      <c r="E1018"/>
      <c r="F1018"/>
      <c r="G1018"/>
      <c r="H1018"/>
    </row>
    <row r="1019" spans="3:8" x14ac:dyDescent="0.3">
      <c r="C1019"/>
      <c r="D1019"/>
      <c r="E1019"/>
      <c r="F1019"/>
      <c r="G1019"/>
      <c r="H1019"/>
    </row>
    <row r="1020" spans="3:8" x14ac:dyDescent="0.3">
      <c r="C1020"/>
      <c r="D1020"/>
      <c r="E1020"/>
      <c r="F1020"/>
      <c r="G1020"/>
      <c r="H1020"/>
    </row>
    <row r="1021" spans="3:8" x14ac:dyDescent="0.3">
      <c r="C1021"/>
      <c r="D1021"/>
      <c r="E1021"/>
      <c r="F1021"/>
      <c r="G1021"/>
      <c r="H1021"/>
    </row>
    <row r="1022" spans="3:8" x14ac:dyDescent="0.3">
      <c r="C1022"/>
      <c r="D1022"/>
      <c r="E1022"/>
      <c r="F1022"/>
      <c r="G1022"/>
      <c r="H1022"/>
    </row>
    <row r="1023" spans="3:8" x14ac:dyDescent="0.3">
      <c r="C1023"/>
      <c r="D1023"/>
      <c r="E1023"/>
      <c r="F1023"/>
      <c r="G1023"/>
      <c r="H1023"/>
    </row>
    <row r="1024" spans="3:8" x14ac:dyDescent="0.3">
      <c r="C1024"/>
      <c r="D1024"/>
      <c r="E1024"/>
      <c r="F1024"/>
      <c r="G1024"/>
      <c r="H1024"/>
    </row>
    <row r="1025" spans="3:8" x14ac:dyDescent="0.3">
      <c r="C1025"/>
      <c r="D1025"/>
      <c r="E1025"/>
      <c r="F1025"/>
      <c r="G1025"/>
      <c r="H1025"/>
    </row>
    <row r="1026" spans="3:8" x14ac:dyDescent="0.3">
      <c r="C1026"/>
      <c r="D1026"/>
      <c r="E1026"/>
      <c r="F1026"/>
      <c r="G1026"/>
      <c r="H1026"/>
    </row>
    <row r="1027" spans="3:8" x14ac:dyDescent="0.3">
      <c r="C1027"/>
      <c r="D1027"/>
      <c r="E1027"/>
      <c r="F1027"/>
      <c r="G1027"/>
      <c r="H1027"/>
    </row>
    <row r="1028" spans="3:8" x14ac:dyDescent="0.3">
      <c r="C1028"/>
      <c r="D1028"/>
      <c r="E1028"/>
      <c r="F1028"/>
      <c r="G1028"/>
      <c r="H1028"/>
    </row>
    <row r="1029" spans="3:8" x14ac:dyDescent="0.3">
      <c r="C1029"/>
      <c r="D1029"/>
      <c r="E1029"/>
      <c r="F1029"/>
      <c r="G1029"/>
      <c r="H1029"/>
    </row>
    <row r="1030" spans="3:8" x14ac:dyDescent="0.3">
      <c r="C1030"/>
      <c r="D1030"/>
      <c r="E1030"/>
      <c r="F1030"/>
      <c r="G1030"/>
      <c r="H1030"/>
    </row>
    <row r="1031" spans="3:8" x14ac:dyDescent="0.3">
      <c r="C1031"/>
      <c r="D1031"/>
      <c r="E1031"/>
      <c r="F1031"/>
      <c r="G1031"/>
      <c r="H1031"/>
    </row>
    <row r="1032" spans="3:8" x14ac:dyDescent="0.3">
      <c r="C1032"/>
      <c r="D1032"/>
      <c r="E1032"/>
      <c r="F1032"/>
      <c r="G1032"/>
      <c r="H1032"/>
    </row>
    <row r="1033" spans="3:8" x14ac:dyDescent="0.3">
      <c r="C1033"/>
      <c r="D1033"/>
      <c r="E1033"/>
      <c r="F1033"/>
      <c r="G1033"/>
      <c r="H1033"/>
    </row>
    <row r="1034" spans="3:8" x14ac:dyDescent="0.3">
      <c r="C1034"/>
      <c r="D1034"/>
      <c r="E1034"/>
      <c r="F1034"/>
      <c r="G1034"/>
      <c r="H1034"/>
    </row>
    <row r="1035" spans="3:8" x14ac:dyDescent="0.3">
      <c r="C1035"/>
      <c r="D1035"/>
      <c r="E1035"/>
      <c r="F1035"/>
      <c r="G1035"/>
      <c r="H1035"/>
    </row>
    <row r="1036" spans="3:8" x14ac:dyDescent="0.3">
      <c r="C1036"/>
      <c r="D1036"/>
      <c r="E1036"/>
      <c r="F1036"/>
      <c r="G1036"/>
      <c r="H1036"/>
    </row>
    <row r="1037" spans="3:8" x14ac:dyDescent="0.3">
      <c r="C1037"/>
      <c r="D1037"/>
      <c r="E1037"/>
      <c r="F1037"/>
      <c r="G1037"/>
      <c r="H1037"/>
    </row>
    <row r="1038" spans="3:8" x14ac:dyDescent="0.3">
      <c r="C1038"/>
      <c r="D1038"/>
      <c r="E1038"/>
      <c r="F1038"/>
      <c r="G1038"/>
      <c r="H1038"/>
    </row>
    <row r="1039" spans="3:8" x14ac:dyDescent="0.3">
      <c r="C1039"/>
      <c r="D1039"/>
      <c r="E1039"/>
      <c r="F1039"/>
      <c r="G1039"/>
      <c r="H1039"/>
    </row>
    <row r="1040" spans="3:8" x14ac:dyDescent="0.3">
      <c r="C1040"/>
      <c r="D1040"/>
      <c r="E1040"/>
      <c r="F1040"/>
      <c r="G1040"/>
      <c r="H1040"/>
    </row>
    <row r="1041" spans="3:8" x14ac:dyDescent="0.3">
      <c r="C1041"/>
      <c r="D1041"/>
      <c r="E1041"/>
      <c r="F1041"/>
      <c r="G1041"/>
      <c r="H1041"/>
    </row>
    <row r="1042" spans="3:8" x14ac:dyDescent="0.3">
      <c r="C1042"/>
      <c r="D1042"/>
      <c r="E1042"/>
      <c r="F1042"/>
      <c r="G1042"/>
      <c r="H1042"/>
    </row>
    <row r="1043" spans="3:8" x14ac:dyDescent="0.3">
      <c r="C1043"/>
      <c r="D1043"/>
      <c r="E1043"/>
      <c r="F1043"/>
      <c r="G1043"/>
      <c r="H1043"/>
    </row>
    <row r="1044" spans="3:8" x14ac:dyDescent="0.3">
      <c r="C1044"/>
      <c r="D1044"/>
      <c r="E1044"/>
      <c r="F1044"/>
      <c r="G1044"/>
      <c r="H1044"/>
    </row>
    <row r="1045" spans="3:8" x14ac:dyDescent="0.3">
      <c r="C1045"/>
      <c r="D1045"/>
      <c r="E1045"/>
      <c r="F1045"/>
      <c r="G1045"/>
      <c r="H1045"/>
    </row>
    <row r="1046" spans="3:8" x14ac:dyDescent="0.3">
      <c r="C1046"/>
      <c r="D1046"/>
      <c r="E1046"/>
      <c r="F1046"/>
      <c r="G1046"/>
      <c r="H1046"/>
    </row>
    <row r="1047" spans="3:8" x14ac:dyDescent="0.3">
      <c r="C1047"/>
      <c r="D1047"/>
      <c r="E1047"/>
      <c r="F1047"/>
      <c r="G1047"/>
      <c r="H1047"/>
    </row>
    <row r="1048" spans="3:8" x14ac:dyDescent="0.3">
      <c r="C1048"/>
      <c r="D1048"/>
      <c r="E1048"/>
      <c r="F1048"/>
      <c r="G1048"/>
      <c r="H1048"/>
    </row>
    <row r="1049" spans="3:8" x14ac:dyDescent="0.3">
      <c r="C1049"/>
      <c r="D1049"/>
      <c r="E1049"/>
      <c r="F1049"/>
      <c r="G1049"/>
      <c r="H1049"/>
    </row>
    <row r="1050" spans="3:8" x14ac:dyDescent="0.3">
      <c r="C1050"/>
      <c r="D1050"/>
      <c r="E1050"/>
      <c r="F1050"/>
      <c r="G1050"/>
      <c r="H1050"/>
    </row>
    <row r="1051" spans="3:8" x14ac:dyDescent="0.3">
      <c r="C1051"/>
      <c r="D1051"/>
      <c r="E1051"/>
      <c r="F1051"/>
      <c r="G1051"/>
      <c r="H1051"/>
    </row>
    <row r="1052" spans="3:8" x14ac:dyDescent="0.3">
      <c r="C1052"/>
      <c r="D1052"/>
      <c r="E1052"/>
      <c r="F1052"/>
      <c r="G1052"/>
      <c r="H1052"/>
    </row>
    <row r="1053" spans="3:8" x14ac:dyDescent="0.3">
      <c r="C1053"/>
      <c r="D1053"/>
      <c r="E1053"/>
      <c r="F1053"/>
      <c r="G1053"/>
      <c r="H1053"/>
    </row>
    <row r="1054" spans="3:8" x14ac:dyDescent="0.3">
      <c r="C1054"/>
      <c r="D1054"/>
      <c r="E1054"/>
      <c r="F1054"/>
      <c r="G1054"/>
      <c r="H1054"/>
    </row>
    <row r="1055" spans="3:8" x14ac:dyDescent="0.3">
      <c r="C1055"/>
      <c r="D1055"/>
      <c r="E1055"/>
      <c r="F1055"/>
      <c r="G1055"/>
      <c r="H1055"/>
    </row>
    <row r="1056" spans="3:8" x14ac:dyDescent="0.3">
      <c r="C1056"/>
      <c r="D1056"/>
      <c r="E1056"/>
      <c r="F1056"/>
      <c r="G1056"/>
      <c r="H1056"/>
    </row>
    <row r="1057" spans="3:8" x14ac:dyDescent="0.3">
      <c r="C1057"/>
      <c r="D1057"/>
      <c r="E1057"/>
      <c r="F1057"/>
      <c r="G1057"/>
      <c r="H1057"/>
    </row>
    <row r="1058" spans="3:8" x14ac:dyDescent="0.3">
      <c r="C1058"/>
      <c r="D1058"/>
      <c r="E1058"/>
      <c r="F1058"/>
      <c r="G1058"/>
      <c r="H1058"/>
    </row>
    <row r="1059" spans="3:8" x14ac:dyDescent="0.3">
      <c r="C1059"/>
      <c r="D1059"/>
      <c r="E1059"/>
      <c r="F1059"/>
      <c r="G1059"/>
      <c r="H1059"/>
    </row>
    <row r="1060" spans="3:8" x14ac:dyDescent="0.3">
      <c r="C1060"/>
      <c r="D1060"/>
      <c r="E1060"/>
      <c r="F1060"/>
      <c r="G1060"/>
      <c r="H1060"/>
    </row>
    <row r="1061" spans="3:8" x14ac:dyDescent="0.3">
      <c r="C1061"/>
      <c r="D1061"/>
      <c r="E1061"/>
      <c r="F1061"/>
      <c r="G1061"/>
      <c r="H1061"/>
    </row>
    <row r="1062" spans="3:8" x14ac:dyDescent="0.3">
      <c r="C1062"/>
      <c r="D1062"/>
      <c r="E1062"/>
      <c r="F1062"/>
      <c r="G1062"/>
      <c r="H1062"/>
    </row>
    <row r="1063" spans="3:8" x14ac:dyDescent="0.3">
      <c r="C1063"/>
      <c r="D1063"/>
      <c r="E1063"/>
      <c r="F1063"/>
      <c r="G1063"/>
      <c r="H1063"/>
    </row>
    <row r="1064" spans="3:8" x14ac:dyDescent="0.3">
      <c r="C1064"/>
      <c r="D1064"/>
      <c r="E1064"/>
      <c r="F1064"/>
      <c r="G1064"/>
      <c r="H1064"/>
    </row>
    <row r="1065" spans="3:8" x14ac:dyDescent="0.3">
      <c r="C1065"/>
      <c r="D1065"/>
      <c r="E1065"/>
      <c r="F1065"/>
      <c r="G1065"/>
      <c r="H1065"/>
    </row>
    <row r="1066" spans="3:8" x14ac:dyDescent="0.3">
      <c r="C1066"/>
      <c r="D1066"/>
      <c r="E1066"/>
      <c r="F1066"/>
      <c r="G1066"/>
      <c r="H1066"/>
    </row>
    <row r="1067" spans="3:8" x14ac:dyDescent="0.3">
      <c r="C1067"/>
      <c r="D1067"/>
      <c r="E1067"/>
      <c r="F1067"/>
      <c r="G1067"/>
      <c r="H1067"/>
    </row>
    <row r="1068" spans="3:8" x14ac:dyDescent="0.3">
      <c r="C1068"/>
      <c r="D1068"/>
      <c r="E1068"/>
      <c r="F1068"/>
      <c r="G1068"/>
      <c r="H1068"/>
    </row>
    <row r="1069" spans="3:8" x14ac:dyDescent="0.3">
      <c r="C1069"/>
      <c r="D1069"/>
      <c r="E1069"/>
      <c r="F1069"/>
      <c r="G1069"/>
      <c r="H1069"/>
    </row>
    <row r="1070" spans="3:8" x14ac:dyDescent="0.3">
      <c r="C1070"/>
      <c r="D1070"/>
      <c r="E1070"/>
      <c r="F1070"/>
      <c r="G1070"/>
      <c r="H1070"/>
    </row>
    <row r="1071" spans="3:8" x14ac:dyDescent="0.3">
      <c r="C1071"/>
      <c r="D1071"/>
      <c r="E1071"/>
      <c r="F1071"/>
      <c r="G1071"/>
      <c r="H1071"/>
    </row>
    <row r="1072" spans="3:8" x14ac:dyDescent="0.3">
      <c r="C1072"/>
      <c r="D1072"/>
      <c r="E1072"/>
      <c r="F1072"/>
      <c r="G1072"/>
      <c r="H1072"/>
    </row>
    <row r="1073" spans="3:8" x14ac:dyDescent="0.3">
      <c r="C1073"/>
      <c r="D1073"/>
      <c r="E1073"/>
      <c r="F1073"/>
      <c r="G1073"/>
      <c r="H1073"/>
    </row>
    <row r="1074" spans="3:8" x14ac:dyDescent="0.3">
      <c r="C1074"/>
      <c r="D1074"/>
      <c r="E1074"/>
      <c r="F1074"/>
      <c r="G1074"/>
      <c r="H1074"/>
    </row>
    <row r="1075" spans="3:8" x14ac:dyDescent="0.3">
      <c r="C1075"/>
      <c r="D1075"/>
      <c r="E1075"/>
      <c r="F1075"/>
      <c r="G1075"/>
      <c r="H1075"/>
    </row>
    <row r="1076" spans="3:8" x14ac:dyDescent="0.3">
      <c r="C1076"/>
      <c r="D1076"/>
      <c r="E1076"/>
      <c r="F1076"/>
      <c r="G1076"/>
      <c r="H1076"/>
    </row>
    <row r="1077" spans="3:8" x14ac:dyDescent="0.3">
      <c r="C1077"/>
      <c r="D1077"/>
      <c r="E1077"/>
      <c r="F1077"/>
      <c r="G1077"/>
      <c r="H1077"/>
    </row>
    <row r="1078" spans="3:8" x14ac:dyDescent="0.3">
      <c r="C1078"/>
      <c r="D1078"/>
      <c r="E1078"/>
      <c r="F1078"/>
      <c r="G1078"/>
      <c r="H1078"/>
    </row>
    <row r="1079" spans="3:8" x14ac:dyDescent="0.3">
      <c r="C1079"/>
      <c r="D1079"/>
      <c r="E1079"/>
      <c r="F1079"/>
      <c r="G1079"/>
      <c r="H1079"/>
    </row>
    <row r="1080" spans="3:8" x14ac:dyDescent="0.3">
      <c r="C1080"/>
      <c r="D1080"/>
      <c r="E1080"/>
      <c r="F1080"/>
      <c r="G1080"/>
      <c r="H1080"/>
    </row>
    <row r="1081" spans="3:8" x14ac:dyDescent="0.3">
      <c r="C1081"/>
      <c r="D1081"/>
      <c r="E1081"/>
      <c r="F1081"/>
      <c r="G1081"/>
      <c r="H1081"/>
    </row>
    <row r="1082" spans="3:8" x14ac:dyDescent="0.3">
      <c r="C1082"/>
      <c r="D1082"/>
      <c r="E1082"/>
      <c r="F1082"/>
      <c r="G1082"/>
      <c r="H1082"/>
    </row>
    <row r="1083" spans="3:8" x14ac:dyDescent="0.3">
      <c r="C1083"/>
      <c r="D1083"/>
      <c r="E1083"/>
      <c r="F1083"/>
      <c r="G1083"/>
      <c r="H1083"/>
    </row>
    <row r="1084" spans="3:8" x14ac:dyDescent="0.3">
      <c r="C1084"/>
      <c r="D1084"/>
      <c r="E1084"/>
      <c r="F1084"/>
      <c r="G1084"/>
      <c r="H1084"/>
    </row>
    <row r="1085" spans="3:8" x14ac:dyDescent="0.3">
      <c r="C1085"/>
      <c r="D1085"/>
      <c r="E1085"/>
      <c r="F1085"/>
      <c r="G1085"/>
      <c r="H1085"/>
    </row>
    <row r="1086" spans="3:8" x14ac:dyDescent="0.3">
      <c r="C1086"/>
      <c r="D1086"/>
      <c r="E1086"/>
      <c r="F1086"/>
      <c r="G1086"/>
      <c r="H1086"/>
    </row>
    <row r="1087" spans="3:8" x14ac:dyDescent="0.3">
      <c r="C1087"/>
      <c r="D1087"/>
      <c r="E1087"/>
      <c r="F1087"/>
      <c r="G1087"/>
      <c r="H1087"/>
    </row>
    <row r="1088" spans="3:8" x14ac:dyDescent="0.3">
      <c r="C1088"/>
      <c r="D1088"/>
      <c r="E1088"/>
      <c r="F1088"/>
      <c r="G1088"/>
      <c r="H1088"/>
    </row>
    <row r="1089" spans="3:8" x14ac:dyDescent="0.3">
      <c r="C1089"/>
      <c r="D1089"/>
      <c r="E1089"/>
      <c r="F1089"/>
      <c r="G1089"/>
      <c r="H1089"/>
    </row>
    <row r="1090" spans="3:8" x14ac:dyDescent="0.3">
      <c r="C1090"/>
      <c r="D1090"/>
      <c r="E1090"/>
      <c r="F1090"/>
      <c r="G1090"/>
      <c r="H1090"/>
    </row>
    <row r="1091" spans="3:8" x14ac:dyDescent="0.3">
      <c r="C1091"/>
      <c r="D1091"/>
      <c r="E1091"/>
      <c r="F1091"/>
      <c r="G1091"/>
      <c r="H1091"/>
    </row>
    <row r="1092" spans="3:8" x14ac:dyDescent="0.3">
      <c r="C1092"/>
      <c r="D1092"/>
      <c r="E1092"/>
      <c r="F1092"/>
      <c r="G1092"/>
      <c r="H1092"/>
    </row>
    <row r="1093" spans="3:8" x14ac:dyDescent="0.3">
      <c r="C1093"/>
      <c r="D1093"/>
      <c r="E1093"/>
      <c r="F1093"/>
      <c r="G1093"/>
      <c r="H1093"/>
    </row>
    <row r="1094" spans="3:8" x14ac:dyDescent="0.3">
      <c r="C1094"/>
      <c r="D1094"/>
      <c r="E1094"/>
      <c r="F1094"/>
      <c r="G1094"/>
      <c r="H1094"/>
    </row>
    <row r="1095" spans="3:8" x14ac:dyDescent="0.3">
      <c r="C1095"/>
      <c r="D1095"/>
      <c r="E1095"/>
      <c r="F1095"/>
      <c r="G1095"/>
      <c r="H1095"/>
    </row>
    <row r="1096" spans="3:8" x14ac:dyDescent="0.3">
      <c r="C1096"/>
      <c r="D1096"/>
      <c r="E1096"/>
      <c r="F1096"/>
      <c r="G1096"/>
      <c r="H1096"/>
    </row>
    <row r="1097" spans="3:8" x14ac:dyDescent="0.3">
      <c r="C1097"/>
      <c r="D1097"/>
      <c r="E1097"/>
      <c r="F1097"/>
      <c r="G1097"/>
      <c r="H1097"/>
    </row>
    <row r="1098" spans="3:8" x14ac:dyDescent="0.3">
      <c r="C1098"/>
      <c r="D1098"/>
      <c r="E1098"/>
      <c r="F1098"/>
      <c r="G1098"/>
      <c r="H1098"/>
    </row>
    <row r="1099" spans="3:8" x14ac:dyDescent="0.3">
      <c r="C1099"/>
      <c r="D1099"/>
      <c r="E1099"/>
      <c r="F1099"/>
      <c r="G1099"/>
      <c r="H1099"/>
    </row>
    <row r="1100" spans="3:8" x14ac:dyDescent="0.3">
      <c r="C1100"/>
      <c r="D1100"/>
      <c r="E1100"/>
      <c r="F1100"/>
      <c r="G1100"/>
      <c r="H1100"/>
    </row>
    <row r="1101" spans="3:8" x14ac:dyDescent="0.3">
      <c r="C1101"/>
      <c r="D1101"/>
      <c r="E1101"/>
      <c r="F1101"/>
      <c r="G1101"/>
      <c r="H1101"/>
    </row>
    <row r="1102" spans="3:8" x14ac:dyDescent="0.3">
      <c r="C1102"/>
      <c r="D1102"/>
      <c r="E1102"/>
      <c r="F1102"/>
      <c r="G1102"/>
      <c r="H1102"/>
    </row>
    <row r="1103" spans="3:8" x14ac:dyDescent="0.3">
      <c r="C1103"/>
      <c r="D1103"/>
      <c r="E1103"/>
      <c r="F1103"/>
      <c r="G1103"/>
      <c r="H1103"/>
    </row>
    <row r="1104" spans="3:8" x14ac:dyDescent="0.3">
      <c r="C1104"/>
      <c r="D1104"/>
      <c r="E1104"/>
      <c r="F1104"/>
      <c r="G1104"/>
      <c r="H1104"/>
    </row>
    <row r="1105" spans="3:8" x14ac:dyDescent="0.3">
      <c r="C1105"/>
      <c r="D1105"/>
      <c r="E1105"/>
      <c r="F1105"/>
      <c r="G1105"/>
      <c r="H1105"/>
    </row>
    <row r="1106" spans="3:8" x14ac:dyDescent="0.3">
      <c r="C1106"/>
      <c r="D1106"/>
      <c r="E1106"/>
      <c r="F1106"/>
      <c r="G1106"/>
      <c r="H1106"/>
    </row>
    <row r="1107" spans="3:8" x14ac:dyDescent="0.3">
      <c r="C1107"/>
      <c r="D1107"/>
      <c r="E1107"/>
      <c r="F1107"/>
      <c r="G1107"/>
      <c r="H1107"/>
    </row>
    <row r="1108" spans="3:8" x14ac:dyDescent="0.3">
      <c r="C1108"/>
      <c r="D1108"/>
      <c r="E1108"/>
      <c r="F1108"/>
      <c r="G1108"/>
      <c r="H1108"/>
    </row>
    <row r="1109" spans="3:8" x14ac:dyDescent="0.3">
      <c r="C1109"/>
      <c r="D1109"/>
      <c r="E1109"/>
      <c r="F1109"/>
      <c r="G1109"/>
      <c r="H1109"/>
    </row>
    <row r="1110" spans="3:8" x14ac:dyDescent="0.3">
      <c r="C1110"/>
      <c r="D1110"/>
      <c r="E1110"/>
      <c r="F1110"/>
      <c r="G1110"/>
      <c r="H1110"/>
    </row>
    <row r="1111" spans="3:8" x14ac:dyDescent="0.3">
      <c r="C1111"/>
      <c r="D1111"/>
      <c r="E1111"/>
      <c r="F1111"/>
      <c r="G1111"/>
      <c r="H1111"/>
    </row>
    <row r="1112" spans="3:8" x14ac:dyDescent="0.3">
      <c r="C1112"/>
      <c r="D1112"/>
      <c r="E1112"/>
      <c r="F1112"/>
      <c r="G1112"/>
      <c r="H1112"/>
    </row>
    <row r="1113" spans="3:8" x14ac:dyDescent="0.3">
      <c r="C1113"/>
      <c r="D1113"/>
      <c r="E1113"/>
      <c r="F1113"/>
      <c r="G1113"/>
      <c r="H1113"/>
    </row>
    <row r="1114" spans="3:8" x14ac:dyDescent="0.3">
      <c r="C1114"/>
      <c r="D1114"/>
      <c r="E1114"/>
      <c r="F1114"/>
      <c r="G1114"/>
      <c r="H1114"/>
    </row>
    <row r="1115" spans="3:8" x14ac:dyDescent="0.3">
      <c r="C1115"/>
      <c r="D1115"/>
      <c r="E1115"/>
      <c r="F1115"/>
      <c r="G1115"/>
      <c r="H1115"/>
    </row>
    <row r="1116" spans="3:8" x14ac:dyDescent="0.3">
      <c r="C1116"/>
      <c r="D1116"/>
      <c r="E1116"/>
      <c r="F1116"/>
      <c r="G1116"/>
      <c r="H1116"/>
    </row>
    <row r="1117" spans="3:8" x14ac:dyDescent="0.3">
      <c r="C1117"/>
      <c r="D1117"/>
      <c r="E1117"/>
      <c r="F1117"/>
      <c r="G1117"/>
      <c r="H1117"/>
    </row>
    <row r="1118" spans="3:8" x14ac:dyDescent="0.3">
      <c r="C1118"/>
      <c r="D1118"/>
      <c r="E1118"/>
      <c r="F1118"/>
      <c r="G1118"/>
      <c r="H1118"/>
    </row>
    <row r="1119" spans="3:8" x14ac:dyDescent="0.3">
      <c r="C1119"/>
      <c r="D1119"/>
      <c r="E1119"/>
      <c r="F1119"/>
      <c r="G1119"/>
      <c r="H1119"/>
    </row>
    <row r="1120" spans="3:8" x14ac:dyDescent="0.3">
      <c r="C1120"/>
      <c r="D1120"/>
      <c r="E1120"/>
      <c r="F1120"/>
      <c r="G1120"/>
      <c r="H1120"/>
    </row>
    <row r="1121" spans="3:8" x14ac:dyDescent="0.3">
      <c r="C1121"/>
      <c r="D1121"/>
      <c r="E1121"/>
      <c r="F1121"/>
      <c r="G1121"/>
      <c r="H1121"/>
    </row>
    <row r="1122" spans="3:8" x14ac:dyDescent="0.3">
      <c r="C1122"/>
      <c r="D1122"/>
      <c r="E1122"/>
      <c r="F1122"/>
      <c r="G1122"/>
      <c r="H1122"/>
    </row>
    <row r="1123" spans="3:8" x14ac:dyDescent="0.3">
      <c r="C1123"/>
      <c r="D1123"/>
      <c r="E1123"/>
      <c r="F1123"/>
      <c r="G1123"/>
      <c r="H1123"/>
    </row>
    <row r="1124" spans="3:8" x14ac:dyDescent="0.3">
      <c r="C1124"/>
      <c r="D1124"/>
      <c r="E1124"/>
      <c r="F1124"/>
      <c r="G1124"/>
      <c r="H1124"/>
    </row>
    <row r="1125" spans="3:8" x14ac:dyDescent="0.3">
      <c r="C1125"/>
      <c r="D1125"/>
      <c r="E1125"/>
      <c r="F1125"/>
      <c r="G1125"/>
      <c r="H1125"/>
    </row>
    <row r="1126" spans="3:8" x14ac:dyDescent="0.3">
      <c r="C1126"/>
      <c r="D1126"/>
      <c r="E1126"/>
      <c r="F1126"/>
      <c r="G1126"/>
      <c r="H1126"/>
    </row>
    <row r="1127" spans="3:8" x14ac:dyDescent="0.3">
      <c r="C1127"/>
      <c r="D1127"/>
      <c r="E1127"/>
      <c r="F1127"/>
      <c r="G1127"/>
      <c r="H1127"/>
    </row>
    <row r="1128" spans="3:8" x14ac:dyDescent="0.3">
      <c r="C1128"/>
      <c r="D1128"/>
      <c r="E1128"/>
      <c r="F1128"/>
      <c r="G1128"/>
      <c r="H1128"/>
    </row>
    <row r="1129" spans="3:8" x14ac:dyDescent="0.3">
      <c r="C1129"/>
      <c r="D1129"/>
      <c r="E1129"/>
      <c r="F1129"/>
      <c r="G1129"/>
      <c r="H1129"/>
    </row>
    <row r="1130" spans="3:8" x14ac:dyDescent="0.3">
      <c r="C1130"/>
      <c r="D1130"/>
      <c r="E1130"/>
      <c r="F1130"/>
      <c r="G1130"/>
      <c r="H1130"/>
    </row>
    <row r="1131" spans="3:8" x14ac:dyDescent="0.3">
      <c r="C1131"/>
      <c r="D1131"/>
      <c r="E1131"/>
      <c r="F1131"/>
      <c r="G1131"/>
      <c r="H1131"/>
    </row>
    <row r="1132" spans="3:8" x14ac:dyDescent="0.3">
      <c r="C1132"/>
      <c r="D1132"/>
      <c r="E1132"/>
      <c r="F1132"/>
      <c r="G1132"/>
      <c r="H1132"/>
    </row>
    <row r="1133" spans="3:8" x14ac:dyDescent="0.3">
      <c r="C1133"/>
      <c r="D1133"/>
      <c r="E1133"/>
      <c r="F1133"/>
      <c r="G1133"/>
      <c r="H1133"/>
    </row>
    <row r="1134" spans="3:8" x14ac:dyDescent="0.3">
      <c r="C1134"/>
      <c r="D1134"/>
      <c r="E1134"/>
      <c r="F1134"/>
      <c r="G1134"/>
      <c r="H1134"/>
    </row>
    <row r="1135" spans="3:8" x14ac:dyDescent="0.3">
      <c r="C1135"/>
      <c r="D1135"/>
      <c r="E1135"/>
      <c r="F1135"/>
      <c r="G1135"/>
      <c r="H1135"/>
    </row>
    <row r="1136" spans="3:8" x14ac:dyDescent="0.3">
      <c r="C1136"/>
      <c r="D1136"/>
      <c r="E1136"/>
      <c r="F1136"/>
      <c r="G1136"/>
      <c r="H1136"/>
    </row>
    <row r="1137" spans="3:8" x14ac:dyDescent="0.3">
      <c r="C1137"/>
      <c r="D1137"/>
      <c r="E1137"/>
      <c r="F1137"/>
      <c r="G1137"/>
      <c r="H1137"/>
    </row>
    <row r="1138" spans="3:8" x14ac:dyDescent="0.3">
      <c r="C1138"/>
      <c r="D1138"/>
      <c r="E1138"/>
      <c r="F1138"/>
      <c r="G1138"/>
      <c r="H1138"/>
    </row>
    <row r="1139" spans="3:8" x14ac:dyDescent="0.3">
      <c r="C1139"/>
      <c r="D1139"/>
      <c r="E1139"/>
      <c r="F1139"/>
      <c r="G1139"/>
      <c r="H1139"/>
    </row>
    <row r="1140" spans="3:8" x14ac:dyDescent="0.3">
      <c r="C1140"/>
      <c r="D1140"/>
      <c r="E1140"/>
      <c r="F1140"/>
      <c r="G1140"/>
      <c r="H1140"/>
    </row>
    <row r="1141" spans="3:8" x14ac:dyDescent="0.3">
      <c r="C1141"/>
      <c r="D1141"/>
      <c r="E1141"/>
      <c r="F1141"/>
      <c r="G1141"/>
      <c r="H1141"/>
    </row>
    <row r="1142" spans="3:8" x14ac:dyDescent="0.3">
      <c r="C1142"/>
      <c r="D1142"/>
      <c r="E1142"/>
      <c r="F1142"/>
      <c r="G1142"/>
      <c r="H1142"/>
    </row>
    <row r="1143" spans="3:8" x14ac:dyDescent="0.3">
      <c r="C1143"/>
      <c r="D1143"/>
      <c r="E1143"/>
      <c r="F1143"/>
      <c r="G1143"/>
      <c r="H1143"/>
    </row>
    <row r="1144" spans="3:8" x14ac:dyDescent="0.3">
      <c r="C1144"/>
      <c r="D1144"/>
      <c r="E1144"/>
      <c r="F1144"/>
      <c r="G1144"/>
      <c r="H1144"/>
    </row>
    <row r="1145" spans="3:8" x14ac:dyDescent="0.3">
      <c r="C1145"/>
      <c r="D1145"/>
      <c r="E1145"/>
      <c r="F1145"/>
      <c r="G1145"/>
      <c r="H1145"/>
    </row>
    <row r="1146" spans="3:8" x14ac:dyDescent="0.3">
      <c r="C1146"/>
      <c r="D1146"/>
      <c r="E1146"/>
      <c r="F1146"/>
      <c r="G1146"/>
      <c r="H1146"/>
    </row>
    <row r="1147" spans="3:8" x14ac:dyDescent="0.3">
      <c r="C1147"/>
      <c r="D1147"/>
      <c r="E1147"/>
      <c r="F1147"/>
      <c r="G1147"/>
      <c r="H1147"/>
    </row>
    <row r="1148" spans="3:8" x14ac:dyDescent="0.3">
      <c r="C1148"/>
      <c r="D1148"/>
      <c r="E1148"/>
      <c r="F1148"/>
      <c r="G1148"/>
      <c r="H1148"/>
    </row>
    <row r="1149" spans="3:8" x14ac:dyDescent="0.3">
      <c r="C1149"/>
      <c r="D1149"/>
      <c r="E1149"/>
      <c r="F1149"/>
      <c r="G1149"/>
      <c r="H1149"/>
    </row>
    <row r="1150" spans="3:8" x14ac:dyDescent="0.3">
      <c r="C1150"/>
      <c r="D1150"/>
      <c r="E1150"/>
      <c r="F1150"/>
      <c r="G1150"/>
      <c r="H1150"/>
    </row>
    <row r="1151" spans="3:8" x14ac:dyDescent="0.3">
      <c r="C1151"/>
      <c r="D1151"/>
      <c r="E1151"/>
      <c r="F1151"/>
      <c r="G1151"/>
      <c r="H1151"/>
    </row>
    <row r="1152" spans="3:8" x14ac:dyDescent="0.3">
      <c r="C1152"/>
      <c r="D1152"/>
      <c r="E1152"/>
      <c r="F1152"/>
      <c r="G1152"/>
      <c r="H1152"/>
    </row>
    <row r="1153" spans="3:8" x14ac:dyDescent="0.3">
      <c r="C1153"/>
      <c r="D1153"/>
      <c r="E1153"/>
      <c r="F1153"/>
      <c r="G1153"/>
      <c r="H1153"/>
    </row>
    <row r="1154" spans="3:8" x14ac:dyDescent="0.3">
      <c r="C1154"/>
      <c r="D1154"/>
      <c r="E1154"/>
      <c r="F1154"/>
      <c r="G1154"/>
      <c r="H1154"/>
    </row>
    <row r="1155" spans="3:8" x14ac:dyDescent="0.3">
      <c r="C1155"/>
      <c r="D1155"/>
      <c r="E1155"/>
      <c r="F1155"/>
      <c r="G1155"/>
      <c r="H1155"/>
    </row>
    <row r="1156" spans="3:8" x14ac:dyDescent="0.3">
      <c r="C1156"/>
      <c r="D1156"/>
      <c r="E1156"/>
      <c r="F1156"/>
      <c r="G1156"/>
      <c r="H1156"/>
    </row>
    <row r="1157" spans="3:8" x14ac:dyDescent="0.3">
      <c r="C1157"/>
      <c r="D1157"/>
      <c r="E1157"/>
      <c r="F1157"/>
      <c r="G1157"/>
      <c r="H1157"/>
    </row>
    <row r="1158" spans="3:8" x14ac:dyDescent="0.3">
      <c r="C1158"/>
      <c r="D1158"/>
      <c r="E1158"/>
      <c r="F1158"/>
      <c r="G1158"/>
      <c r="H1158"/>
    </row>
    <row r="1159" spans="3:8" x14ac:dyDescent="0.3">
      <c r="C1159"/>
      <c r="D1159"/>
      <c r="E1159"/>
      <c r="F1159"/>
      <c r="G1159"/>
      <c r="H1159"/>
    </row>
    <row r="1160" spans="3:8" x14ac:dyDescent="0.3">
      <c r="C1160"/>
      <c r="D1160"/>
      <c r="E1160"/>
      <c r="F1160"/>
      <c r="G1160"/>
      <c r="H1160"/>
    </row>
    <row r="1161" spans="3:8" x14ac:dyDescent="0.3">
      <c r="C1161"/>
      <c r="D1161"/>
      <c r="E1161"/>
      <c r="F1161"/>
      <c r="G1161"/>
      <c r="H1161"/>
    </row>
    <row r="1162" spans="3:8" x14ac:dyDescent="0.3">
      <c r="C1162"/>
      <c r="D1162"/>
      <c r="E1162"/>
      <c r="F1162"/>
      <c r="G1162"/>
      <c r="H1162"/>
    </row>
    <row r="1163" spans="3:8" x14ac:dyDescent="0.3">
      <c r="C1163"/>
      <c r="D1163"/>
      <c r="E1163"/>
      <c r="F1163"/>
      <c r="G1163"/>
      <c r="H1163"/>
    </row>
    <row r="1164" spans="3:8" x14ac:dyDescent="0.3">
      <c r="C1164"/>
      <c r="D1164"/>
      <c r="E1164"/>
      <c r="F1164"/>
      <c r="G1164"/>
      <c r="H1164"/>
    </row>
    <row r="1165" spans="3:8" x14ac:dyDescent="0.3">
      <c r="C1165"/>
      <c r="D1165"/>
      <c r="E1165"/>
      <c r="F1165"/>
      <c r="G1165"/>
      <c r="H1165"/>
    </row>
    <row r="1166" spans="3:8" x14ac:dyDescent="0.3">
      <c r="C1166"/>
      <c r="D1166"/>
      <c r="E1166"/>
      <c r="F1166"/>
      <c r="G1166"/>
      <c r="H1166"/>
    </row>
    <row r="1167" spans="3:8" x14ac:dyDescent="0.3">
      <c r="C1167"/>
      <c r="D1167"/>
      <c r="E1167"/>
      <c r="F1167"/>
      <c r="G1167"/>
      <c r="H1167"/>
    </row>
    <row r="1168" spans="3:8" x14ac:dyDescent="0.3">
      <c r="C1168"/>
      <c r="D1168"/>
      <c r="E1168"/>
      <c r="F1168"/>
      <c r="G1168"/>
      <c r="H1168"/>
    </row>
    <row r="1169" spans="3:8" x14ac:dyDescent="0.3">
      <c r="C1169"/>
      <c r="D1169"/>
      <c r="E1169"/>
      <c r="F1169"/>
      <c r="G1169"/>
      <c r="H1169"/>
    </row>
    <row r="1170" spans="3:8" x14ac:dyDescent="0.3">
      <c r="C1170"/>
      <c r="D1170"/>
      <c r="E1170"/>
      <c r="F1170"/>
      <c r="G1170"/>
      <c r="H1170"/>
    </row>
    <row r="1171" spans="3:8" x14ac:dyDescent="0.3">
      <c r="C1171"/>
      <c r="D1171"/>
      <c r="E1171"/>
      <c r="F1171"/>
      <c r="G1171"/>
      <c r="H1171"/>
    </row>
    <row r="1172" spans="3:8" x14ac:dyDescent="0.3">
      <c r="C1172"/>
      <c r="D1172"/>
      <c r="E1172"/>
      <c r="F1172"/>
      <c r="G1172"/>
      <c r="H1172"/>
    </row>
    <row r="1173" spans="3:8" x14ac:dyDescent="0.3">
      <c r="C1173"/>
      <c r="D1173"/>
      <c r="E1173"/>
      <c r="F1173"/>
      <c r="G1173"/>
      <c r="H1173"/>
    </row>
    <row r="1174" spans="3:8" x14ac:dyDescent="0.3">
      <c r="C1174"/>
      <c r="D1174"/>
      <c r="E1174"/>
      <c r="F1174"/>
      <c r="G1174"/>
      <c r="H1174"/>
    </row>
    <row r="1175" spans="3:8" x14ac:dyDescent="0.3">
      <c r="C1175"/>
      <c r="D1175"/>
      <c r="E1175"/>
      <c r="F1175"/>
      <c r="G1175"/>
      <c r="H1175"/>
    </row>
    <row r="1176" spans="3:8" x14ac:dyDescent="0.3">
      <c r="C1176"/>
      <c r="D1176"/>
      <c r="E1176"/>
      <c r="F1176"/>
      <c r="G1176"/>
      <c r="H1176"/>
    </row>
    <row r="1177" spans="3:8" x14ac:dyDescent="0.3">
      <c r="C1177"/>
      <c r="D1177"/>
      <c r="E1177"/>
      <c r="F1177"/>
      <c r="G1177"/>
      <c r="H1177"/>
    </row>
    <row r="1178" spans="3:8" x14ac:dyDescent="0.3">
      <c r="C1178"/>
      <c r="D1178"/>
      <c r="E1178"/>
      <c r="F1178"/>
      <c r="G1178"/>
      <c r="H1178"/>
    </row>
    <row r="1179" spans="3:8" x14ac:dyDescent="0.3">
      <c r="C1179"/>
      <c r="D1179"/>
      <c r="E1179"/>
      <c r="F1179"/>
      <c r="G1179"/>
      <c r="H1179"/>
    </row>
    <row r="1180" spans="3:8" x14ac:dyDescent="0.3">
      <c r="C1180"/>
      <c r="D1180"/>
      <c r="E1180"/>
      <c r="F1180"/>
      <c r="G1180"/>
      <c r="H1180"/>
    </row>
    <row r="1181" spans="3:8" x14ac:dyDescent="0.3">
      <c r="C1181"/>
      <c r="D1181"/>
      <c r="E1181"/>
      <c r="F1181"/>
      <c r="G1181"/>
      <c r="H1181"/>
    </row>
    <row r="1182" spans="3:8" x14ac:dyDescent="0.3">
      <c r="C1182"/>
      <c r="D1182"/>
      <c r="E1182"/>
      <c r="F1182"/>
      <c r="G1182"/>
      <c r="H1182"/>
    </row>
    <row r="1183" spans="3:8" x14ac:dyDescent="0.3">
      <c r="C1183"/>
      <c r="D1183"/>
      <c r="E1183"/>
      <c r="F1183"/>
      <c r="G1183"/>
      <c r="H1183"/>
    </row>
    <row r="1184" spans="3:8" x14ac:dyDescent="0.3">
      <c r="C1184"/>
      <c r="D1184"/>
      <c r="E1184"/>
      <c r="F1184"/>
      <c r="G1184"/>
      <c r="H1184"/>
    </row>
    <row r="1185" spans="3:8" x14ac:dyDescent="0.3">
      <c r="C1185"/>
      <c r="D1185"/>
      <c r="E1185"/>
      <c r="F1185"/>
      <c r="G1185"/>
      <c r="H1185"/>
    </row>
    <row r="1186" spans="3:8" x14ac:dyDescent="0.3">
      <c r="C1186"/>
      <c r="D1186"/>
      <c r="E1186"/>
      <c r="F1186"/>
      <c r="G1186"/>
      <c r="H1186"/>
    </row>
    <row r="1187" spans="3:8" x14ac:dyDescent="0.3">
      <c r="C1187"/>
      <c r="D1187"/>
      <c r="E1187"/>
      <c r="F1187"/>
      <c r="G1187"/>
      <c r="H1187"/>
    </row>
    <row r="1188" spans="3:8" x14ac:dyDescent="0.3">
      <c r="C1188"/>
      <c r="D1188"/>
      <c r="E1188"/>
      <c r="F1188"/>
      <c r="G1188"/>
      <c r="H1188"/>
    </row>
    <row r="1189" spans="3:8" x14ac:dyDescent="0.3">
      <c r="C1189"/>
      <c r="D1189"/>
      <c r="E1189"/>
      <c r="F1189"/>
      <c r="G1189"/>
      <c r="H1189"/>
    </row>
    <row r="1190" spans="3:8" x14ac:dyDescent="0.3">
      <c r="C1190"/>
      <c r="D1190"/>
      <c r="E1190"/>
      <c r="F1190"/>
      <c r="G1190"/>
      <c r="H1190"/>
    </row>
    <row r="1191" spans="3:8" x14ac:dyDescent="0.3">
      <c r="C1191"/>
      <c r="D1191"/>
      <c r="E1191"/>
      <c r="F1191"/>
      <c r="G1191"/>
      <c r="H1191"/>
    </row>
    <row r="1192" spans="3:8" x14ac:dyDescent="0.3">
      <c r="C1192"/>
      <c r="D1192"/>
      <c r="E1192"/>
      <c r="F1192"/>
      <c r="G1192"/>
      <c r="H1192"/>
    </row>
    <row r="1193" spans="3:8" x14ac:dyDescent="0.3">
      <c r="C1193"/>
      <c r="D1193"/>
      <c r="E1193"/>
      <c r="F1193"/>
      <c r="G1193"/>
      <c r="H1193"/>
    </row>
    <row r="1194" spans="3:8" x14ac:dyDescent="0.3">
      <c r="C1194"/>
      <c r="D1194"/>
      <c r="E1194"/>
      <c r="F1194"/>
      <c r="G1194"/>
      <c r="H1194"/>
    </row>
    <row r="1195" spans="3:8" x14ac:dyDescent="0.3">
      <c r="C1195"/>
      <c r="D1195"/>
      <c r="E1195"/>
      <c r="F1195"/>
      <c r="G1195"/>
      <c r="H1195"/>
    </row>
    <row r="1196" spans="3:8" x14ac:dyDescent="0.3">
      <c r="C1196"/>
      <c r="D1196"/>
      <c r="E1196"/>
      <c r="F1196"/>
      <c r="G1196"/>
      <c r="H1196"/>
    </row>
    <row r="1197" spans="3:8" x14ac:dyDescent="0.3">
      <c r="C1197"/>
      <c r="D1197"/>
      <c r="E1197"/>
      <c r="F1197"/>
      <c r="G1197"/>
      <c r="H1197"/>
    </row>
    <row r="1198" spans="3:8" x14ac:dyDescent="0.3">
      <c r="C1198"/>
      <c r="D1198"/>
      <c r="E1198"/>
      <c r="F1198"/>
      <c r="G1198"/>
      <c r="H1198"/>
    </row>
    <row r="1199" spans="3:8" x14ac:dyDescent="0.3">
      <c r="C1199"/>
      <c r="D1199"/>
      <c r="E1199"/>
      <c r="F1199"/>
      <c r="G1199"/>
      <c r="H1199"/>
    </row>
    <row r="1200" spans="3:8" x14ac:dyDescent="0.3">
      <c r="C1200"/>
      <c r="D1200"/>
      <c r="E1200"/>
      <c r="F1200"/>
      <c r="G1200"/>
      <c r="H1200"/>
    </row>
    <row r="1201" spans="3:8" x14ac:dyDescent="0.3">
      <c r="C1201"/>
      <c r="D1201"/>
      <c r="E1201"/>
      <c r="F1201"/>
      <c r="G1201"/>
      <c r="H1201"/>
    </row>
    <row r="1202" spans="3:8" x14ac:dyDescent="0.3">
      <c r="C1202"/>
      <c r="D1202"/>
      <c r="E1202"/>
      <c r="F1202"/>
      <c r="G1202"/>
      <c r="H1202"/>
    </row>
    <row r="1203" spans="3:8" x14ac:dyDescent="0.3">
      <c r="C1203"/>
      <c r="D1203"/>
      <c r="E1203"/>
      <c r="F1203"/>
      <c r="G1203"/>
      <c r="H1203"/>
    </row>
    <row r="1204" spans="3:8" x14ac:dyDescent="0.3">
      <c r="C1204"/>
      <c r="D1204"/>
      <c r="E1204"/>
      <c r="F1204"/>
      <c r="G1204"/>
      <c r="H1204"/>
    </row>
    <row r="1205" spans="3:8" x14ac:dyDescent="0.3">
      <c r="C1205"/>
      <c r="D1205"/>
      <c r="E1205"/>
      <c r="F1205"/>
      <c r="G1205"/>
      <c r="H1205"/>
    </row>
    <row r="1206" spans="3:8" x14ac:dyDescent="0.3">
      <c r="C1206"/>
      <c r="D1206"/>
      <c r="E1206"/>
      <c r="F1206"/>
      <c r="G1206"/>
      <c r="H1206"/>
    </row>
    <row r="1207" spans="3:8" x14ac:dyDescent="0.3">
      <c r="C1207"/>
      <c r="D1207"/>
      <c r="E1207"/>
      <c r="F1207"/>
      <c r="G1207"/>
      <c r="H1207"/>
    </row>
    <row r="1208" spans="3:8" x14ac:dyDescent="0.3">
      <c r="C1208"/>
      <c r="D1208"/>
      <c r="E1208"/>
      <c r="F1208"/>
      <c r="G1208"/>
      <c r="H1208"/>
    </row>
    <row r="1209" spans="3:8" x14ac:dyDescent="0.3">
      <c r="C1209"/>
      <c r="D1209"/>
      <c r="E1209"/>
      <c r="F1209"/>
      <c r="G1209"/>
      <c r="H1209"/>
    </row>
    <row r="1210" spans="3:8" x14ac:dyDescent="0.3">
      <c r="C1210"/>
      <c r="D1210"/>
      <c r="E1210"/>
      <c r="F1210"/>
      <c r="G1210"/>
      <c r="H1210"/>
    </row>
    <row r="1211" spans="3:8" x14ac:dyDescent="0.3">
      <c r="C1211"/>
      <c r="D1211"/>
      <c r="E1211"/>
      <c r="F1211"/>
      <c r="G1211"/>
      <c r="H1211"/>
    </row>
    <row r="1212" spans="3:8" x14ac:dyDescent="0.3">
      <c r="C1212"/>
      <c r="D1212"/>
      <c r="E1212"/>
      <c r="F1212"/>
      <c r="G1212"/>
      <c r="H1212"/>
    </row>
    <row r="1213" spans="3:8" x14ac:dyDescent="0.3">
      <c r="C1213"/>
      <c r="D1213"/>
      <c r="E1213"/>
      <c r="F1213"/>
      <c r="G1213"/>
      <c r="H1213"/>
    </row>
    <row r="1214" spans="3:8" x14ac:dyDescent="0.3">
      <c r="C1214"/>
      <c r="D1214"/>
      <c r="E1214"/>
      <c r="F1214"/>
      <c r="G1214"/>
      <c r="H1214"/>
    </row>
    <row r="1215" spans="3:8" x14ac:dyDescent="0.3">
      <c r="C1215"/>
      <c r="D1215"/>
      <c r="E1215"/>
      <c r="F1215"/>
      <c r="G1215"/>
      <c r="H1215"/>
    </row>
    <row r="1216" spans="3:8" x14ac:dyDescent="0.3">
      <c r="C1216"/>
      <c r="D1216"/>
      <c r="E1216"/>
      <c r="F1216"/>
      <c r="G1216"/>
      <c r="H1216"/>
    </row>
    <row r="1217" spans="3:8" x14ac:dyDescent="0.3">
      <c r="C1217"/>
      <c r="D1217"/>
      <c r="E1217"/>
      <c r="F1217"/>
      <c r="G1217"/>
      <c r="H1217"/>
    </row>
    <row r="1218" spans="3:8" x14ac:dyDescent="0.3">
      <c r="C1218"/>
      <c r="D1218"/>
      <c r="E1218"/>
      <c r="F1218"/>
      <c r="G1218"/>
      <c r="H1218"/>
    </row>
    <row r="1219" spans="3:8" x14ac:dyDescent="0.3">
      <c r="C1219"/>
      <c r="D1219"/>
      <c r="E1219"/>
      <c r="F1219"/>
      <c r="G1219"/>
      <c r="H1219"/>
    </row>
    <row r="1220" spans="3:8" x14ac:dyDescent="0.3">
      <c r="C1220"/>
      <c r="D1220"/>
      <c r="E1220"/>
      <c r="F1220"/>
      <c r="G1220"/>
      <c r="H1220"/>
    </row>
    <row r="1221" spans="3:8" x14ac:dyDescent="0.3">
      <c r="C1221"/>
      <c r="D1221"/>
      <c r="E1221"/>
      <c r="F1221"/>
      <c r="G1221"/>
      <c r="H1221"/>
    </row>
    <row r="1222" spans="3:8" x14ac:dyDescent="0.3">
      <c r="C1222"/>
      <c r="D1222"/>
      <c r="E1222"/>
      <c r="F1222"/>
      <c r="G1222"/>
      <c r="H1222"/>
    </row>
    <row r="1223" spans="3:8" x14ac:dyDescent="0.3">
      <c r="C1223"/>
      <c r="D1223"/>
      <c r="E1223"/>
      <c r="F1223"/>
      <c r="G1223"/>
      <c r="H1223"/>
    </row>
    <row r="1224" spans="3:8" x14ac:dyDescent="0.3">
      <c r="C1224"/>
      <c r="D1224"/>
      <c r="E1224"/>
      <c r="F1224"/>
      <c r="G1224"/>
      <c r="H1224"/>
    </row>
    <row r="1225" spans="3:8" x14ac:dyDescent="0.3">
      <c r="C1225"/>
      <c r="D1225"/>
      <c r="E1225"/>
      <c r="F1225"/>
      <c r="G1225"/>
      <c r="H1225"/>
    </row>
    <row r="1226" spans="3:8" x14ac:dyDescent="0.3">
      <c r="C1226"/>
      <c r="D1226"/>
      <c r="E1226"/>
      <c r="F1226"/>
      <c r="G1226"/>
      <c r="H1226"/>
    </row>
    <row r="1227" spans="3:8" x14ac:dyDescent="0.3">
      <c r="C1227"/>
      <c r="D1227"/>
      <c r="E1227"/>
      <c r="F1227"/>
      <c r="G1227"/>
      <c r="H1227"/>
    </row>
    <row r="1228" spans="3:8" x14ac:dyDescent="0.3">
      <c r="C1228"/>
      <c r="D1228"/>
      <c r="E1228"/>
      <c r="F1228"/>
      <c r="G1228"/>
      <c r="H1228"/>
    </row>
    <row r="1229" spans="3:8" x14ac:dyDescent="0.3">
      <c r="C1229"/>
      <c r="D1229"/>
      <c r="E1229"/>
      <c r="F1229"/>
      <c r="G1229"/>
      <c r="H1229"/>
    </row>
    <row r="1230" spans="3:8" x14ac:dyDescent="0.3">
      <c r="C1230"/>
      <c r="D1230"/>
      <c r="E1230"/>
      <c r="F1230"/>
      <c r="G1230"/>
      <c r="H1230"/>
    </row>
    <row r="1231" spans="3:8" x14ac:dyDescent="0.3">
      <c r="C1231"/>
      <c r="D1231"/>
      <c r="E1231"/>
      <c r="F1231"/>
      <c r="G1231"/>
      <c r="H1231"/>
    </row>
    <row r="1232" spans="3:8" x14ac:dyDescent="0.3">
      <c r="C1232"/>
      <c r="D1232"/>
      <c r="E1232"/>
      <c r="F1232"/>
      <c r="G1232"/>
      <c r="H1232"/>
    </row>
    <row r="1233" spans="3:8" x14ac:dyDescent="0.3">
      <c r="C1233"/>
      <c r="D1233"/>
      <c r="E1233"/>
      <c r="F1233"/>
      <c r="G1233"/>
      <c r="H1233"/>
    </row>
    <row r="1234" spans="3:8" x14ac:dyDescent="0.3">
      <c r="C1234"/>
      <c r="D1234"/>
      <c r="E1234"/>
      <c r="F1234"/>
      <c r="G1234"/>
      <c r="H1234"/>
    </row>
    <row r="1235" spans="3:8" x14ac:dyDescent="0.3">
      <c r="C1235"/>
      <c r="D1235"/>
      <c r="E1235"/>
      <c r="F1235"/>
      <c r="G1235"/>
      <c r="H1235"/>
    </row>
    <row r="1236" spans="3:8" x14ac:dyDescent="0.3">
      <c r="C1236"/>
      <c r="D1236"/>
      <c r="E1236"/>
      <c r="F1236"/>
      <c r="G1236"/>
      <c r="H1236"/>
    </row>
    <row r="1237" spans="3:8" x14ac:dyDescent="0.3">
      <c r="C1237"/>
      <c r="D1237"/>
      <c r="E1237"/>
      <c r="F1237"/>
      <c r="G1237"/>
      <c r="H1237"/>
    </row>
    <row r="1238" spans="3:8" x14ac:dyDescent="0.3">
      <c r="C1238"/>
      <c r="D1238"/>
      <c r="E1238"/>
      <c r="F1238"/>
      <c r="G1238"/>
      <c r="H1238"/>
    </row>
    <row r="1239" spans="3:8" x14ac:dyDescent="0.3">
      <c r="C1239"/>
      <c r="D1239"/>
      <c r="E1239"/>
      <c r="F1239"/>
      <c r="G1239"/>
      <c r="H1239"/>
    </row>
    <row r="1240" spans="3:8" x14ac:dyDescent="0.3">
      <c r="C1240"/>
      <c r="D1240"/>
      <c r="E1240"/>
      <c r="F1240"/>
      <c r="G1240"/>
      <c r="H1240"/>
    </row>
    <row r="1241" spans="3:8" x14ac:dyDescent="0.3">
      <c r="C1241"/>
      <c r="D1241"/>
      <c r="E1241"/>
      <c r="F1241"/>
      <c r="G1241"/>
      <c r="H1241"/>
    </row>
    <row r="1242" spans="3:8" x14ac:dyDescent="0.3">
      <c r="C1242"/>
      <c r="D1242"/>
      <c r="E1242"/>
      <c r="F1242"/>
      <c r="G1242"/>
      <c r="H1242"/>
    </row>
    <row r="1243" spans="3:8" x14ac:dyDescent="0.3">
      <c r="C1243"/>
      <c r="D1243"/>
      <c r="E1243"/>
      <c r="F1243"/>
      <c r="G1243"/>
      <c r="H1243"/>
    </row>
    <row r="1244" spans="3:8" x14ac:dyDescent="0.3">
      <c r="C1244"/>
      <c r="D1244"/>
      <c r="E1244"/>
      <c r="F1244"/>
      <c r="G1244"/>
      <c r="H1244"/>
    </row>
    <row r="1245" spans="3:8" x14ac:dyDescent="0.3">
      <c r="C1245"/>
      <c r="D1245"/>
      <c r="E1245"/>
      <c r="F1245"/>
      <c r="G1245"/>
      <c r="H1245"/>
    </row>
    <row r="1246" spans="3:8" x14ac:dyDescent="0.3">
      <c r="C1246"/>
      <c r="D1246"/>
      <c r="E1246"/>
      <c r="F1246"/>
      <c r="G1246"/>
      <c r="H1246"/>
    </row>
    <row r="1247" spans="3:8" x14ac:dyDescent="0.3">
      <c r="C1247"/>
      <c r="D1247"/>
      <c r="E1247"/>
      <c r="F1247"/>
      <c r="G1247"/>
      <c r="H1247"/>
    </row>
    <row r="1248" spans="3:8" x14ac:dyDescent="0.3">
      <c r="C1248"/>
      <c r="D1248"/>
      <c r="E1248"/>
      <c r="F1248"/>
      <c r="G1248"/>
      <c r="H1248"/>
    </row>
    <row r="1249" spans="3:8" x14ac:dyDescent="0.3">
      <c r="C1249"/>
      <c r="D1249"/>
      <c r="E1249"/>
      <c r="F1249"/>
      <c r="G1249"/>
      <c r="H1249"/>
    </row>
    <row r="1250" spans="3:8" x14ac:dyDescent="0.3">
      <c r="C1250"/>
      <c r="D1250"/>
      <c r="E1250"/>
      <c r="F1250"/>
      <c r="G1250"/>
      <c r="H1250"/>
    </row>
    <row r="1251" spans="3:8" x14ac:dyDescent="0.3">
      <c r="C1251"/>
      <c r="D1251"/>
      <c r="E1251"/>
      <c r="F1251"/>
      <c r="G1251"/>
      <c r="H1251"/>
    </row>
    <row r="1252" spans="3:8" x14ac:dyDescent="0.3">
      <c r="C1252"/>
      <c r="D1252"/>
      <c r="E1252"/>
      <c r="F1252"/>
      <c r="G1252"/>
      <c r="H1252"/>
    </row>
    <row r="1253" spans="3:8" x14ac:dyDescent="0.3">
      <c r="C1253"/>
      <c r="D1253"/>
      <c r="E1253"/>
      <c r="F1253"/>
      <c r="G1253"/>
      <c r="H1253"/>
    </row>
    <row r="1254" spans="3:8" x14ac:dyDescent="0.3">
      <c r="C1254"/>
      <c r="D1254"/>
      <c r="E1254"/>
      <c r="F1254"/>
      <c r="G1254"/>
      <c r="H1254"/>
    </row>
    <row r="1255" spans="3:8" x14ac:dyDescent="0.3">
      <c r="C1255"/>
      <c r="D1255"/>
      <c r="E1255"/>
      <c r="F1255"/>
      <c r="G1255"/>
      <c r="H1255"/>
    </row>
    <row r="1256" spans="3:8" x14ac:dyDescent="0.3">
      <c r="C1256"/>
      <c r="D1256"/>
      <c r="E1256"/>
      <c r="F1256"/>
      <c r="G1256"/>
      <c r="H1256"/>
    </row>
    <row r="1257" spans="3:8" x14ac:dyDescent="0.3">
      <c r="C1257"/>
      <c r="D1257"/>
      <c r="E1257"/>
      <c r="F1257"/>
      <c r="G1257"/>
      <c r="H1257"/>
    </row>
    <row r="1258" spans="3:8" x14ac:dyDescent="0.3">
      <c r="C1258"/>
      <c r="D1258"/>
      <c r="E1258"/>
      <c r="F1258"/>
      <c r="G1258"/>
      <c r="H1258"/>
    </row>
    <row r="1259" spans="3:8" x14ac:dyDescent="0.3">
      <c r="C1259"/>
      <c r="D1259"/>
      <c r="E1259"/>
      <c r="F1259"/>
      <c r="G1259"/>
      <c r="H1259"/>
    </row>
    <row r="1260" spans="3:8" x14ac:dyDescent="0.3">
      <c r="C1260"/>
      <c r="D1260"/>
      <c r="E1260"/>
      <c r="F1260"/>
      <c r="G1260"/>
      <c r="H1260"/>
    </row>
    <row r="1261" spans="3:8" x14ac:dyDescent="0.3">
      <c r="C1261"/>
      <c r="D1261"/>
      <c r="E1261"/>
      <c r="F1261"/>
      <c r="G1261"/>
      <c r="H1261"/>
    </row>
    <row r="1262" spans="3:8" x14ac:dyDescent="0.3">
      <c r="C1262"/>
      <c r="D1262"/>
      <c r="E1262"/>
      <c r="F1262"/>
      <c r="G1262"/>
      <c r="H1262"/>
    </row>
    <row r="1263" spans="3:8" x14ac:dyDescent="0.3">
      <c r="C1263"/>
      <c r="D1263"/>
      <c r="E1263"/>
      <c r="F1263"/>
      <c r="G1263"/>
      <c r="H1263"/>
    </row>
    <row r="1264" spans="3:8" x14ac:dyDescent="0.3">
      <c r="C1264"/>
      <c r="D1264"/>
      <c r="E1264"/>
      <c r="F1264"/>
      <c r="G1264"/>
      <c r="H1264"/>
    </row>
    <row r="1265" spans="3:8" x14ac:dyDescent="0.3">
      <c r="C1265"/>
      <c r="D1265"/>
      <c r="E1265"/>
      <c r="F1265"/>
      <c r="G1265"/>
      <c r="H1265"/>
    </row>
    <row r="1266" spans="3:8" x14ac:dyDescent="0.3">
      <c r="C1266"/>
      <c r="D1266"/>
      <c r="E1266"/>
      <c r="F1266"/>
      <c r="G1266"/>
      <c r="H1266"/>
    </row>
    <row r="1267" spans="3:8" x14ac:dyDescent="0.3">
      <c r="C1267"/>
      <c r="D1267"/>
      <c r="E1267"/>
      <c r="F1267"/>
      <c r="G1267"/>
      <c r="H1267"/>
    </row>
    <row r="1268" spans="3:8" x14ac:dyDescent="0.3">
      <c r="C1268"/>
      <c r="D1268"/>
      <c r="E1268"/>
      <c r="F1268"/>
      <c r="G1268"/>
      <c r="H1268"/>
    </row>
    <row r="1269" spans="3:8" x14ac:dyDescent="0.3">
      <c r="C1269"/>
      <c r="D1269"/>
      <c r="E1269"/>
      <c r="F1269"/>
      <c r="G1269"/>
      <c r="H1269"/>
    </row>
    <row r="1270" spans="3:8" x14ac:dyDescent="0.3">
      <c r="C1270"/>
      <c r="D1270"/>
      <c r="E1270"/>
      <c r="F1270"/>
      <c r="G1270"/>
      <c r="H1270"/>
    </row>
    <row r="1271" spans="3:8" x14ac:dyDescent="0.3">
      <c r="C1271"/>
      <c r="D1271"/>
      <c r="E1271"/>
      <c r="F1271"/>
      <c r="G1271"/>
      <c r="H1271"/>
    </row>
    <row r="1272" spans="3:8" x14ac:dyDescent="0.3">
      <c r="C1272"/>
      <c r="D1272"/>
      <c r="E1272"/>
      <c r="F1272"/>
      <c r="G1272"/>
      <c r="H1272"/>
    </row>
    <row r="1273" spans="3:8" x14ac:dyDescent="0.3">
      <c r="C1273"/>
      <c r="D1273"/>
      <c r="E1273"/>
      <c r="F1273"/>
      <c r="G1273"/>
      <c r="H1273"/>
    </row>
    <row r="1274" spans="3:8" x14ac:dyDescent="0.3">
      <c r="C1274"/>
      <c r="D1274"/>
      <c r="E1274"/>
      <c r="F1274"/>
      <c r="G1274"/>
      <c r="H1274"/>
    </row>
    <row r="1275" spans="3:8" x14ac:dyDescent="0.3">
      <c r="C1275"/>
      <c r="D1275"/>
      <c r="E1275"/>
      <c r="F1275"/>
      <c r="G1275"/>
      <c r="H1275"/>
    </row>
    <row r="1276" spans="3:8" x14ac:dyDescent="0.3">
      <c r="C1276"/>
      <c r="D1276"/>
      <c r="E1276"/>
      <c r="F1276"/>
      <c r="G1276"/>
      <c r="H1276"/>
    </row>
    <row r="1277" spans="3:8" x14ac:dyDescent="0.3">
      <c r="C1277"/>
      <c r="D1277"/>
      <c r="E1277"/>
      <c r="F1277"/>
      <c r="G1277"/>
      <c r="H1277"/>
    </row>
    <row r="1278" spans="3:8" x14ac:dyDescent="0.3">
      <c r="C1278"/>
      <c r="D1278"/>
      <c r="E1278"/>
      <c r="F1278"/>
      <c r="G1278"/>
      <c r="H1278"/>
    </row>
    <row r="1279" spans="3:8" x14ac:dyDescent="0.3">
      <c r="C1279"/>
      <c r="D1279"/>
      <c r="E1279"/>
      <c r="F1279"/>
      <c r="G1279"/>
      <c r="H1279"/>
    </row>
    <row r="1280" spans="3:8" x14ac:dyDescent="0.3">
      <c r="C1280"/>
      <c r="D1280"/>
      <c r="E1280"/>
      <c r="F1280"/>
      <c r="G1280"/>
      <c r="H1280"/>
    </row>
    <row r="1281" spans="3:8" x14ac:dyDescent="0.3">
      <c r="C1281"/>
      <c r="D1281"/>
      <c r="E1281"/>
      <c r="F1281"/>
      <c r="G1281"/>
      <c r="H1281"/>
    </row>
    <row r="1282" spans="3:8" x14ac:dyDescent="0.3">
      <c r="C1282"/>
      <c r="D1282"/>
      <c r="E1282"/>
      <c r="F1282"/>
      <c r="G1282"/>
      <c r="H1282"/>
    </row>
    <row r="1283" spans="3:8" x14ac:dyDescent="0.3">
      <c r="C1283"/>
      <c r="D1283"/>
      <c r="E1283"/>
      <c r="F1283"/>
      <c r="G1283"/>
      <c r="H1283"/>
    </row>
    <row r="1284" spans="3:8" x14ac:dyDescent="0.3">
      <c r="C1284"/>
      <c r="D1284"/>
      <c r="E1284"/>
      <c r="F1284"/>
      <c r="G1284"/>
      <c r="H1284"/>
    </row>
    <row r="1285" spans="3:8" x14ac:dyDescent="0.3">
      <c r="C1285"/>
      <c r="D1285"/>
      <c r="E1285"/>
      <c r="F1285"/>
      <c r="G1285"/>
      <c r="H1285"/>
    </row>
    <row r="1286" spans="3:8" x14ac:dyDescent="0.3">
      <c r="C1286"/>
      <c r="D1286"/>
      <c r="E1286"/>
      <c r="F1286"/>
      <c r="G1286"/>
      <c r="H1286"/>
    </row>
    <row r="1287" spans="3:8" x14ac:dyDescent="0.3">
      <c r="C1287"/>
      <c r="D1287"/>
      <c r="E1287"/>
      <c r="F1287"/>
      <c r="G1287"/>
      <c r="H1287"/>
    </row>
    <row r="1288" spans="3:8" x14ac:dyDescent="0.3">
      <c r="C1288"/>
      <c r="D1288"/>
      <c r="E1288"/>
      <c r="F1288"/>
      <c r="G1288"/>
      <c r="H1288"/>
    </row>
    <row r="1289" spans="3:8" x14ac:dyDescent="0.3">
      <c r="C1289"/>
      <c r="D1289"/>
      <c r="E1289"/>
      <c r="F1289"/>
      <c r="G1289"/>
      <c r="H1289"/>
    </row>
    <row r="1290" spans="3:8" x14ac:dyDescent="0.3">
      <c r="C1290"/>
      <c r="D1290"/>
      <c r="E1290"/>
      <c r="F1290"/>
      <c r="G1290"/>
      <c r="H1290"/>
    </row>
    <row r="1291" spans="3:8" x14ac:dyDescent="0.3">
      <c r="C1291"/>
      <c r="D1291"/>
      <c r="E1291"/>
      <c r="F1291"/>
      <c r="G1291"/>
      <c r="H1291"/>
    </row>
    <row r="1292" spans="3:8" x14ac:dyDescent="0.3">
      <c r="C1292"/>
      <c r="D1292"/>
      <c r="E1292"/>
      <c r="F1292"/>
      <c r="G1292"/>
      <c r="H1292"/>
    </row>
    <row r="1293" spans="3:8" x14ac:dyDescent="0.3">
      <c r="C1293"/>
      <c r="D1293"/>
      <c r="E1293"/>
      <c r="F1293"/>
      <c r="G1293"/>
      <c r="H1293"/>
    </row>
    <row r="1294" spans="3:8" x14ac:dyDescent="0.3">
      <c r="C1294"/>
      <c r="D1294"/>
      <c r="E1294"/>
      <c r="F1294"/>
      <c r="G1294"/>
      <c r="H1294"/>
    </row>
    <row r="1295" spans="3:8" x14ac:dyDescent="0.3">
      <c r="C1295"/>
      <c r="D1295"/>
      <c r="E1295"/>
      <c r="F1295"/>
      <c r="G1295"/>
      <c r="H1295"/>
    </row>
    <row r="1296" spans="3:8" x14ac:dyDescent="0.3">
      <c r="C1296"/>
      <c r="D1296"/>
      <c r="E1296"/>
      <c r="F1296"/>
      <c r="G1296"/>
      <c r="H1296"/>
    </row>
    <row r="1297" spans="3:8" x14ac:dyDescent="0.3">
      <c r="C1297"/>
      <c r="D1297"/>
      <c r="E1297"/>
      <c r="F1297"/>
      <c r="G1297"/>
      <c r="H1297"/>
    </row>
    <row r="1298" spans="3:8" x14ac:dyDescent="0.3">
      <c r="C1298"/>
      <c r="D1298"/>
      <c r="E1298"/>
      <c r="F1298"/>
      <c r="G1298"/>
      <c r="H1298"/>
    </row>
    <row r="1299" spans="3:8" x14ac:dyDescent="0.3">
      <c r="C1299"/>
      <c r="D1299"/>
      <c r="E1299"/>
      <c r="F1299"/>
      <c r="G1299"/>
      <c r="H1299"/>
    </row>
    <row r="1300" spans="3:8" x14ac:dyDescent="0.3">
      <c r="C1300"/>
      <c r="D1300"/>
      <c r="E1300"/>
      <c r="F1300"/>
      <c r="G1300"/>
      <c r="H1300"/>
    </row>
    <row r="1301" spans="3:8" x14ac:dyDescent="0.3">
      <c r="C1301"/>
      <c r="D1301"/>
      <c r="E1301"/>
      <c r="F1301"/>
      <c r="G1301"/>
      <c r="H1301"/>
    </row>
    <row r="1302" spans="3:8" x14ac:dyDescent="0.3">
      <c r="C1302"/>
      <c r="D1302"/>
      <c r="E1302"/>
      <c r="F1302"/>
      <c r="G1302"/>
      <c r="H1302"/>
    </row>
    <row r="1303" spans="3:8" x14ac:dyDescent="0.3">
      <c r="C1303"/>
      <c r="D1303"/>
      <c r="E1303"/>
      <c r="F1303"/>
      <c r="G1303"/>
      <c r="H1303"/>
    </row>
    <row r="1304" spans="3:8" x14ac:dyDescent="0.3">
      <c r="C1304"/>
      <c r="D1304"/>
      <c r="E1304"/>
      <c r="F1304"/>
      <c r="G1304"/>
      <c r="H1304"/>
    </row>
    <row r="1305" spans="3:8" x14ac:dyDescent="0.3">
      <c r="C1305"/>
      <c r="D1305"/>
      <c r="E1305"/>
      <c r="F1305"/>
      <c r="G1305"/>
      <c r="H1305"/>
    </row>
    <row r="1306" spans="3:8" x14ac:dyDescent="0.3">
      <c r="C1306"/>
      <c r="D1306"/>
      <c r="E1306"/>
      <c r="F1306"/>
      <c r="G1306"/>
      <c r="H1306"/>
    </row>
    <row r="1307" spans="3:8" x14ac:dyDescent="0.3">
      <c r="C1307"/>
      <c r="D1307"/>
      <c r="E1307"/>
      <c r="F1307"/>
      <c r="G1307"/>
      <c r="H1307"/>
    </row>
    <row r="1308" spans="3:8" x14ac:dyDescent="0.3">
      <c r="C1308"/>
      <c r="D1308"/>
      <c r="E1308"/>
      <c r="F1308"/>
      <c r="G1308"/>
      <c r="H1308"/>
    </row>
    <row r="1309" spans="3:8" x14ac:dyDescent="0.3">
      <c r="C1309"/>
      <c r="D1309"/>
      <c r="E1309"/>
      <c r="F1309"/>
      <c r="G1309"/>
      <c r="H1309"/>
    </row>
    <row r="1310" spans="3:8" x14ac:dyDescent="0.3">
      <c r="C1310"/>
      <c r="D1310"/>
      <c r="E1310"/>
      <c r="F1310"/>
      <c r="G1310"/>
      <c r="H1310"/>
    </row>
    <row r="1311" spans="3:8" x14ac:dyDescent="0.3">
      <c r="C1311"/>
      <c r="D1311"/>
      <c r="E1311"/>
      <c r="F1311"/>
      <c r="G1311"/>
      <c r="H1311"/>
    </row>
    <row r="1312" spans="3:8" x14ac:dyDescent="0.3">
      <c r="C1312"/>
      <c r="D1312"/>
      <c r="E1312"/>
      <c r="F1312"/>
      <c r="G1312"/>
      <c r="H1312"/>
    </row>
    <row r="1313" spans="3:8" x14ac:dyDescent="0.3">
      <c r="C1313"/>
      <c r="D1313"/>
      <c r="E1313"/>
      <c r="F1313"/>
      <c r="G1313"/>
      <c r="H1313"/>
    </row>
    <row r="1314" spans="3:8" x14ac:dyDescent="0.3">
      <c r="C1314"/>
      <c r="D1314"/>
      <c r="E1314"/>
      <c r="F1314"/>
      <c r="G1314"/>
      <c r="H1314"/>
    </row>
    <row r="1315" spans="3:8" x14ac:dyDescent="0.3">
      <c r="C1315"/>
      <c r="D1315"/>
      <c r="E1315"/>
      <c r="F1315"/>
      <c r="G1315"/>
      <c r="H1315"/>
    </row>
    <row r="1316" spans="3:8" x14ac:dyDescent="0.3">
      <c r="C1316"/>
      <c r="D1316"/>
      <c r="E1316"/>
      <c r="F1316"/>
      <c r="G1316"/>
      <c r="H1316"/>
    </row>
    <row r="1317" spans="3:8" x14ac:dyDescent="0.3">
      <c r="C1317"/>
      <c r="D1317"/>
      <c r="E1317"/>
      <c r="F1317"/>
      <c r="G1317"/>
      <c r="H1317"/>
    </row>
    <row r="1318" spans="3:8" x14ac:dyDescent="0.3">
      <c r="C1318"/>
      <c r="D1318"/>
      <c r="E1318"/>
      <c r="F1318"/>
      <c r="G1318"/>
      <c r="H1318"/>
    </row>
    <row r="1319" spans="3:8" x14ac:dyDescent="0.3">
      <c r="C1319"/>
      <c r="D1319"/>
      <c r="E1319"/>
      <c r="F1319"/>
      <c r="G1319"/>
      <c r="H1319"/>
    </row>
    <row r="1320" spans="3:8" x14ac:dyDescent="0.3">
      <c r="C1320"/>
      <c r="D1320"/>
      <c r="E1320"/>
      <c r="F1320"/>
      <c r="G1320"/>
      <c r="H1320"/>
    </row>
    <row r="1321" spans="3:8" x14ac:dyDescent="0.3">
      <c r="C1321"/>
      <c r="D1321"/>
      <c r="E1321"/>
      <c r="F1321"/>
      <c r="G1321"/>
      <c r="H1321"/>
    </row>
    <row r="1322" spans="3:8" x14ac:dyDescent="0.3">
      <c r="C1322"/>
      <c r="D1322"/>
      <c r="E1322"/>
      <c r="F1322"/>
      <c r="G1322"/>
      <c r="H1322"/>
    </row>
    <row r="1323" spans="3:8" x14ac:dyDescent="0.3">
      <c r="C1323"/>
      <c r="D1323"/>
      <c r="E1323"/>
      <c r="F1323"/>
      <c r="G1323"/>
      <c r="H1323"/>
    </row>
    <row r="1324" spans="3:8" x14ac:dyDescent="0.3">
      <c r="C1324"/>
      <c r="D1324"/>
      <c r="E1324"/>
      <c r="F1324"/>
      <c r="G1324"/>
      <c r="H1324"/>
    </row>
    <row r="1325" spans="3:8" x14ac:dyDescent="0.3">
      <c r="C1325"/>
      <c r="D1325"/>
      <c r="E1325"/>
      <c r="F1325"/>
      <c r="G1325"/>
      <c r="H1325"/>
    </row>
    <row r="1326" spans="3:8" x14ac:dyDescent="0.3">
      <c r="C1326"/>
      <c r="D1326"/>
      <c r="E1326"/>
      <c r="F1326"/>
      <c r="G1326"/>
      <c r="H1326"/>
    </row>
    <row r="1327" spans="3:8" x14ac:dyDescent="0.3">
      <c r="C1327"/>
      <c r="D1327"/>
      <c r="E1327"/>
      <c r="F1327"/>
      <c r="G1327"/>
      <c r="H1327"/>
    </row>
    <row r="1328" spans="3:8" x14ac:dyDescent="0.3">
      <c r="C1328"/>
      <c r="D1328"/>
      <c r="E1328"/>
      <c r="F1328"/>
      <c r="G1328"/>
      <c r="H1328"/>
    </row>
    <row r="1329" spans="3:8" x14ac:dyDescent="0.3">
      <c r="C1329"/>
      <c r="D1329"/>
      <c r="E1329"/>
      <c r="F1329"/>
      <c r="G1329"/>
      <c r="H1329"/>
    </row>
    <row r="1330" spans="3:8" x14ac:dyDescent="0.3">
      <c r="C1330"/>
      <c r="D1330"/>
      <c r="E1330"/>
      <c r="F1330"/>
      <c r="G1330"/>
      <c r="H1330"/>
    </row>
    <row r="1331" spans="3:8" x14ac:dyDescent="0.3">
      <c r="C1331"/>
      <c r="D1331"/>
      <c r="E1331"/>
      <c r="F1331"/>
      <c r="G1331"/>
      <c r="H1331"/>
    </row>
    <row r="1332" spans="3:8" x14ac:dyDescent="0.3">
      <c r="C1332"/>
      <c r="D1332"/>
      <c r="E1332"/>
      <c r="F1332"/>
      <c r="G1332"/>
      <c r="H1332"/>
    </row>
    <row r="1333" spans="3:8" x14ac:dyDescent="0.3">
      <c r="C1333"/>
      <c r="D1333"/>
      <c r="E1333"/>
      <c r="F1333"/>
      <c r="G1333"/>
      <c r="H1333"/>
    </row>
    <row r="1334" spans="3:8" x14ac:dyDescent="0.3">
      <c r="C1334"/>
      <c r="D1334"/>
      <c r="E1334"/>
      <c r="F1334"/>
      <c r="G1334"/>
      <c r="H1334"/>
    </row>
    <row r="1335" spans="3:8" x14ac:dyDescent="0.3">
      <c r="C1335"/>
      <c r="D1335"/>
      <c r="E1335"/>
      <c r="F1335"/>
      <c r="G1335"/>
      <c r="H1335"/>
    </row>
    <row r="1336" spans="3:8" x14ac:dyDescent="0.3">
      <c r="C1336"/>
      <c r="D1336"/>
      <c r="E1336"/>
      <c r="F1336"/>
      <c r="G1336"/>
      <c r="H1336"/>
    </row>
    <row r="1337" spans="3:8" x14ac:dyDescent="0.3">
      <c r="C1337"/>
      <c r="D1337"/>
      <c r="E1337"/>
      <c r="F1337"/>
      <c r="G1337"/>
      <c r="H1337"/>
    </row>
    <row r="1338" spans="3:8" x14ac:dyDescent="0.3">
      <c r="C1338"/>
      <c r="D1338"/>
      <c r="E1338"/>
      <c r="F1338"/>
      <c r="G1338"/>
      <c r="H1338"/>
    </row>
    <row r="1339" spans="3:8" x14ac:dyDescent="0.3">
      <c r="C1339"/>
      <c r="D1339"/>
      <c r="E1339"/>
      <c r="F1339"/>
      <c r="G1339"/>
      <c r="H1339"/>
    </row>
    <row r="1340" spans="3:8" x14ac:dyDescent="0.3">
      <c r="C1340"/>
      <c r="D1340"/>
      <c r="E1340"/>
      <c r="F1340"/>
      <c r="G1340"/>
      <c r="H1340"/>
    </row>
    <row r="1341" spans="3:8" x14ac:dyDescent="0.3">
      <c r="C1341"/>
      <c r="D1341"/>
      <c r="E1341"/>
      <c r="F1341"/>
      <c r="G1341"/>
      <c r="H1341"/>
    </row>
    <row r="1342" spans="3:8" x14ac:dyDescent="0.3">
      <c r="C1342"/>
      <c r="D1342"/>
      <c r="E1342"/>
      <c r="F1342"/>
      <c r="G1342"/>
      <c r="H1342"/>
    </row>
    <row r="1343" spans="3:8" x14ac:dyDescent="0.3">
      <c r="C1343"/>
      <c r="D1343"/>
      <c r="E1343"/>
      <c r="F1343"/>
      <c r="G1343"/>
      <c r="H1343"/>
    </row>
    <row r="1344" spans="3:8" x14ac:dyDescent="0.3">
      <c r="C1344"/>
      <c r="D1344"/>
      <c r="E1344"/>
      <c r="F1344"/>
      <c r="G1344"/>
      <c r="H1344"/>
    </row>
    <row r="1345" spans="3:8" x14ac:dyDescent="0.3">
      <c r="C1345"/>
      <c r="D1345"/>
      <c r="E1345"/>
      <c r="F1345"/>
      <c r="G1345"/>
      <c r="H1345"/>
    </row>
    <row r="1346" spans="3:8" x14ac:dyDescent="0.3">
      <c r="C1346"/>
      <c r="D1346"/>
      <c r="E1346"/>
      <c r="F1346"/>
      <c r="G1346"/>
      <c r="H1346"/>
    </row>
    <row r="1347" spans="3:8" x14ac:dyDescent="0.3">
      <c r="C1347"/>
      <c r="D1347"/>
      <c r="E1347"/>
      <c r="F1347"/>
      <c r="G1347"/>
      <c r="H1347"/>
    </row>
    <row r="1348" spans="3:8" x14ac:dyDescent="0.3">
      <c r="C1348"/>
      <c r="D1348"/>
      <c r="E1348"/>
      <c r="F1348"/>
      <c r="G1348"/>
      <c r="H1348"/>
    </row>
    <row r="1349" spans="3:8" x14ac:dyDescent="0.3">
      <c r="C1349"/>
      <c r="D1349"/>
      <c r="E1349"/>
      <c r="F1349"/>
      <c r="G1349"/>
      <c r="H1349"/>
    </row>
    <row r="1350" spans="3:8" x14ac:dyDescent="0.3">
      <c r="C1350"/>
      <c r="D1350"/>
      <c r="E1350"/>
      <c r="F1350"/>
      <c r="G1350"/>
      <c r="H1350"/>
    </row>
    <row r="1351" spans="3:8" x14ac:dyDescent="0.3">
      <c r="C1351"/>
      <c r="D1351"/>
      <c r="E1351"/>
      <c r="F1351"/>
      <c r="G1351"/>
      <c r="H1351"/>
    </row>
    <row r="1352" spans="3:8" x14ac:dyDescent="0.3">
      <c r="C1352"/>
      <c r="D1352"/>
      <c r="E1352"/>
      <c r="F1352"/>
      <c r="G1352"/>
      <c r="H1352"/>
    </row>
    <row r="1353" spans="3:8" x14ac:dyDescent="0.3">
      <c r="C1353"/>
      <c r="D1353"/>
      <c r="E1353"/>
      <c r="F1353"/>
      <c r="G1353"/>
      <c r="H1353"/>
    </row>
    <row r="1354" spans="3:8" x14ac:dyDescent="0.3">
      <c r="C1354"/>
      <c r="D1354"/>
      <c r="E1354"/>
      <c r="F1354"/>
      <c r="G1354"/>
      <c r="H1354"/>
    </row>
    <row r="1355" spans="3:8" x14ac:dyDescent="0.3">
      <c r="C1355"/>
      <c r="D1355"/>
      <c r="E1355"/>
      <c r="F1355"/>
      <c r="G1355"/>
      <c r="H1355"/>
    </row>
    <row r="1356" spans="3:8" x14ac:dyDescent="0.3">
      <c r="C1356"/>
      <c r="D1356"/>
      <c r="E1356"/>
      <c r="F1356"/>
      <c r="G1356"/>
      <c r="H1356"/>
    </row>
    <row r="1357" spans="3:8" x14ac:dyDescent="0.3">
      <c r="C1357"/>
      <c r="D1357"/>
      <c r="E1357"/>
      <c r="F1357"/>
      <c r="G1357"/>
      <c r="H1357"/>
    </row>
    <row r="1358" spans="3:8" x14ac:dyDescent="0.3">
      <c r="C1358"/>
      <c r="D1358"/>
      <c r="E1358"/>
      <c r="F1358"/>
      <c r="G1358"/>
      <c r="H1358"/>
    </row>
    <row r="1359" spans="3:8" x14ac:dyDescent="0.3">
      <c r="C1359"/>
      <c r="D1359"/>
      <c r="E1359"/>
      <c r="F1359"/>
      <c r="G1359"/>
      <c r="H1359"/>
    </row>
    <row r="1360" spans="3:8" x14ac:dyDescent="0.3">
      <c r="C1360"/>
      <c r="D1360"/>
      <c r="E1360"/>
      <c r="F1360"/>
      <c r="G1360"/>
      <c r="H1360"/>
    </row>
    <row r="1361" spans="3:8" x14ac:dyDescent="0.3">
      <c r="C1361"/>
      <c r="D1361"/>
      <c r="E1361"/>
      <c r="F1361"/>
      <c r="G1361"/>
      <c r="H1361"/>
    </row>
    <row r="1362" spans="3:8" x14ac:dyDescent="0.3">
      <c r="C1362"/>
      <c r="D1362"/>
      <c r="E1362"/>
      <c r="F1362"/>
      <c r="G1362"/>
      <c r="H1362"/>
    </row>
    <row r="1363" spans="3:8" x14ac:dyDescent="0.3">
      <c r="C1363"/>
      <c r="D1363"/>
      <c r="E1363"/>
      <c r="F1363"/>
      <c r="G1363"/>
      <c r="H1363"/>
    </row>
    <row r="1364" spans="3:8" x14ac:dyDescent="0.3">
      <c r="C1364"/>
      <c r="D1364"/>
      <c r="E1364"/>
      <c r="F1364"/>
      <c r="G1364"/>
      <c r="H1364"/>
    </row>
    <row r="1365" spans="3:8" x14ac:dyDescent="0.3">
      <c r="C1365"/>
      <c r="D1365"/>
      <c r="E1365"/>
      <c r="F1365"/>
      <c r="G1365"/>
      <c r="H1365"/>
    </row>
    <row r="1366" spans="3:8" x14ac:dyDescent="0.3">
      <c r="C1366"/>
      <c r="D1366"/>
      <c r="E1366"/>
      <c r="F1366"/>
      <c r="G1366"/>
      <c r="H1366"/>
    </row>
    <row r="1367" spans="3:8" x14ac:dyDescent="0.3">
      <c r="C1367"/>
      <c r="D1367"/>
      <c r="E1367"/>
      <c r="F1367"/>
      <c r="G1367"/>
      <c r="H1367"/>
    </row>
    <row r="1368" spans="3:8" x14ac:dyDescent="0.3">
      <c r="C1368"/>
      <c r="D1368"/>
      <c r="E1368"/>
      <c r="F1368"/>
      <c r="G1368"/>
      <c r="H1368"/>
    </row>
    <row r="1369" spans="3:8" x14ac:dyDescent="0.3">
      <c r="C1369"/>
      <c r="D1369"/>
      <c r="E1369"/>
      <c r="F1369"/>
      <c r="G1369"/>
      <c r="H1369"/>
    </row>
    <row r="1370" spans="3:8" x14ac:dyDescent="0.3">
      <c r="C1370"/>
      <c r="D1370"/>
      <c r="E1370"/>
      <c r="F1370"/>
      <c r="G1370"/>
      <c r="H1370"/>
    </row>
    <row r="1371" spans="3:8" x14ac:dyDescent="0.3">
      <c r="C1371"/>
      <c r="D1371"/>
      <c r="E1371"/>
      <c r="F1371"/>
      <c r="G1371"/>
      <c r="H1371"/>
    </row>
    <row r="1372" spans="3:8" x14ac:dyDescent="0.3">
      <c r="C1372"/>
      <c r="D1372"/>
      <c r="E1372"/>
      <c r="F1372"/>
      <c r="G1372"/>
      <c r="H1372"/>
    </row>
    <row r="1373" spans="3:8" x14ac:dyDescent="0.3">
      <c r="C1373"/>
      <c r="D1373"/>
      <c r="E1373"/>
      <c r="F1373"/>
      <c r="G1373"/>
      <c r="H1373"/>
    </row>
    <row r="1374" spans="3:8" x14ac:dyDescent="0.3">
      <c r="C1374"/>
      <c r="D1374"/>
      <c r="E1374"/>
      <c r="F1374"/>
      <c r="G1374"/>
      <c r="H1374"/>
    </row>
    <row r="1375" spans="3:8" x14ac:dyDescent="0.3">
      <c r="C1375"/>
      <c r="D1375"/>
      <c r="E1375"/>
      <c r="F1375"/>
      <c r="G1375"/>
      <c r="H1375"/>
    </row>
    <row r="1376" spans="3:8" x14ac:dyDescent="0.3">
      <c r="C1376"/>
      <c r="D1376"/>
      <c r="E1376"/>
      <c r="F1376"/>
      <c r="G1376"/>
      <c r="H1376"/>
    </row>
    <row r="1377" spans="3:8" x14ac:dyDescent="0.3">
      <c r="C1377"/>
      <c r="D1377"/>
      <c r="E1377"/>
      <c r="F1377"/>
      <c r="G1377"/>
      <c r="H1377"/>
    </row>
    <row r="1378" spans="3:8" x14ac:dyDescent="0.3">
      <c r="C1378"/>
      <c r="D1378"/>
      <c r="E1378"/>
      <c r="F1378"/>
      <c r="G1378"/>
      <c r="H1378"/>
    </row>
    <row r="1379" spans="3:8" x14ac:dyDescent="0.3">
      <c r="C1379"/>
      <c r="D1379"/>
      <c r="E1379"/>
      <c r="F1379"/>
      <c r="G1379"/>
      <c r="H1379"/>
    </row>
    <row r="1380" spans="3:8" x14ac:dyDescent="0.3">
      <c r="C1380"/>
      <c r="D1380"/>
      <c r="E1380"/>
      <c r="F1380"/>
      <c r="G1380"/>
      <c r="H1380"/>
    </row>
    <row r="1381" spans="3:8" x14ac:dyDescent="0.3">
      <c r="C1381"/>
      <c r="D1381"/>
      <c r="E1381"/>
      <c r="F1381"/>
      <c r="G1381"/>
      <c r="H1381"/>
    </row>
    <row r="1382" spans="3:8" x14ac:dyDescent="0.3">
      <c r="C1382"/>
      <c r="D1382"/>
      <c r="E1382"/>
      <c r="F1382"/>
      <c r="G1382"/>
      <c r="H1382"/>
    </row>
    <row r="1383" spans="3:8" x14ac:dyDescent="0.3">
      <c r="C1383"/>
      <c r="D1383"/>
      <c r="E1383"/>
      <c r="F1383"/>
      <c r="G1383"/>
      <c r="H1383"/>
    </row>
    <row r="1384" spans="3:8" x14ac:dyDescent="0.3">
      <c r="C1384"/>
      <c r="D1384"/>
      <c r="E1384"/>
      <c r="F1384"/>
      <c r="G1384"/>
      <c r="H1384"/>
    </row>
    <row r="1385" spans="3:8" x14ac:dyDescent="0.3">
      <c r="C1385"/>
      <c r="D1385"/>
      <c r="E1385"/>
      <c r="F1385"/>
      <c r="G1385"/>
      <c r="H1385"/>
    </row>
    <row r="1386" spans="3:8" x14ac:dyDescent="0.3">
      <c r="C1386"/>
      <c r="D1386"/>
      <c r="E1386"/>
      <c r="F1386"/>
      <c r="G1386"/>
      <c r="H1386"/>
    </row>
    <row r="1387" spans="3:8" x14ac:dyDescent="0.3">
      <c r="C1387"/>
      <c r="D1387"/>
      <c r="E1387"/>
      <c r="F1387"/>
      <c r="G1387"/>
      <c r="H1387"/>
    </row>
    <row r="1388" spans="3:8" x14ac:dyDescent="0.3">
      <c r="C1388"/>
      <c r="D1388"/>
      <c r="E1388"/>
      <c r="F1388"/>
      <c r="G1388"/>
      <c r="H1388"/>
    </row>
    <row r="1389" spans="3:8" x14ac:dyDescent="0.3">
      <c r="C1389"/>
      <c r="D1389"/>
      <c r="E1389"/>
      <c r="F1389"/>
      <c r="G1389"/>
      <c r="H1389"/>
    </row>
    <row r="1390" spans="3:8" x14ac:dyDescent="0.3">
      <c r="C1390"/>
      <c r="D1390"/>
      <c r="E1390"/>
      <c r="F1390"/>
      <c r="G1390"/>
      <c r="H1390"/>
    </row>
    <row r="1391" spans="3:8" x14ac:dyDescent="0.3">
      <c r="C1391"/>
      <c r="D1391"/>
      <c r="E1391"/>
      <c r="F1391"/>
      <c r="G1391"/>
      <c r="H1391"/>
    </row>
    <row r="1392" spans="3:8" x14ac:dyDescent="0.3">
      <c r="C1392"/>
      <c r="D1392"/>
      <c r="E1392"/>
      <c r="F1392"/>
      <c r="G1392"/>
      <c r="H1392"/>
    </row>
    <row r="1393" spans="3:8" x14ac:dyDescent="0.3">
      <c r="C1393"/>
      <c r="D1393"/>
      <c r="E1393"/>
      <c r="F1393"/>
      <c r="G1393"/>
      <c r="H1393"/>
    </row>
    <row r="1394" spans="3:8" x14ac:dyDescent="0.3">
      <c r="C1394"/>
      <c r="D1394"/>
      <c r="E1394"/>
      <c r="F1394"/>
      <c r="G1394"/>
      <c r="H1394"/>
    </row>
    <row r="1395" spans="3:8" x14ac:dyDescent="0.3">
      <c r="C1395"/>
      <c r="D1395"/>
      <c r="E1395"/>
      <c r="F1395"/>
      <c r="G1395"/>
      <c r="H1395"/>
    </row>
    <row r="1396" spans="3:8" x14ac:dyDescent="0.3">
      <c r="C1396"/>
      <c r="D1396"/>
      <c r="E1396"/>
      <c r="F1396"/>
      <c r="G1396"/>
      <c r="H1396"/>
    </row>
    <row r="1397" spans="3:8" x14ac:dyDescent="0.3">
      <c r="C1397"/>
      <c r="D1397"/>
      <c r="E1397"/>
      <c r="F1397"/>
      <c r="G1397"/>
      <c r="H1397"/>
    </row>
    <row r="1398" spans="3:8" x14ac:dyDescent="0.3">
      <c r="C1398"/>
      <c r="D1398"/>
      <c r="E1398"/>
      <c r="F1398"/>
      <c r="G1398"/>
      <c r="H1398"/>
    </row>
    <row r="1399" spans="3:8" x14ac:dyDescent="0.3">
      <c r="C1399"/>
      <c r="D1399"/>
      <c r="E1399"/>
      <c r="F1399"/>
      <c r="G1399"/>
      <c r="H1399"/>
    </row>
    <row r="1400" spans="3:8" x14ac:dyDescent="0.3">
      <c r="C1400"/>
      <c r="D1400"/>
      <c r="E1400"/>
      <c r="F1400"/>
      <c r="G1400"/>
      <c r="H1400"/>
    </row>
    <row r="1401" spans="3:8" x14ac:dyDescent="0.3">
      <c r="C1401"/>
      <c r="D1401"/>
      <c r="E1401"/>
      <c r="F1401"/>
      <c r="G1401"/>
      <c r="H1401"/>
    </row>
    <row r="1402" spans="3:8" x14ac:dyDescent="0.3">
      <c r="C1402"/>
      <c r="D1402"/>
      <c r="E1402"/>
      <c r="F1402"/>
      <c r="G1402"/>
      <c r="H1402"/>
    </row>
    <row r="1403" spans="3:8" x14ac:dyDescent="0.3">
      <c r="C1403"/>
      <c r="D1403"/>
      <c r="E1403"/>
      <c r="F1403"/>
      <c r="G1403"/>
      <c r="H1403"/>
    </row>
    <row r="1404" spans="3:8" x14ac:dyDescent="0.3">
      <c r="C1404"/>
      <c r="D1404"/>
      <c r="E1404"/>
      <c r="F1404"/>
      <c r="G1404"/>
      <c r="H1404"/>
    </row>
    <row r="1405" spans="3:8" x14ac:dyDescent="0.3">
      <c r="C1405"/>
      <c r="D1405"/>
      <c r="E1405"/>
      <c r="F1405"/>
      <c r="G1405"/>
      <c r="H1405"/>
    </row>
    <row r="1406" spans="3:8" x14ac:dyDescent="0.3">
      <c r="C1406"/>
      <c r="D1406"/>
      <c r="E1406"/>
      <c r="F1406"/>
      <c r="G1406"/>
      <c r="H1406"/>
    </row>
    <row r="1407" spans="3:8" x14ac:dyDescent="0.3">
      <c r="C1407"/>
      <c r="D1407"/>
      <c r="E1407"/>
      <c r="F1407"/>
      <c r="G1407"/>
      <c r="H1407"/>
    </row>
    <row r="1408" spans="3:8" x14ac:dyDescent="0.3">
      <c r="C1408"/>
      <c r="D1408"/>
      <c r="E1408"/>
      <c r="F1408"/>
      <c r="G1408"/>
      <c r="H1408"/>
    </row>
    <row r="1409" spans="3:8" x14ac:dyDescent="0.3">
      <c r="C1409"/>
      <c r="D1409"/>
      <c r="E1409"/>
      <c r="F1409"/>
      <c r="G1409"/>
      <c r="H1409"/>
    </row>
    <row r="1410" spans="3:8" x14ac:dyDescent="0.3">
      <c r="C1410"/>
      <c r="D1410"/>
      <c r="E1410"/>
      <c r="F1410"/>
      <c r="G1410"/>
      <c r="H1410"/>
    </row>
    <row r="1411" spans="3:8" x14ac:dyDescent="0.3">
      <c r="C1411"/>
      <c r="D1411"/>
      <c r="E1411"/>
      <c r="F1411"/>
      <c r="G1411"/>
      <c r="H1411"/>
    </row>
    <row r="1412" spans="3:8" x14ac:dyDescent="0.3">
      <c r="C1412"/>
      <c r="D1412"/>
      <c r="E1412"/>
      <c r="F1412"/>
      <c r="G1412"/>
      <c r="H1412"/>
    </row>
    <row r="1413" spans="3:8" x14ac:dyDescent="0.3">
      <c r="C1413"/>
      <c r="D1413"/>
      <c r="E1413"/>
      <c r="F1413"/>
      <c r="G1413"/>
      <c r="H1413"/>
    </row>
    <row r="1414" spans="3:8" x14ac:dyDescent="0.3">
      <c r="C1414"/>
      <c r="D1414"/>
      <c r="E1414"/>
      <c r="F1414"/>
      <c r="G1414"/>
      <c r="H1414"/>
    </row>
    <row r="1415" spans="3:8" x14ac:dyDescent="0.3">
      <c r="C1415"/>
      <c r="D1415"/>
      <c r="E1415"/>
      <c r="F1415"/>
      <c r="G1415"/>
      <c r="H1415"/>
    </row>
    <row r="1416" spans="3:8" x14ac:dyDescent="0.3">
      <c r="C1416"/>
      <c r="D1416"/>
      <c r="E1416"/>
      <c r="F1416"/>
      <c r="G1416"/>
      <c r="H1416"/>
    </row>
    <row r="1417" spans="3:8" x14ac:dyDescent="0.3">
      <c r="C1417"/>
      <c r="D1417"/>
      <c r="E1417"/>
      <c r="F1417"/>
      <c r="G1417"/>
      <c r="H1417"/>
    </row>
    <row r="1418" spans="3:8" x14ac:dyDescent="0.3">
      <c r="C1418"/>
      <c r="D1418"/>
      <c r="E1418"/>
      <c r="F1418"/>
      <c r="G1418"/>
      <c r="H1418"/>
    </row>
    <row r="1419" spans="3:8" x14ac:dyDescent="0.3">
      <c r="C1419"/>
      <c r="D1419"/>
      <c r="E1419"/>
      <c r="F1419"/>
      <c r="G1419"/>
      <c r="H1419"/>
    </row>
    <row r="1420" spans="3:8" x14ac:dyDescent="0.3">
      <c r="C1420"/>
      <c r="D1420"/>
      <c r="E1420"/>
      <c r="F1420"/>
      <c r="G1420"/>
      <c r="H1420"/>
    </row>
    <row r="1421" spans="3:8" x14ac:dyDescent="0.3">
      <c r="C1421"/>
      <c r="D1421"/>
      <c r="E1421"/>
      <c r="F1421"/>
      <c r="G1421"/>
      <c r="H1421"/>
    </row>
    <row r="1422" spans="3:8" x14ac:dyDescent="0.3">
      <c r="C1422"/>
      <c r="D1422"/>
      <c r="E1422"/>
      <c r="F1422"/>
      <c r="G1422"/>
      <c r="H1422"/>
    </row>
    <row r="1423" spans="3:8" x14ac:dyDescent="0.3">
      <c r="C1423"/>
      <c r="D1423"/>
      <c r="E1423"/>
      <c r="F1423"/>
      <c r="G1423"/>
      <c r="H1423"/>
    </row>
    <row r="1424" spans="3:8" x14ac:dyDescent="0.3">
      <c r="C1424"/>
      <c r="D1424"/>
      <c r="E1424"/>
      <c r="F1424"/>
      <c r="G1424"/>
      <c r="H1424"/>
    </row>
    <row r="1425" spans="3:8" x14ac:dyDescent="0.3">
      <c r="C1425"/>
      <c r="D1425"/>
      <c r="E1425"/>
      <c r="F1425"/>
      <c r="G1425"/>
      <c r="H1425"/>
    </row>
    <row r="1426" spans="3:8" x14ac:dyDescent="0.3">
      <c r="C1426"/>
      <c r="D1426"/>
      <c r="E1426"/>
      <c r="F1426"/>
      <c r="G1426"/>
      <c r="H1426"/>
    </row>
    <row r="1427" spans="3:8" x14ac:dyDescent="0.3">
      <c r="C1427"/>
      <c r="D1427"/>
      <c r="E1427"/>
      <c r="F1427"/>
      <c r="G1427"/>
      <c r="H1427"/>
    </row>
    <row r="1428" spans="3:8" x14ac:dyDescent="0.3">
      <c r="C1428"/>
      <c r="D1428"/>
      <c r="E1428"/>
      <c r="F1428"/>
      <c r="G1428"/>
      <c r="H1428"/>
    </row>
    <row r="1429" spans="3:8" x14ac:dyDescent="0.3">
      <c r="C1429"/>
      <c r="D1429"/>
      <c r="E1429"/>
      <c r="F1429"/>
      <c r="G1429"/>
      <c r="H1429"/>
    </row>
    <row r="1430" spans="3:8" x14ac:dyDescent="0.3">
      <c r="C1430"/>
      <c r="D1430"/>
      <c r="E1430"/>
      <c r="F1430"/>
      <c r="G1430"/>
      <c r="H1430"/>
    </row>
    <row r="1431" spans="3:8" x14ac:dyDescent="0.3">
      <c r="C1431"/>
      <c r="D1431"/>
      <c r="E1431"/>
      <c r="F1431"/>
      <c r="G1431"/>
      <c r="H1431"/>
    </row>
    <row r="1432" spans="3:8" x14ac:dyDescent="0.3">
      <c r="C1432"/>
      <c r="D1432"/>
      <c r="E1432"/>
      <c r="F1432"/>
      <c r="G1432"/>
      <c r="H1432"/>
    </row>
    <row r="1433" spans="3:8" x14ac:dyDescent="0.3">
      <c r="C1433"/>
      <c r="D1433"/>
      <c r="E1433"/>
      <c r="F1433"/>
      <c r="G1433"/>
      <c r="H1433"/>
    </row>
    <row r="1434" spans="3:8" x14ac:dyDescent="0.3">
      <c r="C1434"/>
      <c r="D1434"/>
      <c r="E1434"/>
      <c r="F1434"/>
      <c r="G1434"/>
      <c r="H1434"/>
    </row>
    <row r="1435" spans="3:8" x14ac:dyDescent="0.3">
      <c r="C1435"/>
      <c r="D1435"/>
      <c r="E1435"/>
      <c r="F1435"/>
      <c r="G1435"/>
      <c r="H1435"/>
    </row>
    <row r="1436" spans="3:8" x14ac:dyDescent="0.3">
      <c r="C1436"/>
      <c r="D1436"/>
      <c r="E1436"/>
      <c r="F1436"/>
      <c r="G1436"/>
      <c r="H1436"/>
    </row>
    <row r="1437" spans="3:8" x14ac:dyDescent="0.3">
      <c r="C1437"/>
      <c r="D1437"/>
      <c r="E1437"/>
      <c r="F1437"/>
      <c r="G1437"/>
      <c r="H1437"/>
    </row>
    <row r="1438" spans="3:8" x14ac:dyDescent="0.3">
      <c r="C1438"/>
      <c r="D1438"/>
      <c r="E1438"/>
      <c r="F1438"/>
      <c r="G1438"/>
      <c r="H1438"/>
    </row>
    <row r="1439" spans="3:8" x14ac:dyDescent="0.3">
      <c r="C1439"/>
      <c r="D1439"/>
      <c r="E1439"/>
      <c r="F1439"/>
      <c r="G1439"/>
      <c r="H1439"/>
    </row>
    <row r="1440" spans="3:8" x14ac:dyDescent="0.3">
      <c r="C1440"/>
      <c r="D1440"/>
      <c r="E1440"/>
      <c r="F1440"/>
      <c r="G1440"/>
      <c r="H1440"/>
    </row>
    <row r="1441" spans="3:8" x14ac:dyDescent="0.3">
      <c r="C1441"/>
      <c r="D1441"/>
      <c r="E1441"/>
      <c r="F1441"/>
      <c r="G1441"/>
      <c r="H1441"/>
    </row>
    <row r="1442" spans="3:8" x14ac:dyDescent="0.3">
      <c r="C1442"/>
      <c r="D1442"/>
      <c r="E1442"/>
      <c r="F1442"/>
      <c r="G1442"/>
      <c r="H1442"/>
    </row>
    <row r="1443" spans="3:8" x14ac:dyDescent="0.3">
      <c r="C1443"/>
      <c r="D1443"/>
      <c r="E1443"/>
      <c r="F1443"/>
      <c r="G1443"/>
      <c r="H1443"/>
    </row>
    <row r="1444" spans="3:8" x14ac:dyDescent="0.3">
      <c r="C1444"/>
      <c r="D1444"/>
      <c r="E1444"/>
      <c r="F1444"/>
      <c r="G1444"/>
      <c r="H1444"/>
    </row>
    <row r="1445" spans="3:8" x14ac:dyDescent="0.3">
      <c r="C1445"/>
      <c r="D1445"/>
      <c r="E1445"/>
      <c r="F1445"/>
      <c r="G1445"/>
      <c r="H1445"/>
    </row>
    <row r="1446" spans="3:8" x14ac:dyDescent="0.3">
      <c r="C1446"/>
      <c r="D1446"/>
      <c r="E1446"/>
      <c r="F1446"/>
      <c r="G1446"/>
      <c r="H1446"/>
    </row>
    <row r="1447" spans="3:8" x14ac:dyDescent="0.3">
      <c r="C1447"/>
      <c r="D1447"/>
      <c r="E1447"/>
      <c r="F1447"/>
      <c r="G1447"/>
      <c r="H1447"/>
    </row>
    <row r="1448" spans="3:8" x14ac:dyDescent="0.3">
      <c r="C1448"/>
      <c r="D1448"/>
      <c r="E1448"/>
      <c r="F1448"/>
      <c r="G1448"/>
      <c r="H1448"/>
    </row>
    <row r="1449" spans="3:8" x14ac:dyDescent="0.3">
      <c r="C1449"/>
      <c r="D1449"/>
      <c r="E1449"/>
      <c r="F1449"/>
      <c r="G1449"/>
      <c r="H1449"/>
    </row>
    <row r="1450" spans="3:8" x14ac:dyDescent="0.3">
      <c r="C1450"/>
      <c r="D1450"/>
      <c r="E1450"/>
      <c r="F1450"/>
      <c r="G1450"/>
      <c r="H1450"/>
    </row>
    <row r="1451" spans="3:8" x14ac:dyDescent="0.3">
      <c r="C1451"/>
      <c r="D1451"/>
      <c r="E1451"/>
      <c r="F1451"/>
      <c r="G1451"/>
      <c r="H1451"/>
    </row>
    <row r="1452" spans="3:8" x14ac:dyDescent="0.3">
      <c r="C1452"/>
      <c r="D1452"/>
      <c r="E1452"/>
      <c r="F1452"/>
      <c r="G1452"/>
      <c r="H1452"/>
    </row>
    <row r="1453" spans="3:8" x14ac:dyDescent="0.3">
      <c r="C1453"/>
      <c r="D1453"/>
      <c r="E1453"/>
      <c r="F1453"/>
      <c r="G1453"/>
      <c r="H1453"/>
    </row>
    <row r="1454" spans="3:8" x14ac:dyDescent="0.3">
      <c r="C1454"/>
      <c r="D1454"/>
      <c r="E1454"/>
      <c r="F1454"/>
      <c r="G1454"/>
      <c r="H1454"/>
    </row>
    <row r="1455" spans="3:8" x14ac:dyDescent="0.3">
      <c r="C1455"/>
      <c r="D1455"/>
      <c r="E1455"/>
      <c r="F1455"/>
      <c r="G1455"/>
      <c r="H1455"/>
    </row>
    <row r="1456" spans="3:8" x14ac:dyDescent="0.3">
      <c r="C1456"/>
      <c r="D1456"/>
      <c r="E1456"/>
      <c r="F1456"/>
      <c r="G1456"/>
      <c r="H1456"/>
    </row>
    <row r="1457" spans="3:8" x14ac:dyDescent="0.3">
      <c r="C1457"/>
      <c r="D1457"/>
      <c r="E1457"/>
      <c r="F1457"/>
      <c r="G1457"/>
      <c r="H1457"/>
    </row>
    <row r="1458" spans="3:8" x14ac:dyDescent="0.3">
      <c r="C1458"/>
      <c r="D1458"/>
      <c r="E1458"/>
      <c r="F1458"/>
      <c r="G1458"/>
      <c r="H1458"/>
    </row>
    <row r="1459" spans="3:8" x14ac:dyDescent="0.3">
      <c r="C1459"/>
      <c r="D1459"/>
      <c r="E1459"/>
      <c r="F1459"/>
      <c r="G1459"/>
      <c r="H1459"/>
    </row>
    <row r="1460" spans="3:8" x14ac:dyDescent="0.3">
      <c r="C1460"/>
      <c r="D1460"/>
      <c r="E1460"/>
      <c r="F1460"/>
      <c r="G1460"/>
      <c r="H1460"/>
    </row>
    <row r="1461" spans="3:8" x14ac:dyDescent="0.3">
      <c r="C1461"/>
      <c r="D1461"/>
      <c r="E1461"/>
      <c r="F1461"/>
      <c r="G1461"/>
      <c r="H1461"/>
    </row>
    <row r="1462" spans="3:8" x14ac:dyDescent="0.3">
      <c r="C1462"/>
      <c r="D1462"/>
      <c r="E1462"/>
      <c r="F1462"/>
      <c r="G1462"/>
      <c r="H1462"/>
    </row>
    <row r="1463" spans="3:8" x14ac:dyDescent="0.3">
      <c r="C1463"/>
      <c r="D1463"/>
      <c r="E1463"/>
      <c r="F1463"/>
      <c r="G1463"/>
      <c r="H1463"/>
    </row>
    <row r="1464" spans="3:8" x14ac:dyDescent="0.3">
      <c r="C1464"/>
      <c r="D1464"/>
      <c r="E1464"/>
      <c r="F1464"/>
      <c r="G1464"/>
      <c r="H1464"/>
    </row>
    <row r="1465" spans="3:8" x14ac:dyDescent="0.3">
      <c r="C1465"/>
      <c r="D1465"/>
      <c r="E1465"/>
      <c r="F1465"/>
      <c r="G1465"/>
      <c r="H1465"/>
    </row>
    <row r="1466" spans="3:8" x14ac:dyDescent="0.3">
      <c r="C1466"/>
      <c r="D1466"/>
      <c r="E1466"/>
      <c r="F1466"/>
      <c r="G1466"/>
      <c r="H1466"/>
    </row>
    <row r="1467" spans="3:8" x14ac:dyDescent="0.3">
      <c r="C1467"/>
      <c r="D1467"/>
      <c r="E1467"/>
      <c r="F1467"/>
      <c r="G1467"/>
      <c r="H1467"/>
    </row>
    <row r="1468" spans="3:8" x14ac:dyDescent="0.3">
      <c r="C1468"/>
      <c r="D1468"/>
      <c r="E1468"/>
      <c r="F1468"/>
      <c r="G1468"/>
      <c r="H1468"/>
    </row>
    <row r="1469" spans="3:8" x14ac:dyDescent="0.3">
      <c r="C1469"/>
      <c r="D1469"/>
      <c r="E1469"/>
      <c r="F1469"/>
      <c r="G1469"/>
      <c r="H1469"/>
    </row>
    <row r="1470" spans="3:8" x14ac:dyDescent="0.3">
      <c r="C1470"/>
      <c r="D1470"/>
      <c r="E1470"/>
      <c r="F1470"/>
      <c r="G1470"/>
      <c r="H1470"/>
    </row>
    <row r="1471" spans="3:8" x14ac:dyDescent="0.3">
      <c r="C1471"/>
      <c r="D1471"/>
      <c r="E1471"/>
      <c r="F1471"/>
      <c r="G1471"/>
      <c r="H1471"/>
    </row>
    <row r="1472" spans="3:8" x14ac:dyDescent="0.3">
      <c r="C1472"/>
      <c r="D1472"/>
      <c r="E1472"/>
      <c r="F1472"/>
      <c r="G1472"/>
      <c r="H1472"/>
    </row>
    <row r="1473" spans="3:8" x14ac:dyDescent="0.3">
      <c r="C1473"/>
      <c r="D1473"/>
      <c r="E1473"/>
      <c r="F1473"/>
      <c r="G1473"/>
      <c r="H1473"/>
    </row>
    <row r="1474" spans="3:8" x14ac:dyDescent="0.3">
      <c r="C1474"/>
      <c r="D1474"/>
      <c r="E1474"/>
      <c r="F1474"/>
      <c r="G1474"/>
      <c r="H1474"/>
    </row>
    <row r="1475" spans="3:8" x14ac:dyDescent="0.3">
      <c r="C1475"/>
      <c r="D1475"/>
      <c r="E1475"/>
      <c r="F1475"/>
      <c r="G1475"/>
      <c r="H1475"/>
    </row>
    <row r="1476" spans="3:8" x14ac:dyDescent="0.3">
      <c r="C1476"/>
      <c r="D1476"/>
      <c r="E1476"/>
      <c r="F1476"/>
      <c r="G1476"/>
      <c r="H1476"/>
    </row>
    <row r="1477" spans="3:8" x14ac:dyDescent="0.3">
      <c r="C1477"/>
      <c r="D1477"/>
      <c r="E1477"/>
      <c r="F1477"/>
      <c r="G1477"/>
      <c r="H1477"/>
    </row>
    <row r="1478" spans="3:8" x14ac:dyDescent="0.3">
      <c r="C1478"/>
      <c r="D1478"/>
      <c r="E1478"/>
      <c r="F1478"/>
      <c r="G1478"/>
      <c r="H1478"/>
    </row>
    <row r="1479" spans="3:8" x14ac:dyDescent="0.3">
      <c r="C1479"/>
      <c r="D1479"/>
      <c r="E1479"/>
      <c r="F1479"/>
      <c r="G1479"/>
      <c r="H1479"/>
    </row>
    <row r="1480" spans="3:8" x14ac:dyDescent="0.3">
      <c r="C1480"/>
      <c r="D1480"/>
      <c r="E1480"/>
      <c r="F1480"/>
      <c r="G1480"/>
      <c r="H1480"/>
    </row>
    <row r="1481" spans="3:8" x14ac:dyDescent="0.3">
      <c r="C1481"/>
      <c r="D1481"/>
      <c r="E1481"/>
      <c r="F1481"/>
      <c r="G1481"/>
      <c r="H1481"/>
    </row>
    <row r="1482" spans="3:8" x14ac:dyDescent="0.3">
      <c r="C1482"/>
      <c r="D1482"/>
      <c r="E1482"/>
      <c r="F1482"/>
      <c r="G1482"/>
      <c r="H1482"/>
    </row>
    <row r="1483" spans="3:8" x14ac:dyDescent="0.3">
      <c r="C1483"/>
      <c r="D1483"/>
      <c r="E1483"/>
      <c r="F1483"/>
      <c r="G1483"/>
      <c r="H1483"/>
    </row>
    <row r="1484" spans="3:8" x14ac:dyDescent="0.3">
      <c r="C1484"/>
      <c r="D1484"/>
      <c r="E1484"/>
      <c r="F1484"/>
      <c r="G1484"/>
      <c r="H1484"/>
    </row>
    <row r="1485" spans="3:8" x14ac:dyDescent="0.3">
      <c r="C1485"/>
      <c r="D1485"/>
      <c r="E1485"/>
      <c r="F1485"/>
      <c r="G1485"/>
      <c r="H1485"/>
    </row>
    <row r="1486" spans="3:8" x14ac:dyDescent="0.3">
      <c r="C1486"/>
      <c r="D1486"/>
      <c r="E1486"/>
      <c r="F1486"/>
      <c r="G1486"/>
      <c r="H1486"/>
    </row>
    <row r="1487" spans="3:8" x14ac:dyDescent="0.3">
      <c r="C1487"/>
      <c r="D1487"/>
      <c r="E1487"/>
      <c r="F1487"/>
      <c r="G1487"/>
      <c r="H1487"/>
    </row>
    <row r="1488" spans="3:8" x14ac:dyDescent="0.3">
      <c r="C1488"/>
      <c r="D1488"/>
      <c r="E1488"/>
      <c r="F1488"/>
      <c r="G1488"/>
      <c r="H1488"/>
    </row>
    <row r="1489" spans="3:8" x14ac:dyDescent="0.3">
      <c r="C1489"/>
      <c r="D1489"/>
      <c r="E1489"/>
      <c r="F1489"/>
      <c r="G1489"/>
      <c r="H1489"/>
    </row>
    <row r="1490" spans="3:8" x14ac:dyDescent="0.3">
      <c r="C1490"/>
      <c r="D1490"/>
      <c r="E1490"/>
      <c r="F1490"/>
      <c r="G1490"/>
      <c r="H1490"/>
    </row>
    <row r="1491" spans="3:8" x14ac:dyDescent="0.3">
      <c r="C1491"/>
      <c r="D1491"/>
      <c r="E1491"/>
      <c r="F1491"/>
      <c r="G1491"/>
      <c r="H1491"/>
    </row>
    <row r="1492" spans="3:8" x14ac:dyDescent="0.3">
      <c r="C1492"/>
      <c r="D1492"/>
      <c r="E1492"/>
      <c r="F1492"/>
      <c r="G1492"/>
      <c r="H1492"/>
    </row>
    <row r="1493" spans="3:8" x14ac:dyDescent="0.3">
      <c r="C1493"/>
      <c r="D1493"/>
      <c r="E1493"/>
      <c r="F1493"/>
      <c r="G1493"/>
      <c r="H1493"/>
    </row>
    <row r="1494" spans="3:8" x14ac:dyDescent="0.3">
      <c r="C1494"/>
      <c r="D1494"/>
      <c r="E1494"/>
      <c r="F1494"/>
      <c r="G1494"/>
      <c r="H1494"/>
    </row>
    <row r="1495" spans="3:8" x14ac:dyDescent="0.3">
      <c r="C1495"/>
      <c r="D1495"/>
      <c r="E1495"/>
      <c r="F1495"/>
      <c r="G1495"/>
      <c r="H1495"/>
    </row>
    <row r="1496" spans="3:8" x14ac:dyDescent="0.3">
      <c r="C1496"/>
      <c r="D1496"/>
      <c r="E1496"/>
      <c r="F1496"/>
      <c r="G1496"/>
      <c r="H1496"/>
    </row>
    <row r="1497" spans="3:8" x14ac:dyDescent="0.3">
      <c r="C1497"/>
      <c r="D1497"/>
      <c r="E1497"/>
      <c r="F1497"/>
      <c r="G1497"/>
      <c r="H1497"/>
    </row>
    <row r="1498" spans="3:8" x14ac:dyDescent="0.3">
      <c r="C1498"/>
      <c r="D1498"/>
      <c r="E1498"/>
      <c r="F1498"/>
      <c r="G1498"/>
      <c r="H1498"/>
    </row>
    <row r="1499" spans="3:8" x14ac:dyDescent="0.3">
      <c r="C1499"/>
      <c r="D1499"/>
      <c r="E1499"/>
      <c r="F1499"/>
      <c r="G1499"/>
      <c r="H1499"/>
    </row>
    <row r="1500" spans="3:8" x14ac:dyDescent="0.3">
      <c r="C1500"/>
      <c r="D1500"/>
      <c r="E1500"/>
      <c r="F1500"/>
      <c r="G1500"/>
      <c r="H1500"/>
    </row>
    <row r="1501" spans="3:8" x14ac:dyDescent="0.3">
      <c r="C1501"/>
      <c r="D1501"/>
      <c r="E1501"/>
      <c r="F1501"/>
      <c r="G1501"/>
      <c r="H1501"/>
    </row>
    <row r="1502" spans="3:8" x14ac:dyDescent="0.3">
      <c r="C1502"/>
      <c r="D1502"/>
      <c r="E1502"/>
      <c r="F1502"/>
      <c r="G1502"/>
      <c r="H1502"/>
    </row>
    <row r="1503" spans="3:8" x14ac:dyDescent="0.3">
      <c r="C1503"/>
      <c r="D1503"/>
      <c r="E1503"/>
      <c r="F1503"/>
      <c r="G1503"/>
      <c r="H1503"/>
    </row>
    <row r="1504" spans="3:8" x14ac:dyDescent="0.3">
      <c r="C1504"/>
      <c r="D1504"/>
      <c r="E1504"/>
      <c r="F1504"/>
      <c r="G1504"/>
      <c r="H1504"/>
    </row>
    <row r="1505" spans="3:8" x14ac:dyDescent="0.3">
      <c r="C1505"/>
      <c r="D1505"/>
      <c r="E1505"/>
      <c r="F1505"/>
      <c r="G1505"/>
      <c r="H1505"/>
    </row>
    <row r="1506" spans="3:8" x14ac:dyDescent="0.3">
      <c r="C1506"/>
      <c r="D1506"/>
      <c r="E1506"/>
      <c r="F1506"/>
      <c r="G1506"/>
      <c r="H1506"/>
    </row>
    <row r="1507" spans="3:8" x14ac:dyDescent="0.3">
      <c r="C1507"/>
      <c r="D1507"/>
      <c r="E1507"/>
      <c r="F1507"/>
      <c r="G1507"/>
      <c r="H1507"/>
    </row>
    <row r="1508" spans="3:8" x14ac:dyDescent="0.3">
      <c r="C1508"/>
      <c r="D1508"/>
      <c r="E1508"/>
      <c r="F1508"/>
      <c r="G1508"/>
      <c r="H1508"/>
    </row>
    <row r="1509" spans="3:8" x14ac:dyDescent="0.3">
      <c r="C1509"/>
      <c r="D1509"/>
      <c r="E1509"/>
      <c r="F1509"/>
      <c r="G1509"/>
      <c r="H1509"/>
    </row>
    <row r="1510" spans="3:8" x14ac:dyDescent="0.3">
      <c r="C1510"/>
      <c r="D1510"/>
      <c r="E1510"/>
      <c r="F1510"/>
      <c r="G1510"/>
      <c r="H1510"/>
    </row>
    <row r="1511" spans="3:8" x14ac:dyDescent="0.3">
      <c r="C1511"/>
      <c r="D1511"/>
      <c r="E1511"/>
      <c r="F1511"/>
      <c r="G1511"/>
      <c r="H1511"/>
    </row>
    <row r="1512" spans="3:8" x14ac:dyDescent="0.3">
      <c r="C1512"/>
      <c r="D1512"/>
      <c r="E1512"/>
      <c r="F1512"/>
      <c r="G1512"/>
      <c r="H1512"/>
    </row>
    <row r="1513" spans="3:8" x14ac:dyDescent="0.3">
      <c r="C1513"/>
      <c r="D1513"/>
      <c r="E1513"/>
      <c r="F1513"/>
      <c r="G1513"/>
      <c r="H1513"/>
    </row>
    <row r="1514" spans="3:8" x14ac:dyDescent="0.3">
      <c r="C1514"/>
      <c r="D1514"/>
      <c r="E1514"/>
      <c r="F1514"/>
      <c r="G1514"/>
      <c r="H1514"/>
    </row>
    <row r="1515" spans="3:8" x14ac:dyDescent="0.3">
      <c r="C1515"/>
      <c r="D1515"/>
      <c r="E1515"/>
      <c r="F1515"/>
      <c r="G1515"/>
      <c r="H1515"/>
    </row>
    <row r="1516" spans="3:8" x14ac:dyDescent="0.3">
      <c r="C1516"/>
      <c r="D1516"/>
      <c r="E1516"/>
      <c r="F1516"/>
      <c r="G1516"/>
      <c r="H1516"/>
    </row>
    <row r="1517" spans="3:8" x14ac:dyDescent="0.3">
      <c r="C1517"/>
      <c r="D1517"/>
      <c r="E1517"/>
      <c r="F1517"/>
      <c r="G1517"/>
      <c r="H1517"/>
    </row>
    <row r="1518" spans="3:8" x14ac:dyDescent="0.3">
      <c r="C1518"/>
      <c r="D1518"/>
      <c r="E1518"/>
      <c r="F1518"/>
      <c r="G1518"/>
      <c r="H1518"/>
    </row>
    <row r="1519" spans="3:8" x14ac:dyDescent="0.3">
      <c r="C1519"/>
      <c r="D1519"/>
      <c r="E1519"/>
      <c r="F1519"/>
      <c r="G1519"/>
      <c r="H1519"/>
    </row>
    <row r="1520" spans="3:8" x14ac:dyDescent="0.3">
      <c r="C1520"/>
      <c r="D1520"/>
      <c r="E1520"/>
      <c r="F1520"/>
      <c r="G1520"/>
      <c r="H1520"/>
    </row>
    <row r="1521" spans="3:8" x14ac:dyDescent="0.3">
      <c r="C1521"/>
      <c r="D1521"/>
      <c r="E1521"/>
      <c r="F1521"/>
      <c r="G1521"/>
      <c r="H1521"/>
    </row>
    <row r="1522" spans="3:8" x14ac:dyDescent="0.3">
      <c r="C1522"/>
      <c r="D1522"/>
      <c r="E1522"/>
      <c r="F1522"/>
      <c r="G1522"/>
      <c r="H1522"/>
    </row>
    <row r="1523" spans="3:8" x14ac:dyDescent="0.3">
      <c r="C1523"/>
      <c r="D1523"/>
      <c r="E1523"/>
      <c r="F1523"/>
      <c r="G1523"/>
      <c r="H1523"/>
    </row>
    <row r="1524" spans="3:8" x14ac:dyDescent="0.3">
      <c r="C1524"/>
      <c r="D1524"/>
      <c r="E1524"/>
      <c r="F1524"/>
      <c r="G1524"/>
      <c r="H1524"/>
    </row>
    <row r="1525" spans="3:8" x14ac:dyDescent="0.3">
      <c r="C1525"/>
      <c r="D1525"/>
      <c r="E1525"/>
      <c r="F1525"/>
      <c r="G1525"/>
      <c r="H1525"/>
    </row>
    <row r="1526" spans="3:8" x14ac:dyDescent="0.3">
      <c r="C1526"/>
      <c r="D1526"/>
      <c r="E1526"/>
      <c r="F1526"/>
      <c r="G1526"/>
      <c r="H1526"/>
    </row>
    <row r="1527" spans="3:8" x14ac:dyDescent="0.3">
      <c r="C1527"/>
      <c r="D1527"/>
      <c r="E1527"/>
      <c r="F1527"/>
      <c r="G1527"/>
      <c r="H1527"/>
    </row>
    <row r="1528" spans="3:8" x14ac:dyDescent="0.3">
      <c r="C1528"/>
      <c r="D1528"/>
      <c r="E1528"/>
      <c r="F1528"/>
      <c r="G1528"/>
      <c r="H1528"/>
    </row>
    <row r="1529" spans="3:8" x14ac:dyDescent="0.3">
      <c r="C1529"/>
      <c r="D1529"/>
      <c r="E1529"/>
      <c r="F1529"/>
      <c r="G1529"/>
      <c r="H1529"/>
    </row>
    <row r="1530" spans="3:8" x14ac:dyDescent="0.3">
      <c r="C1530"/>
      <c r="D1530"/>
      <c r="E1530"/>
      <c r="F1530"/>
      <c r="G1530"/>
      <c r="H1530"/>
    </row>
    <row r="1531" spans="3:8" x14ac:dyDescent="0.3">
      <c r="C1531"/>
      <c r="D1531"/>
      <c r="E1531"/>
      <c r="F1531"/>
      <c r="G1531"/>
      <c r="H1531"/>
    </row>
    <row r="1532" spans="3:8" x14ac:dyDescent="0.3">
      <c r="C1532"/>
      <c r="D1532"/>
      <c r="E1532"/>
      <c r="F1532"/>
      <c r="G1532"/>
      <c r="H1532"/>
    </row>
    <row r="1533" spans="3:8" x14ac:dyDescent="0.3">
      <c r="C1533"/>
      <c r="D1533"/>
      <c r="E1533"/>
      <c r="F1533"/>
      <c r="G1533"/>
      <c r="H1533"/>
    </row>
    <row r="1534" spans="3:8" x14ac:dyDescent="0.3">
      <c r="C1534"/>
      <c r="D1534"/>
      <c r="E1534"/>
      <c r="F1534"/>
      <c r="G1534"/>
      <c r="H1534"/>
    </row>
    <row r="1535" spans="3:8" x14ac:dyDescent="0.3">
      <c r="C1535"/>
      <c r="D1535"/>
      <c r="E1535"/>
      <c r="F1535"/>
      <c r="G1535"/>
      <c r="H1535"/>
    </row>
    <row r="1536" spans="3:8" x14ac:dyDescent="0.3">
      <c r="C1536"/>
      <c r="D1536"/>
      <c r="E1536"/>
      <c r="F1536"/>
      <c r="G1536"/>
      <c r="H1536"/>
    </row>
    <row r="1537" spans="3:8" x14ac:dyDescent="0.3">
      <c r="C1537"/>
      <c r="D1537"/>
      <c r="E1537"/>
      <c r="F1537"/>
      <c r="G1537"/>
      <c r="H1537"/>
    </row>
    <row r="1538" spans="3:8" x14ac:dyDescent="0.3">
      <c r="C1538"/>
      <c r="D1538"/>
      <c r="E1538"/>
      <c r="F1538"/>
      <c r="G1538"/>
      <c r="H1538"/>
    </row>
    <row r="1539" spans="3:8" x14ac:dyDescent="0.3">
      <c r="C1539"/>
      <c r="D1539"/>
      <c r="E1539"/>
      <c r="F1539"/>
      <c r="G1539"/>
      <c r="H1539"/>
    </row>
    <row r="1540" spans="3:8" x14ac:dyDescent="0.3">
      <c r="C1540"/>
      <c r="D1540"/>
      <c r="E1540"/>
      <c r="F1540"/>
      <c r="G1540"/>
      <c r="H1540"/>
    </row>
    <row r="1541" spans="3:8" x14ac:dyDescent="0.3">
      <c r="C1541"/>
      <c r="D1541"/>
      <c r="E1541"/>
      <c r="F1541"/>
      <c r="G1541"/>
      <c r="H1541"/>
    </row>
    <row r="1542" spans="3:8" x14ac:dyDescent="0.3">
      <c r="C1542"/>
      <c r="D1542"/>
      <c r="E1542"/>
      <c r="F1542"/>
      <c r="G1542"/>
      <c r="H1542"/>
    </row>
    <row r="1543" spans="3:8" x14ac:dyDescent="0.3">
      <c r="C1543"/>
      <c r="D1543"/>
      <c r="E1543"/>
      <c r="F1543"/>
      <c r="G1543"/>
      <c r="H1543"/>
    </row>
    <row r="1544" spans="3:8" x14ac:dyDescent="0.3">
      <c r="C1544"/>
      <c r="D1544"/>
      <c r="E1544"/>
      <c r="F1544"/>
      <c r="G1544"/>
      <c r="H1544"/>
    </row>
    <row r="1545" spans="3:8" x14ac:dyDescent="0.3">
      <c r="C1545"/>
      <c r="D1545"/>
      <c r="E1545"/>
      <c r="F1545"/>
      <c r="G1545"/>
      <c r="H1545"/>
    </row>
    <row r="1546" spans="3:8" x14ac:dyDescent="0.3">
      <c r="C1546"/>
      <c r="D1546"/>
      <c r="E1546"/>
      <c r="F1546"/>
      <c r="G1546"/>
      <c r="H1546"/>
    </row>
    <row r="1547" spans="3:8" x14ac:dyDescent="0.3">
      <c r="C1547"/>
      <c r="D1547"/>
      <c r="E1547"/>
      <c r="F1547"/>
      <c r="G1547"/>
      <c r="H1547"/>
    </row>
    <row r="1548" spans="3:8" x14ac:dyDescent="0.3">
      <c r="C1548"/>
      <c r="D1548"/>
      <c r="E1548"/>
      <c r="F1548"/>
      <c r="G1548"/>
      <c r="H1548"/>
    </row>
    <row r="1549" spans="3:8" x14ac:dyDescent="0.3">
      <c r="C1549"/>
      <c r="D1549"/>
      <c r="E1549"/>
      <c r="F1549"/>
      <c r="G1549"/>
      <c r="H1549"/>
    </row>
    <row r="1550" spans="3:8" x14ac:dyDescent="0.3">
      <c r="C1550"/>
      <c r="D1550"/>
      <c r="E1550"/>
      <c r="F1550"/>
      <c r="G1550"/>
      <c r="H1550"/>
    </row>
    <row r="1551" spans="3:8" x14ac:dyDescent="0.3">
      <c r="C1551"/>
      <c r="D1551"/>
      <c r="E1551"/>
      <c r="F1551"/>
      <c r="G1551"/>
      <c r="H1551"/>
    </row>
    <row r="1552" spans="3:8" x14ac:dyDescent="0.3">
      <c r="C1552"/>
      <c r="D1552"/>
      <c r="E1552"/>
      <c r="F1552"/>
      <c r="G1552"/>
      <c r="H1552"/>
    </row>
    <row r="1553" spans="3:8" x14ac:dyDescent="0.3">
      <c r="C1553"/>
      <c r="D1553"/>
      <c r="E1553"/>
      <c r="F1553"/>
      <c r="G1553"/>
      <c r="H1553"/>
    </row>
    <row r="1554" spans="3:8" x14ac:dyDescent="0.3">
      <c r="C1554"/>
      <c r="D1554"/>
      <c r="E1554"/>
      <c r="F1554"/>
      <c r="G1554"/>
      <c r="H1554"/>
    </row>
    <row r="1555" spans="3:8" x14ac:dyDescent="0.3">
      <c r="C1555"/>
      <c r="D1555"/>
      <c r="E1555"/>
      <c r="F1555"/>
      <c r="G1555"/>
      <c r="H1555"/>
    </row>
    <row r="1556" spans="3:8" x14ac:dyDescent="0.3">
      <c r="C1556"/>
      <c r="D1556"/>
      <c r="E1556"/>
      <c r="F1556"/>
      <c r="G1556"/>
      <c r="H1556"/>
    </row>
    <row r="1557" spans="3:8" x14ac:dyDescent="0.3">
      <c r="C1557"/>
      <c r="D1557"/>
      <c r="E1557"/>
      <c r="F1557"/>
      <c r="G1557"/>
      <c r="H1557"/>
    </row>
    <row r="1558" spans="3:8" x14ac:dyDescent="0.3">
      <c r="C1558"/>
      <c r="D1558"/>
      <c r="E1558"/>
      <c r="F1558"/>
      <c r="G1558"/>
      <c r="H1558"/>
    </row>
    <row r="1559" spans="3:8" x14ac:dyDescent="0.3">
      <c r="C1559"/>
      <c r="D1559"/>
      <c r="E1559"/>
      <c r="F1559"/>
      <c r="G1559"/>
      <c r="H1559"/>
    </row>
    <row r="1560" spans="3:8" x14ac:dyDescent="0.3">
      <c r="C1560"/>
      <c r="D1560"/>
      <c r="E1560"/>
      <c r="F1560"/>
      <c r="G1560"/>
      <c r="H1560"/>
    </row>
    <row r="1561" spans="3:8" x14ac:dyDescent="0.3">
      <c r="C1561"/>
      <c r="D1561"/>
      <c r="E1561"/>
      <c r="F1561"/>
      <c r="G1561"/>
      <c r="H1561"/>
    </row>
    <row r="1562" spans="3:8" x14ac:dyDescent="0.3">
      <c r="C1562"/>
      <c r="D1562"/>
      <c r="E1562"/>
      <c r="F1562"/>
      <c r="G1562"/>
      <c r="H1562"/>
    </row>
    <row r="1563" spans="3:8" x14ac:dyDescent="0.3">
      <c r="C1563"/>
      <c r="D1563"/>
      <c r="E1563"/>
      <c r="F1563"/>
      <c r="G1563"/>
      <c r="H1563"/>
    </row>
    <row r="1564" spans="3:8" x14ac:dyDescent="0.3">
      <c r="C1564"/>
      <c r="D1564"/>
      <c r="E1564"/>
      <c r="F1564"/>
      <c r="G1564"/>
      <c r="H1564"/>
    </row>
    <row r="1565" spans="3:8" x14ac:dyDescent="0.3">
      <c r="C1565"/>
      <c r="D1565"/>
      <c r="E1565"/>
      <c r="F1565"/>
      <c r="G1565"/>
      <c r="H1565"/>
    </row>
    <row r="1566" spans="3:8" x14ac:dyDescent="0.3">
      <c r="C1566"/>
      <c r="D1566"/>
      <c r="E1566"/>
      <c r="F1566"/>
      <c r="G1566"/>
      <c r="H1566"/>
    </row>
    <row r="1567" spans="3:8" x14ac:dyDescent="0.3">
      <c r="C1567"/>
      <c r="D1567"/>
      <c r="E1567"/>
      <c r="F1567"/>
      <c r="G1567"/>
      <c r="H1567"/>
    </row>
    <row r="1568" spans="3:8" x14ac:dyDescent="0.3">
      <c r="C1568"/>
      <c r="D1568"/>
      <c r="E1568"/>
      <c r="F1568"/>
      <c r="G1568"/>
      <c r="H1568"/>
    </row>
    <row r="1569" spans="3:8" x14ac:dyDescent="0.3">
      <c r="C1569"/>
      <c r="D1569"/>
      <c r="E1569"/>
      <c r="F1569"/>
      <c r="G1569"/>
      <c r="H1569"/>
    </row>
    <row r="1570" spans="3:8" x14ac:dyDescent="0.3">
      <c r="C1570"/>
      <c r="D1570"/>
      <c r="E1570"/>
      <c r="F1570"/>
      <c r="G1570"/>
      <c r="H1570"/>
    </row>
    <row r="1571" spans="3:8" x14ac:dyDescent="0.3">
      <c r="C1571"/>
      <c r="D1571"/>
      <c r="E1571"/>
      <c r="F1571"/>
      <c r="G1571"/>
      <c r="H1571"/>
    </row>
    <row r="1572" spans="3:8" x14ac:dyDescent="0.3">
      <c r="C1572"/>
      <c r="D1572"/>
      <c r="E1572"/>
      <c r="F1572"/>
      <c r="G1572"/>
      <c r="H1572"/>
    </row>
    <row r="1573" spans="3:8" x14ac:dyDescent="0.3">
      <c r="C1573"/>
      <c r="D1573"/>
      <c r="E1573"/>
      <c r="F1573"/>
      <c r="G1573"/>
      <c r="H1573"/>
    </row>
    <row r="1574" spans="3:8" x14ac:dyDescent="0.3">
      <c r="C1574"/>
      <c r="D1574"/>
      <c r="E1574"/>
      <c r="F1574"/>
      <c r="G1574"/>
      <c r="H1574"/>
    </row>
    <row r="1575" spans="3:8" x14ac:dyDescent="0.3">
      <c r="C1575"/>
      <c r="D1575"/>
      <c r="E1575"/>
      <c r="F1575"/>
      <c r="G1575"/>
      <c r="H1575"/>
    </row>
    <row r="1576" spans="3:8" x14ac:dyDescent="0.3">
      <c r="C1576"/>
      <c r="D1576"/>
      <c r="E1576"/>
      <c r="F1576"/>
      <c r="G1576"/>
      <c r="H1576"/>
    </row>
    <row r="1577" spans="3:8" x14ac:dyDescent="0.3">
      <c r="C1577"/>
      <c r="D1577"/>
      <c r="E1577"/>
      <c r="F1577"/>
      <c r="G1577"/>
      <c r="H1577"/>
    </row>
    <row r="1578" spans="3:8" x14ac:dyDescent="0.3">
      <c r="C1578"/>
      <c r="D1578"/>
      <c r="E1578"/>
      <c r="F1578"/>
      <c r="G1578"/>
      <c r="H1578"/>
    </row>
    <row r="1579" spans="3:8" x14ac:dyDescent="0.3">
      <c r="C1579"/>
      <c r="D1579"/>
      <c r="E1579"/>
      <c r="F1579"/>
      <c r="G1579"/>
      <c r="H1579"/>
    </row>
    <row r="1580" spans="3:8" x14ac:dyDescent="0.3">
      <c r="C1580"/>
      <c r="D1580"/>
      <c r="E1580"/>
      <c r="F1580"/>
      <c r="G1580"/>
      <c r="H1580"/>
    </row>
    <row r="1581" spans="3:8" x14ac:dyDescent="0.3">
      <c r="C1581"/>
      <c r="D1581"/>
      <c r="E1581"/>
      <c r="F1581"/>
      <c r="G1581"/>
      <c r="H1581"/>
    </row>
    <row r="1582" spans="3:8" x14ac:dyDescent="0.3">
      <c r="C1582"/>
      <c r="D1582"/>
      <c r="E1582"/>
      <c r="F1582"/>
      <c r="G1582"/>
      <c r="H1582"/>
    </row>
    <row r="1583" spans="3:8" x14ac:dyDescent="0.3">
      <c r="C1583"/>
      <c r="D1583"/>
      <c r="E1583"/>
      <c r="F1583"/>
      <c r="G1583"/>
      <c r="H1583"/>
    </row>
    <row r="1584" spans="3:8" x14ac:dyDescent="0.3">
      <c r="C1584"/>
      <c r="D1584"/>
      <c r="E1584"/>
      <c r="F1584"/>
      <c r="G1584"/>
      <c r="H1584"/>
    </row>
    <row r="1585" spans="3:8" x14ac:dyDescent="0.3">
      <c r="C1585"/>
      <c r="D1585"/>
      <c r="E1585"/>
      <c r="F1585"/>
      <c r="G1585"/>
      <c r="H1585"/>
    </row>
    <row r="1586" spans="3:8" x14ac:dyDescent="0.3">
      <c r="C1586"/>
      <c r="D1586"/>
      <c r="E1586"/>
      <c r="F1586"/>
      <c r="G1586"/>
      <c r="H1586"/>
    </row>
    <row r="1587" spans="3:8" x14ac:dyDescent="0.3">
      <c r="C1587"/>
      <c r="D1587"/>
      <c r="E1587"/>
      <c r="F1587"/>
      <c r="G1587"/>
      <c r="H1587"/>
    </row>
    <row r="1588" spans="3:8" x14ac:dyDescent="0.3">
      <c r="C1588"/>
      <c r="D1588"/>
      <c r="E1588"/>
      <c r="F1588"/>
      <c r="G1588"/>
      <c r="H1588"/>
    </row>
    <row r="1589" spans="3:8" x14ac:dyDescent="0.3">
      <c r="C1589"/>
      <c r="D1589"/>
      <c r="E1589"/>
      <c r="F1589"/>
      <c r="G1589"/>
      <c r="H1589"/>
    </row>
    <row r="1590" spans="3:8" x14ac:dyDescent="0.3">
      <c r="C1590"/>
      <c r="D1590"/>
      <c r="E1590"/>
      <c r="F1590"/>
      <c r="G1590"/>
      <c r="H1590"/>
    </row>
    <row r="1591" spans="3:8" x14ac:dyDescent="0.3">
      <c r="C1591"/>
      <c r="D1591"/>
      <c r="E1591"/>
      <c r="F1591"/>
      <c r="G1591"/>
      <c r="H1591"/>
    </row>
    <row r="1592" spans="3:8" x14ac:dyDescent="0.3">
      <c r="C1592"/>
      <c r="D1592"/>
      <c r="E1592"/>
      <c r="F1592"/>
      <c r="G1592"/>
      <c r="H1592"/>
    </row>
    <row r="1593" spans="3:8" x14ac:dyDescent="0.3">
      <c r="C1593"/>
      <c r="D1593"/>
      <c r="E1593"/>
      <c r="F1593"/>
      <c r="G1593"/>
      <c r="H1593"/>
    </row>
    <row r="1594" spans="3:8" x14ac:dyDescent="0.3">
      <c r="C1594"/>
      <c r="D1594"/>
      <c r="E1594"/>
      <c r="F1594"/>
      <c r="G1594"/>
      <c r="H1594"/>
    </row>
    <row r="1595" spans="3:8" x14ac:dyDescent="0.3">
      <c r="C1595"/>
      <c r="D1595"/>
      <c r="E1595"/>
      <c r="F1595"/>
      <c r="G1595"/>
      <c r="H1595"/>
    </row>
    <row r="1596" spans="3:8" x14ac:dyDescent="0.3">
      <c r="C1596"/>
      <c r="D1596"/>
      <c r="E1596"/>
      <c r="F1596"/>
      <c r="G1596"/>
      <c r="H1596"/>
    </row>
    <row r="1597" spans="3:8" x14ac:dyDescent="0.3">
      <c r="C1597"/>
      <c r="D1597"/>
      <c r="E1597"/>
      <c r="F1597"/>
      <c r="G1597"/>
      <c r="H1597"/>
    </row>
    <row r="1598" spans="3:8" x14ac:dyDescent="0.3">
      <c r="C1598"/>
      <c r="D1598"/>
      <c r="E1598"/>
      <c r="F1598"/>
      <c r="G1598"/>
      <c r="H1598"/>
    </row>
    <row r="1599" spans="3:8" x14ac:dyDescent="0.3">
      <c r="C1599"/>
      <c r="D1599"/>
      <c r="E1599"/>
      <c r="F1599"/>
      <c r="G1599"/>
      <c r="H1599"/>
    </row>
    <row r="1600" spans="3:8" x14ac:dyDescent="0.3">
      <c r="C1600"/>
      <c r="D1600"/>
      <c r="E1600"/>
      <c r="F1600"/>
      <c r="G1600"/>
      <c r="H1600"/>
    </row>
    <row r="1601" spans="3:8" x14ac:dyDescent="0.3">
      <c r="C1601"/>
      <c r="D1601"/>
      <c r="E1601"/>
      <c r="F1601"/>
      <c r="G1601"/>
      <c r="H1601"/>
    </row>
    <row r="1602" spans="3:8" x14ac:dyDescent="0.3">
      <c r="C1602"/>
      <c r="D1602"/>
      <c r="E1602"/>
      <c r="F1602"/>
      <c r="G1602"/>
      <c r="H1602"/>
    </row>
    <row r="1603" spans="3:8" x14ac:dyDescent="0.3">
      <c r="C1603"/>
      <c r="D1603"/>
      <c r="E1603"/>
      <c r="F1603"/>
      <c r="G1603"/>
      <c r="H1603"/>
    </row>
    <row r="1604" spans="3:8" x14ac:dyDescent="0.3">
      <c r="C1604"/>
      <c r="D1604"/>
      <c r="E1604"/>
      <c r="F1604"/>
      <c r="G1604"/>
      <c r="H1604"/>
    </row>
    <row r="1605" spans="3:8" x14ac:dyDescent="0.3">
      <c r="C1605"/>
      <c r="D1605"/>
      <c r="E1605"/>
      <c r="F1605"/>
      <c r="G1605"/>
      <c r="H1605"/>
    </row>
    <row r="1606" spans="3:8" x14ac:dyDescent="0.3">
      <c r="C1606"/>
      <c r="D1606"/>
      <c r="E1606"/>
      <c r="F1606"/>
      <c r="G1606"/>
      <c r="H1606"/>
    </row>
    <row r="1607" spans="3:8" x14ac:dyDescent="0.3">
      <c r="C1607"/>
      <c r="D1607"/>
      <c r="E1607"/>
      <c r="F1607"/>
      <c r="G1607"/>
      <c r="H1607"/>
    </row>
    <row r="1608" spans="3:8" x14ac:dyDescent="0.3">
      <c r="C1608"/>
      <c r="D1608"/>
      <c r="E1608"/>
      <c r="F1608"/>
      <c r="G1608"/>
      <c r="H1608"/>
    </row>
    <row r="1609" spans="3:8" x14ac:dyDescent="0.3">
      <c r="C1609"/>
      <c r="D1609"/>
      <c r="E1609"/>
      <c r="F1609"/>
      <c r="G1609"/>
      <c r="H1609"/>
    </row>
    <row r="1610" spans="3:8" x14ac:dyDescent="0.3">
      <c r="C1610"/>
      <c r="D1610"/>
      <c r="E1610"/>
      <c r="F1610"/>
      <c r="G1610"/>
      <c r="H1610"/>
    </row>
    <row r="1611" spans="3:8" x14ac:dyDescent="0.3">
      <c r="C1611"/>
      <c r="D1611"/>
      <c r="E1611"/>
      <c r="F1611"/>
      <c r="G1611"/>
      <c r="H1611"/>
    </row>
    <row r="1612" spans="3:8" x14ac:dyDescent="0.3">
      <c r="C1612"/>
      <c r="D1612"/>
      <c r="E1612"/>
      <c r="F1612"/>
      <c r="G1612"/>
      <c r="H1612"/>
    </row>
    <row r="1613" spans="3:8" x14ac:dyDescent="0.3">
      <c r="C1613"/>
      <c r="D1613"/>
      <c r="E1613"/>
      <c r="F1613"/>
      <c r="G1613"/>
      <c r="H1613"/>
    </row>
    <row r="1614" spans="3:8" x14ac:dyDescent="0.3">
      <c r="C1614"/>
      <c r="D1614"/>
      <c r="E1614"/>
      <c r="F1614"/>
      <c r="G1614"/>
      <c r="H1614"/>
    </row>
    <row r="1615" spans="3:8" x14ac:dyDescent="0.3">
      <c r="C1615"/>
      <c r="D1615"/>
      <c r="E1615"/>
      <c r="F1615"/>
      <c r="G1615"/>
      <c r="H1615"/>
    </row>
    <row r="1616" spans="3:8" x14ac:dyDescent="0.3">
      <c r="C1616"/>
      <c r="D1616"/>
      <c r="E1616"/>
      <c r="F1616"/>
      <c r="G1616"/>
      <c r="H1616"/>
    </row>
    <row r="1617" spans="3:8" x14ac:dyDescent="0.3">
      <c r="C1617"/>
      <c r="D1617"/>
      <c r="E1617"/>
      <c r="F1617"/>
      <c r="G1617"/>
      <c r="H1617"/>
    </row>
    <row r="1618" spans="3:8" x14ac:dyDescent="0.3">
      <c r="C1618"/>
      <c r="D1618"/>
      <c r="E1618"/>
      <c r="F1618"/>
      <c r="G1618"/>
      <c r="H1618"/>
    </row>
    <row r="1619" spans="3:8" x14ac:dyDescent="0.3">
      <c r="C1619"/>
      <c r="D1619"/>
      <c r="E1619"/>
      <c r="F1619"/>
      <c r="G1619"/>
      <c r="H1619"/>
    </row>
    <row r="1620" spans="3:8" x14ac:dyDescent="0.3">
      <c r="C1620"/>
      <c r="D1620"/>
      <c r="E1620"/>
      <c r="F1620"/>
      <c r="G1620"/>
      <c r="H1620"/>
    </row>
    <row r="1621" spans="3:8" x14ac:dyDescent="0.3">
      <c r="C1621"/>
      <c r="D1621"/>
      <c r="E1621"/>
      <c r="F1621"/>
      <c r="G1621"/>
      <c r="H1621"/>
    </row>
    <row r="1622" spans="3:8" x14ac:dyDescent="0.3">
      <c r="C1622"/>
      <c r="D1622"/>
      <c r="E1622"/>
      <c r="F1622"/>
      <c r="G1622"/>
      <c r="H1622"/>
    </row>
    <row r="1623" spans="3:8" x14ac:dyDescent="0.3">
      <c r="C1623"/>
      <c r="D1623"/>
      <c r="E1623"/>
      <c r="F1623"/>
      <c r="G1623"/>
      <c r="H1623"/>
    </row>
    <row r="1624" spans="3:8" x14ac:dyDescent="0.3">
      <c r="C1624"/>
      <c r="D1624"/>
      <c r="E1624"/>
      <c r="F1624"/>
      <c r="G1624"/>
      <c r="H1624"/>
    </row>
    <row r="1625" spans="3:8" x14ac:dyDescent="0.3">
      <c r="C1625"/>
      <c r="D1625"/>
      <c r="E1625"/>
      <c r="F1625"/>
      <c r="G1625"/>
      <c r="H1625"/>
    </row>
    <row r="1626" spans="3:8" x14ac:dyDescent="0.3">
      <c r="C1626"/>
      <c r="D1626"/>
      <c r="E1626"/>
      <c r="F1626"/>
      <c r="G1626"/>
      <c r="H1626"/>
    </row>
    <row r="1627" spans="3:8" x14ac:dyDescent="0.3">
      <c r="C1627"/>
      <c r="D1627"/>
      <c r="E1627"/>
      <c r="F1627"/>
      <c r="G1627"/>
      <c r="H1627"/>
    </row>
    <row r="1628" spans="3:8" x14ac:dyDescent="0.3">
      <c r="C1628"/>
      <c r="D1628"/>
      <c r="E1628"/>
      <c r="F1628"/>
      <c r="G1628"/>
      <c r="H1628"/>
    </row>
    <row r="1629" spans="3:8" x14ac:dyDescent="0.3">
      <c r="C1629"/>
      <c r="D1629"/>
      <c r="E1629"/>
      <c r="F1629"/>
      <c r="G1629"/>
      <c r="H1629"/>
    </row>
    <row r="1630" spans="3:8" x14ac:dyDescent="0.3">
      <c r="C1630"/>
      <c r="D1630"/>
      <c r="E1630"/>
      <c r="F1630"/>
      <c r="G1630"/>
      <c r="H1630"/>
    </row>
    <row r="1631" spans="3:8" x14ac:dyDescent="0.3">
      <c r="C1631"/>
      <c r="D1631"/>
      <c r="E1631"/>
      <c r="F1631"/>
      <c r="G1631"/>
      <c r="H1631"/>
    </row>
    <row r="1632" spans="3:8" x14ac:dyDescent="0.3">
      <c r="C1632"/>
      <c r="D1632"/>
      <c r="E1632"/>
      <c r="F1632"/>
      <c r="G1632"/>
      <c r="H1632"/>
    </row>
    <row r="1633" spans="3:8" x14ac:dyDescent="0.3">
      <c r="C1633"/>
      <c r="D1633"/>
      <c r="E1633"/>
      <c r="F1633"/>
      <c r="G1633"/>
      <c r="H1633"/>
    </row>
    <row r="1634" spans="3:8" x14ac:dyDescent="0.3">
      <c r="C1634"/>
      <c r="D1634"/>
      <c r="E1634"/>
      <c r="F1634"/>
      <c r="G1634"/>
      <c r="H1634"/>
    </row>
    <row r="1635" spans="3:8" x14ac:dyDescent="0.3">
      <c r="C1635"/>
      <c r="D1635"/>
      <c r="E1635"/>
      <c r="F1635"/>
      <c r="G1635"/>
      <c r="H1635"/>
    </row>
    <row r="1636" spans="3:8" x14ac:dyDescent="0.3">
      <c r="C1636"/>
      <c r="D1636"/>
      <c r="E1636"/>
      <c r="F1636"/>
      <c r="G1636"/>
      <c r="H1636"/>
    </row>
    <row r="1637" spans="3:8" x14ac:dyDescent="0.3">
      <c r="C1637"/>
      <c r="D1637"/>
      <c r="E1637"/>
      <c r="F1637"/>
      <c r="G1637"/>
      <c r="H1637"/>
    </row>
    <row r="1638" spans="3:8" x14ac:dyDescent="0.3">
      <c r="C1638"/>
      <c r="D1638"/>
      <c r="E1638"/>
      <c r="F1638"/>
      <c r="G1638"/>
      <c r="H1638"/>
    </row>
    <row r="1639" spans="3:8" x14ac:dyDescent="0.3">
      <c r="C1639"/>
      <c r="D1639"/>
      <c r="E1639"/>
      <c r="F1639"/>
      <c r="G1639"/>
      <c r="H1639"/>
    </row>
    <row r="1640" spans="3:8" x14ac:dyDescent="0.3">
      <c r="C1640"/>
      <c r="D1640"/>
      <c r="E1640"/>
      <c r="F1640"/>
      <c r="G1640"/>
      <c r="H1640"/>
    </row>
    <row r="1641" spans="3:8" x14ac:dyDescent="0.3">
      <c r="C1641"/>
      <c r="D1641"/>
      <c r="E1641"/>
      <c r="F1641"/>
      <c r="G1641"/>
      <c r="H1641"/>
    </row>
    <row r="1642" spans="3:8" x14ac:dyDescent="0.3">
      <c r="C1642"/>
      <c r="D1642"/>
      <c r="E1642"/>
      <c r="F1642"/>
      <c r="G1642"/>
      <c r="H1642"/>
    </row>
    <row r="1643" spans="3:8" x14ac:dyDescent="0.3">
      <c r="C1643"/>
      <c r="D1643"/>
      <c r="E1643"/>
      <c r="F1643"/>
      <c r="G1643"/>
      <c r="H1643"/>
    </row>
    <row r="1644" spans="3:8" x14ac:dyDescent="0.3">
      <c r="C1644"/>
      <c r="D1644"/>
      <c r="E1644"/>
      <c r="F1644"/>
      <c r="G1644"/>
      <c r="H1644"/>
    </row>
    <row r="1645" spans="3:8" x14ac:dyDescent="0.3">
      <c r="C1645"/>
      <c r="D1645"/>
      <c r="E1645"/>
      <c r="F1645"/>
      <c r="G1645"/>
      <c r="H1645"/>
    </row>
    <row r="1646" spans="3:8" x14ac:dyDescent="0.3">
      <c r="C1646"/>
      <c r="D1646"/>
      <c r="E1646"/>
      <c r="F1646"/>
      <c r="G1646"/>
      <c r="H1646"/>
    </row>
    <row r="1647" spans="3:8" x14ac:dyDescent="0.3">
      <c r="C1647"/>
      <c r="D1647"/>
      <c r="E1647"/>
      <c r="F1647"/>
      <c r="G1647"/>
      <c r="H1647"/>
    </row>
    <row r="1648" spans="3:8" x14ac:dyDescent="0.3">
      <c r="C1648"/>
      <c r="D1648"/>
      <c r="E1648"/>
      <c r="F1648"/>
      <c r="G1648"/>
      <c r="H1648"/>
    </row>
    <row r="1649" spans="3:8" x14ac:dyDescent="0.3">
      <c r="C1649"/>
      <c r="D1649"/>
      <c r="E1649"/>
      <c r="F1649"/>
      <c r="G1649"/>
      <c r="H1649"/>
    </row>
    <row r="1650" spans="3:8" x14ac:dyDescent="0.3">
      <c r="C1650"/>
      <c r="D1650"/>
      <c r="E1650"/>
      <c r="F1650"/>
      <c r="G1650"/>
      <c r="H1650"/>
    </row>
    <row r="1651" spans="3:8" x14ac:dyDescent="0.3">
      <c r="C1651"/>
      <c r="D1651"/>
      <c r="E1651"/>
      <c r="F1651"/>
      <c r="G1651"/>
      <c r="H1651"/>
    </row>
    <row r="1652" spans="3:8" x14ac:dyDescent="0.3">
      <c r="C1652"/>
      <c r="D1652"/>
      <c r="E1652"/>
      <c r="F1652"/>
      <c r="G1652"/>
      <c r="H1652"/>
    </row>
    <row r="1653" spans="3:8" x14ac:dyDescent="0.3">
      <c r="C1653"/>
      <c r="D1653"/>
      <c r="E1653"/>
      <c r="F1653"/>
      <c r="G1653"/>
      <c r="H1653"/>
    </row>
    <row r="1654" spans="3:8" x14ac:dyDescent="0.3">
      <c r="C1654"/>
      <c r="D1654"/>
      <c r="E1654"/>
      <c r="F1654"/>
      <c r="G1654"/>
      <c r="H1654"/>
    </row>
    <row r="1655" spans="3:8" x14ac:dyDescent="0.3">
      <c r="C1655"/>
      <c r="D1655"/>
      <c r="E1655"/>
      <c r="F1655"/>
      <c r="G1655"/>
      <c r="H1655"/>
    </row>
    <row r="1656" spans="3:8" x14ac:dyDescent="0.3">
      <c r="C1656"/>
      <c r="D1656"/>
      <c r="E1656"/>
      <c r="F1656"/>
      <c r="G1656"/>
      <c r="H1656"/>
    </row>
    <row r="1657" spans="3:8" x14ac:dyDescent="0.3">
      <c r="C1657"/>
      <c r="D1657"/>
      <c r="E1657"/>
      <c r="F1657"/>
      <c r="G1657"/>
      <c r="H1657"/>
    </row>
    <row r="1658" spans="3:8" x14ac:dyDescent="0.3">
      <c r="C1658"/>
      <c r="D1658"/>
      <c r="E1658"/>
      <c r="F1658"/>
      <c r="G1658"/>
      <c r="H1658"/>
    </row>
    <row r="1659" spans="3:8" x14ac:dyDescent="0.3">
      <c r="C1659"/>
      <c r="D1659"/>
      <c r="E1659"/>
      <c r="F1659"/>
      <c r="G1659"/>
      <c r="H1659"/>
    </row>
    <row r="1660" spans="3:8" x14ac:dyDescent="0.3">
      <c r="C1660"/>
      <c r="D1660"/>
      <c r="E1660"/>
      <c r="F1660"/>
      <c r="G1660"/>
      <c r="H1660"/>
    </row>
    <row r="1661" spans="3:8" x14ac:dyDescent="0.3">
      <c r="C1661"/>
      <c r="D1661"/>
      <c r="E1661"/>
      <c r="F1661"/>
      <c r="G1661"/>
      <c r="H1661"/>
    </row>
    <row r="1662" spans="3:8" x14ac:dyDescent="0.3">
      <c r="C1662"/>
      <c r="D1662"/>
      <c r="E1662"/>
      <c r="F1662"/>
      <c r="G1662"/>
      <c r="H1662"/>
    </row>
    <row r="1663" spans="3:8" x14ac:dyDescent="0.3">
      <c r="C1663"/>
      <c r="D1663"/>
      <c r="E1663"/>
      <c r="F1663"/>
      <c r="G1663"/>
      <c r="H1663"/>
    </row>
    <row r="1664" spans="3:8" x14ac:dyDescent="0.3">
      <c r="C1664"/>
      <c r="D1664"/>
      <c r="E1664"/>
      <c r="F1664"/>
      <c r="G1664"/>
      <c r="H1664"/>
    </row>
    <row r="1665" spans="3:8" x14ac:dyDescent="0.3">
      <c r="C1665"/>
      <c r="D1665"/>
      <c r="E1665"/>
      <c r="F1665"/>
      <c r="G1665"/>
      <c r="H1665"/>
    </row>
    <row r="1666" spans="3:8" x14ac:dyDescent="0.3">
      <c r="C1666"/>
      <c r="D1666"/>
      <c r="E1666"/>
      <c r="F1666"/>
      <c r="G1666"/>
      <c r="H1666"/>
    </row>
    <row r="1667" spans="3:8" x14ac:dyDescent="0.3">
      <c r="C1667"/>
      <c r="D1667"/>
      <c r="E1667"/>
      <c r="F1667"/>
      <c r="G1667"/>
      <c r="H1667"/>
    </row>
    <row r="1668" spans="3:8" x14ac:dyDescent="0.3">
      <c r="C1668"/>
      <c r="D1668"/>
      <c r="E1668"/>
      <c r="F1668"/>
      <c r="G1668"/>
      <c r="H1668"/>
    </row>
    <row r="1669" spans="3:8" x14ac:dyDescent="0.3">
      <c r="C1669"/>
      <c r="D1669"/>
      <c r="E1669"/>
      <c r="F1669"/>
      <c r="G1669"/>
      <c r="H1669"/>
    </row>
    <row r="1670" spans="3:8" x14ac:dyDescent="0.3">
      <c r="C1670"/>
      <c r="D1670"/>
      <c r="E1670"/>
      <c r="F1670"/>
      <c r="G1670"/>
      <c r="H1670"/>
    </row>
    <row r="1671" spans="3:8" x14ac:dyDescent="0.3">
      <c r="C1671"/>
      <c r="D1671"/>
      <c r="E1671"/>
      <c r="F1671"/>
      <c r="G1671"/>
      <c r="H1671"/>
    </row>
    <row r="1672" spans="3:8" x14ac:dyDescent="0.3">
      <c r="C1672"/>
      <c r="D1672"/>
      <c r="E1672"/>
      <c r="F1672"/>
      <c r="G1672"/>
      <c r="H1672"/>
    </row>
    <row r="1673" spans="3:8" x14ac:dyDescent="0.3">
      <c r="C1673"/>
      <c r="D1673"/>
      <c r="E1673"/>
      <c r="F1673"/>
      <c r="G1673"/>
      <c r="H1673"/>
    </row>
    <row r="1674" spans="3:8" x14ac:dyDescent="0.3">
      <c r="C1674"/>
      <c r="D1674"/>
      <c r="E1674"/>
      <c r="F1674"/>
      <c r="G1674"/>
      <c r="H1674"/>
    </row>
    <row r="1675" spans="3:8" x14ac:dyDescent="0.3">
      <c r="C1675"/>
      <c r="D1675"/>
      <c r="E1675"/>
      <c r="F1675"/>
      <c r="G1675"/>
      <c r="H1675"/>
    </row>
    <row r="1676" spans="3:8" x14ac:dyDescent="0.3">
      <c r="C1676"/>
      <c r="D1676"/>
      <c r="E1676"/>
      <c r="F1676"/>
      <c r="G1676"/>
      <c r="H1676"/>
    </row>
    <row r="1677" spans="3:8" x14ac:dyDescent="0.3">
      <c r="C1677"/>
      <c r="D1677"/>
      <c r="E1677"/>
      <c r="F1677"/>
      <c r="G1677"/>
      <c r="H1677"/>
    </row>
    <row r="1678" spans="3:8" x14ac:dyDescent="0.3">
      <c r="C1678"/>
      <c r="D1678"/>
      <c r="E1678"/>
      <c r="F1678"/>
      <c r="G1678"/>
      <c r="H1678"/>
    </row>
    <row r="1679" spans="3:8" x14ac:dyDescent="0.3">
      <c r="C1679"/>
      <c r="D1679"/>
      <c r="E1679"/>
      <c r="F1679"/>
      <c r="G1679"/>
      <c r="H1679"/>
    </row>
    <row r="1680" spans="3:8" x14ac:dyDescent="0.3">
      <c r="C1680"/>
      <c r="D1680"/>
      <c r="E1680"/>
      <c r="F1680"/>
      <c r="G1680"/>
      <c r="H1680"/>
    </row>
    <row r="1681" spans="3:8" x14ac:dyDescent="0.3">
      <c r="C1681"/>
      <c r="D1681"/>
      <c r="E1681"/>
      <c r="F1681"/>
      <c r="G1681"/>
      <c r="H1681"/>
    </row>
    <row r="1682" spans="3:8" x14ac:dyDescent="0.3">
      <c r="C1682"/>
      <c r="D1682"/>
      <c r="E1682"/>
      <c r="F1682"/>
      <c r="G1682"/>
      <c r="H1682"/>
    </row>
    <row r="1683" spans="3:8" x14ac:dyDescent="0.3">
      <c r="C1683"/>
      <c r="D1683"/>
      <c r="E1683"/>
      <c r="F1683"/>
      <c r="G1683"/>
      <c r="H1683"/>
    </row>
    <row r="1684" spans="3:8" x14ac:dyDescent="0.3">
      <c r="C1684"/>
      <c r="D1684"/>
      <c r="E1684"/>
      <c r="F1684"/>
      <c r="G1684"/>
      <c r="H1684"/>
    </row>
    <row r="1685" spans="3:8" x14ac:dyDescent="0.3">
      <c r="C1685"/>
      <c r="D1685"/>
      <c r="E1685"/>
      <c r="F1685"/>
      <c r="G1685"/>
      <c r="H1685"/>
    </row>
    <row r="1686" spans="3:8" x14ac:dyDescent="0.3">
      <c r="C1686"/>
      <c r="D1686"/>
      <c r="E1686"/>
      <c r="F1686"/>
      <c r="G1686"/>
      <c r="H1686"/>
    </row>
    <row r="1687" spans="3:8" x14ac:dyDescent="0.3">
      <c r="C1687"/>
      <c r="D1687"/>
      <c r="E1687"/>
      <c r="F1687"/>
      <c r="G1687"/>
      <c r="H1687"/>
    </row>
    <row r="1688" spans="3:8" x14ac:dyDescent="0.3">
      <c r="C1688"/>
      <c r="D1688"/>
      <c r="E1688"/>
      <c r="F1688"/>
      <c r="G1688"/>
      <c r="H1688"/>
    </row>
    <row r="1689" spans="3:8" x14ac:dyDescent="0.3">
      <c r="C1689"/>
      <c r="D1689"/>
      <c r="E1689"/>
      <c r="F1689"/>
      <c r="G1689"/>
      <c r="H1689"/>
    </row>
    <row r="1690" spans="3:8" x14ac:dyDescent="0.3">
      <c r="C1690"/>
      <c r="D1690"/>
      <c r="E1690"/>
      <c r="F1690"/>
      <c r="G1690"/>
      <c r="H1690"/>
    </row>
    <row r="1691" spans="3:8" x14ac:dyDescent="0.3">
      <c r="C1691"/>
      <c r="D1691"/>
      <c r="E1691"/>
      <c r="F1691"/>
      <c r="G1691"/>
      <c r="H1691"/>
    </row>
    <row r="1692" spans="3:8" x14ac:dyDescent="0.3">
      <c r="C1692"/>
      <c r="D1692"/>
      <c r="E1692"/>
      <c r="F1692"/>
      <c r="G1692"/>
      <c r="H1692"/>
    </row>
    <row r="1693" spans="3:8" x14ac:dyDescent="0.3">
      <c r="C1693"/>
      <c r="D1693"/>
      <c r="E1693"/>
      <c r="F1693"/>
      <c r="G1693"/>
      <c r="H1693"/>
    </row>
    <row r="1694" spans="3:8" x14ac:dyDescent="0.3">
      <c r="C1694"/>
      <c r="D1694"/>
      <c r="E1694"/>
      <c r="F1694"/>
      <c r="G1694"/>
      <c r="H1694"/>
    </row>
    <row r="1695" spans="3:8" x14ac:dyDescent="0.3">
      <c r="C1695"/>
      <c r="D1695"/>
      <c r="E1695"/>
      <c r="F1695"/>
      <c r="G1695"/>
      <c r="H1695"/>
    </row>
    <row r="1696" spans="3:8" x14ac:dyDescent="0.3">
      <c r="C1696"/>
      <c r="D1696"/>
      <c r="E1696"/>
      <c r="F1696"/>
      <c r="G1696"/>
      <c r="H1696"/>
    </row>
    <row r="1697" spans="3:8" x14ac:dyDescent="0.3">
      <c r="C1697"/>
      <c r="D1697"/>
      <c r="E1697"/>
      <c r="F1697"/>
      <c r="G1697"/>
      <c r="H1697"/>
    </row>
    <row r="1698" spans="3:8" x14ac:dyDescent="0.3">
      <c r="C1698"/>
      <c r="D1698"/>
      <c r="E1698"/>
      <c r="F1698"/>
      <c r="G1698"/>
      <c r="H1698"/>
    </row>
    <row r="1699" spans="3:8" x14ac:dyDescent="0.3">
      <c r="C1699"/>
      <c r="D1699"/>
      <c r="E1699"/>
      <c r="F1699"/>
      <c r="G1699"/>
      <c r="H1699"/>
    </row>
    <row r="1700" spans="3:8" x14ac:dyDescent="0.3">
      <c r="C1700"/>
      <c r="D1700"/>
      <c r="E1700"/>
      <c r="F1700"/>
      <c r="G1700"/>
      <c r="H1700"/>
    </row>
    <row r="1701" spans="3:8" x14ac:dyDescent="0.3">
      <c r="C1701"/>
      <c r="D1701"/>
      <c r="E1701"/>
      <c r="F1701"/>
      <c r="G1701"/>
      <c r="H1701"/>
    </row>
    <row r="1702" spans="3:8" x14ac:dyDescent="0.3">
      <c r="C1702"/>
      <c r="D1702"/>
      <c r="E1702"/>
      <c r="F1702"/>
      <c r="G1702"/>
      <c r="H1702"/>
    </row>
    <row r="1703" spans="3:8" x14ac:dyDescent="0.3">
      <c r="C1703"/>
      <c r="D1703"/>
      <c r="E1703"/>
      <c r="F1703"/>
      <c r="G1703"/>
      <c r="H1703"/>
    </row>
    <row r="1704" spans="3:8" x14ac:dyDescent="0.3">
      <c r="C1704"/>
      <c r="D1704"/>
      <c r="E1704"/>
      <c r="F1704"/>
      <c r="G1704"/>
      <c r="H1704"/>
    </row>
    <row r="1705" spans="3:8" x14ac:dyDescent="0.3">
      <c r="C1705"/>
      <c r="D1705"/>
      <c r="E1705"/>
      <c r="F1705"/>
      <c r="G1705"/>
      <c r="H1705"/>
    </row>
    <row r="1706" spans="3:8" x14ac:dyDescent="0.3">
      <c r="C1706"/>
      <c r="D1706"/>
      <c r="E1706"/>
      <c r="F1706"/>
      <c r="G1706"/>
      <c r="H1706"/>
    </row>
    <row r="1707" spans="3:8" x14ac:dyDescent="0.3">
      <c r="C1707"/>
      <c r="D1707"/>
      <c r="E1707"/>
      <c r="F1707"/>
      <c r="G1707"/>
      <c r="H1707"/>
    </row>
    <row r="1708" spans="3:8" x14ac:dyDescent="0.3">
      <c r="C1708"/>
      <c r="D1708"/>
      <c r="E1708"/>
      <c r="F1708"/>
      <c r="G1708"/>
      <c r="H1708"/>
    </row>
    <row r="1709" spans="3:8" x14ac:dyDescent="0.3">
      <c r="C1709"/>
      <c r="D1709"/>
      <c r="E1709"/>
      <c r="F1709"/>
      <c r="G1709"/>
      <c r="H1709"/>
    </row>
    <row r="1710" spans="3:8" x14ac:dyDescent="0.3">
      <c r="C1710"/>
      <c r="D1710"/>
      <c r="E1710"/>
      <c r="F1710"/>
      <c r="G1710"/>
      <c r="H1710"/>
    </row>
    <row r="1711" spans="3:8" x14ac:dyDescent="0.3">
      <c r="C1711"/>
      <c r="D1711"/>
      <c r="E1711"/>
      <c r="F1711"/>
      <c r="G1711"/>
      <c r="H1711"/>
    </row>
    <row r="1712" spans="3:8" x14ac:dyDescent="0.3">
      <c r="C1712"/>
      <c r="D1712"/>
      <c r="E1712"/>
      <c r="F1712"/>
      <c r="G1712"/>
      <c r="H1712"/>
    </row>
    <row r="1713" spans="3:8" x14ac:dyDescent="0.3">
      <c r="C1713"/>
      <c r="D1713"/>
      <c r="E1713"/>
      <c r="F1713"/>
      <c r="G1713"/>
      <c r="H1713"/>
    </row>
    <row r="1714" spans="3:8" x14ac:dyDescent="0.3">
      <c r="C1714"/>
      <c r="D1714"/>
      <c r="E1714"/>
      <c r="F1714"/>
      <c r="G1714"/>
      <c r="H1714"/>
    </row>
    <row r="1715" spans="3:8" x14ac:dyDescent="0.3">
      <c r="C1715"/>
      <c r="D1715"/>
      <c r="E1715"/>
      <c r="F1715"/>
      <c r="G1715"/>
      <c r="H1715"/>
    </row>
    <row r="1716" spans="3:8" x14ac:dyDescent="0.3">
      <c r="C1716"/>
      <c r="D1716"/>
      <c r="E1716"/>
      <c r="F1716"/>
      <c r="G1716"/>
      <c r="H1716"/>
    </row>
    <row r="1717" spans="3:8" x14ac:dyDescent="0.3">
      <c r="C1717"/>
      <c r="D1717"/>
      <c r="E1717"/>
      <c r="F1717"/>
      <c r="G1717"/>
      <c r="H1717"/>
    </row>
    <row r="1718" spans="3:8" x14ac:dyDescent="0.3">
      <c r="C1718"/>
      <c r="D1718"/>
      <c r="E1718"/>
      <c r="F1718"/>
      <c r="G1718"/>
      <c r="H1718"/>
    </row>
    <row r="1719" spans="3:8" x14ac:dyDescent="0.3">
      <c r="C1719"/>
      <c r="D1719"/>
      <c r="E1719"/>
      <c r="F1719"/>
      <c r="G1719"/>
      <c r="H1719"/>
    </row>
    <row r="1720" spans="3:8" x14ac:dyDescent="0.3">
      <c r="C1720"/>
      <c r="D1720"/>
      <c r="E1720"/>
      <c r="F1720"/>
      <c r="G1720"/>
      <c r="H1720"/>
    </row>
    <row r="1721" spans="3:8" x14ac:dyDescent="0.3">
      <c r="C1721"/>
      <c r="D1721"/>
      <c r="E1721"/>
      <c r="F1721"/>
      <c r="G1721"/>
      <c r="H1721"/>
    </row>
    <row r="1722" spans="3:8" x14ac:dyDescent="0.3">
      <c r="C1722"/>
      <c r="D1722"/>
      <c r="E1722"/>
      <c r="F1722"/>
      <c r="G1722"/>
      <c r="H1722"/>
    </row>
    <row r="1723" spans="3:8" x14ac:dyDescent="0.3">
      <c r="C1723"/>
      <c r="D1723"/>
      <c r="E1723"/>
      <c r="F1723"/>
      <c r="G1723"/>
      <c r="H1723"/>
    </row>
    <row r="1724" spans="3:8" x14ac:dyDescent="0.3">
      <c r="C1724"/>
      <c r="D1724"/>
      <c r="E1724"/>
      <c r="F1724"/>
      <c r="G1724"/>
      <c r="H1724"/>
    </row>
    <row r="1725" spans="3:8" x14ac:dyDescent="0.3">
      <c r="C1725"/>
      <c r="D1725"/>
      <c r="E1725"/>
      <c r="F1725"/>
      <c r="G1725"/>
      <c r="H1725"/>
    </row>
    <row r="1726" spans="3:8" x14ac:dyDescent="0.3">
      <c r="C1726"/>
      <c r="D1726"/>
      <c r="E1726"/>
      <c r="F1726"/>
      <c r="G1726"/>
      <c r="H1726"/>
    </row>
    <row r="1727" spans="3:8" x14ac:dyDescent="0.3">
      <c r="C1727"/>
      <c r="D1727"/>
      <c r="E1727"/>
      <c r="F1727"/>
      <c r="G1727"/>
      <c r="H1727"/>
    </row>
    <row r="1728" spans="3:8" x14ac:dyDescent="0.3">
      <c r="C1728"/>
      <c r="D1728"/>
      <c r="E1728"/>
      <c r="F1728"/>
      <c r="G1728"/>
      <c r="H1728"/>
    </row>
    <row r="1729" spans="3:8" x14ac:dyDescent="0.3">
      <c r="C1729"/>
      <c r="D1729"/>
      <c r="E1729"/>
      <c r="F1729"/>
      <c r="G1729"/>
      <c r="H1729"/>
    </row>
    <row r="1730" spans="3:8" x14ac:dyDescent="0.3">
      <c r="C1730"/>
      <c r="D1730"/>
      <c r="E1730"/>
      <c r="F1730"/>
      <c r="G1730"/>
      <c r="H1730"/>
    </row>
    <row r="1731" spans="3:8" x14ac:dyDescent="0.3">
      <c r="C1731"/>
      <c r="D1731"/>
      <c r="E1731"/>
      <c r="F1731"/>
      <c r="G1731"/>
      <c r="H1731"/>
    </row>
    <row r="1732" spans="3:8" x14ac:dyDescent="0.3">
      <c r="C1732"/>
      <c r="D1732"/>
      <c r="E1732"/>
      <c r="F1732"/>
      <c r="G1732"/>
      <c r="H1732"/>
    </row>
    <row r="1733" spans="3:8" x14ac:dyDescent="0.3">
      <c r="C1733"/>
      <c r="D1733"/>
      <c r="E1733"/>
      <c r="F1733"/>
      <c r="G1733"/>
      <c r="H1733"/>
    </row>
    <row r="1734" spans="3:8" x14ac:dyDescent="0.3">
      <c r="C1734"/>
      <c r="D1734"/>
      <c r="E1734"/>
      <c r="F1734"/>
      <c r="G1734"/>
      <c r="H1734"/>
    </row>
    <row r="1735" spans="3:8" x14ac:dyDescent="0.3">
      <c r="C1735"/>
      <c r="D1735"/>
      <c r="E1735"/>
      <c r="F1735"/>
      <c r="G1735"/>
      <c r="H1735"/>
    </row>
    <row r="1736" spans="3:8" x14ac:dyDescent="0.3">
      <c r="C1736"/>
      <c r="D1736"/>
      <c r="E1736"/>
      <c r="F1736"/>
      <c r="G1736"/>
      <c r="H1736"/>
    </row>
    <row r="1737" spans="3:8" x14ac:dyDescent="0.3">
      <c r="C1737"/>
      <c r="D1737"/>
      <c r="E1737"/>
      <c r="F1737"/>
      <c r="G1737"/>
      <c r="H1737"/>
    </row>
    <row r="1738" spans="3:8" x14ac:dyDescent="0.3">
      <c r="C1738"/>
      <c r="D1738"/>
      <c r="E1738"/>
      <c r="F1738"/>
      <c r="G1738"/>
      <c r="H1738"/>
    </row>
    <row r="1739" spans="3:8" x14ac:dyDescent="0.3">
      <c r="C1739"/>
      <c r="D1739"/>
      <c r="E1739"/>
      <c r="F1739"/>
      <c r="G1739"/>
      <c r="H1739"/>
    </row>
    <row r="1740" spans="3:8" x14ac:dyDescent="0.3">
      <c r="C1740"/>
      <c r="D1740"/>
      <c r="E1740"/>
      <c r="F1740"/>
      <c r="G1740"/>
      <c r="H1740"/>
    </row>
    <row r="1741" spans="3:8" x14ac:dyDescent="0.3">
      <c r="C1741"/>
      <c r="D1741"/>
      <c r="E1741"/>
      <c r="F1741"/>
      <c r="G1741"/>
      <c r="H1741"/>
    </row>
    <row r="1742" spans="3:8" x14ac:dyDescent="0.3">
      <c r="C1742"/>
      <c r="D1742"/>
      <c r="E1742"/>
      <c r="F1742"/>
      <c r="G1742"/>
      <c r="H1742"/>
    </row>
    <row r="1743" spans="3:8" x14ac:dyDescent="0.3">
      <c r="C1743"/>
      <c r="D1743"/>
      <c r="E1743"/>
      <c r="F1743"/>
      <c r="G1743"/>
      <c r="H1743"/>
    </row>
    <row r="1744" spans="3:8" x14ac:dyDescent="0.3">
      <c r="C1744"/>
      <c r="D1744"/>
      <c r="E1744"/>
      <c r="F1744"/>
      <c r="G1744"/>
      <c r="H1744"/>
    </row>
    <row r="1745" spans="3:8" x14ac:dyDescent="0.3">
      <c r="C1745"/>
      <c r="D1745"/>
      <c r="E1745"/>
      <c r="F1745"/>
      <c r="G1745"/>
      <c r="H1745"/>
    </row>
    <row r="1746" spans="3:8" x14ac:dyDescent="0.3">
      <c r="C1746"/>
      <c r="D1746"/>
      <c r="E1746"/>
      <c r="F1746"/>
      <c r="G1746"/>
      <c r="H1746"/>
    </row>
    <row r="1747" spans="3:8" x14ac:dyDescent="0.3">
      <c r="C1747"/>
      <c r="D1747"/>
      <c r="E1747"/>
      <c r="F1747"/>
      <c r="G1747"/>
      <c r="H1747"/>
    </row>
    <row r="1748" spans="3:8" x14ac:dyDescent="0.3">
      <c r="C1748"/>
      <c r="D1748"/>
      <c r="E1748"/>
      <c r="F1748"/>
      <c r="G1748"/>
      <c r="H1748"/>
    </row>
    <row r="1749" spans="3:8" x14ac:dyDescent="0.3">
      <c r="C1749"/>
      <c r="D1749"/>
      <c r="E1749"/>
      <c r="F1749"/>
      <c r="G1749"/>
      <c r="H1749"/>
    </row>
    <row r="1750" spans="3:8" x14ac:dyDescent="0.3">
      <c r="C1750"/>
      <c r="D1750"/>
      <c r="E1750"/>
      <c r="F1750"/>
      <c r="G1750"/>
      <c r="H1750"/>
    </row>
    <row r="1751" spans="3:8" x14ac:dyDescent="0.3">
      <c r="C1751"/>
      <c r="D1751"/>
      <c r="E1751"/>
      <c r="F1751"/>
      <c r="G1751"/>
      <c r="H1751"/>
    </row>
    <row r="1752" spans="3:8" x14ac:dyDescent="0.3">
      <c r="C1752"/>
      <c r="D1752"/>
      <c r="E1752"/>
      <c r="F1752"/>
      <c r="G1752"/>
      <c r="H1752"/>
    </row>
    <row r="1753" spans="3:8" x14ac:dyDescent="0.3">
      <c r="C1753"/>
      <c r="D1753"/>
      <c r="E1753"/>
      <c r="F1753"/>
      <c r="G1753"/>
      <c r="H1753"/>
    </row>
    <row r="1754" spans="3:8" x14ac:dyDescent="0.3">
      <c r="C1754"/>
      <c r="D1754"/>
      <c r="E1754"/>
      <c r="F1754"/>
      <c r="G1754"/>
      <c r="H1754"/>
    </row>
    <row r="1755" spans="3:8" x14ac:dyDescent="0.3">
      <c r="C1755"/>
      <c r="D1755"/>
      <c r="E1755"/>
      <c r="F1755"/>
      <c r="G1755"/>
      <c r="H1755"/>
    </row>
    <row r="1756" spans="3:8" x14ac:dyDescent="0.3">
      <c r="C1756"/>
      <c r="D1756"/>
      <c r="E1756"/>
      <c r="F1756"/>
      <c r="G1756"/>
      <c r="H1756"/>
    </row>
    <row r="1757" spans="3:8" x14ac:dyDescent="0.3">
      <c r="C1757"/>
      <c r="D1757"/>
      <c r="E1757"/>
      <c r="F1757"/>
      <c r="G1757"/>
      <c r="H1757"/>
    </row>
    <row r="1758" spans="3:8" x14ac:dyDescent="0.3">
      <c r="C1758"/>
      <c r="D1758"/>
      <c r="E1758"/>
      <c r="F1758"/>
      <c r="G1758"/>
      <c r="H1758"/>
    </row>
    <row r="1759" spans="3:8" x14ac:dyDescent="0.3">
      <c r="C1759"/>
      <c r="D1759"/>
      <c r="E1759"/>
      <c r="F1759"/>
      <c r="G1759"/>
      <c r="H1759"/>
    </row>
    <row r="1760" spans="3:8" x14ac:dyDescent="0.3">
      <c r="C1760"/>
      <c r="D1760"/>
      <c r="E1760"/>
      <c r="F1760"/>
      <c r="G1760"/>
      <c r="H1760"/>
    </row>
    <row r="1761" spans="3:8" x14ac:dyDescent="0.3">
      <c r="C1761"/>
      <c r="D1761"/>
      <c r="E1761"/>
      <c r="F1761"/>
      <c r="G1761"/>
      <c r="H1761"/>
    </row>
    <row r="1762" spans="3:8" x14ac:dyDescent="0.3">
      <c r="C1762"/>
      <c r="D1762"/>
      <c r="E1762"/>
      <c r="F1762"/>
      <c r="G1762"/>
      <c r="H1762"/>
    </row>
    <row r="1763" spans="3:8" x14ac:dyDescent="0.3">
      <c r="C1763"/>
      <c r="D1763"/>
      <c r="E1763"/>
      <c r="F1763"/>
      <c r="G1763"/>
      <c r="H1763"/>
    </row>
    <row r="1764" spans="3:8" x14ac:dyDescent="0.3">
      <c r="C1764"/>
      <c r="D1764"/>
      <c r="E1764"/>
      <c r="F1764"/>
      <c r="G1764"/>
      <c r="H1764"/>
    </row>
    <row r="1765" spans="3:8" x14ac:dyDescent="0.3">
      <c r="C1765"/>
      <c r="D1765"/>
      <c r="E1765"/>
      <c r="F1765"/>
      <c r="G1765"/>
      <c r="H1765"/>
    </row>
    <row r="1766" spans="3:8" x14ac:dyDescent="0.3">
      <c r="C1766"/>
      <c r="D1766"/>
      <c r="E1766"/>
      <c r="F1766"/>
      <c r="G1766"/>
      <c r="H1766"/>
    </row>
    <row r="1767" spans="3:8" x14ac:dyDescent="0.3">
      <c r="C1767"/>
      <c r="D1767"/>
      <c r="E1767"/>
      <c r="F1767"/>
      <c r="G1767"/>
      <c r="H1767"/>
    </row>
    <row r="1768" spans="3:8" x14ac:dyDescent="0.3">
      <c r="C1768"/>
      <c r="D1768"/>
      <c r="E1768"/>
      <c r="F1768"/>
      <c r="G1768"/>
      <c r="H1768"/>
    </row>
    <row r="1769" spans="3:8" x14ac:dyDescent="0.3">
      <c r="C1769"/>
      <c r="D1769"/>
      <c r="E1769"/>
      <c r="F1769"/>
      <c r="G1769"/>
      <c r="H1769"/>
    </row>
    <row r="1770" spans="3:8" x14ac:dyDescent="0.3">
      <c r="C1770"/>
      <c r="D1770"/>
      <c r="E1770"/>
      <c r="F1770"/>
      <c r="G1770"/>
      <c r="H1770"/>
    </row>
    <row r="1771" spans="3:8" x14ac:dyDescent="0.3">
      <c r="C1771"/>
      <c r="D1771"/>
      <c r="E1771"/>
      <c r="F1771"/>
      <c r="G1771"/>
      <c r="H1771"/>
    </row>
    <row r="1772" spans="3:8" x14ac:dyDescent="0.3">
      <c r="C1772"/>
      <c r="D1772"/>
      <c r="E1772"/>
      <c r="F1772"/>
      <c r="G1772"/>
      <c r="H1772"/>
    </row>
    <row r="1773" spans="3:8" x14ac:dyDescent="0.3">
      <c r="C1773"/>
      <c r="D1773"/>
      <c r="E1773"/>
      <c r="F1773"/>
      <c r="G1773"/>
      <c r="H1773"/>
    </row>
    <row r="1774" spans="3:8" x14ac:dyDescent="0.3">
      <c r="C1774"/>
      <c r="D1774"/>
      <c r="E1774"/>
      <c r="F1774"/>
      <c r="G1774"/>
      <c r="H1774"/>
    </row>
    <row r="1775" spans="3:8" x14ac:dyDescent="0.3">
      <c r="C1775"/>
      <c r="D1775"/>
      <c r="E1775"/>
      <c r="F1775"/>
      <c r="G1775"/>
      <c r="H1775"/>
    </row>
    <row r="1776" spans="3:8" x14ac:dyDescent="0.3">
      <c r="C1776"/>
      <c r="D1776"/>
      <c r="E1776"/>
      <c r="F1776"/>
      <c r="G1776"/>
      <c r="H1776"/>
    </row>
    <row r="1777" spans="3:8" x14ac:dyDescent="0.3">
      <c r="C1777"/>
      <c r="D1777"/>
      <c r="E1777"/>
      <c r="F1777"/>
      <c r="G1777"/>
      <c r="H1777"/>
    </row>
    <row r="1778" spans="3:8" x14ac:dyDescent="0.3">
      <c r="C1778"/>
      <c r="D1778"/>
      <c r="E1778"/>
      <c r="F1778"/>
      <c r="G1778"/>
      <c r="H1778"/>
    </row>
    <row r="1779" spans="3:8" x14ac:dyDescent="0.3">
      <c r="C1779"/>
      <c r="D1779"/>
      <c r="E1779"/>
      <c r="F1779"/>
      <c r="G1779"/>
      <c r="H1779"/>
    </row>
    <row r="1780" spans="3:8" x14ac:dyDescent="0.3">
      <c r="C1780"/>
      <c r="D1780"/>
      <c r="E1780"/>
      <c r="F1780"/>
      <c r="G1780"/>
      <c r="H1780"/>
    </row>
    <row r="1781" spans="3:8" x14ac:dyDescent="0.3">
      <c r="C1781"/>
      <c r="D1781"/>
      <c r="E1781"/>
      <c r="F1781"/>
      <c r="G1781"/>
      <c r="H1781"/>
    </row>
    <row r="1782" spans="3:8" x14ac:dyDescent="0.3">
      <c r="C1782"/>
      <c r="D1782"/>
      <c r="E1782"/>
      <c r="F1782"/>
      <c r="G1782"/>
      <c r="H1782"/>
    </row>
    <row r="1783" spans="3:8" x14ac:dyDescent="0.3">
      <c r="C1783"/>
      <c r="D1783"/>
      <c r="E1783"/>
      <c r="F1783"/>
      <c r="G1783"/>
      <c r="H1783"/>
    </row>
    <row r="1784" spans="3:8" x14ac:dyDescent="0.3">
      <c r="C1784"/>
      <c r="D1784"/>
      <c r="E1784"/>
      <c r="F1784"/>
      <c r="G1784"/>
      <c r="H1784"/>
    </row>
    <row r="1785" spans="3:8" x14ac:dyDescent="0.3">
      <c r="C1785"/>
      <c r="D1785"/>
      <c r="E1785"/>
      <c r="F1785"/>
      <c r="G1785"/>
      <c r="H1785"/>
    </row>
    <row r="1786" spans="3:8" x14ac:dyDescent="0.3">
      <c r="C1786"/>
      <c r="D1786"/>
      <c r="E1786"/>
      <c r="F1786"/>
      <c r="G1786"/>
      <c r="H1786"/>
    </row>
    <row r="1787" spans="3:8" x14ac:dyDescent="0.3">
      <c r="C1787"/>
      <c r="D1787"/>
      <c r="E1787"/>
      <c r="F1787"/>
      <c r="G1787"/>
      <c r="H1787"/>
    </row>
    <row r="1788" spans="3:8" x14ac:dyDescent="0.3">
      <c r="C1788"/>
      <c r="D1788"/>
      <c r="E1788"/>
      <c r="F1788"/>
      <c r="G1788"/>
      <c r="H1788"/>
    </row>
    <row r="1789" spans="3:8" x14ac:dyDescent="0.3">
      <c r="C1789"/>
      <c r="D1789"/>
      <c r="E1789"/>
      <c r="F1789"/>
      <c r="G1789"/>
      <c r="H1789"/>
    </row>
    <row r="1790" spans="3:8" x14ac:dyDescent="0.3">
      <c r="C1790"/>
      <c r="D1790"/>
      <c r="E1790"/>
      <c r="F1790"/>
      <c r="G1790"/>
      <c r="H1790"/>
    </row>
    <row r="1791" spans="3:8" x14ac:dyDescent="0.3">
      <c r="C1791"/>
      <c r="D1791"/>
      <c r="E1791"/>
      <c r="F1791"/>
      <c r="G1791"/>
      <c r="H1791"/>
    </row>
    <row r="1792" spans="3:8" x14ac:dyDescent="0.3">
      <c r="C1792"/>
      <c r="D1792"/>
      <c r="E1792"/>
      <c r="F1792"/>
      <c r="G1792"/>
      <c r="H1792"/>
    </row>
    <row r="1793" spans="3:8" x14ac:dyDescent="0.3">
      <c r="C1793"/>
      <c r="D1793"/>
      <c r="E1793"/>
      <c r="F1793"/>
      <c r="G1793"/>
      <c r="H1793"/>
    </row>
    <row r="1794" spans="3:8" x14ac:dyDescent="0.3">
      <c r="C1794"/>
      <c r="D1794"/>
      <c r="E1794"/>
      <c r="F1794"/>
      <c r="G1794"/>
      <c r="H1794"/>
    </row>
    <row r="1795" spans="3:8" x14ac:dyDescent="0.3">
      <c r="C1795"/>
      <c r="D1795"/>
      <c r="E1795"/>
      <c r="F1795"/>
      <c r="G1795"/>
      <c r="H1795"/>
    </row>
    <row r="1796" spans="3:8" x14ac:dyDescent="0.3">
      <c r="C1796"/>
      <c r="D1796"/>
      <c r="E1796"/>
      <c r="F1796"/>
      <c r="G1796"/>
      <c r="H1796"/>
    </row>
    <row r="1797" spans="3:8" x14ac:dyDescent="0.3">
      <c r="C1797"/>
      <c r="D1797"/>
      <c r="E1797"/>
      <c r="F1797"/>
      <c r="G1797"/>
      <c r="H1797"/>
    </row>
    <row r="1798" spans="3:8" x14ac:dyDescent="0.3">
      <c r="C1798"/>
      <c r="D1798"/>
      <c r="E1798"/>
      <c r="F1798"/>
      <c r="G1798"/>
      <c r="H1798"/>
    </row>
    <row r="1799" spans="3:8" x14ac:dyDescent="0.3">
      <c r="C1799"/>
      <c r="D1799"/>
      <c r="E1799"/>
      <c r="F1799"/>
      <c r="G1799"/>
      <c r="H1799"/>
    </row>
    <row r="1800" spans="3:8" x14ac:dyDescent="0.3">
      <c r="C1800"/>
      <c r="D1800"/>
      <c r="E1800"/>
      <c r="F1800"/>
      <c r="G1800"/>
      <c r="H1800"/>
    </row>
    <row r="1801" spans="3:8" x14ac:dyDescent="0.3">
      <c r="C1801"/>
      <c r="D1801"/>
      <c r="E1801"/>
      <c r="F1801"/>
      <c r="G1801"/>
      <c r="H1801"/>
    </row>
    <row r="1802" spans="3:8" x14ac:dyDescent="0.3">
      <c r="C1802"/>
      <c r="D1802"/>
      <c r="E1802"/>
      <c r="F1802"/>
      <c r="G1802"/>
      <c r="H1802"/>
    </row>
    <row r="1803" spans="3:8" x14ac:dyDescent="0.3">
      <c r="C1803"/>
      <c r="D1803"/>
      <c r="E1803"/>
      <c r="F1803"/>
      <c r="G1803"/>
      <c r="H1803"/>
    </row>
    <row r="1804" spans="3:8" x14ac:dyDescent="0.3">
      <c r="C1804"/>
      <c r="D1804"/>
      <c r="E1804"/>
      <c r="F1804"/>
      <c r="G1804"/>
      <c r="H1804"/>
    </row>
    <row r="1805" spans="3:8" x14ac:dyDescent="0.3">
      <c r="C1805"/>
      <c r="D1805"/>
      <c r="E1805"/>
      <c r="F1805"/>
      <c r="G1805"/>
      <c r="H1805"/>
    </row>
    <row r="1806" spans="3:8" x14ac:dyDescent="0.3">
      <c r="C1806"/>
      <c r="D1806"/>
      <c r="E1806"/>
      <c r="F1806"/>
      <c r="G1806"/>
      <c r="H1806"/>
    </row>
    <row r="1807" spans="3:8" x14ac:dyDescent="0.3">
      <c r="C1807"/>
      <c r="D1807"/>
      <c r="E1807"/>
      <c r="F1807"/>
      <c r="G1807"/>
      <c r="H1807"/>
    </row>
    <row r="1808" spans="3:8" x14ac:dyDescent="0.3">
      <c r="C1808"/>
      <c r="D1808"/>
      <c r="E1808"/>
      <c r="F1808"/>
      <c r="G1808"/>
      <c r="H1808"/>
    </row>
    <row r="1809" spans="3:8" x14ac:dyDescent="0.3">
      <c r="C1809"/>
      <c r="D1809"/>
      <c r="E1809"/>
      <c r="F1809"/>
      <c r="G1809"/>
      <c r="H1809"/>
    </row>
    <row r="1810" spans="3:8" x14ac:dyDescent="0.3">
      <c r="C1810"/>
      <c r="D1810"/>
      <c r="E1810"/>
      <c r="F1810"/>
      <c r="G1810"/>
      <c r="H1810"/>
    </row>
    <row r="1811" spans="3:8" x14ac:dyDescent="0.3">
      <c r="C1811"/>
      <c r="D1811"/>
      <c r="E1811"/>
      <c r="F1811"/>
      <c r="G1811"/>
      <c r="H1811"/>
    </row>
    <row r="1812" spans="3:8" x14ac:dyDescent="0.3">
      <c r="C1812"/>
      <c r="D1812"/>
      <c r="E1812"/>
      <c r="F1812"/>
      <c r="G1812"/>
      <c r="H1812"/>
    </row>
    <row r="1813" spans="3:8" x14ac:dyDescent="0.3">
      <c r="C1813"/>
      <c r="D1813"/>
      <c r="E1813"/>
      <c r="F1813"/>
      <c r="G1813"/>
      <c r="H1813"/>
    </row>
    <row r="1814" spans="3:8" x14ac:dyDescent="0.3">
      <c r="C1814"/>
      <c r="D1814"/>
      <c r="E1814"/>
      <c r="F1814"/>
      <c r="G1814"/>
      <c r="H1814"/>
    </row>
    <row r="1815" spans="3:8" x14ac:dyDescent="0.3">
      <c r="C1815"/>
      <c r="D1815"/>
      <c r="E1815"/>
      <c r="F1815"/>
      <c r="G1815"/>
      <c r="H1815"/>
    </row>
    <row r="1816" spans="3:8" x14ac:dyDescent="0.3">
      <c r="C1816"/>
      <c r="D1816"/>
      <c r="E1816"/>
      <c r="F1816"/>
      <c r="G1816"/>
      <c r="H1816"/>
    </row>
    <row r="1817" spans="3:8" x14ac:dyDescent="0.3">
      <c r="C1817"/>
      <c r="D1817"/>
      <c r="E1817"/>
      <c r="F1817"/>
      <c r="G1817"/>
      <c r="H1817"/>
    </row>
    <row r="1818" spans="3:8" x14ac:dyDescent="0.3">
      <c r="C1818"/>
      <c r="D1818"/>
      <c r="E1818"/>
      <c r="F1818"/>
      <c r="G1818"/>
      <c r="H1818"/>
    </row>
    <row r="1819" spans="3:8" x14ac:dyDescent="0.3">
      <c r="C1819"/>
      <c r="D1819"/>
      <c r="E1819"/>
      <c r="F1819"/>
      <c r="G1819"/>
      <c r="H1819"/>
    </row>
    <row r="1820" spans="3:8" x14ac:dyDescent="0.3">
      <c r="C1820"/>
      <c r="D1820"/>
      <c r="E1820"/>
      <c r="F1820"/>
      <c r="G1820"/>
      <c r="H1820"/>
    </row>
    <row r="1821" spans="3:8" x14ac:dyDescent="0.3">
      <c r="C1821"/>
      <c r="D1821"/>
      <c r="E1821"/>
      <c r="F1821"/>
      <c r="G1821"/>
      <c r="H1821"/>
    </row>
    <row r="1822" spans="3:8" x14ac:dyDescent="0.3">
      <c r="C1822"/>
      <c r="D1822"/>
      <c r="E1822"/>
      <c r="F1822"/>
      <c r="G1822"/>
      <c r="H1822"/>
    </row>
    <row r="1823" spans="3:8" x14ac:dyDescent="0.3">
      <c r="C1823"/>
      <c r="D1823"/>
      <c r="E1823"/>
      <c r="F1823"/>
      <c r="G1823"/>
      <c r="H1823"/>
    </row>
    <row r="1824" spans="3:8" x14ac:dyDescent="0.3">
      <c r="C1824"/>
      <c r="D1824"/>
      <c r="E1824"/>
      <c r="F1824"/>
      <c r="G1824"/>
      <c r="H1824"/>
    </row>
    <row r="1825" spans="3:8" x14ac:dyDescent="0.3">
      <c r="C1825"/>
      <c r="D1825"/>
      <c r="E1825"/>
      <c r="F1825"/>
      <c r="G1825"/>
      <c r="H1825"/>
    </row>
    <row r="1826" spans="3:8" x14ac:dyDescent="0.3">
      <c r="C1826"/>
      <c r="D1826"/>
      <c r="E1826"/>
      <c r="F1826"/>
      <c r="G1826"/>
      <c r="H1826"/>
    </row>
    <row r="1827" spans="3:8" x14ac:dyDescent="0.3">
      <c r="C1827"/>
      <c r="D1827"/>
      <c r="E1827"/>
      <c r="F1827"/>
      <c r="G1827"/>
      <c r="H1827"/>
    </row>
    <row r="1828" spans="3:8" x14ac:dyDescent="0.3">
      <c r="C1828"/>
      <c r="D1828"/>
      <c r="E1828"/>
      <c r="F1828"/>
      <c r="G1828"/>
      <c r="H1828"/>
    </row>
    <row r="1829" spans="3:8" x14ac:dyDescent="0.3">
      <c r="C1829"/>
      <c r="D1829"/>
      <c r="E1829"/>
      <c r="F1829"/>
      <c r="G1829"/>
      <c r="H1829"/>
    </row>
    <row r="1830" spans="3:8" x14ac:dyDescent="0.3">
      <c r="C1830"/>
      <c r="D1830"/>
      <c r="E1830"/>
      <c r="F1830"/>
      <c r="G1830"/>
      <c r="H1830"/>
    </row>
    <row r="1831" spans="3:8" x14ac:dyDescent="0.3">
      <c r="C1831"/>
      <c r="D1831"/>
      <c r="E1831"/>
      <c r="F1831"/>
      <c r="G1831"/>
      <c r="H1831"/>
    </row>
    <row r="1832" spans="3:8" x14ac:dyDescent="0.3">
      <c r="C1832"/>
      <c r="D1832"/>
      <c r="E1832"/>
      <c r="F1832"/>
      <c r="G1832"/>
      <c r="H1832"/>
    </row>
    <row r="1833" spans="3:8" x14ac:dyDescent="0.3">
      <c r="C1833"/>
      <c r="D1833"/>
      <c r="E1833"/>
      <c r="F1833"/>
      <c r="G1833"/>
      <c r="H1833"/>
    </row>
    <row r="1834" spans="3:8" x14ac:dyDescent="0.3">
      <c r="C1834"/>
      <c r="D1834"/>
      <c r="E1834"/>
      <c r="F1834"/>
      <c r="G1834"/>
      <c r="H1834"/>
    </row>
    <row r="1835" spans="3:8" x14ac:dyDescent="0.3">
      <c r="C1835"/>
      <c r="D1835"/>
      <c r="E1835"/>
      <c r="F1835"/>
      <c r="G1835"/>
      <c r="H1835"/>
    </row>
    <row r="1836" spans="3:8" x14ac:dyDescent="0.3">
      <c r="C1836"/>
      <c r="D1836"/>
      <c r="E1836"/>
      <c r="F1836"/>
      <c r="G1836"/>
      <c r="H1836"/>
    </row>
    <row r="1837" spans="3:8" x14ac:dyDescent="0.3">
      <c r="C1837"/>
      <c r="D1837"/>
      <c r="E1837"/>
      <c r="F1837"/>
      <c r="G1837"/>
      <c r="H1837"/>
    </row>
    <row r="1838" spans="3:8" x14ac:dyDescent="0.3">
      <c r="C1838"/>
      <c r="D1838"/>
      <c r="E1838"/>
      <c r="F1838"/>
      <c r="G1838"/>
      <c r="H1838"/>
    </row>
    <row r="1839" spans="3:8" x14ac:dyDescent="0.3">
      <c r="C1839"/>
      <c r="D1839"/>
      <c r="E1839"/>
      <c r="F1839"/>
      <c r="G1839"/>
      <c r="H1839"/>
    </row>
    <row r="1840" spans="3:8" x14ac:dyDescent="0.3">
      <c r="C1840"/>
      <c r="D1840"/>
      <c r="E1840"/>
      <c r="F1840"/>
      <c r="G1840"/>
      <c r="H1840"/>
    </row>
    <row r="1841" spans="3:8" x14ac:dyDescent="0.3">
      <c r="C1841"/>
      <c r="D1841"/>
      <c r="E1841"/>
      <c r="F1841"/>
      <c r="G1841"/>
      <c r="H1841"/>
    </row>
    <row r="1842" spans="3:8" x14ac:dyDescent="0.3">
      <c r="C1842"/>
      <c r="D1842"/>
      <c r="E1842"/>
      <c r="F1842"/>
      <c r="G1842"/>
      <c r="H1842"/>
    </row>
    <row r="1843" spans="3:8" x14ac:dyDescent="0.3">
      <c r="C1843"/>
      <c r="D1843"/>
      <c r="E1843"/>
      <c r="F1843"/>
      <c r="G1843"/>
      <c r="H1843"/>
    </row>
    <row r="1844" spans="3:8" x14ac:dyDescent="0.3">
      <c r="C1844"/>
      <c r="D1844"/>
      <c r="E1844"/>
      <c r="F1844"/>
      <c r="G1844"/>
      <c r="H1844"/>
    </row>
    <row r="1845" spans="3:8" x14ac:dyDescent="0.3">
      <c r="C1845"/>
      <c r="D1845"/>
      <c r="E1845"/>
      <c r="F1845"/>
      <c r="G1845"/>
      <c r="H1845"/>
    </row>
    <row r="1846" spans="3:8" x14ac:dyDescent="0.3">
      <c r="C1846"/>
      <c r="D1846"/>
      <c r="E1846"/>
      <c r="F1846"/>
      <c r="G1846"/>
      <c r="H1846"/>
    </row>
    <row r="1847" spans="3:8" x14ac:dyDescent="0.3">
      <c r="C1847"/>
      <c r="D1847"/>
      <c r="E1847"/>
      <c r="F1847"/>
      <c r="G1847"/>
      <c r="H1847"/>
    </row>
    <row r="1848" spans="3:8" x14ac:dyDescent="0.3">
      <c r="C1848"/>
      <c r="D1848"/>
      <c r="E1848"/>
      <c r="F1848"/>
      <c r="G1848"/>
      <c r="H1848"/>
    </row>
    <row r="1849" spans="3:8" x14ac:dyDescent="0.3">
      <c r="C1849"/>
      <c r="D1849"/>
      <c r="E1849"/>
      <c r="F1849"/>
      <c r="G1849"/>
      <c r="H1849"/>
    </row>
    <row r="1850" spans="3:8" x14ac:dyDescent="0.3">
      <c r="C1850"/>
      <c r="D1850"/>
      <c r="E1850"/>
      <c r="F1850"/>
      <c r="G1850"/>
      <c r="H1850"/>
    </row>
    <row r="1851" spans="3:8" x14ac:dyDescent="0.3">
      <c r="C1851"/>
      <c r="D1851"/>
      <c r="E1851"/>
      <c r="F1851"/>
      <c r="G1851"/>
      <c r="H1851"/>
    </row>
    <row r="1852" spans="3:8" x14ac:dyDescent="0.3">
      <c r="C1852"/>
      <c r="D1852"/>
      <c r="E1852"/>
      <c r="F1852"/>
      <c r="G1852"/>
      <c r="H1852"/>
    </row>
    <row r="1853" spans="3:8" x14ac:dyDescent="0.3">
      <c r="C1853"/>
      <c r="D1853"/>
      <c r="E1853"/>
      <c r="F1853"/>
      <c r="G1853"/>
      <c r="H1853"/>
    </row>
    <row r="1854" spans="3:8" x14ac:dyDescent="0.3">
      <c r="C1854"/>
      <c r="D1854"/>
      <c r="E1854"/>
      <c r="F1854"/>
      <c r="G1854"/>
      <c r="H1854"/>
    </row>
    <row r="1855" spans="3:8" x14ac:dyDescent="0.3">
      <c r="C1855"/>
      <c r="D1855"/>
      <c r="E1855"/>
      <c r="F1855"/>
      <c r="G1855"/>
      <c r="H1855"/>
    </row>
    <row r="1856" spans="3:8" x14ac:dyDescent="0.3">
      <c r="C1856"/>
      <c r="D1856"/>
      <c r="E1856"/>
      <c r="F1856"/>
      <c r="G1856"/>
      <c r="H1856"/>
    </row>
    <row r="1857" spans="3:8" x14ac:dyDescent="0.3">
      <c r="C1857"/>
      <c r="D1857"/>
      <c r="E1857"/>
      <c r="F1857"/>
      <c r="G1857"/>
      <c r="H1857"/>
    </row>
    <row r="1858" spans="3:8" x14ac:dyDescent="0.3">
      <c r="C1858"/>
      <c r="D1858"/>
      <c r="E1858"/>
      <c r="F1858"/>
      <c r="G1858"/>
      <c r="H1858"/>
    </row>
    <row r="1859" spans="3:8" x14ac:dyDescent="0.3">
      <c r="C1859"/>
      <c r="D1859"/>
      <c r="E1859"/>
      <c r="F1859"/>
      <c r="G1859"/>
      <c r="H1859"/>
    </row>
    <row r="1860" spans="3:8" x14ac:dyDescent="0.3">
      <c r="C1860"/>
      <c r="D1860"/>
      <c r="E1860"/>
      <c r="F1860"/>
      <c r="G1860"/>
      <c r="H1860"/>
    </row>
    <row r="1861" spans="3:8" x14ac:dyDescent="0.3">
      <c r="C1861"/>
      <c r="D1861"/>
      <c r="E1861"/>
      <c r="F1861"/>
      <c r="G1861"/>
      <c r="H1861"/>
    </row>
    <row r="1862" spans="3:8" x14ac:dyDescent="0.3">
      <c r="C1862"/>
      <c r="D1862"/>
      <c r="E1862"/>
      <c r="F1862"/>
      <c r="G1862"/>
      <c r="H1862"/>
    </row>
    <row r="1863" spans="3:8" x14ac:dyDescent="0.3">
      <c r="C1863"/>
      <c r="D1863"/>
      <c r="E1863"/>
      <c r="F1863"/>
      <c r="G1863"/>
      <c r="H1863"/>
    </row>
    <row r="1864" spans="3:8" x14ac:dyDescent="0.3">
      <c r="C1864"/>
      <c r="D1864"/>
      <c r="E1864"/>
      <c r="F1864"/>
      <c r="G1864"/>
      <c r="H1864"/>
    </row>
    <row r="1865" spans="3:8" x14ac:dyDescent="0.3">
      <c r="C1865"/>
      <c r="D1865"/>
      <c r="E1865"/>
      <c r="F1865"/>
      <c r="G1865"/>
      <c r="H1865"/>
    </row>
    <row r="1866" spans="3:8" x14ac:dyDescent="0.3">
      <c r="C1866"/>
      <c r="D1866"/>
      <c r="E1866"/>
      <c r="F1866"/>
      <c r="G1866"/>
      <c r="H1866"/>
    </row>
    <row r="1867" spans="3:8" x14ac:dyDescent="0.3">
      <c r="C1867"/>
      <c r="D1867"/>
      <c r="E1867"/>
      <c r="F1867"/>
      <c r="G1867"/>
      <c r="H1867"/>
    </row>
    <row r="1868" spans="3:8" x14ac:dyDescent="0.3">
      <c r="C1868"/>
      <c r="D1868"/>
      <c r="E1868"/>
      <c r="F1868"/>
      <c r="G1868"/>
      <c r="H1868"/>
    </row>
    <row r="1869" spans="3:8" x14ac:dyDescent="0.3">
      <c r="C1869"/>
      <c r="D1869"/>
      <c r="E1869"/>
      <c r="F1869"/>
      <c r="G1869"/>
      <c r="H1869"/>
    </row>
    <row r="1870" spans="3:8" x14ac:dyDescent="0.3">
      <c r="C1870"/>
      <c r="D1870"/>
      <c r="E1870"/>
      <c r="F1870"/>
      <c r="G1870"/>
      <c r="H1870"/>
    </row>
    <row r="1871" spans="3:8" x14ac:dyDescent="0.3">
      <c r="C1871"/>
      <c r="D1871"/>
      <c r="E1871"/>
      <c r="F1871"/>
      <c r="G1871"/>
      <c r="H1871"/>
    </row>
    <row r="1872" spans="3:8" x14ac:dyDescent="0.3">
      <c r="C1872"/>
      <c r="D1872"/>
      <c r="E1872"/>
      <c r="F1872"/>
      <c r="G1872"/>
      <c r="H1872"/>
    </row>
    <row r="1873" spans="3:8" x14ac:dyDescent="0.3">
      <c r="C1873"/>
      <c r="D1873"/>
      <c r="E1873"/>
      <c r="F1873"/>
      <c r="G1873"/>
      <c r="H1873"/>
    </row>
    <row r="1874" spans="3:8" x14ac:dyDescent="0.3">
      <c r="C1874"/>
      <c r="D1874"/>
      <c r="E1874"/>
      <c r="F1874"/>
      <c r="G1874"/>
      <c r="H1874"/>
    </row>
    <row r="1875" spans="3:8" x14ac:dyDescent="0.3">
      <c r="C1875"/>
      <c r="D1875"/>
      <c r="E1875"/>
      <c r="F1875"/>
      <c r="G1875"/>
      <c r="H1875"/>
    </row>
    <row r="1876" spans="3:8" x14ac:dyDescent="0.3">
      <c r="C1876"/>
      <c r="D1876"/>
      <c r="E1876"/>
      <c r="F1876"/>
      <c r="G1876"/>
      <c r="H1876"/>
    </row>
    <row r="1877" spans="3:8" x14ac:dyDescent="0.3">
      <c r="C1877"/>
      <c r="D1877"/>
      <c r="E1877"/>
      <c r="F1877"/>
      <c r="G1877"/>
      <c r="H1877"/>
    </row>
    <row r="1878" spans="3:8" x14ac:dyDescent="0.3">
      <c r="C1878"/>
      <c r="D1878"/>
      <c r="E1878"/>
      <c r="F1878"/>
      <c r="G1878"/>
      <c r="H1878"/>
    </row>
    <row r="1879" spans="3:8" x14ac:dyDescent="0.3">
      <c r="C1879"/>
      <c r="D1879"/>
      <c r="E1879"/>
      <c r="F1879"/>
      <c r="G1879"/>
      <c r="H1879"/>
    </row>
    <row r="1880" spans="3:8" x14ac:dyDescent="0.3">
      <c r="C1880"/>
      <c r="D1880"/>
      <c r="E1880"/>
      <c r="F1880"/>
      <c r="G1880"/>
      <c r="H1880"/>
    </row>
    <row r="1881" spans="3:8" x14ac:dyDescent="0.3">
      <c r="C1881"/>
      <c r="D1881"/>
      <c r="E1881"/>
      <c r="F1881"/>
      <c r="G1881"/>
      <c r="H1881"/>
    </row>
    <row r="1882" spans="3:8" x14ac:dyDescent="0.3">
      <c r="C1882"/>
      <c r="D1882"/>
      <c r="E1882"/>
      <c r="F1882"/>
      <c r="G1882"/>
      <c r="H1882"/>
    </row>
    <row r="1883" spans="3:8" x14ac:dyDescent="0.3">
      <c r="C1883"/>
      <c r="D1883"/>
      <c r="E1883"/>
      <c r="F1883"/>
      <c r="G1883"/>
      <c r="H1883"/>
    </row>
    <row r="1884" spans="3:8" x14ac:dyDescent="0.3">
      <c r="C1884"/>
      <c r="D1884"/>
      <c r="E1884"/>
      <c r="F1884"/>
      <c r="G1884"/>
      <c r="H1884"/>
    </row>
    <row r="1885" spans="3:8" x14ac:dyDescent="0.3">
      <c r="C1885"/>
      <c r="D1885"/>
      <c r="E1885"/>
      <c r="F1885"/>
      <c r="G1885"/>
      <c r="H1885"/>
    </row>
    <row r="1886" spans="3:8" x14ac:dyDescent="0.3">
      <c r="C1886"/>
      <c r="D1886"/>
      <c r="E1886"/>
      <c r="F1886"/>
      <c r="G1886"/>
      <c r="H1886"/>
    </row>
    <row r="1887" spans="3:8" x14ac:dyDescent="0.3">
      <c r="C1887"/>
      <c r="D1887"/>
      <c r="E1887"/>
      <c r="F1887"/>
      <c r="G1887"/>
      <c r="H1887"/>
    </row>
    <row r="1888" spans="3:8" x14ac:dyDescent="0.3">
      <c r="C1888"/>
      <c r="D1888"/>
      <c r="E1888"/>
      <c r="F1888"/>
      <c r="G1888"/>
      <c r="H1888"/>
    </row>
    <row r="1889" spans="3:8" x14ac:dyDescent="0.3">
      <c r="C1889"/>
      <c r="D1889"/>
      <c r="E1889"/>
      <c r="F1889"/>
      <c r="G1889"/>
      <c r="H1889"/>
    </row>
    <row r="1890" spans="3:8" x14ac:dyDescent="0.3">
      <c r="C1890"/>
      <c r="D1890"/>
      <c r="E1890"/>
      <c r="F1890"/>
      <c r="G1890"/>
      <c r="H1890"/>
    </row>
    <row r="1891" spans="3:8" x14ac:dyDescent="0.3">
      <c r="C1891"/>
      <c r="D1891"/>
      <c r="E1891"/>
      <c r="F1891"/>
      <c r="G1891"/>
      <c r="H1891"/>
    </row>
    <row r="1892" spans="3:8" x14ac:dyDescent="0.3">
      <c r="C1892"/>
      <c r="D1892"/>
      <c r="E1892"/>
      <c r="F1892"/>
      <c r="G1892"/>
      <c r="H1892"/>
    </row>
    <row r="1893" spans="3:8" x14ac:dyDescent="0.3">
      <c r="C1893"/>
      <c r="D1893"/>
      <c r="E1893"/>
      <c r="F1893"/>
      <c r="G1893"/>
      <c r="H1893"/>
    </row>
    <row r="1894" spans="3:8" x14ac:dyDescent="0.3">
      <c r="C1894"/>
      <c r="D1894"/>
      <c r="E1894"/>
      <c r="F1894"/>
      <c r="G1894"/>
      <c r="H1894"/>
    </row>
    <row r="1895" spans="3:8" x14ac:dyDescent="0.3">
      <c r="C1895"/>
      <c r="D1895"/>
      <c r="E1895"/>
      <c r="F1895"/>
      <c r="G1895"/>
      <c r="H1895"/>
    </row>
    <row r="1896" spans="3:8" x14ac:dyDescent="0.3">
      <c r="C1896"/>
      <c r="D1896"/>
      <c r="E1896"/>
      <c r="F1896"/>
      <c r="G1896"/>
      <c r="H1896"/>
    </row>
    <row r="1897" spans="3:8" x14ac:dyDescent="0.3">
      <c r="C1897"/>
      <c r="D1897"/>
      <c r="E1897"/>
      <c r="F1897"/>
      <c r="G1897"/>
      <c r="H1897"/>
    </row>
    <row r="1898" spans="3:8" x14ac:dyDescent="0.3">
      <c r="C1898"/>
      <c r="D1898"/>
      <c r="E1898"/>
      <c r="F1898"/>
      <c r="G1898"/>
      <c r="H1898"/>
    </row>
    <row r="1899" spans="3:8" x14ac:dyDescent="0.3">
      <c r="C1899"/>
      <c r="D1899"/>
      <c r="E1899"/>
      <c r="F1899"/>
      <c r="G1899"/>
      <c r="H1899"/>
    </row>
    <row r="1900" spans="3:8" x14ac:dyDescent="0.3">
      <c r="C1900"/>
      <c r="D1900"/>
      <c r="E1900"/>
      <c r="F1900"/>
      <c r="G1900"/>
      <c r="H1900"/>
    </row>
    <row r="1901" spans="3:8" x14ac:dyDescent="0.3">
      <c r="C1901"/>
      <c r="D1901"/>
      <c r="E1901"/>
      <c r="F1901"/>
      <c r="G1901"/>
      <c r="H1901"/>
    </row>
    <row r="1902" spans="3:8" x14ac:dyDescent="0.3">
      <c r="C1902"/>
      <c r="D1902"/>
      <c r="E1902"/>
      <c r="F1902"/>
      <c r="G1902"/>
      <c r="H1902"/>
    </row>
    <row r="1903" spans="3:8" x14ac:dyDescent="0.3">
      <c r="C1903"/>
      <c r="D1903"/>
      <c r="E1903"/>
      <c r="F1903"/>
      <c r="G1903"/>
      <c r="H1903"/>
    </row>
    <row r="1904" spans="3:8" x14ac:dyDescent="0.3">
      <c r="C1904"/>
      <c r="D1904"/>
      <c r="E1904"/>
      <c r="F1904"/>
      <c r="G1904"/>
      <c r="H1904"/>
    </row>
    <row r="1905" spans="3:8" x14ac:dyDescent="0.3">
      <c r="C1905"/>
      <c r="D1905"/>
      <c r="E1905"/>
      <c r="F1905"/>
      <c r="G1905"/>
      <c r="H1905"/>
    </row>
    <row r="1906" spans="3:8" x14ac:dyDescent="0.3">
      <c r="C1906"/>
      <c r="D1906"/>
      <c r="E1906"/>
      <c r="F1906"/>
      <c r="G1906"/>
      <c r="H1906"/>
    </row>
    <row r="1907" spans="3:8" x14ac:dyDescent="0.3">
      <c r="C1907"/>
      <c r="D1907"/>
      <c r="E1907"/>
      <c r="F1907"/>
      <c r="G1907"/>
      <c r="H1907"/>
    </row>
    <row r="1908" spans="3:8" x14ac:dyDescent="0.3">
      <c r="C1908"/>
      <c r="D1908"/>
      <c r="E1908"/>
      <c r="F1908"/>
      <c r="G1908"/>
      <c r="H1908"/>
    </row>
    <row r="1909" spans="3:8" x14ac:dyDescent="0.3">
      <c r="C1909"/>
      <c r="D1909"/>
      <c r="E1909"/>
      <c r="F1909"/>
      <c r="G1909"/>
      <c r="H1909"/>
    </row>
    <row r="1910" spans="3:8" x14ac:dyDescent="0.3">
      <c r="C1910"/>
      <c r="D1910"/>
      <c r="E1910"/>
      <c r="F1910"/>
      <c r="G1910"/>
      <c r="H1910"/>
    </row>
    <row r="1911" spans="3:8" x14ac:dyDescent="0.3">
      <c r="C1911"/>
      <c r="D1911"/>
      <c r="E1911"/>
      <c r="F1911"/>
      <c r="G1911"/>
      <c r="H1911"/>
    </row>
    <row r="1912" spans="3:8" x14ac:dyDescent="0.3">
      <c r="C1912"/>
      <c r="D1912"/>
      <c r="E1912"/>
      <c r="F1912"/>
      <c r="G1912"/>
      <c r="H1912"/>
    </row>
    <row r="1913" spans="3:8" x14ac:dyDescent="0.3">
      <c r="C1913"/>
      <c r="D1913"/>
      <c r="E1913"/>
      <c r="F1913"/>
      <c r="G1913"/>
      <c r="H1913"/>
    </row>
    <row r="1914" spans="3:8" x14ac:dyDescent="0.3">
      <c r="C1914"/>
      <c r="D1914"/>
      <c r="E1914"/>
      <c r="F1914"/>
      <c r="G1914"/>
      <c r="H1914"/>
    </row>
    <row r="1915" spans="3:8" x14ac:dyDescent="0.3">
      <c r="C1915"/>
      <c r="D1915"/>
      <c r="E1915"/>
      <c r="F1915"/>
      <c r="G1915"/>
      <c r="H1915"/>
    </row>
    <row r="1916" spans="3:8" x14ac:dyDescent="0.3">
      <c r="C1916"/>
      <c r="D1916"/>
      <c r="E1916"/>
      <c r="F1916"/>
      <c r="G1916"/>
      <c r="H1916"/>
    </row>
    <row r="1917" spans="3:8" x14ac:dyDescent="0.3">
      <c r="C1917"/>
      <c r="D1917"/>
      <c r="E1917"/>
      <c r="F1917"/>
      <c r="G1917"/>
      <c r="H1917"/>
    </row>
    <row r="1918" spans="3:8" x14ac:dyDescent="0.3">
      <c r="C1918"/>
      <c r="D1918"/>
      <c r="E1918"/>
      <c r="F1918"/>
      <c r="G1918"/>
      <c r="H1918"/>
    </row>
    <row r="1919" spans="3:8" x14ac:dyDescent="0.3">
      <c r="C1919"/>
      <c r="D1919"/>
      <c r="E1919"/>
      <c r="F1919"/>
      <c r="G1919"/>
      <c r="H1919"/>
    </row>
    <row r="1920" spans="3:8" x14ac:dyDescent="0.3">
      <c r="C1920"/>
      <c r="D1920"/>
      <c r="E1920"/>
      <c r="F1920"/>
      <c r="G1920"/>
      <c r="H1920"/>
    </row>
    <row r="1921" spans="3:8" x14ac:dyDescent="0.3">
      <c r="C1921"/>
      <c r="D1921"/>
      <c r="E1921"/>
      <c r="F1921"/>
      <c r="G1921"/>
      <c r="H1921"/>
    </row>
    <row r="1922" spans="3:8" x14ac:dyDescent="0.3">
      <c r="C1922"/>
      <c r="D1922"/>
      <c r="E1922"/>
      <c r="F1922"/>
      <c r="G1922"/>
      <c r="H1922"/>
    </row>
    <row r="1923" spans="3:8" x14ac:dyDescent="0.3">
      <c r="C1923"/>
      <c r="D1923"/>
      <c r="E1923"/>
      <c r="F1923"/>
      <c r="G1923"/>
      <c r="H1923"/>
    </row>
    <row r="1924" spans="3:8" x14ac:dyDescent="0.3">
      <c r="C1924"/>
      <c r="D1924"/>
      <c r="E1924"/>
      <c r="F1924"/>
      <c r="G1924"/>
      <c r="H1924"/>
    </row>
    <row r="1925" spans="3:8" x14ac:dyDescent="0.3">
      <c r="C1925"/>
      <c r="D1925"/>
      <c r="E1925"/>
      <c r="F1925"/>
      <c r="G1925"/>
      <c r="H1925"/>
    </row>
    <row r="1926" spans="3:8" x14ac:dyDescent="0.3">
      <c r="C1926"/>
      <c r="D1926"/>
      <c r="E1926"/>
      <c r="F1926"/>
      <c r="G1926"/>
      <c r="H1926"/>
    </row>
    <row r="1927" spans="3:8" x14ac:dyDescent="0.3">
      <c r="C1927"/>
      <c r="D1927"/>
      <c r="E1927"/>
      <c r="F1927"/>
      <c r="G1927"/>
      <c r="H1927"/>
    </row>
    <row r="1928" spans="3:8" x14ac:dyDescent="0.3">
      <c r="C1928"/>
      <c r="D1928"/>
      <c r="E1928"/>
      <c r="F1928"/>
      <c r="G1928"/>
      <c r="H1928"/>
    </row>
    <row r="1929" spans="3:8" x14ac:dyDescent="0.3">
      <c r="C1929"/>
      <c r="D1929"/>
      <c r="E1929"/>
      <c r="F1929"/>
      <c r="G1929"/>
      <c r="H1929"/>
    </row>
    <row r="1930" spans="3:8" x14ac:dyDescent="0.3">
      <c r="C1930"/>
      <c r="D1930"/>
      <c r="E1930"/>
      <c r="F1930"/>
      <c r="G1930"/>
      <c r="H1930"/>
    </row>
    <row r="1931" spans="3:8" x14ac:dyDescent="0.3">
      <c r="C1931"/>
      <c r="D1931"/>
      <c r="E1931"/>
      <c r="F1931"/>
      <c r="G1931"/>
      <c r="H1931"/>
    </row>
    <row r="1932" spans="3:8" x14ac:dyDescent="0.3">
      <c r="C1932"/>
      <c r="D1932"/>
      <c r="E1932"/>
      <c r="F1932"/>
      <c r="G1932"/>
      <c r="H1932"/>
    </row>
    <row r="1933" spans="3:8" x14ac:dyDescent="0.3">
      <c r="C1933"/>
      <c r="D1933"/>
      <c r="E1933"/>
      <c r="F1933"/>
      <c r="G1933"/>
      <c r="H1933"/>
    </row>
    <row r="1934" spans="3:8" x14ac:dyDescent="0.3">
      <c r="C1934"/>
      <c r="D1934"/>
      <c r="E1934"/>
      <c r="F1934"/>
      <c r="G1934"/>
      <c r="H1934"/>
    </row>
    <row r="1935" spans="3:8" x14ac:dyDescent="0.3">
      <c r="C1935"/>
      <c r="D1935"/>
      <c r="E1935"/>
      <c r="F1935"/>
      <c r="G1935"/>
      <c r="H1935"/>
    </row>
    <row r="1936" spans="3:8" x14ac:dyDescent="0.3">
      <c r="C1936"/>
      <c r="D1936"/>
      <c r="E1936"/>
      <c r="F1936"/>
      <c r="G1936"/>
      <c r="H1936"/>
    </row>
    <row r="1937" spans="3:8" x14ac:dyDescent="0.3">
      <c r="C1937"/>
      <c r="D1937"/>
      <c r="E1937"/>
      <c r="F1937"/>
      <c r="G1937"/>
      <c r="H1937"/>
    </row>
    <row r="1938" spans="3:8" x14ac:dyDescent="0.3">
      <c r="C1938"/>
      <c r="D1938"/>
      <c r="E1938"/>
      <c r="F1938"/>
      <c r="G1938"/>
      <c r="H1938"/>
    </row>
    <row r="1939" spans="3:8" x14ac:dyDescent="0.3">
      <c r="C1939"/>
      <c r="D1939"/>
      <c r="E1939"/>
      <c r="F1939"/>
      <c r="G1939"/>
      <c r="H1939"/>
    </row>
    <row r="1940" spans="3:8" x14ac:dyDescent="0.3">
      <c r="C1940"/>
      <c r="D1940"/>
      <c r="E1940"/>
      <c r="F1940"/>
      <c r="G1940"/>
      <c r="H1940"/>
    </row>
    <row r="1941" spans="3:8" x14ac:dyDescent="0.3">
      <c r="C1941"/>
      <c r="D1941"/>
      <c r="E1941"/>
      <c r="F1941"/>
      <c r="G1941"/>
      <c r="H1941"/>
    </row>
    <row r="1942" spans="3:8" x14ac:dyDescent="0.3">
      <c r="C1942"/>
      <c r="D1942"/>
      <c r="E1942"/>
      <c r="F1942"/>
      <c r="G1942"/>
      <c r="H1942"/>
    </row>
    <row r="1943" spans="3:8" x14ac:dyDescent="0.3">
      <c r="C1943"/>
      <c r="D1943"/>
      <c r="E1943"/>
      <c r="F1943"/>
      <c r="G1943"/>
      <c r="H1943"/>
    </row>
    <row r="1944" spans="3:8" x14ac:dyDescent="0.3">
      <c r="C1944"/>
      <c r="D1944"/>
      <c r="E1944"/>
      <c r="F1944"/>
      <c r="G1944"/>
      <c r="H1944"/>
    </row>
    <row r="1945" spans="3:8" x14ac:dyDescent="0.3">
      <c r="C1945"/>
      <c r="D1945"/>
      <c r="E1945"/>
      <c r="F1945"/>
      <c r="G1945"/>
      <c r="H1945"/>
    </row>
    <row r="1946" spans="3:8" x14ac:dyDescent="0.3">
      <c r="C1946"/>
      <c r="D1946"/>
      <c r="E1946"/>
      <c r="F1946"/>
      <c r="G1946"/>
      <c r="H1946"/>
    </row>
    <row r="1947" spans="3:8" x14ac:dyDescent="0.3">
      <c r="C1947"/>
      <c r="D1947"/>
      <c r="E1947"/>
      <c r="F1947"/>
      <c r="G1947"/>
      <c r="H1947"/>
    </row>
    <row r="1948" spans="3:8" x14ac:dyDescent="0.3">
      <c r="C1948"/>
      <c r="D1948"/>
      <c r="E1948"/>
      <c r="F1948"/>
      <c r="G1948"/>
      <c r="H1948"/>
    </row>
    <row r="1949" spans="3:8" x14ac:dyDescent="0.3">
      <c r="C1949"/>
      <c r="D1949"/>
      <c r="E1949"/>
      <c r="F1949"/>
      <c r="G1949"/>
      <c r="H1949"/>
    </row>
    <row r="1950" spans="3:8" x14ac:dyDescent="0.3">
      <c r="C1950"/>
      <c r="D1950"/>
      <c r="E1950"/>
      <c r="F1950"/>
      <c r="G1950"/>
      <c r="H1950"/>
    </row>
    <row r="1951" spans="3:8" x14ac:dyDescent="0.3">
      <c r="C1951"/>
      <c r="D1951"/>
      <c r="E1951"/>
      <c r="F1951"/>
      <c r="G1951"/>
      <c r="H1951"/>
    </row>
    <row r="1952" spans="3:8" x14ac:dyDescent="0.3">
      <c r="C1952"/>
      <c r="D1952"/>
      <c r="E1952"/>
      <c r="F1952"/>
      <c r="G1952"/>
      <c r="H1952"/>
    </row>
    <row r="1953" spans="3:8" x14ac:dyDescent="0.3">
      <c r="C1953"/>
      <c r="D1953"/>
      <c r="E1953"/>
      <c r="F1953"/>
      <c r="G1953"/>
      <c r="H1953"/>
    </row>
    <row r="1954" spans="3:8" x14ac:dyDescent="0.3">
      <c r="C1954"/>
      <c r="D1954"/>
      <c r="E1954"/>
      <c r="F1954"/>
      <c r="G1954"/>
      <c r="H1954"/>
    </row>
    <row r="1955" spans="3:8" x14ac:dyDescent="0.3">
      <c r="C1955"/>
      <c r="D1955"/>
      <c r="E1955"/>
      <c r="F1955"/>
      <c r="G1955"/>
      <c r="H1955"/>
    </row>
    <row r="1956" spans="3:8" x14ac:dyDescent="0.3">
      <c r="C1956"/>
      <c r="D1956"/>
      <c r="E1956"/>
      <c r="F1956"/>
      <c r="G1956"/>
      <c r="H1956"/>
    </row>
    <row r="1957" spans="3:8" x14ac:dyDescent="0.3">
      <c r="C1957"/>
      <c r="D1957"/>
      <c r="E1957"/>
      <c r="F1957"/>
      <c r="G1957"/>
      <c r="H1957"/>
    </row>
    <row r="1958" spans="3:8" x14ac:dyDescent="0.3">
      <c r="C1958"/>
      <c r="D1958"/>
      <c r="E1958"/>
      <c r="F1958"/>
      <c r="G1958"/>
      <c r="H1958"/>
    </row>
    <row r="1959" spans="3:8" x14ac:dyDescent="0.3">
      <c r="C1959"/>
      <c r="D1959"/>
      <c r="E1959"/>
      <c r="F1959"/>
      <c r="G1959"/>
      <c r="H1959"/>
    </row>
    <row r="1960" spans="3:8" x14ac:dyDescent="0.3">
      <c r="C1960"/>
      <c r="D1960"/>
      <c r="E1960"/>
      <c r="F1960"/>
      <c r="G1960"/>
      <c r="H1960"/>
    </row>
    <row r="1961" spans="3:8" x14ac:dyDescent="0.3">
      <c r="C1961"/>
      <c r="D1961"/>
      <c r="E1961"/>
      <c r="F1961"/>
      <c r="G1961"/>
      <c r="H1961"/>
    </row>
    <row r="1962" spans="3:8" x14ac:dyDescent="0.3">
      <c r="C1962"/>
      <c r="D1962"/>
      <c r="E1962"/>
      <c r="F1962"/>
      <c r="G1962"/>
      <c r="H1962"/>
    </row>
    <row r="1963" spans="3:8" x14ac:dyDescent="0.3">
      <c r="C1963"/>
      <c r="D1963"/>
      <c r="E1963"/>
      <c r="F1963"/>
      <c r="G1963"/>
      <c r="H1963"/>
    </row>
    <row r="1964" spans="3:8" x14ac:dyDescent="0.3">
      <c r="C1964"/>
      <c r="D1964"/>
      <c r="E1964"/>
      <c r="F1964"/>
      <c r="G1964"/>
      <c r="H1964"/>
    </row>
    <row r="1965" spans="3:8" x14ac:dyDescent="0.3">
      <c r="C1965"/>
      <c r="D1965"/>
      <c r="E1965"/>
      <c r="F1965"/>
      <c r="G1965"/>
      <c r="H1965"/>
    </row>
    <row r="1966" spans="3:8" x14ac:dyDescent="0.3">
      <c r="C1966"/>
      <c r="D1966"/>
      <c r="E1966"/>
      <c r="F1966"/>
      <c r="G1966"/>
      <c r="H1966"/>
    </row>
    <row r="1967" spans="3:8" x14ac:dyDescent="0.3">
      <c r="C1967"/>
      <c r="D1967"/>
      <c r="E1967"/>
      <c r="F1967"/>
      <c r="G1967"/>
      <c r="H1967"/>
    </row>
    <row r="1968" spans="3:8" x14ac:dyDescent="0.3">
      <c r="C1968"/>
      <c r="D1968"/>
      <c r="E1968"/>
      <c r="F1968"/>
      <c r="G1968"/>
      <c r="H1968"/>
    </row>
    <row r="1969" spans="3:8" x14ac:dyDescent="0.3">
      <c r="C1969"/>
      <c r="D1969"/>
      <c r="E1969"/>
      <c r="F1969"/>
      <c r="G1969"/>
      <c r="H1969"/>
    </row>
    <row r="1970" spans="3:8" x14ac:dyDescent="0.3">
      <c r="C1970"/>
      <c r="D1970"/>
      <c r="E1970"/>
      <c r="F1970"/>
      <c r="G1970"/>
      <c r="H1970"/>
    </row>
    <row r="1971" spans="3:8" x14ac:dyDescent="0.3">
      <c r="C1971"/>
      <c r="D1971"/>
      <c r="E1971"/>
      <c r="F1971"/>
      <c r="G1971"/>
      <c r="H1971"/>
    </row>
    <row r="1972" spans="3:8" x14ac:dyDescent="0.3">
      <c r="C1972"/>
      <c r="D1972"/>
      <c r="E1972"/>
      <c r="F1972"/>
      <c r="G1972"/>
      <c r="H1972"/>
    </row>
    <row r="1973" spans="3:8" x14ac:dyDescent="0.3">
      <c r="C1973"/>
      <c r="D1973"/>
      <c r="E1973"/>
      <c r="F1973"/>
      <c r="G1973"/>
      <c r="H1973"/>
    </row>
    <row r="1974" spans="3:8" x14ac:dyDescent="0.3">
      <c r="C1974"/>
      <c r="D1974"/>
      <c r="E1974"/>
      <c r="F1974"/>
      <c r="G1974"/>
      <c r="H1974"/>
    </row>
    <row r="1975" spans="3:8" x14ac:dyDescent="0.3">
      <c r="C1975"/>
      <c r="D1975"/>
      <c r="E1975"/>
      <c r="F1975"/>
      <c r="G1975"/>
      <c r="H1975"/>
    </row>
    <row r="1976" spans="3:8" x14ac:dyDescent="0.3">
      <c r="C1976"/>
      <c r="D1976"/>
      <c r="E1976"/>
      <c r="F1976"/>
      <c r="G1976"/>
      <c r="H1976"/>
    </row>
    <row r="1977" spans="3:8" x14ac:dyDescent="0.3">
      <c r="C1977"/>
      <c r="D1977"/>
      <c r="E1977"/>
      <c r="F1977"/>
      <c r="G1977"/>
      <c r="H1977"/>
    </row>
    <row r="1978" spans="3:8" x14ac:dyDescent="0.3">
      <c r="C1978"/>
      <c r="D1978"/>
      <c r="E1978"/>
      <c r="F1978"/>
      <c r="G1978"/>
      <c r="H1978"/>
    </row>
    <row r="1979" spans="3:8" x14ac:dyDescent="0.3">
      <c r="C1979"/>
      <c r="D1979"/>
      <c r="E1979"/>
      <c r="F1979"/>
      <c r="G1979"/>
      <c r="H1979"/>
    </row>
    <row r="1980" spans="3:8" x14ac:dyDescent="0.3">
      <c r="C1980"/>
      <c r="D1980"/>
      <c r="E1980"/>
      <c r="F1980"/>
      <c r="G1980"/>
      <c r="H1980"/>
    </row>
    <row r="1981" spans="3:8" x14ac:dyDescent="0.3">
      <c r="C1981"/>
      <c r="D1981"/>
      <c r="E1981"/>
      <c r="F1981"/>
      <c r="G1981"/>
      <c r="H1981"/>
    </row>
    <row r="1982" spans="3:8" x14ac:dyDescent="0.3">
      <c r="C1982"/>
      <c r="D1982"/>
      <c r="E1982"/>
      <c r="F1982"/>
      <c r="G1982"/>
      <c r="H1982"/>
    </row>
    <row r="1983" spans="3:8" x14ac:dyDescent="0.3">
      <c r="C1983"/>
      <c r="D1983"/>
      <c r="E1983"/>
      <c r="F1983"/>
      <c r="G1983"/>
      <c r="H1983"/>
    </row>
    <row r="1984" spans="3:8" x14ac:dyDescent="0.3">
      <c r="C1984"/>
      <c r="D1984"/>
      <c r="E1984"/>
      <c r="F1984"/>
      <c r="G1984"/>
      <c r="H1984"/>
    </row>
    <row r="1985" spans="3:8" x14ac:dyDescent="0.3">
      <c r="C1985"/>
      <c r="D1985"/>
      <c r="E1985"/>
      <c r="F1985"/>
      <c r="G1985"/>
      <c r="H1985"/>
    </row>
    <row r="1986" spans="3:8" x14ac:dyDescent="0.3">
      <c r="C1986"/>
      <c r="D1986"/>
      <c r="E1986"/>
      <c r="F1986"/>
      <c r="G1986"/>
      <c r="H1986"/>
    </row>
    <row r="1987" spans="3:8" x14ac:dyDescent="0.3">
      <c r="C1987"/>
      <c r="D1987"/>
      <c r="E1987"/>
      <c r="F1987"/>
      <c r="G1987"/>
      <c r="H1987"/>
    </row>
    <row r="1988" spans="3:8" x14ac:dyDescent="0.3">
      <c r="C1988"/>
      <c r="D1988"/>
      <c r="E1988"/>
      <c r="F1988"/>
      <c r="G1988"/>
      <c r="H1988"/>
    </row>
    <row r="1989" spans="3:8" x14ac:dyDescent="0.3">
      <c r="C1989"/>
      <c r="D1989"/>
      <c r="E1989"/>
      <c r="F1989"/>
      <c r="G1989"/>
      <c r="H1989"/>
    </row>
    <row r="1990" spans="3:8" x14ac:dyDescent="0.3">
      <c r="C1990"/>
      <c r="D1990"/>
      <c r="E1990"/>
      <c r="F1990"/>
      <c r="G1990"/>
      <c r="H1990"/>
    </row>
    <row r="1991" spans="3:8" x14ac:dyDescent="0.3">
      <c r="C1991"/>
      <c r="D1991"/>
      <c r="E1991"/>
      <c r="F1991"/>
      <c r="G1991"/>
      <c r="H1991"/>
    </row>
    <row r="1992" spans="3:8" x14ac:dyDescent="0.3">
      <c r="C1992"/>
      <c r="D1992"/>
      <c r="E1992"/>
      <c r="F1992"/>
      <c r="G1992"/>
      <c r="H1992"/>
    </row>
    <row r="1993" spans="3:8" x14ac:dyDescent="0.3">
      <c r="C1993"/>
      <c r="D1993"/>
      <c r="E1993"/>
      <c r="F1993"/>
      <c r="G1993"/>
      <c r="H1993"/>
    </row>
    <row r="1994" spans="3:8" x14ac:dyDescent="0.3">
      <c r="C1994"/>
      <c r="D1994"/>
      <c r="E1994"/>
      <c r="F1994"/>
      <c r="G1994"/>
      <c r="H1994"/>
    </row>
    <row r="1995" spans="3:8" x14ac:dyDescent="0.3">
      <c r="C1995"/>
      <c r="D1995"/>
      <c r="E1995"/>
      <c r="F1995"/>
      <c r="G1995"/>
      <c r="H1995"/>
    </row>
    <row r="1996" spans="3:8" x14ac:dyDescent="0.3">
      <c r="C1996"/>
      <c r="D1996"/>
      <c r="E1996"/>
      <c r="F1996"/>
      <c r="G1996"/>
      <c r="H1996"/>
    </row>
    <row r="1997" spans="3:8" x14ac:dyDescent="0.3">
      <c r="C1997"/>
      <c r="D1997"/>
      <c r="E1997"/>
      <c r="F1997"/>
      <c r="G1997"/>
      <c r="H1997"/>
    </row>
    <row r="1998" spans="3:8" x14ac:dyDescent="0.3">
      <c r="C1998"/>
      <c r="D1998"/>
      <c r="E1998"/>
      <c r="F1998"/>
      <c r="G1998"/>
      <c r="H1998"/>
    </row>
    <row r="1999" spans="3:8" x14ac:dyDescent="0.3">
      <c r="C1999"/>
      <c r="D1999"/>
      <c r="E1999"/>
      <c r="F1999"/>
      <c r="G1999"/>
      <c r="H1999"/>
    </row>
    <row r="2000" spans="3:8" x14ac:dyDescent="0.3">
      <c r="C2000"/>
      <c r="D2000"/>
      <c r="E2000"/>
      <c r="F2000"/>
      <c r="G2000"/>
      <c r="H2000"/>
    </row>
    <row r="2001" spans="3:8" x14ac:dyDescent="0.3">
      <c r="C2001"/>
      <c r="D2001"/>
      <c r="E2001"/>
      <c r="F2001"/>
      <c r="G2001"/>
      <c r="H2001"/>
    </row>
    <row r="2002" spans="3:8" x14ac:dyDescent="0.3">
      <c r="C2002"/>
      <c r="D2002"/>
      <c r="E2002"/>
      <c r="F2002"/>
      <c r="G2002"/>
      <c r="H2002"/>
    </row>
    <row r="2003" spans="3:8" x14ac:dyDescent="0.3">
      <c r="C2003"/>
      <c r="D2003"/>
      <c r="E2003"/>
      <c r="F2003"/>
      <c r="G2003"/>
      <c r="H2003"/>
    </row>
    <row r="2004" spans="3:8" x14ac:dyDescent="0.3">
      <c r="C2004"/>
      <c r="D2004"/>
      <c r="E2004"/>
      <c r="F2004"/>
      <c r="G2004"/>
      <c r="H2004"/>
    </row>
    <row r="2005" spans="3:8" x14ac:dyDescent="0.3">
      <c r="C2005"/>
      <c r="D2005"/>
      <c r="E2005"/>
      <c r="F2005"/>
      <c r="G2005"/>
      <c r="H2005"/>
    </row>
    <row r="2006" spans="3:8" x14ac:dyDescent="0.3">
      <c r="C2006"/>
      <c r="D2006"/>
      <c r="E2006"/>
      <c r="F2006"/>
      <c r="G2006"/>
      <c r="H2006"/>
    </row>
    <row r="2007" spans="3:8" x14ac:dyDescent="0.3">
      <c r="C2007"/>
      <c r="D2007"/>
      <c r="E2007"/>
      <c r="F2007"/>
      <c r="G2007"/>
      <c r="H2007"/>
    </row>
    <row r="2008" spans="3:8" x14ac:dyDescent="0.3">
      <c r="C2008"/>
      <c r="D2008"/>
      <c r="E2008"/>
      <c r="F2008"/>
      <c r="G2008"/>
      <c r="H2008"/>
    </row>
    <row r="2009" spans="3:8" x14ac:dyDescent="0.3">
      <c r="C2009"/>
      <c r="D2009"/>
      <c r="E2009"/>
      <c r="F2009"/>
      <c r="G2009"/>
      <c r="H2009"/>
    </row>
    <row r="2010" spans="3:8" x14ac:dyDescent="0.3">
      <c r="C2010"/>
      <c r="D2010"/>
      <c r="E2010"/>
      <c r="F2010"/>
      <c r="G2010"/>
      <c r="H2010"/>
    </row>
    <row r="2011" spans="3:8" x14ac:dyDescent="0.3">
      <c r="C2011"/>
      <c r="D2011"/>
      <c r="E2011"/>
      <c r="F2011"/>
      <c r="G2011"/>
      <c r="H2011"/>
    </row>
    <row r="2012" spans="3:8" x14ac:dyDescent="0.3">
      <c r="C2012"/>
      <c r="D2012"/>
      <c r="E2012"/>
      <c r="F2012"/>
      <c r="G2012"/>
      <c r="H2012"/>
    </row>
    <row r="2013" spans="3:8" x14ac:dyDescent="0.3">
      <c r="C2013"/>
      <c r="D2013"/>
      <c r="E2013"/>
      <c r="F2013"/>
      <c r="G2013"/>
      <c r="H2013"/>
    </row>
    <row r="2014" spans="3:8" x14ac:dyDescent="0.3">
      <c r="C2014"/>
      <c r="D2014"/>
      <c r="E2014"/>
      <c r="F2014"/>
      <c r="G2014"/>
      <c r="H2014"/>
    </row>
    <row r="2015" spans="3:8" x14ac:dyDescent="0.3">
      <c r="C2015"/>
      <c r="D2015"/>
      <c r="E2015"/>
      <c r="F2015"/>
      <c r="G2015"/>
      <c r="H2015"/>
    </row>
    <row r="2016" spans="3:8" x14ac:dyDescent="0.3">
      <c r="C2016"/>
      <c r="D2016"/>
      <c r="E2016"/>
      <c r="F2016"/>
      <c r="G2016"/>
      <c r="H2016"/>
    </row>
    <row r="2017" spans="3:8" x14ac:dyDescent="0.3">
      <c r="C2017"/>
      <c r="D2017"/>
      <c r="E2017"/>
      <c r="F2017"/>
      <c r="G2017"/>
      <c r="H2017"/>
    </row>
    <row r="2018" spans="3:8" x14ac:dyDescent="0.3">
      <c r="C2018"/>
      <c r="D2018"/>
      <c r="E2018"/>
      <c r="F2018"/>
      <c r="G2018"/>
      <c r="H2018"/>
    </row>
    <row r="2019" spans="3:8" x14ac:dyDescent="0.3">
      <c r="C2019"/>
      <c r="D2019"/>
      <c r="E2019"/>
      <c r="F2019"/>
      <c r="G2019"/>
      <c r="H2019"/>
    </row>
    <row r="2020" spans="3:8" x14ac:dyDescent="0.3">
      <c r="C2020"/>
      <c r="D2020"/>
      <c r="E2020"/>
      <c r="F2020"/>
      <c r="G2020"/>
      <c r="H2020"/>
    </row>
    <row r="2021" spans="3:8" x14ac:dyDescent="0.3">
      <c r="C2021"/>
      <c r="D2021"/>
      <c r="E2021"/>
      <c r="F2021"/>
      <c r="G2021"/>
      <c r="H2021"/>
    </row>
    <row r="2022" spans="3:8" x14ac:dyDescent="0.3">
      <c r="C2022"/>
      <c r="D2022"/>
      <c r="E2022"/>
      <c r="F2022"/>
      <c r="G2022"/>
      <c r="H2022"/>
    </row>
    <row r="2023" spans="3:8" x14ac:dyDescent="0.3">
      <c r="C2023"/>
      <c r="D2023"/>
      <c r="E2023"/>
      <c r="F2023"/>
      <c r="G2023"/>
      <c r="H2023"/>
    </row>
    <row r="2024" spans="3:8" x14ac:dyDescent="0.3">
      <c r="C2024"/>
      <c r="D2024"/>
      <c r="E2024"/>
      <c r="F2024"/>
      <c r="G2024"/>
      <c r="H2024"/>
    </row>
    <row r="2025" spans="3:8" x14ac:dyDescent="0.3">
      <c r="C2025"/>
      <c r="D2025"/>
      <c r="E2025"/>
      <c r="F2025"/>
      <c r="G2025"/>
      <c r="H2025"/>
    </row>
    <row r="2026" spans="3:8" x14ac:dyDescent="0.3">
      <c r="C2026"/>
      <c r="D2026"/>
      <c r="E2026"/>
      <c r="F2026"/>
      <c r="G2026"/>
      <c r="H2026"/>
    </row>
    <row r="2027" spans="3:8" x14ac:dyDescent="0.3">
      <c r="C2027"/>
      <c r="D2027"/>
      <c r="E2027"/>
      <c r="F2027"/>
      <c r="G2027"/>
      <c r="H2027"/>
    </row>
    <row r="2028" spans="3:8" x14ac:dyDescent="0.3">
      <c r="C2028"/>
      <c r="D2028"/>
      <c r="E2028"/>
      <c r="F2028"/>
      <c r="G2028"/>
      <c r="H2028"/>
    </row>
    <row r="2029" spans="3:8" x14ac:dyDescent="0.3">
      <c r="C2029"/>
      <c r="D2029"/>
      <c r="E2029"/>
      <c r="F2029"/>
      <c r="G2029"/>
      <c r="H2029"/>
    </row>
    <row r="2030" spans="3:8" x14ac:dyDescent="0.3">
      <c r="C2030"/>
      <c r="D2030"/>
      <c r="E2030"/>
      <c r="F2030"/>
      <c r="G2030"/>
      <c r="H2030"/>
    </row>
    <row r="2031" spans="3:8" x14ac:dyDescent="0.3">
      <c r="C2031"/>
      <c r="D2031"/>
      <c r="E2031"/>
      <c r="F2031"/>
      <c r="G2031"/>
      <c r="H2031"/>
    </row>
    <row r="2032" spans="3:8" x14ac:dyDescent="0.3">
      <c r="C2032"/>
      <c r="D2032"/>
      <c r="E2032"/>
      <c r="F2032"/>
      <c r="G2032"/>
      <c r="H2032"/>
    </row>
    <row r="2033" spans="3:8" x14ac:dyDescent="0.3">
      <c r="C2033"/>
      <c r="D2033"/>
      <c r="E2033"/>
      <c r="F2033"/>
      <c r="G2033"/>
      <c r="H2033"/>
    </row>
    <row r="2034" spans="3:8" x14ac:dyDescent="0.3">
      <c r="C2034"/>
      <c r="D2034"/>
      <c r="E2034"/>
      <c r="F2034"/>
      <c r="G2034"/>
      <c r="H2034"/>
    </row>
    <row r="2035" spans="3:8" x14ac:dyDescent="0.3">
      <c r="C2035"/>
      <c r="D2035"/>
      <c r="E2035"/>
      <c r="F2035"/>
      <c r="G2035"/>
      <c r="H2035"/>
    </row>
    <row r="2036" spans="3:8" x14ac:dyDescent="0.3">
      <c r="C2036"/>
      <c r="D2036"/>
      <c r="E2036"/>
      <c r="F2036"/>
      <c r="G2036"/>
      <c r="H2036"/>
    </row>
    <row r="2037" spans="3:8" x14ac:dyDescent="0.3">
      <c r="C2037"/>
      <c r="D2037"/>
      <c r="E2037"/>
      <c r="F2037"/>
      <c r="G2037"/>
      <c r="H2037"/>
    </row>
    <row r="2038" spans="3:8" x14ac:dyDescent="0.3">
      <c r="C2038"/>
      <c r="D2038"/>
      <c r="E2038"/>
      <c r="F2038"/>
      <c r="G2038"/>
      <c r="H2038"/>
    </row>
    <row r="2039" spans="3:8" x14ac:dyDescent="0.3">
      <c r="C2039"/>
      <c r="D2039"/>
      <c r="E2039"/>
      <c r="F2039"/>
      <c r="G2039"/>
      <c r="H2039"/>
    </row>
    <row r="2040" spans="3:8" x14ac:dyDescent="0.3">
      <c r="C2040"/>
      <c r="D2040"/>
      <c r="E2040"/>
      <c r="F2040"/>
      <c r="G2040"/>
      <c r="H2040"/>
    </row>
    <row r="2041" spans="3:8" x14ac:dyDescent="0.3">
      <c r="C2041"/>
      <c r="D2041"/>
      <c r="E2041"/>
      <c r="F2041"/>
      <c r="G2041"/>
      <c r="H2041"/>
    </row>
    <row r="2042" spans="3:8" x14ac:dyDescent="0.3">
      <c r="C2042"/>
      <c r="D2042"/>
      <c r="E2042"/>
      <c r="F2042"/>
      <c r="G2042"/>
      <c r="H2042"/>
    </row>
    <row r="2043" spans="3:8" x14ac:dyDescent="0.3">
      <c r="C2043"/>
      <c r="D2043"/>
      <c r="E2043"/>
      <c r="F2043"/>
      <c r="G2043"/>
      <c r="H2043"/>
    </row>
    <row r="2044" spans="3:8" x14ac:dyDescent="0.3">
      <c r="C2044"/>
      <c r="D2044"/>
      <c r="E2044"/>
      <c r="F2044"/>
      <c r="G2044"/>
      <c r="H2044"/>
    </row>
    <row r="2045" spans="3:8" x14ac:dyDescent="0.3">
      <c r="C2045"/>
      <c r="D2045"/>
      <c r="E2045"/>
      <c r="F2045"/>
      <c r="G2045"/>
      <c r="H2045"/>
    </row>
    <row r="2046" spans="3:8" x14ac:dyDescent="0.3">
      <c r="C2046"/>
      <c r="D2046"/>
      <c r="E2046"/>
      <c r="F2046"/>
      <c r="G2046"/>
      <c r="H2046"/>
    </row>
    <row r="2047" spans="3:8" x14ac:dyDescent="0.3">
      <c r="C2047"/>
      <c r="D2047"/>
      <c r="E2047"/>
      <c r="F2047"/>
      <c r="G2047"/>
      <c r="H2047"/>
    </row>
    <row r="2048" spans="3:8" x14ac:dyDescent="0.3">
      <c r="C2048"/>
      <c r="D2048"/>
      <c r="E2048"/>
      <c r="F2048"/>
      <c r="G2048"/>
      <c r="H2048"/>
    </row>
    <row r="2049" spans="3:8" x14ac:dyDescent="0.3">
      <c r="C2049"/>
      <c r="D2049"/>
      <c r="E2049"/>
      <c r="F2049"/>
      <c r="G2049"/>
      <c r="H2049"/>
    </row>
    <row r="2050" spans="3:8" x14ac:dyDescent="0.3">
      <c r="C2050"/>
      <c r="D2050"/>
      <c r="E2050"/>
      <c r="F2050"/>
      <c r="G2050"/>
      <c r="H2050"/>
    </row>
    <row r="2051" spans="3:8" x14ac:dyDescent="0.3">
      <c r="C2051"/>
      <c r="D2051"/>
      <c r="E2051"/>
      <c r="F2051"/>
      <c r="G2051"/>
      <c r="H2051"/>
    </row>
    <row r="2052" spans="3:8" x14ac:dyDescent="0.3">
      <c r="C2052"/>
      <c r="D2052"/>
      <c r="E2052"/>
      <c r="F2052"/>
      <c r="G2052"/>
      <c r="H2052"/>
    </row>
    <row r="2053" spans="3:8" x14ac:dyDescent="0.3">
      <c r="C2053"/>
      <c r="D2053"/>
      <c r="E2053"/>
      <c r="F2053"/>
      <c r="G2053"/>
      <c r="H2053"/>
    </row>
    <row r="2054" spans="3:8" x14ac:dyDescent="0.3">
      <c r="C2054"/>
      <c r="D2054"/>
      <c r="E2054"/>
      <c r="F2054"/>
      <c r="G2054"/>
      <c r="H2054"/>
    </row>
    <row r="2055" spans="3:8" x14ac:dyDescent="0.3">
      <c r="C2055"/>
      <c r="D2055"/>
      <c r="E2055"/>
      <c r="F2055"/>
      <c r="G2055"/>
      <c r="H2055"/>
    </row>
    <row r="2056" spans="3:8" x14ac:dyDescent="0.3">
      <c r="C2056"/>
      <c r="D2056"/>
      <c r="E2056"/>
      <c r="F2056"/>
      <c r="G2056"/>
      <c r="H2056"/>
    </row>
    <row r="2057" spans="3:8" x14ac:dyDescent="0.3">
      <c r="C2057"/>
      <c r="D2057"/>
      <c r="E2057"/>
      <c r="F2057"/>
      <c r="G2057"/>
      <c r="H2057"/>
    </row>
    <row r="2058" spans="3:8" x14ac:dyDescent="0.3">
      <c r="C2058"/>
      <c r="D2058"/>
      <c r="E2058"/>
      <c r="F2058"/>
      <c r="G2058"/>
      <c r="H2058"/>
    </row>
    <row r="2059" spans="3:8" x14ac:dyDescent="0.3">
      <c r="C2059"/>
      <c r="D2059"/>
      <c r="E2059"/>
      <c r="F2059"/>
      <c r="G2059"/>
      <c r="H2059"/>
    </row>
    <row r="2060" spans="3:8" x14ac:dyDescent="0.3">
      <c r="C2060"/>
      <c r="D2060"/>
      <c r="E2060"/>
      <c r="F2060"/>
      <c r="G2060"/>
      <c r="H2060"/>
    </row>
    <row r="2061" spans="3:8" x14ac:dyDescent="0.3">
      <c r="C2061"/>
      <c r="D2061"/>
      <c r="E2061"/>
      <c r="F2061"/>
      <c r="G2061"/>
      <c r="H2061"/>
    </row>
    <row r="2062" spans="3:8" x14ac:dyDescent="0.3">
      <c r="C2062"/>
      <c r="D2062"/>
      <c r="E2062"/>
      <c r="F2062"/>
      <c r="G2062"/>
      <c r="H2062"/>
    </row>
    <row r="2063" spans="3:8" x14ac:dyDescent="0.3">
      <c r="C2063"/>
      <c r="D2063"/>
      <c r="E2063"/>
      <c r="F2063"/>
      <c r="G2063"/>
      <c r="H2063"/>
    </row>
    <row r="2064" spans="3:8" x14ac:dyDescent="0.3">
      <c r="C2064"/>
      <c r="D2064"/>
      <c r="E2064"/>
      <c r="F2064"/>
      <c r="G2064"/>
      <c r="H2064"/>
    </row>
    <row r="2065" spans="3:8" x14ac:dyDescent="0.3">
      <c r="C2065"/>
      <c r="D2065"/>
      <c r="E2065"/>
      <c r="F2065"/>
      <c r="G2065"/>
      <c r="H2065"/>
    </row>
    <row r="2066" spans="3:8" x14ac:dyDescent="0.3">
      <c r="C2066"/>
      <c r="D2066"/>
      <c r="E2066"/>
      <c r="F2066"/>
      <c r="G2066"/>
      <c r="H2066"/>
    </row>
    <row r="2067" spans="3:8" x14ac:dyDescent="0.3">
      <c r="C2067"/>
      <c r="D2067"/>
      <c r="E2067"/>
      <c r="F2067"/>
      <c r="G2067"/>
      <c r="H2067"/>
    </row>
    <row r="2068" spans="3:8" x14ac:dyDescent="0.3">
      <c r="C2068"/>
      <c r="D2068"/>
      <c r="E2068"/>
      <c r="F2068"/>
      <c r="G2068"/>
      <c r="H2068"/>
    </row>
    <row r="2069" spans="3:8" x14ac:dyDescent="0.3">
      <c r="C2069"/>
      <c r="D2069"/>
      <c r="E2069"/>
      <c r="F2069"/>
      <c r="G2069"/>
      <c r="H2069"/>
    </row>
    <row r="2070" spans="3:8" x14ac:dyDescent="0.3">
      <c r="C2070"/>
      <c r="D2070"/>
      <c r="E2070"/>
      <c r="F2070"/>
      <c r="G2070"/>
      <c r="H2070"/>
    </row>
    <row r="2071" spans="3:8" x14ac:dyDescent="0.3">
      <c r="C2071"/>
      <c r="D2071"/>
      <c r="E2071"/>
      <c r="F2071"/>
      <c r="G2071"/>
      <c r="H2071"/>
    </row>
    <row r="2072" spans="3:8" x14ac:dyDescent="0.3">
      <c r="C2072"/>
      <c r="D2072"/>
      <c r="E2072"/>
      <c r="F2072"/>
      <c r="G2072"/>
      <c r="H2072"/>
    </row>
    <row r="2073" spans="3:8" x14ac:dyDescent="0.3">
      <c r="C2073"/>
      <c r="D2073"/>
      <c r="E2073"/>
      <c r="F2073"/>
      <c r="G2073"/>
      <c r="H2073"/>
    </row>
    <row r="2074" spans="3:8" x14ac:dyDescent="0.3">
      <c r="C2074"/>
      <c r="D2074"/>
      <c r="E2074"/>
      <c r="F2074"/>
      <c r="G2074"/>
      <c r="H2074"/>
    </row>
    <row r="2075" spans="3:8" x14ac:dyDescent="0.3">
      <c r="C2075"/>
      <c r="D2075"/>
      <c r="E2075"/>
      <c r="F2075"/>
      <c r="G2075"/>
      <c r="H2075"/>
    </row>
    <row r="2076" spans="3:8" x14ac:dyDescent="0.3">
      <c r="C2076"/>
      <c r="D2076"/>
      <c r="E2076"/>
      <c r="F2076"/>
      <c r="G2076"/>
      <c r="H2076"/>
    </row>
    <row r="2077" spans="3:8" x14ac:dyDescent="0.3">
      <c r="C2077"/>
      <c r="D2077"/>
      <c r="E2077"/>
      <c r="F2077"/>
      <c r="G2077"/>
      <c r="H2077"/>
    </row>
    <row r="2078" spans="3:8" x14ac:dyDescent="0.3">
      <c r="C2078"/>
      <c r="D2078"/>
      <c r="E2078"/>
      <c r="F2078"/>
      <c r="G2078"/>
      <c r="H2078"/>
    </row>
    <row r="2079" spans="3:8" x14ac:dyDescent="0.3">
      <c r="C2079"/>
      <c r="D2079"/>
      <c r="E2079"/>
      <c r="F2079"/>
      <c r="G2079"/>
      <c r="H2079"/>
    </row>
    <row r="2080" spans="3:8" x14ac:dyDescent="0.3">
      <c r="C2080"/>
      <c r="D2080"/>
      <c r="E2080"/>
      <c r="F2080"/>
      <c r="G2080"/>
      <c r="H2080"/>
    </row>
    <row r="2081" spans="3:8" x14ac:dyDescent="0.3">
      <c r="C2081"/>
      <c r="D2081"/>
      <c r="E2081"/>
      <c r="F2081"/>
      <c r="G2081"/>
      <c r="H2081"/>
    </row>
    <row r="2082" spans="3:8" x14ac:dyDescent="0.3">
      <c r="C2082"/>
      <c r="D2082"/>
      <c r="E2082"/>
      <c r="F2082"/>
      <c r="G2082"/>
      <c r="H2082"/>
    </row>
    <row r="2083" spans="3:8" x14ac:dyDescent="0.3">
      <c r="C2083"/>
      <c r="D2083"/>
      <c r="E2083"/>
      <c r="F2083"/>
      <c r="G2083"/>
      <c r="H2083"/>
    </row>
    <row r="2084" spans="3:8" x14ac:dyDescent="0.3">
      <c r="C2084"/>
      <c r="D2084"/>
      <c r="E2084"/>
      <c r="F2084"/>
      <c r="G2084"/>
      <c r="H2084"/>
    </row>
    <row r="2085" spans="3:8" x14ac:dyDescent="0.3">
      <c r="C2085"/>
      <c r="D2085"/>
      <c r="E2085"/>
      <c r="F2085"/>
      <c r="G2085"/>
      <c r="H2085"/>
    </row>
    <row r="2086" spans="3:8" x14ac:dyDescent="0.3">
      <c r="C2086"/>
      <c r="D2086"/>
      <c r="E2086"/>
      <c r="F2086"/>
      <c r="G2086"/>
      <c r="H2086"/>
    </row>
    <row r="2087" spans="3:8" x14ac:dyDescent="0.3">
      <c r="C2087"/>
      <c r="D2087"/>
      <c r="E2087"/>
      <c r="F2087"/>
      <c r="G2087"/>
      <c r="H2087"/>
    </row>
    <row r="2088" spans="3:8" x14ac:dyDescent="0.3">
      <c r="C2088"/>
      <c r="D2088"/>
      <c r="E2088"/>
      <c r="F2088"/>
      <c r="G2088"/>
      <c r="H2088"/>
    </row>
    <row r="2089" spans="3:8" x14ac:dyDescent="0.3">
      <c r="C2089"/>
      <c r="D2089"/>
      <c r="E2089"/>
      <c r="F2089"/>
      <c r="G2089"/>
      <c r="H2089"/>
    </row>
    <row r="2090" spans="3:8" x14ac:dyDescent="0.3">
      <c r="C2090"/>
      <c r="D2090"/>
      <c r="E2090"/>
      <c r="F2090"/>
      <c r="G2090"/>
      <c r="H2090"/>
    </row>
    <row r="2091" spans="3:8" x14ac:dyDescent="0.3">
      <c r="C2091"/>
      <c r="D2091"/>
      <c r="E2091"/>
      <c r="F2091"/>
      <c r="G2091"/>
      <c r="H2091"/>
    </row>
    <row r="2092" spans="3:8" x14ac:dyDescent="0.3">
      <c r="C2092"/>
      <c r="D2092"/>
      <c r="E2092"/>
      <c r="F2092"/>
      <c r="G2092"/>
      <c r="H2092"/>
    </row>
    <row r="2093" spans="3:8" x14ac:dyDescent="0.3">
      <c r="C2093"/>
      <c r="D2093"/>
      <c r="E2093"/>
      <c r="F2093"/>
      <c r="G2093"/>
      <c r="H2093"/>
    </row>
    <row r="2094" spans="3:8" x14ac:dyDescent="0.3">
      <c r="C2094"/>
      <c r="D2094"/>
      <c r="E2094"/>
      <c r="F2094"/>
      <c r="G2094"/>
      <c r="H2094"/>
    </row>
    <row r="2095" spans="3:8" x14ac:dyDescent="0.3">
      <c r="C2095"/>
      <c r="D2095"/>
      <c r="E2095"/>
      <c r="F2095"/>
      <c r="G2095"/>
      <c r="H2095"/>
    </row>
    <row r="2096" spans="3:8" x14ac:dyDescent="0.3">
      <c r="C2096"/>
      <c r="D2096"/>
      <c r="E2096"/>
      <c r="F2096"/>
      <c r="G2096"/>
      <c r="H2096"/>
    </row>
    <row r="2097" spans="3:8" x14ac:dyDescent="0.3">
      <c r="C2097"/>
      <c r="D2097"/>
      <c r="E2097"/>
      <c r="F2097"/>
      <c r="G2097"/>
      <c r="H2097"/>
    </row>
    <row r="2098" spans="3:8" x14ac:dyDescent="0.3">
      <c r="C2098"/>
      <c r="D2098"/>
      <c r="E2098"/>
      <c r="F2098"/>
      <c r="G2098"/>
      <c r="H2098"/>
    </row>
    <row r="2099" spans="3:8" x14ac:dyDescent="0.3">
      <c r="C2099"/>
      <c r="D2099"/>
      <c r="E2099"/>
      <c r="F2099"/>
      <c r="G2099"/>
      <c r="H2099"/>
    </row>
    <row r="2100" spans="3:8" x14ac:dyDescent="0.3">
      <c r="C2100"/>
      <c r="D2100"/>
      <c r="E2100"/>
      <c r="F2100"/>
      <c r="G2100"/>
      <c r="H2100"/>
    </row>
    <row r="2101" spans="3:8" x14ac:dyDescent="0.3">
      <c r="C2101"/>
      <c r="D2101"/>
      <c r="E2101"/>
      <c r="F2101"/>
      <c r="G2101"/>
      <c r="H2101"/>
    </row>
    <row r="2102" spans="3:8" x14ac:dyDescent="0.3">
      <c r="C2102"/>
      <c r="D2102"/>
      <c r="E2102"/>
      <c r="F2102"/>
      <c r="G2102"/>
      <c r="H2102"/>
    </row>
    <row r="2103" spans="3:8" x14ac:dyDescent="0.3">
      <c r="C2103"/>
      <c r="D2103"/>
      <c r="E2103"/>
      <c r="F2103"/>
      <c r="G2103"/>
      <c r="H2103"/>
    </row>
    <row r="2104" spans="3:8" x14ac:dyDescent="0.3">
      <c r="C2104"/>
      <c r="D2104"/>
      <c r="E2104"/>
      <c r="F2104"/>
      <c r="G2104"/>
      <c r="H2104"/>
    </row>
    <row r="2105" spans="3:8" x14ac:dyDescent="0.3">
      <c r="C2105"/>
      <c r="D2105"/>
      <c r="E2105"/>
      <c r="F2105"/>
      <c r="G2105"/>
      <c r="H2105"/>
    </row>
    <row r="2106" spans="3:8" x14ac:dyDescent="0.3">
      <c r="C2106"/>
      <c r="D2106"/>
      <c r="E2106"/>
      <c r="F2106"/>
      <c r="G2106"/>
      <c r="H2106"/>
    </row>
    <row r="2107" spans="3:8" x14ac:dyDescent="0.3">
      <c r="C2107"/>
      <c r="D2107"/>
      <c r="E2107"/>
      <c r="F2107"/>
      <c r="G2107"/>
      <c r="H2107"/>
    </row>
    <row r="2108" spans="3:8" x14ac:dyDescent="0.3">
      <c r="C2108"/>
      <c r="D2108"/>
      <c r="E2108"/>
      <c r="F2108"/>
      <c r="G2108"/>
      <c r="H2108"/>
    </row>
    <row r="2109" spans="3:8" x14ac:dyDescent="0.3">
      <c r="C2109"/>
      <c r="D2109"/>
      <c r="E2109"/>
      <c r="F2109"/>
      <c r="G2109"/>
      <c r="H2109"/>
    </row>
    <row r="2110" spans="3:8" x14ac:dyDescent="0.3">
      <c r="C2110"/>
      <c r="D2110"/>
      <c r="E2110"/>
      <c r="F2110"/>
      <c r="G2110"/>
      <c r="H2110"/>
    </row>
    <row r="2111" spans="3:8" x14ac:dyDescent="0.3">
      <c r="C2111"/>
      <c r="D2111"/>
      <c r="E2111"/>
      <c r="F2111"/>
      <c r="G2111"/>
      <c r="H2111"/>
    </row>
    <row r="2112" spans="3:8" x14ac:dyDescent="0.3">
      <c r="C2112"/>
      <c r="D2112"/>
      <c r="E2112"/>
      <c r="F2112"/>
      <c r="G2112"/>
      <c r="H2112"/>
    </row>
    <row r="2113" spans="3:8" x14ac:dyDescent="0.3">
      <c r="C2113"/>
      <c r="D2113"/>
      <c r="E2113"/>
      <c r="F2113"/>
      <c r="G2113"/>
      <c r="H2113"/>
    </row>
    <row r="2114" spans="3:8" x14ac:dyDescent="0.3">
      <c r="C2114"/>
      <c r="D2114"/>
      <c r="E2114"/>
      <c r="F2114"/>
      <c r="G2114"/>
      <c r="H2114"/>
    </row>
    <row r="2115" spans="3:8" x14ac:dyDescent="0.3">
      <c r="C2115"/>
      <c r="D2115"/>
      <c r="E2115"/>
      <c r="F2115"/>
      <c r="G2115"/>
      <c r="H2115"/>
    </row>
    <row r="2116" spans="3:8" x14ac:dyDescent="0.3">
      <c r="C2116"/>
      <c r="D2116"/>
      <c r="E2116"/>
      <c r="F2116"/>
      <c r="G2116"/>
      <c r="H2116"/>
    </row>
    <row r="2117" spans="3:8" x14ac:dyDescent="0.3">
      <c r="C2117"/>
      <c r="D2117"/>
      <c r="E2117"/>
      <c r="F2117"/>
      <c r="G2117"/>
      <c r="H2117"/>
    </row>
    <row r="2118" spans="3:8" x14ac:dyDescent="0.3">
      <c r="C2118"/>
      <c r="D2118"/>
      <c r="E2118"/>
      <c r="F2118"/>
      <c r="G2118"/>
      <c r="H2118"/>
    </row>
    <row r="2119" spans="3:8" x14ac:dyDescent="0.3">
      <c r="C2119"/>
      <c r="D2119"/>
      <c r="E2119"/>
      <c r="F2119"/>
      <c r="G2119"/>
      <c r="H2119"/>
    </row>
    <row r="2120" spans="3:8" x14ac:dyDescent="0.3">
      <c r="C2120"/>
      <c r="D2120"/>
      <c r="E2120"/>
      <c r="F2120"/>
      <c r="G2120"/>
      <c r="H2120"/>
    </row>
    <row r="2121" spans="3:8" x14ac:dyDescent="0.3">
      <c r="C2121"/>
      <c r="D2121"/>
      <c r="E2121"/>
      <c r="F2121"/>
      <c r="G2121"/>
      <c r="H2121"/>
    </row>
    <row r="2122" spans="3:8" x14ac:dyDescent="0.3">
      <c r="C2122"/>
      <c r="D2122"/>
      <c r="E2122"/>
      <c r="F2122"/>
      <c r="G2122"/>
      <c r="H2122"/>
    </row>
    <row r="2123" spans="3:8" x14ac:dyDescent="0.3">
      <c r="C2123"/>
      <c r="D2123"/>
      <c r="E2123"/>
      <c r="F2123"/>
      <c r="G2123"/>
      <c r="H2123"/>
    </row>
    <row r="2124" spans="3:8" x14ac:dyDescent="0.3">
      <c r="C2124"/>
      <c r="D2124"/>
      <c r="E2124"/>
      <c r="F2124"/>
      <c r="G2124"/>
      <c r="H2124"/>
    </row>
    <row r="2125" spans="3:8" x14ac:dyDescent="0.3">
      <c r="C2125"/>
      <c r="D2125"/>
      <c r="E2125"/>
      <c r="F2125"/>
      <c r="G2125"/>
      <c r="H2125"/>
    </row>
    <row r="2126" spans="3:8" x14ac:dyDescent="0.3">
      <c r="C2126"/>
      <c r="D2126"/>
      <c r="E2126"/>
      <c r="F2126"/>
      <c r="G2126"/>
      <c r="H2126"/>
    </row>
    <row r="2127" spans="3:8" x14ac:dyDescent="0.3">
      <c r="C2127"/>
      <c r="D2127"/>
      <c r="E2127"/>
      <c r="F2127"/>
      <c r="G2127"/>
      <c r="H2127"/>
    </row>
    <row r="2128" spans="3:8" x14ac:dyDescent="0.3">
      <c r="C2128"/>
      <c r="D2128"/>
      <c r="E2128"/>
      <c r="F2128"/>
      <c r="G2128"/>
      <c r="H2128"/>
    </row>
    <row r="2129" spans="3:8" x14ac:dyDescent="0.3">
      <c r="C2129"/>
      <c r="D2129"/>
      <c r="E2129"/>
      <c r="F2129"/>
      <c r="G2129"/>
      <c r="H2129"/>
    </row>
    <row r="2130" spans="3:8" x14ac:dyDescent="0.3">
      <c r="C2130"/>
      <c r="D2130"/>
      <c r="E2130"/>
      <c r="F2130"/>
      <c r="G2130"/>
      <c r="H2130"/>
    </row>
    <row r="2131" spans="3:8" x14ac:dyDescent="0.3">
      <c r="C2131"/>
      <c r="D2131"/>
      <c r="E2131"/>
      <c r="F2131"/>
      <c r="G2131"/>
      <c r="H2131"/>
    </row>
    <row r="2132" spans="3:8" x14ac:dyDescent="0.3">
      <c r="C2132"/>
      <c r="D2132"/>
      <c r="E2132"/>
      <c r="F2132"/>
      <c r="G2132"/>
      <c r="H2132"/>
    </row>
    <row r="2133" spans="3:8" x14ac:dyDescent="0.3">
      <c r="C2133"/>
      <c r="D2133"/>
      <c r="E2133"/>
      <c r="F2133"/>
      <c r="G2133"/>
      <c r="H2133"/>
    </row>
    <row r="2134" spans="3:8" x14ac:dyDescent="0.3">
      <c r="C2134"/>
      <c r="D2134"/>
      <c r="E2134"/>
      <c r="F2134"/>
      <c r="G2134"/>
      <c r="H2134"/>
    </row>
    <row r="2135" spans="3:8" x14ac:dyDescent="0.3">
      <c r="C2135"/>
      <c r="D2135"/>
      <c r="E2135"/>
      <c r="F2135"/>
      <c r="G2135"/>
      <c r="H2135"/>
    </row>
    <row r="2136" spans="3:8" x14ac:dyDescent="0.3">
      <c r="C2136"/>
      <c r="D2136"/>
      <c r="E2136"/>
      <c r="F2136"/>
      <c r="G2136"/>
      <c r="H2136"/>
    </row>
    <row r="2137" spans="3:8" x14ac:dyDescent="0.3">
      <c r="C2137"/>
      <c r="D2137"/>
      <c r="E2137"/>
      <c r="F2137"/>
      <c r="G2137"/>
      <c r="H2137"/>
    </row>
    <row r="2138" spans="3:8" x14ac:dyDescent="0.3">
      <c r="C2138"/>
      <c r="D2138"/>
      <c r="E2138"/>
      <c r="F2138"/>
      <c r="G2138"/>
      <c r="H2138"/>
    </row>
    <row r="2139" spans="3:8" x14ac:dyDescent="0.3">
      <c r="C2139"/>
      <c r="D2139"/>
      <c r="E2139"/>
      <c r="F2139"/>
      <c r="G2139"/>
      <c r="H2139"/>
    </row>
    <row r="2140" spans="3:8" x14ac:dyDescent="0.3">
      <c r="C2140"/>
      <c r="D2140"/>
      <c r="E2140"/>
      <c r="F2140"/>
      <c r="G2140"/>
      <c r="H2140"/>
    </row>
    <row r="2141" spans="3:8" x14ac:dyDescent="0.3">
      <c r="C2141"/>
      <c r="D2141"/>
      <c r="E2141"/>
      <c r="F2141"/>
      <c r="G2141"/>
      <c r="H2141"/>
    </row>
    <row r="2142" spans="3:8" x14ac:dyDescent="0.3">
      <c r="C2142"/>
      <c r="D2142"/>
      <c r="E2142"/>
      <c r="F2142"/>
      <c r="G2142"/>
      <c r="H2142"/>
    </row>
    <row r="2143" spans="3:8" x14ac:dyDescent="0.3">
      <c r="C2143"/>
      <c r="D2143"/>
      <c r="E2143"/>
      <c r="F2143"/>
      <c r="G2143"/>
      <c r="H2143"/>
    </row>
    <row r="2144" spans="3:8" x14ac:dyDescent="0.3">
      <c r="C2144"/>
      <c r="D2144"/>
      <c r="E2144"/>
      <c r="F2144"/>
      <c r="G2144"/>
      <c r="H2144"/>
    </row>
    <row r="2145" spans="3:8" x14ac:dyDescent="0.3">
      <c r="C2145"/>
      <c r="D2145"/>
      <c r="E2145"/>
      <c r="F2145"/>
      <c r="G2145"/>
      <c r="H2145"/>
    </row>
    <row r="2146" spans="3:8" x14ac:dyDescent="0.3">
      <c r="C2146"/>
      <c r="D2146"/>
      <c r="E2146"/>
      <c r="F2146"/>
      <c r="G2146"/>
      <c r="H2146"/>
    </row>
    <row r="2147" spans="3:8" x14ac:dyDescent="0.3">
      <c r="C2147"/>
      <c r="D2147"/>
      <c r="E2147"/>
      <c r="F2147"/>
      <c r="G2147"/>
      <c r="H2147"/>
    </row>
    <row r="2148" spans="3:8" x14ac:dyDescent="0.3">
      <c r="C2148"/>
      <c r="D2148"/>
      <c r="E2148"/>
      <c r="F2148"/>
      <c r="G2148"/>
      <c r="H2148"/>
    </row>
    <row r="2149" spans="3:8" x14ac:dyDescent="0.3">
      <c r="C2149"/>
      <c r="D2149"/>
      <c r="E2149"/>
      <c r="F2149"/>
      <c r="G2149"/>
      <c r="H2149"/>
    </row>
    <row r="2150" spans="3:8" x14ac:dyDescent="0.3">
      <c r="C2150"/>
      <c r="D2150"/>
      <c r="E2150"/>
      <c r="F2150"/>
      <c r="G2150"/>
      <c r="H2150"/>
    </row>
    <row r="2151" spans="3:8" x14ac:dyDescent="0.3">
      <c r="C2151"/>
      <c r="D2151"/>
      <c r="E2151"/>
      <c r="F2151"/>
      <c r="G2151"/>
      <c r="H2151"/>
    </row>
    <row r="2152" spans="3:8" x14ac:dyDescent="0.3">
      <c r="C2152"/>
      <c r="D2152"/>
      <c r="E2152"/>
      <c r="F2152"/>
      <c r="G2152"/>
      <c r="H2152"/>
    </row>
    <row r="2153" spans="3:8" x14ac:dyDescent="0.3">
      <c r="C2153"/>
      <c r="D2153"/>
      <c r="E2153"/>
      <c r="F2153"/>
      <c r="G2153"/>
      <c r="H2153"/>
    </row>
    <row r="2154" spans="3:8" x14ac:dyDescent="0.3">
      <c r="C2154"/>
      <c r="D2154"/>
      <c r="E2154"/>
      <c r="F2154"/>
      <c r="G2154"/>
      <c r="H2154"/>
    </row>
    <row r="2155" spans="3:8" x14ac:dyDescent="0.3">
      <c r="C2155"/>
      <c r="D2155"/>
      <c r="E2155"/>
      <c r="F2155"/>
      <c r="G2155"/>
      <c r="H2155"/>
    </row>
    <row r="2156" spans="3:8" x14ac:dyDescent="0.3">
      <c r="C2156"/>
      <c r="D2156"/>
      <c r="E2156"/>
      <c r="F2156"/>
      <c r="G2156"/>
      <c r="H2156"/>
    </row>
    <row r="2157" spans="3:8" x14ac:dyDescent="0.3">
      <c r="C2157"/>
      <c r="D2157"/>
      <c r="E2157"/>
      <c r="F2157"/>
      <c r="G2157"/>
      <c r="H2157"/>
    </row>
    <row r="2158" spans="3:8" x14ac:dyDescent="0.3">
      <c r="C2158"/>
      <c r="D2158"/>
      <c r="E2158"/>
      <c r="F2158"/>
      <c r="G2158"/>
      <c r="H2158"/>
    </row>
    <row r="2159" spans="3:8" x14ac:dyDescent="0.3">
      <c r="C2159"/>
      <c r="D2159"/>
      <c r="E2159"/>
      <c r="F2159"/>
      <c r="G2159"/>
      <c r="H2159"/>
    </row>
    <row r="2160" spans="3:8" x14ac:dyDescent="0.3">
      <c r="C2160"/>
      <c r="D2160"/>
      <c r="E2160"/>
      <c r="F2160"/>
      <c r="G2160"/>
      <c r="H2160"/>
    </row>
    <row r="2161" spans="3:8" x14ac:dyDescent="0.3">
      <c r="C2161"/>
      <c r="D2161"/>
      <c r="E2161"/>
      <c r="F2161"/>
      <c r="G2161"/>
      <c r="H2161"/>
    </row>
    <row r="2162" spans="3:8" x14ac:dyDescent="0.3">
      <c r="C2162"/>
      <c r="D2162"/>
      <c r="E2162"/>
      <c r="F2162"/>
      <c r="G2162"/>
      <c r="H2162"/>
    </row>
    <row r="2163" spans="3:8" x14ac:dyDescent="0.3">
      <c r="C2163"/>
      <c r="D2163"/>
      <c r="E2163"/>
      <c r="F2163"/>
      <c r="G2163"/>
      <c r="H2163"/>
    </row>
    <row r="2164" spans="3:8" x14ac:dyDescent="0.3">
      <c r="C2164"/>
      <c r="D2164"/>
      <c r="E2164"/>
      <c r="F2164"/>
      <c r="G2164"/>
      <c r="H2164"/>
    </row>
    <row r="2165" spans="3:8" x14ac:dyDescent="0.3">
      <c r="C2165"/>
      <c r="D2165"/>
      <c r="E2165"/>
      <c r="F2165"/>
      <c r="G2165"/>
      <c r="H2165"/>
    </row>
    <row r="2166" spans="3:8" x14ac:dyDescent="0.3">
      <c r="C2166"/>
      <c r="D2166"/>
      <c r="E2166"/>
      <c r="F2166"/>
      <c r="G2166"/>
      <c r="H2166"/>
    </row>
    <row r="2167" spans="3:8" x14ac:dyDescent="0.3">
      <c r="C2167"/>
      <c r="D2167"/>
      <c r="E2167"/>
      <c r="F2167"/>
      <c r="G2167"/>
      <c r="H2167"/>
    </row>
    <row r="2168" spans="3:8" x14ac:dyDescent="0.3">
      <c r="C2168"/>
      <c r="D2168"/>
      <c r="E2168"/>
      <c r="F2168"/>
      <c r="G2168"/>
      <c r="H2168"/>
    </row>
    <row r="2169" spans="3:8" x14ac:dyDescent="0.3">
      <c r="C2169"/>
      <c r="D2169"/>
      <c r="E2169"/>
      <c r="F2169"/>
      <c r="G2169"/>
      <c r="H2169"/>
    </row>
    <row r="2170" spans="3:8" x14ac:dyDescent="0.3">
      <c r="C2170"/>
      <c r="D2170"/>
      <c r="E2170"/>
      <c r="F2170"/>
      <c r="G2170"/>
      <c r="H2170"/>
    </row>
    <row r="2171" spans="3:8" x14ac:dyDescent="0.3">
      <c r="C2171"/>
      <c r="D2171"/>
      <c r="E2171"/>
      <c r="F2171"/>
      <c r="G2171"/>
      <c r="H2171"/>
    </row>
    <row r="2172" spans="3:8" x14ac:dyDescent="0.3">
      <c r="C2172"/>
      <c r="D2172"/>
      <c r="E2172"/>
      <c r="F2172"/>
      <c r="G2172"/>
      <c r="H2172"/>
    </row>
    <row r="2173" spans="3:8" x14ac:dyDescent="0.3">
      <c r="C2173"/>
      <c r="D2173"/>
      <c r="E2173"/>
      <c r="F2173"/>
      <c r="G2173"/>
      <c r="H2173"/>
    </row>
    <row r="2174" spans="3:8" x14ac:dyDescent="0.3">
      <c r="C2174"/>
      <c r="D2174"/>
      <c r="E2174"/>
      <c r="F2174"/>
      <c r="G2174"/>
      <c r="H2174"/>
    </row>
    <row r="2175" spans="3:8" x14ac:dyDescent="0.3">
      <c r="C2175"/>
      <c r="D2175"/>
      <c r="E2175"/>
      <c r="F2175"/>
      <c r="G2175"/>
      <c r="H2175"/>
    </row>
    <row r="2176" spans="3:8" x14ac:dyDescent="0.3">
      <c r="C2176"/>
      <c r="D2176"/>
      <c r="E2176"/>
      <c r="F2176"/>
      <c r="G2176"/>
      <c r="H2176"/>
    </row>
    <row r="2177" spans="3:8" x14ac:dyDescent="0.3">
      <c r="C2177"/>
      <c r="D2177"/>
      <c r="E2177"/>
      <c r="F2177"/>
      <c r="G2177"/>
      <c r="H2177"/>
    </row>
    <row r="2178" spans="3:8" x14ac:dyDescent="0.3">
      <c r="C2178"/>
      <c r="D2178"/>
      <c r="E2178"/>
      <c r="F2178"/>
      <c r="G2178"/>
      <c r="H2178"/>
    </row>
    <row r="2179" spans="3:8" x14ac:dyDescent="0.3">
      <c r="C2179"/>
      <c r="D2179"/>
      <c r="E2179"/>
      <c r="F2179"/>
      <c r="G2179"/>
      <c r="H2179"/>
    </row>
    <row r="2180" spans="3:8" x14ac:dyDescent="0.3">
      <c r="C2180"/>
      <c r="D2180"/>
      <c r="E2180"/>
      <c r="F2180"/>
      <c r="G2180"/>
      <c r="H2180"/>
    </row>
    <row r="2181" spans="3:8" x14ac:dyDescent="0.3">
      <c r="C2181"/>
      <c r="D2181"/>
      <c r="E2181"/>
      <c r="F2181"/>
      <c r="G2181"/>
      <c r="H2181"/>
    </row>
    <row r="2182" spans="3:8" x14ac:dyDescent="0.3">
      <c r="C2182"/>
      <c r="D2182"/>
      <c r="E2182"/>
      <c r="F2182"/>
      <c r="G2182"/>
      <c r="H2182"/>
    </row>
    <row r="2183" spans="3:8" x14ac:dyDescent="0.3">
      <c r="C2183"/>
      <c r="D2183"/>
      <c r="E2183"/>
      <c r="F2183"/>
      <c r="G2183"/>
      <c r="H2183"/>
    </row>
    <row r="2184" spans="3:8" x14ac:dyDescent="0.3">
      <c r="C2184"/>
      <c r="D2184"/>
      <c r="E2184"/>
      <c r="F2184"/>
      <c r="G2184"/>
      <c r="H2184"/>
    </row>
    <row r="2185" spans="3:8" x14ac:dyDescent="0.3">
      <c r="C2185"/>
      <c r="D2185"/>
      <c r="E2185"/>
      <c r="F2185"/>
      <c r="G2185"/>
      <c r="H2185"/>
    </row>
    <row r="2186" spans="3:8" x14ac:dyDescent="0.3">
      <c r="C2186"/>
      <c r="D2186"/>
      <c r="E2186"/>
      <c r="F2186"/>
      <c r="G2186"/>
      <c r="H2186"/>
    </row>
    <row r="2187" spans="3:8" x14ac:dyDescent="0.3">
      <c r="C2187"/>
      <c r="D2187"/>
      <c r="E2187"/>
      <c r="F2187"/>
      <c r="G2187"/>
      <c r="H2187"/>
    </row>
    <row r="2188" spans="3:8" x14ac:dyDescent="0.3">
      <c r="C2188"/>
      <c r="D2188"/>
      <c r="E2188"/>
      <c r="F2188"/>
      <c r="G2188"/>
      <c r="H2188"/>
    </row>
    <row r="2189" spans="3:8" x14ac:dyDescent="0.3">
      <c r="C2189"/>
      <c r="D2189"/>
      <c r="E2189"/>
      <c r="F2189"/>
      <c r="G2189"/>
      <c r="H2189"/>
    </row>
    <row r="2190" spans="3:8" x14ac:dyDescent="0.3">
      <c r="C2190"/>
      <c r="D2190"/>
      <c r="E2190"/>
      <c r="F2190"/>
      <c r="G2190"/>
      <c r="H2190"/>
    </row>
    <row r="2191" spans="3:8" x14ac:dyDescent="0.3">
      <c r="C2191"/>
      <c r="D2191"/>
      <c r="E2191"/>
      <c r="F2191"/>
      <c r="G2191"/>
      <c r="H2191"/>
    </row>
    <row r="2192" spans="3:8" x14ac:dyDescent="0.3">
      <c r="C2192"/>
      <c r="D2192"/>
      <c r="E2192"/>
      <c r="F2192"/>
      <c r="G2192"/>
      <c r="H2192"/>
    </row>
    <row r="2193" spans="3:8" x14ac:dyDescent="0.3">
      <c r="C2193"/>
      <c r="D2193"/>
      <c r="E2193"/>
      <c r="F2193"/>
      <c r="G2193"/>
      <c r="H2193"/>
    </row>
    <row r="2194" spans="3:8" x14ac:dyDescent="0.3">
      <c r="C2194"/>
      <c r="D2194"/>
      <c r="E2194"/>
      <c r="F2194"/>
      <c r="G2194"/>
      <c r="H2194"/>
    </row>
    <row r="2195" spans="3:8" x14ac:dyDescent="0.3">
      <c r="C2195"/>
      <c r="D2195"/>
      <c r="E2195"/>
      <c r="F2195"/>
      <c r="G2195"/>
      <c r="H2195"/>
    </row>
    <row r="2196" spans="3:8" x14ac:dyDescent="0.3">
      <c r="C2196"/>
      <c r="D2196"/>
      <c r="E2196"/>
      <c r="F2196"/>
      <c r="G2196"/>
      <c r="H2196"/>
    </row>
    <row r="2197" spans="3:8" x14ac:dyDescent="0.3">
      <c r="C2197"/>
      <c r="D2197"/>
      <c r="E2197"/>
      <c r="F2197"/>
      <c r="G2197"/>
      <c r="H2197"/>
    </row>
    <row r="2198" spans="3:8" x14ac:dyDescent="0.3">
      <c r="C2198"/>
      <c r="D2198"/>
      <c r="E2198"/>
      <c r="F2198"/>
      <c r="G2198"/>
      <c r="H2198"/>
    </row>
    <row r="2199" spans="3:8" x14ac:dyDescent="0.3">
      <c r="C2199"/>
      <c r="D2199"/>
      <c r="E2199"/>
      <c r="F2199"/>
      <c r="G2199"/>
      <c r="H2199"/>
    </row>
    <row r="2200" spans="3:8" x14ac:dyDescent="0.3">
      <c r="C2200"/>
      <c r="D2200"/>
      <c r="E2200"/>
      <c r="F2200"/>
      <c r="G2200"/>
      <c r="H2200"/>
    </row>
    <row r="2201" spans="3:8" x14ac:dyDescent="0.3">
      <c r="C2201"/>
      <c r="D2201"/>
      <c r="E2201"/>
      <c r="F2201"/>
      <c r="G2201"/>
      <c r="H2201"/>
    </row>
    <row r="2202" spans="3:8" x14ac:dyDescent="0.3">
      <c r="C2202"/>
      <c r="D2202"/>
      <c r="E2202"/>
      <c r="F2202"/>
      <c r="G2202"/>
      <c r="H2202"/>
    </row>
    <row r="2203" spans="3:8" x14ac:dyDescent="0.3">
      <c r="C2203"/>
      <c r="D2203"/>
      <c r="E2203"/>
      <c r="F2203"/>
      <c r="G2203"/>
      <c r="H2203"/>
    </row>
    <row r="2204" spans="3:8" x14ac:dyDescent="0.3">
      <c r="C2204"/>
      <c r="D2204"/>
      <c r="E2204"/>
      <c r="F2204"/>
      <c r="G2204"/>
      <c r="H2204"/>
    </row>
    <row r="2205" spans="3:8" x14ac:dyDescent="0.3">
      <c r="C2205"/>
      <c r="D2205"/>
      <c r="E2205"/>
      <c r="F2205"/>
      <c r="G2205"/>
      <c r="H2205"/>
    </row>
    <row r="2206" spans="3:8" x14ac:dyDescent="0.3">
      <c r="C2206"/>
      <c r="D2206"/>
      <c r="E2206"/>
      <c r="F2206"/>
      <c r="G2206"/>
      <c r="H2206"/>
    </row>
    <row r="2207" spans="3:8" x14ac:dyDescent="0.3">
      <c r="C2207"/>
      <c r="D2207"/>
      <c r="E2207"/>
      <c r="F2207"/>
      <c r="G2207"/>
      <c r="H2207"/>
    </row>
    <row r="2208" spans="3:8" x14ac:dyDescent="0.3">
      <c r="C2208"/>
      <c r="D2208"/>
      <c r="E2208"/>
      <c r="F2208"/>
      <c r="G2208"/>
      <c r="H2208"/>
    </row>
    <row r="2209" spans="3:8" x14ac:dyDescent="0.3">
      <c r="C2209"/>
      <c r="D2209"/>
      <c r="E2209"/>
      <c r="F2209"/>
      <c r="G2209"/>
      <c r="H2209"/>
    </row>
    <row r="2210" spans="3:8" x14ac:dyDescent="0.3">
      <c r="C2210"/>
      <c r="D2210"/>
      <c r="E2210"/>
      <c r="F2210"/>
      <c r="G2210"/>
      <c r="H2210"/>
    </row>
    <row r="2211" spans="3:8" x14ac:dyDescent="0.3">
      <c r="C2211"/>
      <c r="D2211"/>
      <c r="E2211"/>
      <c r="F2211"/>
      <c r="G2211"/>
      <c r="H2211"/>
    </row>
    <row r="2212" spans="3:8" x14ac:dyDescent="0.3">
      <c r="C2212"/>
      <c r="D2212"/>
      <c r="E2212"/>
      <c r="F2212"/>
      <c r="G2212"/>
      <c r="H2212"/>
    </row>
    <row r="2213" spans="3:8" x14ac:dyDescent="0.3">
      <c r="C2213"/>
      <c r="D2213"/>
      <c r="E2213"/>
      <c r="F2213"/>
      <c r="G2213"/>
      <c r="H2213"/>
    </row>
    <row r="2214" spans="3:8" x14ac:dyDescent="0.3">
      <c r="C2214"/>
      <c r="D2214"/>
      <c r="E2214"/>
      <c r="F2214"/>
      <c r="G2214"/>
      <c r="H2214"/>
    </row>
    <row r="2215" spans="3:8" x14ac:dyDescent="0.3">
      <c r="C2215"/>
      <c r="D2215"/>
      <c r="E2215"/>
      <c r="F2215"/>
      <c r="G2215"/>
      <c r="H2215"/>
    </row>
    <row r="2216" spans="3:8" x14ac:dyDescent="0.3">
      <c r="C2216"/>
      <c r="D2216"/>
      <c r="E2216"/>
      <c r="F2216"/>
      <c r="G2216"/>
      <c r="H2216"/>
    </row>
    <row r="2217" spans="3:8" x14ac:dyDescent="0.3">
      <c r="C2217"/>
      <c r="D2217"/>
      <c r="E2217"/>
      <c r="F2217"/>
      <c r="G2217"/>
      <c r="H2217"/>
    </row>
    <row r="2218" spans="3:8" x14ac:dyDescent="0.3">
      <c r="C2218"/>
      <c r="D2218"/>
      <c r="E2218"/>
      <c r="F2218"/>
      <c r="G2218"/>
      <c r="H2218"/>
    </row>
    <row r="2219" spans="3:8" x14ac:dyDescent="0.3">
      <c r="C2219"/>
      <c r="D2219"/>
      <c r="E2219"/>
      <c r="F2219"/>
      <c r="G2219"/>
      <c r="H2219"/>
    </row>
    <row r="2220" spans="3:8" x14ac:dyDescent="0.3">
      <c r="C2220"/>
      <c r="D2220"/>
      <c r="E2220"/>
      <c r="F2220"/>
      <c r="G2220"/>
      <c r="H2220"/>
    </row>
    <row r="2221" spans="3:8" x14ac:dyDescent="0.3">
      <c r="C2221"/>
      <c r="D2221"/>
      <c r="E2221"/>
      <c r="F2221"/>
      <c r="G2221"/>
      <c r="H2221"/>
    </row>
    <row r="2222" spans="3:8" x14ac:dyDescent="0.3">
      <c r="C2222"/>
      <c r="D2222"/>
      <c r="E2222"/>
      <c r="F2222"/>
      <c r="G2222"/>
      <c r="H2222"/>
    </row>
    <row r="2223" spans="3:8" x14ac:dyDescent="0.3">
      <c r="C2223"/>
      <c r="D2223"/>
      <c r="E2223"/>
      <c r="F2223"/>
      <c r="G2223"/>
      <c r="H2223"/>
    </row>
    <row r="2224" spans="3:8" x14ac:dyDescent="0.3">
      <c r="C2224"/>
      <c r="D2224"/>
      <c r="E2224"/>
      <c r="F2224"/>
      <c r="G2224"/>
      <c r="H2224"/>
    </row>
    <row r="2225" spans="3:8" x14ac:dyDescent="0.3">
      <c r="C2225"/>
      <c r="D2225"/>
      <c r="E2225"/>
      <c r="F2225"/>
      <c r="G2225"/>
      <c r="H2225"/>
    </row>
    <row r="2226" spans="3:8" x14ac:dyDescent="0.3">
      <c r="C2226"/>
      <c r="D2226"/>
      <c r="E2226"/>
      <c r="F2226"/>
      <c r="G2226"/>
      <c r="H2226"/>
    </row>
    <row r="2227" spans="3:8" x14ac:dyDescent="0.3">
      <c r="C2227"/>
      <c r="D2227"/>
      <c r="E2227"/>
      <c r="F2227"/>
      <c r="G2227"/>
      <c r="H2227"/>
    </row>
    <row r="2228" spans="3:8" x14ac:dyDescent="0.3">
      <c r="C2228"/>
      <c r="D2228"/>
      <c r="E2228"/>
      <c r="F2228"/>
      <c r="G2228"/>
      <c r="H2228"/>
    </row>
    <row r="2229" spans="3:8" x14ac:dyDescent="0.3">
      <c r="C2229"/>
      <c r="D2229"/>
      <c r="E2229"/>
      <c r="F2229"/>
      <c r="G2229"/>
      <c r="H2229"/>
    </row>
    <row r="2230" spans="3:8" x14ac:dyDescent="0.3">
      <c r="C2230"/>
      <c r="D2230"/>
      <c r="E2230"/>
      <c r="F2230"/>
      <c r="G2230"/>
      <c r="H2230"/>
    </row>
    <row r="2231" spans="3:8" x14ac:dyDescent="0.3">
      <c r="C2231"/>
      <c r="D2231"/>
      <c r="E2231"/>
      <c r="F2231"/>
      <c r="G2231"/>
      <c r="H2231"/>
    </row>
    <row r="2232" spans="3:8" x14ac:dyDescent="0.3">
      <c r="C2232"/>
      <c r="D2232"/>
      <c r="E2232"/>
      <c r="F2232"/>
      <c r="G2232"/>
      <c r="H2232"/>
    </row>
    <row r="2233" spans="3:8" x14ac:dyDescent="0.3">
      <c r="C2233"/>
      <c r="D2233"/>
      <c r="E2233"/>
      <c r="F2233"/>
      <c r="G2233"/>
      <c r="H2233"/>
    </row>
    <row r="2234" spans="3:8" x14ac:dyDescent="0.3">
      <c r="C2234"/>
      <c r="D2234"/>
      <c r="E2234"/>
      <c r="F2234"/>
      <c r="G2234"/>
      <c r="H2234"/>
    </row>
    <row r="2235" spans="3:8" x14ac:dyDescent="0.3">
      <c r="C2235"/>
      <c r="D2235"/>
      <c r="E2235"/>
      <c r="F2235"/>
      <c r="G2235"/>
      <c r="H2235"/>
    </row>
    <row r="2236" spans="3:8" x14ac:dyDescent="0.3">
      <c r="C2236"/>
      <c r="D2236"/>
      <c r="E2236"/>
      <c r="F2236"/>
      <c r="G2236"/>
      <c r="H2236"/>
    </row>
    <row r="2237" spans="3:8" x14ac:dyDescent="0.3">
      <c r="C2237"/>
      <c r="D2237"/>
      <c r="E2237"/>
      <c r="F2237"/>
      <c r="G2237"/>
      <c r="H2237"/>
    </row>
    <row r="2238" spans="3:8" x14ac:dyDescent="0.3">
      <c r="C2238"/>
      <c r="D2238"/>
      <c r="E2238"/>
      <c r="F2238"/>
      <c r="G2238"/>
      <c r="H2238"/>
    </row>
    <row r="2239" spans="3:8" x14ac:dyDescent="0.3">
      <c r="C2239"/>
      <c r="D2239"/>
      <c r="E2239"/>
      <c r="F2239"/>
      <c r="G2239"/>
      <c r="H2239"/>
    </row>
    <row r="2240" spans="3:8" x14ac:dyDescent="0.3">
      <c r="C2240"/>
      <c r="D2240"/>
      <c r="E2240"/>
      <c r="F2240"/>
      <c r="G2240"/>
      <c r="H2240"/>
    </row>
    <row r="2241" spans="3:8" x14ac:dyDescent="0.3">
      <c r="C2241"/>
      <c r="D2241"/>
      <c r="E2241"/>
      <c r="F2241"/>
      <c r="G2241"/>
      <c r="H2241"/>
    </row>
    <row r="2242" spans="3:8" x14ac:dyDescent="0.3">
      <c r="C2242"/>
      <c r="D2242"/>
      <c r="E2242"/>
      <c r="F2242"/>
      <c r="G2242"/>
      <c r="H2242"/>
    </row>
    <row r="2243" spans="3:8" x14ac:dyDescent="0.3">
      <c r="C2243"/>
      <c r="D2243"/>
      <c r="E2243"/>
      <c r="F2243"/>
      <c r="G2243"/>
      <c r="H2243"/>
    </row>
    <row r="2244" spans="3:8" x14ac:dyDescent="0.3">
      <c r="C2244"/>
      <c r="D2244"/>
      <c r="E2244"/>
      <c r="F2244"/>
      <c r="G2244"/>
      <c r="H2244"/>
    </row>
    <row r="2245" spans="3:8" x14ac:dyDescent="0.3">
      <c r="C2245"/>
      <c r="D2245"/>
      <c r="E2245"/>
      <c r="F2245"/>
      <c r="G2245"/>
      <c r="H2245"/>
    </row>
    <row r="2246" spans="3:8" x14ac:dyDescent="0.3">
      <c r="C2246"/>
      <c r="D2246"/>
      <c r="E2246"/>
      <c r="F2246"/>
      <c r="G2246"/>
      <c r="H2246"/>
    </row>
    <row r="2247" spans="3:8" x14ac:dyDescent="0.3">
      <c r="C2247"/>
      <c r="D2247"/>
      <c r="E2247"/>
      <c r="F2247"/>
      <c r="G2247"/>
      <c r="H2247"/>
    </row>
    <row r="2248" spans="3:8" x14ac:dyDescent="0.3">
      <c r="C2248"/>
      <c r="D2248"/>
      <c r="E2248"/>
      <c r="F2248"/>
      <c r="G2248"/>
      <c r="H2248"/>
    </row>
    <row r="2249" spans="3:8" x14ac:dyDescent="0.3">
      <c r="C2249"/>
      <c r="D2249"/>
      <c r="E2249"/>
      <c r="F2249"/>
      <c r="G2249"/>
      <c r="H2249"/>
    </row>
    <row r="2250" spans="3:8" x14ac:dyDescent="0.3">
      <c r="C2250"/>
      <c r="D2250"/>
      <c r="E2250"/>
      <c r="F2250"/>
      <c r="G2250"/>
      <c r="H2250"/>
    </row>
    <row r="2251" spans="3:8" x14ac:dyDescent="0.3">
      <c r="C2251"/>
      <c r="D2251"/>
      <c r="E2251"/>
      <c r="F2251"/>
      <c r="G2251"/>
      <c r="H2251"/>
    </row>
    <row r="2252" spans="3:8" x14ac:dyDescent="0.3">
      <c r="C2252"/>
      <c r="D2252"/>
      <c r="E2252"/>
      <c r="F2252"/>
      <c r="G2252"/>
      <c r="H2252"/>
    </row>
    <row r="2253" spans="3:8" x14ac:dyDescent="0.3">
      <c r="C2253"/>
      <c r="D2253"/>
      <c r="E2253"/>
      <c r="F2253"/>
      <c r="G2253"/>
      <c r="H2253"/>
    </row>
    <row r="2254" spans="3:8" x14ac:dyDescent="0.3">
      <c r="C2254"/>
      <c r="D2254"/>
      <c r="E2254"/>
      <c r="F2254"/>
      <c r="G2254"/>
      <c r="H2254"/>
    </row>
    <row r="2255" spans="3:8" x14ac:dyDescent="0.3">
      <c r="C2255"/>
      <c r="D2255"/>
      <c r="E2255"/>
      <c r="F2255"/>
      <c r="G2255"/>
      <c r="H2255"/>
    </row>
    <row r="2256" spans="3:8" x14ac:dyDescent="0.3">
      <c r="C2256"/>
      <c r="D2256"/>
      <c r="E2256"/>
      <c r="F2256"/>
      <c r="G2256"/>
      <c r="H2256"/>
    </row>
    <row r="2257" spans="3:8" x14ac:dyDescent="0.3">
      <c r="C2257"/>
      <c r="D2257"/>
      <c r="E2257"/>
      <c r="F2257"/>
      <c r="G2257"/>
      <c r="H2257"/>
    </row>
    <row r="2258" spans="3:8" x14ac:dyDescent="0.3">
      <c r="C2258"/>
      <c r="D2258"/>
      <c r="E2258"/>
      <c r="F2258"/>
      <c r="G2258"/>
      <c r="H2258"/>
    </row>
    <row r="2259" spans="3:8" x14ac:dyDescent="0.3">
      <c r="C2259"/>
      <c r="D2259"/>
      <c r="E2259"/>
      <c r="F2259"/>
      <c r="G2259"/>
      <c r="H2259"/>
    </row>
    <row r="2260" spans="3:8" x14ac:dyDescent="0.3">
      <c r="C2260"/>
      <c r="D2260"/>
      <c r="E2260"/>
      <c r="F2260"/>
      <c r="G2260"/>
      <c r="H2260"/>
    </row>
    <row r="2261" spans="3:8" x14ac:dyDescent="0.3">
      <c r="C2261"/>
      <c r="D2261"/>
      <c r="E2261"/>
      <c r="F2261"/>
      <c r="G2261"/>
      <c r="H2261"/>
    </row>
    <row r="2262" spans="3:8" x14ac:dyDescent="0.3">
      <c r="C2262"/>
      <c r="D2262"/>
      <c r="E2262"/>
      <c r="F2262"/>
      <c r="G2262"/>
      <c r="H2262"/>
    </row>
    <row r="2263" spans="3:8" x14ac:dyDescent="0.3">
      <c r="C2263"/>
      <c r="D2263"/>
      <c r="E2263"/>
      <c r="F2263"/>
      <c r="G2263"/>
      <c r="H2263"/>
    </row>
    <row r="2264" spans="3:8" x14ac:dyDescent="0.3">
      <c r="C2264"/>
      <c r="D2264"/>
      <c r="E2264"/>
      <c r="F2264"/>
      <c r="G2264"/>
      <c r="H2264"/>
    </row>
    <row r="2265" spans="3:8" x14ac:dyDescent="0.3">
      <c r="C2265"/>
      <c r="D2265"/>
      <c r="E2265"/>
      <c r="F2265"/>
      <c r="G2265"/>
      <c r="H2265"/>
    </row>
    <row r="2266" spans="3:8" x14ac:dyDescent="0.3">
      <c r="C2266"/>
      <c r="D2266"/>
      <c r="E2266"/>
      <c r="F2266"/>
      <c r="G2266"/>
      <c r="H2266"/>
    </row>
    <row r="2267" spans="3:8" x14ac:dyDescent="0.3">
      <c r="C2267"/>
      <c r="D2267"/>
      <c r="E2267"/>
      <c r="F2267"/>
      <c r="G2267"/>
      <c r="H2267"/>
    </row>
    <row r="2268" spans="3:8" x14ac:dyDescent="0.3">
      <c r="C2268"/>
      <c r="D2268"/>
      <c r="E2268"/>
      <c r="F2268"/>
      <c r="G2268"/>
      <c r="H2268"/>
    </row>
    <row r="2269" spans="3:8" x14ac:dyDescent="0.3">
      <c r="C2269"/>
      <c r="D2269"/>
      <c r="E2269"/>
      <c r="F2269"/>
      <c r="G2269"/>
      <c r="H2269"/>
    </row>
    <row r="2270" spans="3:8" x14ac:dyDescent="0.3">
      <c r="C2270"/>
      <c r="D2270"/>
      <c r="E2270"/>
      <c r="F2270"/>
      <c r="G2270"/>
      <c r="H2270"/>
    </row>
    <row r="2271" spans="3:8" x14ac:dyDescent="0.3">
      <c r="C2271"/>
      <c r="D2271"/>
      <c r="E2271"/>
      <c r="F2271"/>
      <c r="G2271"/>
      <c r="H2271"/>
    </row>
    <row r="2272" spans="3:8" x14ac:dyDescent="0.3">
      <c r="C2272"/>
      <c r="D2272"/>
      <c r="E2272"/>
      <c r="F2272"/>
      <c r="G2272"/>
      <c r="H2272"/>
    </row>
    <row r="2273" spans="3:8" x14ac:dyDescent="0.3">
      <c r="C2273"/>
      <c r="D2273"/>
      <c r="E2273"/>
      <c r="F2273"/>
      <c r="G2273"/>
      <c r="H2273"/>
    </row>
    <row r="2274" spans="3:8" x14ac:dyDescent="0.3">
      <c r="C2274"/>
      <c r="D2274"/>
      <c r="E2274"/>
      <c r="F2274"/>
      <c r="G2274"/>
      <c r="H2274"/>
    </row>
    <row r="2275" spans="3:8" x14ac:dyDescent="0.3">
      <c r="C2275"/>
      <c r="D2275"/>
      <c r="E2275"/>
      <c r="F2275"/>
      <c r="G2275"/>
      <c r="H2275"/>
    </row>
    <row r="2276" spans="3:8" x14ac:dyDescent="0.3">
      <c r="C2276"/>
      <c r="D2276"/>
      <c r="E2276"/>
      <c r="F2276"/>
      <c r="G2276"/>
      <c r="H2276"/>
    </row>
    <row r="2277" spans="3:8" x14ac:dyDescent="0.3">
      <c r="C2277"/>
      <c r="D2277"/>
      <c r="E2277"/>
      <c r="F2277"/>
      <c r="G2277"/>
      <c r="H2277"/>
    </row>
    <row r="2278" spans="3:8" x14ac:dyDescent="0.3">
      <c r="C2278"/>
      <c r="D2278"/>
      <c r="E2278"/>
      <c r="F2278"/>
      <c r="G2278"/>
      <c r="H2278"/>
    </row>
    <row r="2279" spans="3:8" x14ac:dyDescent="0.3">
      <c r="C2279"/>
      <c r="D2279"/>
      <c r="E2279"/>
      <c r="F2279"/>
      <c r="G2279"/>
      <c r="H2279"/>
    </row>
    <row r="2280" spans="3:8" x14ac:dyDescent="0.3">
      <c r="C2280"/>
      <c r="D2280"/>
      <c r="E2280"/>
      <c r="F2280"/>
      <c r="G2280"/>
      <c r="H2280"/>
    </row>
    <row r="2281" spans="3:8" x14ac:dyDescent="0.3">
      <c r="C2281"/>
      <c r="D2281"/>
      <c r="E2281"/>
      <c r="F2281"/>
      <c r="G2281"/>
      <c r="H2281"/>
    </row>
    <row r="2282" spans="3:8" x14ac:dyDescent="0.3">
      <c r="C2282"/>
      <c r="D2282"/>
      <c r="E2282"/>
      <c r="F2282"/>
      <c r="G2282"/>
      <c r="H2282"/>
    </row>
    <row r="2283" spans="3:8" x14ac:dyDescent="0.3">
      <c r="C2283"/>
      <c r="D2283"/>
      <c r="E2283"/>
      <c r="F2283"/>
      <c r="G2283"/>
      <c r="H2283"/>
    </row>
    <row r="2284" spans="3:8" x14ac:dyDescent="0.3">
      <c r="C2284"/>
      <c r="D2284"/>
      <c r="E2284"/>
      <c r="F2284"/>
      <c r="G2284"/>
      <c r="H2284"/>
    </row>
    <row r="2285" spans="3:8" x14ac:dyDescent="0.3">
      <c r="C2285"/>
      <c r="D2285"/>
      <c r="E2285"/>
      <c r="F2285"/>
      <c r="G2285"/>
      <c r="H2285"/>
    </row>
    <row r="2286" spans="3:8" x14ac:dyDescent="0.3">
      <c r="C2286"/>
      <c r="D2286"/>
      <c r="E2286"/>
      <c r="F2286"/>
      <c r="G2286"/>
      <c r="H2286"/>
    </row>
    <row r="2287" spans="3:8" x14ac:dyDescent="0.3">
      <c r="C2287"/>
      <c r="D2287"/>
      <c r="E2287"/>
      <c r="F2287"/>
      <c r="G2287"/>
      <c r="H2287"/>
    </row>
    <row r="2288" spans="3:8" x14ac:dyDescent="0.3">
      <c r="C2288"/>
      <c r="D2288"/>
      <c r="E2288"/>
      <c r="F2288"/>
      <c r="G2288"/>
      <c r="H2288"/>
    </row>
    <row r="2289" spans="3:8" x14ac:dyDescent="0.3">
      <c r="C2289"/>
      <c r="D2289"/>
      <c r="E2289"/>
      <c r="F2289"/>
      <c r="G2289"/>
      <c r="H2289"/>
    </row>
    <row r="2290" spans="3:8" x14ac:dyDescent="0.3">
      <c r="C2290"/>
      <c r="D2290"/>
      <c r="E2290"/>
      <c r="F2290"/>
      <c r="G2290"/>
      <c r="H2290"/>
    </row>
    <row r="2291" spans="3:8" x14ac:dyDescent="0.3">
      <c r="C2291"/>
      <c r="D2291"/>
      <c r="E2291"/>
      <c r="F2291"/>
      <c r="G2291"/>
      <c r="H2291"/>
    </row>
    <row r="2292" spans="3:8" x14ac:dyDescent="0.3">
      <c r="C2292"/>
      <c r="D2292"/>
      <c r="E2292"/>
      <c r="F2292"/>
      <c r="G2292"/>
      <c r="H2292"/>
    </row>
    <row r="2293" spans="3:8" x14ac:dyDescent="0.3">
      <c r="C2293"/>
      <c r="D2293"/>
      <c r="E2293"/>
      <c r="F2293"/>
      <c r="G2293"/>
      <c r="H2293"/>
    </row>
    <row r="2294" spans="3:8" x14ac:dyDescent="0.3">
      <c r="C2294"/>
      <c r="D2294"/>
      <c r="E2294"/>
      <c r="F2294"/>
      <c r="G2294"/>
      <c r="H2294"/>
    </row>
    <row r="2295" spans="3:8" x14ac:dyDescent="0.3">
      <c r="C2295"/>
      <c r="D2295"/>
      <c r="E2295"/>
      <c r="F2295"/>
      <c r="G2295"/>
      <c r="H2295"/>
    </row>
    <row r="2296" spans="3:8" x14ac:dyDescent="0.3">
      <c r="C2296"/>
      <c r="D2296"/>
      <c r="E2296"/>
      <c r="F2296"/>
      <c r="G2296"/>
      <c r="H2296"/>
    </row>
    <row r="2297" spans="3:8" x14ac:dyDescent="0.3">
      <c r="C2297"/>
      <c r="D2297"/>
      <c r="E2297"/>
      <c r="F2297"/>
      <c r="G2297"/>
      <c r="H2297"/>
    </row>
    <row r="2298" spans="3:8" x14ac:dyDescent="0.3">
      <c r="C2298"/>
      <c r="D2298"/>
      <c r="E2298"/>
      <c r="F2298"/>
      <c r="G2298"/>
      <c r="H2298"/>
    </row>
    <row r="2299" spans="3:8" x14ac:dyDescent="0.3">
      <c r="C2299"/>
      <c r="D2299"/>
      <c r="E2299"/>
      <c r="F2299"/>
      <c r="G2299"/>
      <c r="H2299"/>
    </row>
    <row r="2300" spans="3:8" x14ac:dyDescent="0.3">
      <c r="C2300"/>
      <c r="D2300"/>
      <c r="E2300"/>
      <c r="F2300"/>
      <c r="G2300"/>
      <c r="H2300"/>
    </row>
    <row r="2301" spans="3:8" x14ac:dyDescent="0.3">
      <c r="C2301"/>
      <c r="D2301"/>
      <c r="E2301"/>
      <c r="F2301"/>
      <c r="G2301"/>
      <c r="H2301"/>
    </row>
    <row r="2302" spans="3:8" x14ac:dyDescent="0.3">
      <c r="C2302"/>
      <c r="D2302"/>
      <c r="E2302"/>
      <c r="F2302"/>
      <c r="G2302"/>
      <c r="H2302"/>
    </row>
    <row r="2303" spans="3:8" x14ac:dyDescent="0.3">
      <c r="C2303"/>
      <c r="D2303"/>
      <c r="E2303"/>
      <c r="F2303"/>
      <c r="G2303"/>
      <c r="H2303"/>
    </row>
    <row r="2304" spans="3:8" x14ac:dyDescent="0.3">
      <c r="C2304"/>
      <c r="D2304"/>
      <c r="E2304"/>
      <c r="F2304"/>
      <c r="G2304"/>
      <c r="H2304"/>
    </row>
    <row r="2305" spans="3:8" x14ac:dyDescent="0.3">
      <c r="C2305"/>
      <c r="D2305"/>
      <c r="E2305"/>
      <c r="F2305"/>
      <c r="G2305"/>
      <c r="H2305"/>
    </row>
    <row r="2306" spans="3:8" x14ac:dyDescent="0.3">
      <c r="C2306"/>
      <c r="D2306"/>
      <c r="E2306"/>
      <c r="F2306"/>
      <c r="G2306"/>
      <c r="H2306"/>
    </row>
    <row r="2307" spans="3:8" x14ac:dyDescent="0.3">
      <c r="C2307"/>
      <c r="D2307"/>
      <c r="E2307"/>
      <c r="F2307"/>
      <c r="G2307"/>
      <c r="H2307"/>
    </row>
    <row r="2308" spans="3:8" x14ac:dyDescent="0.3">
      <c r="C2308"/>
      <c r="D2308"/>
      <c r="E2308"/>
      <c r="F2308"/>
      <c r="G2308"/>
      <c r="H2308"/>
    </row>
    <row r="2309" spans="3:8" x14ac:dyDescent="0.3">
      <c r="C2309"/>
      <c r="D2309"/>
      <c r="E2309"/>
      <c r="F2309"/>
      <c r="G2309"/>
      <c r="H2309"/>
    </row>
    <row r="2310" spans="3:8" x14ac:dyDescent="0.3">
      <c r="C2310"/>
      <c r="D2310"/>
      <c r="E2310"/>
      <c r="F2310"/>
      <c r="G2310"/>
      <c r="H2310"/>
    </row>
    <row r="2311" spans="3:8" x14ac:dyDescent="0.3">
      <c r="C2311"/>
      <c r="D2311"/>
      <c r="E2311"/>
      <c r="F2311"/>
      <c r="G2311"/>
      <c r="H2311"/>
    </row>
    <row r="2312" spans="3:8" x14ac:dyDescent="0.3">
      <c r="C2312"/>
      <c r="D2312"/>
      <c r="E2312"/>
      <c r="F2312"/>
      <c r="G2312"/>
      <c r="H2312"/>
    </row>
    <row r="2313" spans="3:8" x14ac:dyDescent="0.3">
      <c r="C2313"/>
      <c r="D2313"/>
      <c r="E2313"/>
      <c r="F2313"/>
      <c r="G2313"/>
      <c r="H2313"/>
    </row>
    <row r="2314" spans="3:8" x14ac:dyDescent="0.3">
      <c r="C2314"/>
      <c r="D2314"/>
      <c r="E2314"/>
      <c r="F2314"/>
      <c r="G2314"/>
      <c r="H2314"/>
    </row>
    <row r="2315" spans="3:8" x14ac:dyDescent="0.3">
      <c r="C2315"/>
      <c r="D2315"/>
      <c r="E2315"/>
      <c r="F2315"/>
      <c r="G2315"/>
      <c r="H2315"/>
    </row>
    <row r="2316" spans="3:8" x14ac:dyDescent="0.3">
      <c r="C2316"/>
      <c r="D2316"/>
      <c r="E2316"/>
      <c r="F2316"/>
      <c r="G2316"/>
      <c r="H2316"/>
    </row>
    <row r="2317" spans="3:8" x14ac:dyDescent="0.3">
      <c r="C2317"/>
      <c r="D2317"/>
      <c r="E2317"/>
      <c r="F2317"/>
      <c r="G2317"/>
      <c r="H2317"/>
    </row>
    <row r="2318" spans="3:8" x14ac:dyDescent="0.3">
      <c r="C2318"/>
      <c r="D2318"/>
      <c r="E2318"/>
      <c r="F2318"/>
      <c r="G2318"/>
      <c r="H2318"/>
    </row>
    <row r="2319" spans="3:8" x14ac:dyDescent="0.3">
      <c r="C2319"/>
      <c r="D2319"/>
      <c r="E2319"/>
      <c r="F2319"/>
      <c r="G2319"/>
      <c r="H2319"/>
    </row>
    <row r="2320" spans="3:8" x14ac:dyDescent="0.3">
      <c r="C2320"/>
      <c r="D2320"/>
      <c r="E2320"/>
      <c r="F2320"/>
      <c r="G2320"/>
      <c r="H2320"/>
    </row>
    <row r="2321" spans="3:8" x14ac:dyDescent="0.3">
      <c r="C2321"/>
      <c r="D2321"/>
      <c r="E2321"/>
      <c r="F2321"/>
      <c r="G2321"/>
      <c r="H2321"/>
    </row>
    <row r="2322" spans="3:8" x14ac:dyDescent="0.3">
      <c r="C2322"/>
      <c r="D2322"/>
      <c r="E2322"/>
      <c r="F2322"/>
      <c r="G2322"/>
      <c r="H2322"/>
    </row>
    <row r="2323" spans="3:8" x14ac:dyDescent="0.3">
      <c r="C2323"/>
      <c r="D2323"/>
      <c r="E2323"/>
      <c r="F2323"/>
      <c r="G2323"/>
      <c r="H2323"/>
    </row>
    <row r="2324" spans="3:8" x14ac:dyDescent="0.3">
      <c r="C2324"/>
      <c r="D2324"/>
      <c r="E2324"/>
      <c r="F2324"/>
      <c r="G2324"/>
      <c r="H2324"/>
    </row>
    <row r="2325" spans="3:8" x14ac:dyDescent="0.3">
      <c r="C2325"/>
      <c r="D2325"/>
      <c r="E2325"/>
      <c r="F2325"/>
      <c r="G2325"/>
      <c r="H2325"/>
    </row>
    <row r="2326" spans="3:8" x14ac:dyDescent="0.3">
      <c r="C2326"/>
      <c r="D2326"/>
      <c r="E2326"/>
      <c r="F2326"/>
      <c r="G2326"/>
      <c r="H2326"/>
    </row>
    <row r="2327" spans="3:8" x14ac:dyDescent="0.3">
      <c r="C2327"/>
      <c r="D2327"/>
      <c r="E2327"/>
      <c r="F2327"/>
      <c r="G2327"/>
      <c r="H2327"/>
    </row>
    <row r="2328" spans="3:8" x14ac:dyDescent="0.3">
      <c r="C2328"/>
      <c r="D2328"/>
      <c r="E2328"/>
      <c r="F2328"/>
      <c r="G2328"/>
      <c r="H2328"/>
    </row>
    <row r="2329" spans="3:8" x14ac:dyDescent="0.3">
      <c r="C2329"/>
      <c r="D2329"/>
      <c r="E2329"/>
      <c r="F2329"/>
      <c r="G2329"/>
      <c r="H2329"/>
    </row>
    <row r="2330" spans="3:8" x14ac:dyDescent="0.3">
      <c r="C2330"/>
      <c r="D2330"/>
      <c r="E2330"/>
      <c r="F2330"/>
      <c r="G2330"/>
      <c r="H2330"/>
    </row>
    <row r="2331" spans="3:8" x14ac:dyDescent="0.3">
      <c r="C2331"/>
      <c r="D2331"/>
      <c r="E2331"/>
      <c r="F2331"/>
      <c r="G2331"/>
      <c r="H2331"/>
    </row>
    <row r="2332" spans="3:8" x14ac:dyDescent="0.3">
      <c r="C2332"/>
      <c r="D2332"/>
      <c r="E2332"/>
      <c r="F2332"/>
      <c r="G2332"/>
      <c r="H2332"/>
    </row>
    <row r="2333" spans="3:8" x14ac:dyDescent="0.3">
      <c r="C2333"/>
      <c r="D2333"/>
      <c r="E2333"/>
      <c r="F2333"/>
      <c r="G2333"/>
      <c r="H2333"/>
    </row>
    <row r="2334" spans="3:8" x14ac:dyDescent="0.3">
      <c r="C2334"/>
      <c r="D2334"/>
      <c r="E2334"/>
      <c r="F2334"/>
      <c r="G2334"/>
      <c r="H2334"/>
    </row>
    <row r="2335" spans="3:8" x14ac:dyDescent="0.3">
      <c r="C2335"/>
      <c r="D2335"/>
      <c r="E2335"/>
      <c r="F2335"/>
      <c r="G2335"/>
      <c r="H2335"/>
    </row>
    <row r="2336" spans="3:8" x14ac:dyDescent="0.3">
      <c r="C2336"/>
      <c r="D2336"/>
      <c r="E2336"/>
      <c r="F2336"/>
      <c r="G2336"/>
      <c r="H2336"/>
    </row>
    <row r="2337" spans="3:8" x14ac:dyDescent="0.3">
      <c r="C2337"/>
      <c r="D2337"/>
      <c r="E2337"/>
      <c r="F2337"/>
      <c r="G2337"/>
      <c r="H2337"/>
    </row>
    <row r="2338" spans="3:8" x14ac:dyDescent="0.3">
      <c r="C2338"/>
      <c r="D2338"/>
      <c r="E2338"/>
      <c r="F2338"/>
      <c r="G2338"/>
      <c r="H2338"/>
    </row>
    <row r="2339" spans="3:8" x14ac:dyDescent="0.3">
      <c r="C2339"/>
      <c r="D2339"/>
      <c r="E2339"/>
      <c r="F2339"/>
      <c r="G2339"/>
      <c r="H2339"/>
    </row>
    <row r="2340" spans="3:8" x14ac:dyDescent="0.3">
      <c r="C2340"/>
      <c r="D2340"/>
      <c r="E2340"/>
      <c r="F2340"/>
      <c r="G2340"/>
      <c r="H2340"/>
    </row>
    <row r="2341" spans="3:8" x14ac:dyDescent="0.3">
      <c r="C2341"/>
      <c r="D2341"/>
      <c r="E2341"/>
      <c r="F2341"/>
      <c r="G2341"/>
      <c r="H2341"/>
    </row>
    <row r="2342" spans="3:8" x14ac:dyDescent="0.3">
      <c r="C2342"/>
      <c r="D2342"/>
      <c r="E2342"/>
      <c r="F2342"/>
      <c r="G2342"/>
      <c r="H2342"/>
    </row>
    <row r="2343" spans="3:8" x14ac:dyDescent="0.3">
      <c r="C2343"/>
      <c r="D2343"/>
      <c r="E2343"/>
      <c r="F2343"/>
      <c r="G2343"/>
      <c r="H2343"/>
    </row>
    <row r="2344" spans="3:8" x14ac:dyDescent="0.3">
      <c r="C2344"/>
      <c r="D2344"/>
      <c r="E2344"/>
      <c r="F2344"/>
      <c r="G2344"/>
      <c r="H2344"/>
    </row>
    <row r="2345" spans="3:8" x14ac:dyDescent="0.3">
      <c r="C2345"/>
      <c r="D2345"/>
      <c r="E2345"/>
      <c r="F2345"/>
      <c r="G2345"/>
      <c r="H2345"/>
    </row>
    <row r="2346" spans="3:8" x14ac:dyDescent="0.3">
      <c r="C2346"/>
      <c r="D2346"/>
      <c r="E2346"/>
      <c r="F2346"/>
      <c r="G2346"/>
      <c r="H2346"/>
    </row>
    <row r="2347" spans="3:8" x14ac:dyDescent="0.3">
      <c r="C2347"/>
      <c r="D2347"/>
      <c r="E2347"/>
      <c r="F2347"/>
      <c r="G2347"/>
      <c r="H2347"/>
    </row>
    <row r="2348" spans="3:8" x14ac:dyDescent="0.3">
      <c r="C2348"/>
      <c r="D2348"/>
      <c r="E2348"/>
      <c r="F2348"/>
      <c r="G2348"/>
      <c r="H2348"/>
    </row>
    <row r="2349" spans="3:8" x14ac:dyDescent="0.3">
      <c r="C2349"/>
      <c r="D2349"/>
      <c r="E2349"/>
      <c r="F2349"/>
      <c r="G2349"/>
      <c r="H2349"/>
    </row>
    <row r="2350" spans="3:8" x14ac:dyDescent="0.3">
      <c r="C2350"/>
      <c r="D2350"/>
      <c r="E2350"/>
      <c r="F2350"/>
      <c r="G2350"/>
      <c r="H2350"/>
    </row>
    <row r="2351" spans="3:8" x14ac:dyDescent="0.3">
      <c r="C2351"/>
      <c r="D2351"/>
      <c r="E2351"/>
      <c r="F2351"/>
      <c r="G2351"/>
      <c r="H2351"/>
    </row>
    <row r="2352" spans="3:8" x14ac:dyDescent="0.3">
      <c r="C2352"/>
      <c r="D2352"/>
      <c r="E2352"/>
      <c r="F2352"/>
      <c r="G2352"/>
      <c r="H2352"/>
    </row>
    <row r="2353" spans="3:8" x14ac:dyDescent="0.3">
      <c r="C2353"/>
      <c r="D2353"/>
      <c r="E2353"/>
      <c r="F2353"/>
      <c r="G2353"/>
      <c r="H2353"/>
    </row>
    <row r="2354" spans="3:8" x14ac:dyDescent="0.3">
      <c r="C2354"/>
      <c r="D2354"/>
      <c r="E2354"/>
      <c r="F2354"/>
      <c r="G2354"/>
      <c r="H2354"/>
    </row>
    <row r="2355" spans="3:8" x14ac:dyDescent="0.3">
      <c r="C2355"/>
      <c r="D2355"/>
      <c r="E2355"/>
      <c r="F2355"/>
      <c r="G2355"/>
      <c r="H2355"/>
    </row>
    <row r="2356" spans="3:8" x14ac:dyDescent="0.3">
      <c r="C2356"/>
      <c r="D2356"/>
      <c r="E2356"/>
      <c r="F2356"/>
      <c r="G2356"/>
      <c r="H2356"/>
    </row>
    <row r="2357" spans="3:8" x14ac:dyDescent="0.3">
      <c r="C2357"/>
      <c r="D2357"/>
      <c r="E2357"/>
      <c r="F2357"/>
      <c r="G2357"/>
      <c r="H2357"/>
    </row>
    <row r="2358" spans="3:8" x14ac:dyDescent="0.3">
      <c r="C2358"/>
      <c r="D2358"/>
      <c r="E2358"/>
      <c r="F2358"/>
      <c r="G2358"/>
      <c r="H2358"/>
    </row>
    <row r="2359" spans="3:8" x14ac:dyDescent="0.3">
      <c r="C2359"/>
      <c r="D2359"/>
      <c r="E2359"/>
      <c r="F2359"/>
      <c r="G2359"/>
      <c r="H2359"/>
    </row>
    <row r="2360" spans="3:8" x14ac:dyDescent="0.3">
      <c r="C2360"/>
      <c r="D2360"/>
      <c r="E2360"/>
      <c r="F2360"/>
      <c r="G2360"/>
      <c r="H2360"/>
    </row>
    <row r="2361" spans="3:8" x14ac:dyDescent="0.3">
      <c r="C2361"/>
      <c r="D2361"/>
      <c r="E2361"/>
      <c r="F2361"/>
      <c r="G2361"/>
      <c r="H2361"/>
    </row>
    <row r="2362" spans="3:8" x14ac:dyDescent="0.3">
      <c r="C2362"/>
      <c r="D2362"/>
      <c r="E2362"/>
      <c r="F2362"/>
      <c r="G2362"/>
      <c r="H2362"/>
    </row>
    <row r="2363" spans="3:8" x14ac:dyDescent="0.3">
      <c r="C2363"/>
      <c r="D2363"/>
      <c r="E2363"/>
      <c r="F2363"/>
      <c r="G2363"/>
      <c r="H2363"/>
    </row>
    <row r="2364" spans="3:8" x14ac:dyDescent="0.3">
      <c r="C2364"/>
      <c r="D2364"/>
      <c r="E2364"/>
      <c r="F2364"/>
      <c r="G2364"/>
      <c r="H2364"/>
    </row>
    <row r="2365" spans="3:8" x14ac:dyDescent="0.3">
      <c r="C2365"/>
      <c r="D2365"/>
      <c r="E2365"/>
      <c r="F2365"/>
      <c r="G2365"/>
      <c r="H2365"/>
    </row>
    <row r="2366" spans="3:8" x14ac:dyDescent="0.3">
      <c r="C2366"/>
      <c r="D2366"/>
      <c r="E2366"/>
      <c r="F2366"/>
      <c r="G2366"/>
      <c r="H2366"/>
    </row>
    <row r="2367" spans="3:8" x14ac:dyDescent="0.3">
      <c r="C2367"/>
      <c r="D2367"/>
      <c r="E2367"/>
      <c r="F2367"/>
      <c r="G2367"/>
      <c r="H2367"/>
    </row>
    <row r="2368" spans="3:8" x14ac:dyDescent="0.3">
      <c r="C2368"/>
      <c r="D2368"/>
      <c r="E2368"/>
      <c r="F2368"/>
      <c r="G2368"/>
      <c r="H2368"/>
    </row>
    <row r="2369" spans="3:8" x14ac:dyDescent="0.3">
      <c r="C2369"/>
      <c r="D2369"/>
      <c r="E2369"/>
      <c r="F2369"/>
      <c r="G2369"/>
      <c r="H2369"/>
    </row>
    <row r="2370" spans="3:8" x14ac:dyDescent="0.3">
      <c r="C2370"/>
      <c r="D2370"/>
      <c r="E2370"/>
      <c r="F2370"/>
      <c r="G2370"/>
      <c r="H2370"/>
    </row>
    <row r="2371" spans="3:8" x14ac:dyDescent="0.3">
      <c r="C2371"/>
      <c r="D2371"/>
      <c r="E2371"/>
      <c r="F2371"/>
      <c r="G2371"/>
      <c r="H2371"/>
    </row>
    <row r="2372" spans="3:8" x14ac:dyDescent="0.3">
      <c r="C2372"/>
      <c r="D2372"/>
      <c r="E2372"/>
      <c r="F2372"/>
      <c r="G2372"/>
      <c r="H2372"/>
    </row>
    <row r="2373" spans="3:8" x14ac:dyDescent="0.3">
      <c r="C2373"/>
      <c r="D2373"/>
      <c r="E2373"/>
      <c r="F2373"/>
      <c r="G2373"/>
      <c r="H2373"/>
    </row>
    <row r="2374" spans="3:8" x14ac:dyDescent="0.3">
      <c r="C2374"/>
      <c r="D2374"/>
      <c r="E2374"/>
      <c r="F2374"/>
      <c r="G2374"/>
      <c r="H2374"/>
    </row>
    <row r="2375" spans="3:8" x14ac:dyDescent="0.3">
      <c r="C2375"/>
      <c r="D2375"/>
      <c r="E2375"/>
      <c r="F2375"/>
      <c r="G2375"/>
      <c r="H2375"/>
    </row>
    <row r="2376" spans="3:8" x14ac:dyDescent="0.3">
      <c r="C2376"/>
      <c r="D2376"/>
      <c r="E2376"/>
      <c r="F2376"/>
      <c r="G2376"/>
      <c r="H2376"/>
    </row>
    <row r="2377" spans="3:8" x14ac:dyDescent="0.3">
      <c r="C2377"/>
      <c r="D2377"/>
      <c r="E2377"/>
      <c r="F2377"/>
      <c r="G2377"/>
      <c r="H2377"/>
    </row>
    <row r="2378" spans="3:8" x14ac:dyDescent="0.3">
      <c r="C2378"/>
      <c r="D2378"/>
      <c r="E2378"/>
      <c r="F2378"/>
      <c r="G2378"/>
      <c r="H2378"/>
    </row>
    <row r="2379" spans="3:8" x14ac:dyDescent="0.3">
      <c r="C2379"/>
      <c r="D2379"/>
      <c r="E2379"/>
      <c r="F2379"/>
      <c r="G2379"/>
      <c r="H2379"/>
    </row>
    <row r="2380" spans="3:8" x14ac:dyDescent="0.3">
      <c r="C2380"/>
      <c r="D2380"/>
      <c r="E2380"/>
      <c r="F2380"/>
      <c r="G2380"/>
      <c r="H2380"/>
    </row>
    <row r="2381" spans="3:8" x14ac:dyDescent="0.3">
      <c r="C2381"/>
      <c r="D2381"/>
      <c r="E2381"/>
      <c r="F2381"/>
      <c r="G2381"/>
      <c r="H2381"/>
    </row>
    <row r="2382" spans="3:8" x14ac:dyDescent="0.3">
      <c r="C2382"/>
      <c r="D2382"/>
      <c r="E2382"/>
      <c r="F2382"/>
      <c r="G2382"/>
      <c r="H2382"/>
    </row>
    <row r="2383" spans="3:8" x14ac:dyDescent="0.3">
      <c r="C2383"/>
      <c r="D2383"/>
      <c r="E2383"/>
      <c r="F2383"/>
      <c r="G2383"/>
      <c r="H2383"/>
    </row>
    <row r="2384" spans="3:8" x14ac:dyDescent="0.3">
      <c r="C2384"/>
      <c r="D2384"/>
      <c r="E2384"/>
      <c r="F2384"/>
      <c r="G2384"/>
      <c r="H2384"/>
    </row>
    <row r="2385" spans="3:8" x14ac:dyDescent="0.3">
      <c r="C2385"/>
      <c r="D2385"/>
      <c r="E2385"/>
      <c r="F2385"/>
      <c r="G2385"/>
      <c r="H2385"/>
    </row>
    <row r="2386" spans="3:8" x14ac:dyDescent="0.3">
      <c r="C2386"/>
      <c r="D2386"/>
      <c r="E2386"/>
      <c r="F2386"/>
      <c r="G2386"/>
      <c r="H2386"/>
    </row>
    <row r="2387" spans="3:8" x14ac:dyDescent="0.3">
      <c r="C2387"/>
      <c r="D2387"/>
      <c r="E2387"/>
      <c r="F2387"/>
      <c r="G2387"/>
      <c r="H2387"/>
    </row>
    <row r="2388" spans="3:8" x14ac:dyDescent="0.3">
      <c r="C2388"/>
      <c r="D2388"/>
      <c r="E2388"/>
      <c r="F2388"/>
      <c r="G2388"/>
      <c r="H2388"/>
    </row>
    <row r="2389" spans="3:8" x14ac:dyDescent="0.3">
      <c r="C2389"/>
      <c r="D2389"/>
      <c r="E2389"/>
      <c r="F2389"/>
      <c r="G2389"/>
      <c r="H2389"/>
    </row>
    <row r="2390" spans="3:8" x14ac:dyDescent="0.3">
      <c r="C2390"/>
      <c r="D2390"/>
      <c r="E2390"/>
      <c r="F2390"/>
      <c r="G2390"/>
      <c r="H2390"/>
    </row>
    <row r="2391" spans="3:8" x14ac:dyDescent="0.3">
      <c r="C2391"/>
      <c r="D2391"/>
      <c r="E2391"/>
      <c r="F2391"/>
      <c r="G2391"/>
      <c r="H2391"/>
    </row>
    <row r="2392" spans="3:8" x14ac:dyDescent="0.3">
      <c r="C2392"/>
      <c r="D2392"/>
      <c r="E2392"/>
      <c r="F2392"/>
      <c r="G2392"/>
      <c r="H2392"/>
    </row>
    <row r="2393" spans="3:8" x14ac:dyDescent="0.3">
      <c r="C2393"/>
      <c r="D2393"/>
      <c r="E2393"/>
      <c r="F2393"/>
      <c r="G2393"/>
      <c r="H2393"/>
    </row>
    <row r="2394" spans="3:8" x14ac:dyDescent="0.3">
      <c r="C2394"/>
      <c r="D2394"/>
      <c r="E2394"/>
      <c r="F2394"/>
      <c r="G2394"/>
      <c r="H2394"/>
    </row>
    <row r="2395" spans="3:8" x14ac:dyDescent="0.3">
      <c r="C2395"/>
      <c r="D2395"/>
      <c r="E2395"/>
      <c r="F2395"/>
      <c r="G2395"/>
      <c r="H2395"/>
    </row>
    <row r="2396" spans="3:8" x14ac:dyDescent="0.3">
      <c r="C2396"/>
      <c r="D2396"/>
      <c r="E2396"/>
      <c r="F2396"/>
      <c r="G2396"/>
      <c r="H2396"/>
    </row>
    <row r="2397" spans="3:8" x14ac:dyDescent="0.3">
      <c r="C2397"/>
      <c r="D2397"/>
      <c r="E2397"/>
      <c r="F2397"/>
      <c r="G2397"/>
      <c r="H2397"/>
    </row>
    <row r="2398" spans="3:8" x14ac:dyDescent="0.3">
      <c r="C2398"/>
      <c r="D2398"/>
      <c r="E2398"/>
      <c r="F2398"/>
      <c r="G2398"/>
      <c r="H2398"/>
    </row>
    <row r="2399" spans="3:8" x14ac:dyDescent="0.3">
      <c r="C2399"/>
      <c r="D2399"/>
      <c r="E2399"/>
      <c r="F2399"/>
      <c r="G2399"/>
      <c r="H2399"/>
    </row>
    <row r="2400" spans="3:8" x14ac:dyDescent="0.3">
      <c r="C2400"/>
      <c r="D2400"/>
      <c r="E2400"/>
      <c r="F2400"/>
      <c r="G2400"/>
      <c r="H2400"/>
    </row>
    <row r="2401" spans="3:8" x14ac:dyDescent="0.3">
      <c r="C2401"/>
      <c r="D2401"/>
      <c r="E2401"/>
      <c r="F2401"/>
      <c r="G2401"/>
      <c r="H2401"/>
    </row>
    <row r="2402" spans="3:8" x14ac:dyDescent="0.3">
      <c r="C2402"/>
      <c r="D2402"/>
      <c r="E2402"/>
      <c r="F2402"/>
      <c r="G2402"/>
      <c r="H2402"/>
    </row>
    <row r="2403" spans="3:8" x14ac:dyDescent="0.3">
      <c r="C2403"/>
      <c r="D2403"/>
      <c r="E2403"/>
      <c r="F2403"/>
      <c r="G2403"/>
      <c r="H2403"/>
    </row>
    <row r="2404" spans="3:8" x14ac:dyDescent="0.3">
      <c r="C2404"/>
      <c r="D2404"/>
      <c r="E2404"/>
      <c r="F2404"/>
      <c r="G2404"/>
      <c r="H2404"/>
    </row>
    <row r="2405" spans="3:8" x14ac:dyDescent="0.3">
      <c r="C2405"/>
      <c r="D2405"/>
      <c r="E2405"/>
      <c r="F2405"/>
      <c r="G2405"/>
      <c r="H2405"/>
    </row>
    <row r="2406" spans="3:8" x14ac:dyDescent="0.3">
      <c r="C2406"/>
      <c r="D2406"/>
      <c r="E2406"/>
      <c r="F2406"/>
      <c r="G2406"/>
      <c r="H2406"/>
    </row>
    <row r="2407" spans="3:8" x14ac:dyDescent="0.3">
      <c r="C2407"/>
      <c r="D2407"/>
      <c r="E2407"/>
      <c r="F2407"/>
      <c r="G2407"/>
      <c r="H2407"/>
    </row>
    <row r="2408" spans="3:8" x14ac:dyDescent="0.3">
      <c r="C2408"/>
      <c r="D2408"/>
      <c r="E2408"/>
      <c r="F2408"/>
      <c r="G2408"/>
      <c r="H2408"/>
    </row>
    <row r="2409" spans="3:8" x14ac:dyDescent="0.3">
      <c r="C2409"/>
      <c r="D2409"/>
      <c r="E2409"/>
      <c r="F2409"/>
      <c r="G2409"/>
      <c r="H2409"/>
    </row>
    <row r="2410" spans="3:8" x14ac:dyDescent="0.3">
      <c r="C2410"/>
      <c r="D2410"/>
      <c r="E2410"/>
      <c r="F2410"/>
      <c r="G2410"/>
      <c r="H2410"/>
    </row>
    <row r="2411" spans="3:8" x14ac:dyDescent="0.3">
      <c r="C2411"/>
      <c r="D2411"/>
      <c r="E2411"/>
      <c r="F2411"/>
      <c r="G2411"/>
      <c r="H2411"/>
    </row>
    <row r="2412" spans="3:8" x14ac:dyDescent="0.3">
      <c r="C2412"/>
      <c r="D2412"/>
      <c r="E2412"/>
      <c r="F2412"/>
      <c r="G2412"/>
      <c r="H2412"/>
    </row>
    <row r="2413" spans="3:8" x14ac:dyDescent="0.3">
      <c r="C2413"/>
      <c r="D2413"/>
      <c r="E2413"/>
      <c r="F2413"/>
      <c r="G2413"/>
      <c r="H2413"/>
    </row>
    <row r="2414" spans="3:8" x14ac:dyDescent="0.3">
      <c r="C2414"/>
      <c r="D2414"/>
      <c r="E2414"/>
      <c r="F2414"/>
      <c r="G2414"/>
      <c r="H2414"/>
    </row>
    <row r="2415" spans="3:8" x14ac:dyDescent="0.3">
      <c r="C2415"/>
      <c r="D2415"/>
      <c r="E2415"/>
      <c r="F2415"/>
      <c r="G2415"/>
      <c r="H2415"/>
    </row>
    <row r="2416" spans="3:8" x14ac:dyDescent="0.3">
      <c r="C2416"/>
      <c r="D2416"/>
      <c r="E2416"/>
      <c r="F2416"/>
      <c r="G2416"/>
      <c r="H2416"/>
    </row>
    <row r="2417" spans="3:8" x14ac:dyDescent="0.3">
      <c r="C2417"/>
      <c r="D2417"/>
      <c r="E2417"/>
      <c r="F2417"/>
      <c r="G2417"/>
      <c r="H2417"/>
    </row>
    <row r="2418" spans="3:8" x14ac:dyDescent="0.3">
      <c r="C2418"/>
      <c r="D2418"/>
      <c r="E2418"/>
      <c r="F2418"/>
      <c r="G2418"/>
      <c r="H2418"/>
    </row>
    <row r="2419" spans="3:8" x14ac:dyDescent="0.3">
      <c r="C2419"/>
      <c r="D2419"/>
      <c r="E2419"/>
      <c r="F2419"/>
      <c r="G2419"/>
      <c r="H2419"/>
    </row>
    <row r="2420" spans="3:8" x14ac:dyDescent="0.3">
      <c r="C2420"/>
      <c r="D2420"/>
      <c r="E2420"/>
      <c r="F2420"/>
      <c r="G2420"/>
      <c r="H2420"/>
    </row>
    <row r="2421" spans="3:8" x14ac:dyDescent="0.3">
      <c r="C2421"/>
      <c r="D2421"/>
      <c r="E2421"/>
      <c r="F2421"/>
      <c r="G2421"/>
      <c r="H2421"/>
    </row>
    <row r="2422" spans="3:8" x14ac:dyDescent="0.3">
      <c r="C2422"/>
      <c r="D2422"/>
      <c r="E2422"/>
      <c r="F2422"/>
      <c r="G2422"/>
      <c r="H2422"/>
    </row>
    <row r="2423" spans="3:8" x14ac:dyDescent="0.3">
      <c r="C2423"/>
      <c r="D2423"/>
      <c r="E2423"/>
      <c r="F2423"/>
      <c r="G2423"/>
      <c r="H2423"/>
    </row>
    <row r="2424" spans="3:8" x14ac:dyDescent="0.3">
      <c r="C2424"/>
      <c r="D2424"/>
      <c r="E2424"/>
      <c r="F2424"/>
      <c r="G2424"/>
      <c r="H2424"/>
    </row>
    <row r="2425" spans="3:8" x14ac:dyDescent="0.3">
      <c r="C2425"/>
      <c r="D2425"/>
      <c r="E2425"/>
      <c r="F2425"/>
      <c r="G2425"/>
      <c r="H2425"/>
    </row>
    <row r="2426" spans="3:8" x14ac:dyDescent="0.3">
      <c r="C2426"/>
      <c r="D2426"/>
      <c r="E2426"/>
      <c r="F2426"/>
      <c r="G2426"/>
      <c r="H2426"/>
    </row>
    <row r="2427" spans="3:8" x14ac:dyDescent="0.3">
      <c r="C2427"/>
      <c r="D2427"/>
      <c r="E2427"/>
      <c r="F2427"/>
      <c r="G2427"/>
      <c r="H2427"/>
    </row>
    <row r="2428" spans="3:8" x14ac:dyDescent="0.3">
      <c r="C2428"/>
      <c r="D2428"/>
      <c r="E2428"/>
      <c r="F2428"/>
      <c r="G2428"/>
      <c r="H2428"/>
    </row>
    <row r="2429" spans="3:8" x14ac:dyDescent="0.3">
      <c r="C2429"/>
      <c r="D2429"/>
      <c r="E2429"/>
      <c r="F2429"/>
      <c r="G2429"/>
      <c r="H2429"/>
    </row>
    <row r="2430" spans="3:8" x14ac:dyDescent="0.3">
      <c r="C2430"/>
      <c r="D2430"/>
      <c r="E2430"/>
      <c r="F2430"/>
      <c r="G2430"/>
      <c r="H2430"/>
    </row>
    <row r="2431" spans="3:8" x14ac:dyDescent="0.3">
      <c r="C2431"/>
      <c r="D2431"/>
      <c r="E2431"/>
      <c r="F2431"/>
      <c r="G2431"/>
      <c r="H2431"/>
    </row>
    <row r="2432" spans="3:8" x14ac:dyDescent="0.3">
      <c r="C2432"/>
      <c r="D2432"/>
      <c r="E2432"/>
      <c r="F2432"/>
      <c r="G2432"/>
      <c r="H2432"/>
    </row>
    <row r="2433" spans="3:8" x14ac:dyDescent="0.3">
      <c r="C2433"/>
      <c r="D2433"/>
      <c r="E2433"/>
      <c r="F2433"/>
      <c r="G2433"/>
      <c r="H2433"/>
    </row>
    <row r="2434" spans="3:8" x14ac:dyDescent="0.3">
      <c r="C2434"/>
      <c r="D2434"/>
      <c r="E2434"/>
      <c r="F2434"/>
      <c r="G2434"/>
      <c r="H2434"/>
    </row>
    <row r="2435" spans="3:8" x14ac:dyDescent="0.3">
      <c r="C2435"/>
      <c r="D2435"/>
      <c r="E2435"/>
      <c r="F2435"/>
      <c r="G2435"/>
      <c r="H2435"/>
    </row>
    <row r="2436" spans="3:8" x14ac:dyDescent="0.3">
      <c r="C2436"/>
      <c r="D2436"/>
      <c r="E2436"/>
      <c r="F2436"/>
      <c r="G2436"/>
      <c r="H2436"/>
    </row>
    <row r="2437" spans="3:8" x14ac:dyDescent="0.3">
      <c r="C2437"/>
      <c r="D2437"/>
      <c r="E2437"/>
      <c r="F2437"/>
      <c r="G2437"/>
      <c r="H2437"/>
    </row>
    <row r="2438" spans="3:8" x14ac:dyDescent="0.3">
      <c r="C2438"/>
      <c r="D2438"/>
      <c r="E2438"/>
      <c r="F2438"/>
      <c r="G2438"/>
      <c r="H2438"/>
    </row>
    <row r="2439" spans="3:8" x14ac:dyDescent="0.3">
      <c r="C2439"/>
      <c r="D2439"/>
      <c r="E2439"/>
      <c r="F2439"/>
      <c r="G2439"/>
      <c r="H2439"/>
    </row>
    <row r="2440" spans="3:8" x14ac:dyDescent="0.3">
      <c r="C2440"/>
      <c r="D2440"/>
      <c r="E2440"/>
      <c r="F2440"/>
      <c r="G2440"/>
      <c r="H2440"/>
    </row>
    <row r="2441" spans="3:8" x14ac:dyDescent="0.3">
      <c r="C2441"/>
      <c r="D2441"/>
      <c r="E2441"/>
      <c r="F2441"/>
      <c r="G2441"/>
      <c r="H2441"/>
    </row>
    <row r="2442" spans="3:8" x14ac:dyDescent="0.3">
      <c r="C2442"/>
      <c r="D2442"/>
      <c r="E2442"/>
      <c r="F2442"/>
      <c r="G2442"/>
      <c r="H2442"/>
    </row>
    <row r="2443" spans="3:8" x14ac:dyDescent="0.3">
      <c r="C2443"/>
      <c r="D2443"/>
      <c r="E2443"/>
      <c r="F2443"/>
      <c r="G2443"/>
      <c r="H2443"/>
    </row>
    <row r="2444" spans="3:8" x14ac:dyDescent="0.3">
      <c r="C2444"/>
      <c r="D2444"/>
      <c r="E2444"/>
      <c r="F2444"/>
      <c r="G2444"/>
      <c r="H2444"/>
    </row>
    <row r="2445" spans="3:8" x14ac:dyDescent="0.3">
      <c r="C2445"/>
      <c r="D2445"/>
      <c r="E2445"/>
      <c r="F2445"/>
      <c r="G2445"/>
      <c r="H2445"/>
    </row>
    <row r="2446" spans="3:8" x14ac:dyDescent="0.3">
      <c r="C2446"/>
      <c r="D2446"/>
      <c r="E2446"/>
      <c r="F2446"/>
      <c r="G2446"/>
      <c r="H2446"/>
    </row>
    <row r="2447" spans="3:8" x14ac:dyDescent="0.3">
      <c r="C2447"/>
      <c r="D2447"/>
      <c r="E2447"/>
      <c r="F2447"/>
      <c r="G2447"/>
      <c r="H2447"/>
    </row>
    <row r="2448" spans="3:8" x14ac:dyDescent="0.3">
      <c r="C2448"/>
      <c r="D2448"/>
      <c r="E2448"/>
      <c r="F2448"/>
      <c r="G2448"/>
      <c r="H2448"/>
    </row>
    <row r="2449" spans="3:8" x14ac:dyDescent="0.3">
      <c r="C2449"/>
      <c r="D2449"/>
      <c r="E2449"/>
      <c r="F2449"/>
      <c r="G2449"/>
      <c r="H2449"/>
    </row>
    <row r="2450" spans="3:8" x14ac:dyDescent="0.3">
      <c r="C2450"/>
      <c r="D2450"/>
      <c r="E2450"/>
      <c r="F2450"/>
      <c r="G2450"/>
      <c r="H2450"/>
    </row>
    <row r="2451" spans="3:8" x14ac:dyDescent="0.3">
      <c r="C2451"/>
      <c r="D2451"/>
      <c r="E2451"/>
      <c r="F2451"/>
      <c r="G2451"/>
      <c r="H2451"/>
    </row>
    <row r="2452" spans="3:8" x14ac:dyDescent="0.3">
      <c r="C2452"/>
      <c r="D2452"/>
      <c r="E2452"/>
      <c r="F2452"/>
      <c r="G2452"/>
      <c r="H2452"/>
    </row>
    <row r="2453" spans="3:8" x14ac:dyDescent="0.3">
      <c r="C2453"/>
      <c r="D2453"/>
      <c r="E2453"/>
      <c r="F2453"/>
      <c r="G2453"/>
      <c r="H2453"/>
    </row>
    <row r="2454" spans="3:8" x14ac:dyDescent="0.3">
      <c r="C2454"/>
      <c r="D2454"/>
      <c r="E2454"/>
      <c r="F2454"/>
      <c r="G2454"/>
      <c r="H2454"/>
    </row>
    <row r="2455" spans="3:8" x14ac:dyDescent="0.3">
      <c r="C2455"/>
      <c r="D2455"/>
      <c r="E2455"/>
      <c r="F2455"/>
      <c r="G2455"/>
      <c r="H2455"/>
    </row>
    <row r="2456" spans="3:8" x14ac:dyDescent="0.3">
      <c r="C2456"/>
      <c r="D2456"/>
      <c r="E2456"/>
      <c r="F2456"/>
      <c r="G2456"/>
      <c r="H2456"/>
    </row>
    <row r="2457" spans="3:8" x14ac:dyDescent="0.3">
      <c r="C2457"/>
      <c r="D2457"/>
      <c r="E2457"/>
      <c r="F2457"/>
      <c r="G2457"/>
      <c r="H2457"/>
    </row>
    <row r="2458" spans="3:8" x14ac:dyDescent="0.3">
      <c r="C2458"/>
      <c r="D2458"/>
      <c r="E2458"/>
      <c r="F2458"/>
      <c r="G2458"/>
      <c r="H2458"/>
    </row>
    <row r="2459" spans="3:8" x14ac:dyDescent="0.3">
      <c r="C2459"/>
      <c r="D2459"/>
      <c r="E2459"/>
      <c r="F2459"/>
      <c r="G2459"/>
      <c r="H2459"/>
    </row>
    <row r="2460" spans="3:8" x14ac:dyDescent="0.3">
      <c r="C2460"/>
      <c r="D2460"/>
      <c r="E2460"/>
      <c r="F2460"/>
      <c r="G2460"/>
      <c r="H2460"/>
    </row>
    <row r="2461" spans="3:8" x14ac:dyDescent="0.3">
      <c r="C2461"/>
      <c r="D2461"/>
      <c r="E2461"/>
      <c r="F2461"/>
      <c r="G2461"/>
      <c r="H2461"/>
    </row>
    <row r="2462" spans="3:8" x14ac:dyDescent="0.3">
      <c r="C2462"/>
      <c r="D2462"/>
      <c r="E2462"/>
      <c r="F2462"/>
      <c r="G2462"/>
      <c r="H2462"/>
    </row>
    <row r="2463" spans="3:8" x14ac:dyDescent="0.3">
      <c r="C2463"/>
      <c r="D2463"/>
      <c r="E2463"/>
      <c r="F2463"/>
      <c r="G2463"/>
      <c r="H2463"/>
    </row>
    <row r="2464" spans="3:8" x14ac:dyDescent="0.3">
      <c r="C2464"/>
      <c r="D2464"/>
      <c r="E2464"/>
      <c r="F2464"/>
      <c r="G2464"/>
      <c r="H2464"/>
    </row>
    <row r="2465" spans="3:8" x14ac:dyDescent="0.3">
      <c r="C2465"/>
      <c r="D2465"/>
      <c r="E2465"/>
      <c r="F2465"/>
      <c r="G2465"/>
      <c r="H2465"/>
    </row>
    <row r="2466" spans="3:8" x14ac:dyDescent="0.3">
      <c r="C2466"/>
      <c r="D2466"/>
      <c r="E2466"/>
      <c r="F2466"/>
      <c r="G2466"/>
      <c r="H2466"/>
    </row>
    <row r="2467" spans="3:8" x14ac:dyDescent="0.3">
      <c r="C2467"/>
      <c r="D2467"/>
      <c r="E2467"/>
      <c r="F2467"/>
      <c r="G2467"/>
      <c r="H2467"/>
    </row>
    <row r="2468" spans="3:8" x14ac:dyDescent="0.3">
      <c r="C2468"/>
      <c r="D2468"/>
      <c r="E2468"/>
      <c r="F2468"/>
      <c r="G2468"/>
      <c r="H2468"/>
    </row>
    <row r="2469" spans="3:8" x14ac:dyDescent="0.3">
      <c r="C2469"/>
      <c r="D2469"/>
      <c r="E2469"/>
      <c r="F2469"/>
      <c r="G2469"/>
      <c r="H2469"/>
    </row>
    <row r="2470" spans="3:8" x14ac:dyDescent="0.3">
      <c r="C2470"/>
      <c r="D2470"/>
      <c r="E2470"/>
      <c r="F2470"/>
      <c r="G2470"/>
      <c r="H2470"/>
    </row>
    <row r="2471" spans="3:8" x14ac:dyDescent="0.3">
      <c r="C2471"/>
      <c r="D2471"/>
      <c r="E2471"/>
      <c r="F2471"/>
      <c r="G2471"/>
      <c r="H2471"/>
    </row>
    <row r="2472" spans="3:8" x14ac:dyDescent="0.3">
      <c r="C2472"/>
      <c r="D2472"/>
      <c r="E2472"/>
      <c r="F2472"/>
      <c r="G2472"/>
      <c r="H2472"/>
    </row>
    <row r="2473" spans="3:8" x14ac:dyDescent="0.3">
      <c r="C2473"/>
      <c r="D2473"/>
      <c r="E2473"/>
      <c r="F2473"/>
      <c r="G2473"/>
      <c r="H2473"/>
    </row>
    <row r="2474" spans="3:8" x14ac:dyDescent="0.3">
      <c r="C2474"/>
      <c r="D2474"/>
      <c r="E2474"/>
      <c r="F2474"/>
      <c r="G2474"/>
      <c r="H2474"/>
    </row>
    <row r="2475" spans="3:8" x14ac:dyDescent="0.3">
      <c r="C2475"/>
      <c r="D2475"/>
      <c r="E2475"/>
      <c r="F2475"/>
      <c r="G2475"/>
      <c r="H2475"/>
    </row>
    <row r="2476" spans="3:8" x14ac:dyDescent="0.3">
      <c r="C2476"/>
      <c r="D2476"/>
      <c r="E2476"/>
      <c r="F2476"/>
      <c r="G2476"/>
      <c r="H2476"/>
    </row>
    <row r="2477" spans="3:8" x14ac:dyDescent="0.3">
      <c r="C2477"/>
      <c r="D2477"/>
      <c r="E2477"/>
      <c r="F2477"/>
      <c r="G2477"/>
      <c r="H2477"/>
    </row>
    <row r="2478" spans="3:8" x14ac:dyDescent="0.3">
      <c r="C2478"/>
      <c r="D2478"/>
      <c r="E2478"/>
      <c r="F2478"/>
      <c r="G2478"/>
      <c r="H2478"/>
    </row>
    <row r="2479" spans="3:8" x14ac:dyDescent="0.3">
      <c r="C2479"/>
      <c r="D2479"/>
      <c r="E2479"/>
      <c r="F2479"/>
      <c r="G2479"/>
      <c r="H2479"/>
    </row>
    <row r="2480" spans="3:8" x14ac:dyDescent="0.3">
      <c r="C2480"/>
      <c r="D2480"/>
      <c r="E2480"/>
      <c r="F2480"/>
      <c r="G2480"/>
      <c r="H2480"/>
    </row>
    <row r="2481" spans="3:8" x14ac:dyDescent="0.3">
      <c r="C2481"/>
      <c r="D2481"/>
      <c r="E2481"/>
      <c r="F2481"/>
      <c r="G2481"/>
      <c r="H2481"/>
    </row>
    <row r="2482" spans="3:8" x14ac:dyDescent="0.3">
      <c r="C2482"/>
      <c r="D2482"/>
      <c r="E2482"/>
      <c r="F2482"/>
      <c r="G2482"/>
      <c r="H2482"/>
    </row>
    <row r="2483" spans="3:8" x14ac:dyDescent="0.3">
      <c r="C2483"/>
      <c r="D2483"/>
      <c r="E2483"/>
      <c r="F2483"/>
      <c r="G2483"/>
      <c r="H2483"/>
    </row>
    <row r="2484" spans="3:8" x14ac:dyDescent="0.3">
      <c r="C2484"/>
      <c r="D2484"/>
      <c r="E2484"/>
      <c r="F2484"/>
      <c r="G2484"/>
      <c r="H2484"/>
    </row>
    <row r="2485" spans="3:8" x14ac:dyDescent="0.3">
      <c r="C2485"/>
      <c r="D2485"/>
      <c r="E2485"/>
      <c r="F2485"/>
      <c r="G2485"/>
      <c r="H2485"/>
    </row>
    <row r="2486" spans="3:8" x14ac:dyDescent="0.3">
      <c r="C2486"/>
      <c r="D2486"/>
      <c r="E2486"/>
      <c r="F2486"/>
      <c r="G2486"/>
      <c r="H2486"/>
    </row>
    <row r="2487" spans="3:8" x14ac:dyDescent="0.3">
      <c r="C2487"/>
      <c r="D2487"/>
      <c r="E2487"/>
      <c r="F2487"/>
      <c r="G2487"/>
      <c r="H2487"/>
    </row>
    <row r="2488" spans="3:8" x14ac:dyDescent="0.3">
      <c r="C2488"/>
      <c r="D2488"/>
      <c r="E2488"/>
      <c r="F2488"/>
      <c r="G2488"/>
      <c r="H2488"/>
    </row>
    <row r="2489" spans="3:8" x14ac:dyDescent="0.3">
      <c r="C2489"/>
      <c r="D2489"/>
      <c r="E2489"/>
      <c r="F2489"/>
      <c r="G2489"/>
      <c r="H2489"/>
    </row>
    <row r="2490" spans="3:8" x14ac:dyDescent="0.3">
      <c r="C2490"/>
      <c r="D2490"/>
      <c r="E2490"/>
      <c r="F2490"/>
      <c r="G2490"/>
      <c r="H2490"/>
    </row>
    <row r="2491" spans="3:8" x14ac:dyDescent="0.3">
      <c r="C2491"/>
      <c r="D2491"/>
      <c r="E2491"/>
      <c r="F2491"/>
      <c r="G2491"/>
      <c r="H2491"/>
    </row>
    <row r="2492" spans="3:8" x14ac:dyDescent="0.3">
      <c r="C2492"/>
      <c r="D2492"/>
      <c r="E2492"/>
      <c r="F2492"/>
      <c r="G2492"/>
      <c r="H2492"/>
    </row>
    <row r="2493" spans="3:8" x14ac:dyDescent="0.3">
      <c r="C2493"/>
      <c r="D2493"/>
      <c r="E2493"/>
      <c r="F2493"/>
      <c r="G2493"/>
      <c r="H2493"/>
    </row>
    <row r="2494" spans="3:8" x14ac:dyDescent="0.3">
      <c r="C2494"/>
      <c r="D2494"/>
      <c r="E2494"/>
      <c r="F2494"/>
      <c r="G2494"/>
      <c r="H2494"/>
    </row>
    <row r="2495" spans="3:8" x14ac:dyDescent="0.3">
      <c r="C2495"/>
      <c r="D2495"/>
      <c r="E2495"/>
      <c r="F2495"/>
      <c r="G2495"/>
      <c r="H2495"/>
    </row>
    <row r="2496" spans="3:8" x14ac:dyDescent="0.3">
      <c r="C2496"/>
      <c r="D2496"/>
      <c r="E2496"/>
      <c r="F2496"/>
      <c r="G2496"/>
      <c r="H2496"/>
    </row>
    <row r="2497" spans="3:8" x14ac:dyDescent="0.3">
      <c r="C2497"/>
      <c r="D2497"/>
      <c r="E2497"/>
      <c r="F2497"/>
      <c r="G2497"/>
      <c r="H2497"/>
    </row>
    <row r="2498" spans="3:8" x14ac:dyDescent="0.3">
      <c r="C2498"/>
      <c r="D2498"/>
      <c r="E2498"/>
      <c r="F2498"/>
      <c r="G2498"/>
      <c r="H2498"/>
    </row>
    <row r="2499" spans="3:8" x14ac:dyDescent="0.3">
      <c r="C2499"/>
      <c r="D2499"/>
      <c r="E2499"/>
      <c r="F2499"/>
      <c r="G2499"/>
      <c r="H2499"/>
    </row>
    <row r="2500" spans="3:8" x14ac:dyDescent="0.3">
      <c r="C2500"/>
      <c r="D2500"/>
      <c r="E2500"/>
      <c r="F2500"/>
      <c r="G2500"/>
      <c r="H2500"/>
    </row>
    <row r="2501" spans="3:8" x14ac:dyDescent="0.3">
      <c r="C2501"/>
      <c r="D2501"/>
      <c r="E2501"/>
      <c r="F2501"/>
      <c r="G2501"/>
      <c r="H2501"/>
    </row>
    <row r="2502" spans="3:8" x14ac:dyDescent="0.3">
      <c r="C2502"/>
      <c r="D2502"/>
      <c r="E2502"/>
      <c r="F2502"/>
      <c r="G2502"/>
      <c r="H2502"/>
    </row>
    <row r="2503" spans="3:8" x14ac:dyDescent="0.3">
      <c r="C2503"/>
      <c r="D2503"/>
      <c r="E2503"/>
      <c r="F2503"/>
      <c r="G2503"/>
      <c r="H2503"/>
    </row>
    <row r="2504" spans="3:8" x14ac:dyDescent="0.3">
      <c r="C2504"/>
      <c r="D2504"/>
      <c r="E2504"/>
      <c r="F2504"/>
      <c r="G2504"/>
      <c r="H2504"/>
    </row>
    <row r="2505" spans="3:8" x14ac:dyDescent="0.3">
      <c r="C2505"/>
      <c r="D2505"/>
      <c r="E2505"/>
      <c r="F2505"/>
      <c r="G2505"/>
      <c r="H2505"/>
    </row>
    <row r="2506" spans="3:8" x14ac:dyDescent="0.3">
      <c r="C2506"/>
      <c r="D2506"/>
      <c r="E2506"/>
      <c r="F2506"/>
      <c r="G2506"/>
      <c r="H2506"/>
    </row>
    <row r="2507" spans="3:8" x14ac:dyDescent="0.3">
      <c r="C2507"/>
      <c r="D2507"/>
      <c r="E2507"/>
      <c r="F2507"/>
      <c r="G2507"/>
      <c r="H2507"/>
    </row>
    <row r="2508" spans="3:8" x14ac:dyDescent="0.3">
      <c r="C2508"/>
      <c r="D2508"/>
      <c r="E2508"/>
      <c r="F2508"/>
      <c r="G2508"/>
      <c r="H2508"/>
    </row>
    <row r="2509" spans="3:8" x14ac:dyDescent="0.3">
      <c r="C2509"/>
      <c r="D2509"/>
      <c r="E2509"/>
      <c r="F2509"/>
      <c r="G2509"/>
      <c r="H2509"/>
    </row>
    <row r="2510" spans="3:8" x14ac:dyDescent="0.3">
      <c r="C2510"/>
      <c r="D2510"/>
      <c r="E2510"/>
      <c r="F2510"/>
      <c r="G2510"/>
      <c r="H2510"/>
    </row>
    <row r="2511" spans="3:8" x14ac:dyDescent="0.3">
      <c r="C2511"/>
      <c r="D2511"/>
      <c r="E2511"/>
      <c r="F2511"/>
      <c r="G2511"/>
      <c r="H2511"/>
    </row>
    <row r="2512" spans="3:8" x14ac:dyDescent="0.3">
      <c r="C2512"/>
      <c r="D2512"/>
      <c r="E2512"/>
      <c r="F2512"/>
      <c r="G2512"/>
      <c r="H2512"/>
    </row>
    <row r="2513" spans="3:8" x14ac:dyDescent="0.3">
      <c r="C2513"/>
      <c r="D2513"/>
      <c r="E2513"/>
      <c r="F2513"/>
      <c r="G2513"/>
      <c r="H2513"/>
    </row>
    <row r="2514" spans="3:8" x14ac:dyDescent="0.3">
      <c r="C2514"/>
      <c r="D2514"/>
      <c r="E2514"/>
      <c r="F2514"/>
      <c r="G2514"/>
      <c r="H2514"/>
    </row>
    <row r="2515" spans="3:8" x14ac:dyDescent="0.3">
      <c r="C2515"/>
      <c r="D2515"/>
      <c r="E2515"/>
      <c r="F2515"/>
      <c r="G2515"/>
      <c r="H2515"/>
    </row>
    <row r="2516" spans="3:8" x14ac:dyDescent="0.3">
      <c r="C2516"/>
      <c r="D2516"/>
      <c r="E2516"/>
      <c r="F2516"/>
      <c r="G2516"/>
      <c r="H2516"/>
    </row>
    <row r="2517" spans="3:8" x14ac:dyDescent="0.3">
      <c r="C2517"/>
      <c r="D2517"/>
      <c r="E2517"/>
      <c r="F2517"/>
      <c r="G2517"/>
      <c r="H2517"/>
    </row>
    <row r="2518" spans="3:8" x14ac:dyDescent="0.3">
      <c r="C2518"/>
      <c r="D2518"/>
      <c r="E2518"/>
      <c r="F2518"/>
      <c r="G2518"/>
      <c r="H2518"/>
    </row>
    <row r="2519" spans="3:8" x14ac:dyDescent="0.3">
      <c r="C2519"/>
      <c r="D2519"/>
      <c r="E2519"/>
      <c r="F2519"/>
      <c r="G2519"/>
      <c r="H2519"/>
    </row>
    <row r="2520" spans="3:8" x14ac:dyDescent="0.3">
      <c r="C2520"/>
      <c r="D2520"/>
      <c r="E2520"/>
      <c r="F2520"/>
      <c r="G2520"/>
      <c r="H2520"/>
    </row>
    <row r="2521" spans="3:8" x14ac:dyDescent="0.3">
      <c r="C2521"/>
      <c r="D2521"/>
      <c r="E2521"/>
      <c r="F2521"/>
      <c r="G2521"/>
      <c r="H2521"/>
    </row>
    <row r="2522" spans="3:8" x14ac:dyDescent="0.3">
      <c r="C2522"/>
      <c r="D2522"/>
      <c r="E2522"/>
      <c r="F2522"/>
      <c r="G2522"/>
      <c r="H2522"/>
    </row>
    <row r="2523" spans="3:8" x14ac:dyDescent="0.3">
      <c r="C2523"/>
      <c r="D2523"/>
      <c r="E2523"/>
      <c r="F2523"/>
      <c r="G2523"/>
      <c r="H2523"/>
    </row>
    <row r="2524" spans="3:8" x14ac:dyDescent="0.3">
      <c r="C2524"/>
      <c r="D2524"/>
      <c r="E2524"/>
      <c r="F2524"/>
      <c r="G2524"/>
      <c r="H2524"/>
    </row>
    <row r="2525" spans="3:8" x14ac:dyDescent="0.3">
      <c r="C2525"/>
      <c r="D2525"/>
      <c r="E2525"/>
      <c r="F2525"/>
      <c r="G2525"/>
      <c r="H2525"/>
    </row>
    <row r="2526" spans="3:8" x14ac:dyDescent="0.3">
      <c r="C2526"/>
      <c r="D2526"/>
      <c r="E2526"/>
      <c r="F2526"/>
      <c r="G2526"/>
      <c r="H2526"/>
    </row>
    <row r="2527" spans="3:8" x14ac:dyDescent="0.3">
      <c r="C2527"/>
      <c r="D2527"/>
      <c r="E2527"/>
      <c r="F2527"/>
      <c r="G2527"/>
      <c r="H2527"/>
    </row>
    <row r="2528" spans="3:8" x14ac:dyDescent="0.3">
      <c r="C2528"/>
      <c r="D2528"/>
      <c r="E2528"/>
      <c r="F2528"/>
      <c r="G2528"/>
      <c r="H2528"/>
    </row>
    <row r="2529" spans="3:8" x14ac:dyDescent="0.3">
      <c r="C2529"/>
      <c r="D2529"/>
      <c r="E2529"/>
      <c r="F2529"/>
      <c r="G2529"/>
      <c r="H2529"/>
    </row>
    <row r="2530" spans="3:8" x14ac:dyDescent="0.3">
      <c r="C2530"/>
      <c r="D2530"/>
      <c r="E2530"/>
      <c r="F2530"/>
      <c r="G2530"/>
      <c r="H2530"/>
    </row>
    <row r="2531" spans="3:8" x14ac:dyDescent="0.3">
      <c r="C2531"/>
      <c r="D2531"/>
      <c r="E2531"/>
      <c r="F2531"/>
      <c r="G2531"/>
      <c r="H2531"/>
    </row>
    <row r="2532" spans="3:8" x14ac:dyDescent="0.3">
      <c r="C2532"/>
      <c r="D2532"/>
      <c r="E2532"/>
      <c r="F2532"/>
      <c r="G2532"/>
      <c r="H2532"/>
    </row>
    <row r="2533" spans="3:8" x14ac:dyDescent="0.3">
      <c r="C2533"/>
      <c r="D2533"/>
      <c r="E2533"/>
      <c r="F2533"/>
      <c r="G2533"/>
      <c r="H2533"/>
    </row>
    <row r="2534" spans="3:8" x14ac:dyDescent="0.3">
      <c r="C2534"/>
      <c r="D2534"/>
      <c r="E2534"/>
      <c r="F2534"/>
      <c r="G2534"/>
      <c r="H2534"/>
    </row>
    <row r="2535" spans="3:8" x14ac:dyDescent="0.3">
      <c r="C2535"/>
      <c r="D2535"/>
      <c r="E2535"/>
      <c r="F2535"/>
      <c r="G2535"/>
      <c r="H2535"/>
    </row>
    <row r="2536" spans="3:8" x14ac:dyDescent="0.3">
      <c r="C2536"/>
      <c r="D2536"/>
      <c r="E2536"/>
      <c r="F2536"/>
      <c r="G2536"/>
      <c r="H2536"/>
    </row>
    <row r="2537" spans="3:8" x14ac:dyDescent="0.3">
      <c r="C2537"/>
      <c r="D2537"/>
      <c r="E2537"/>
      <c r="F2537"/>
      <c r="G2537"/>
      <c r="H2537"/>
    </row>
    <row r="2538" spans="3:8" x14ac:dyDescent="0.3">
      <c r="C2538"/>
      <c r="D2538"/>
      <c r="E2538"/>
      <c r="F2538"/>
      <c r="G2538"/>
      <c r="H2538"/>
    </row>
    <row r="2539" spans="3:8" x14ac:dyDescent="0.3">
      <c r="C2539"/>
      <c r="D2539"/>
      <c r="E2539"/>
      <c r="F2539"/>
      <c r="G2539"/>
      <c r="H2539"/>
    </row>
    <row r="2540" spans="3:8" x14ac:dyDescent="0.3">
      <c r="C2540"/>
      <c r="D2540"/>
      <c r="E2540"/>
      <c r="F2540"/>
      <c r="G2540"/>
      <c r="H2540"/>
    </row>
    <row r="2541" spans="3:8" x14ac:dyDescent="0.3">
      <c r="C2541"/>
      <c r="D2541"/>
      <c r="E2541"/>
      <c r="F2541"/>
      <c r="G2541"/>
      <c r="H2541"/>
    </row>
    <row r="2542" spans="3:8" x14ac:dyDescent="0.3">
      <c r="C2542"/>
      <c r="D2542"/>
      <c r="E2542"/>
      <c r="F2542"/>
      <c r="G2542"/>
      <c r="H2542"/>
    </row>
    <row r="2543" spans="3:8" x14ac:dyDescent="0.3">
      <c r="C2543"/>
      <c r="D2543"/>
      <c r="E2543"/>
      <c r="F2543"/>
      <c r="G2543"/>
      <c r="H2543"/>
    </row>
    <row r="2544" spans="3:8" x14ac:dyDescent="0.3">
      <c r="C2544"/>
      <c r="D2544"/>
      <c r="E2544"/>
      <c r="F2544"/>
      <c r="G2544"/>
      <c r="H2544"/>
    </row>
    <row r="2545" spans="3:8" x14ac:dyDescent="0.3">
      <c r="C2545"/>
      <c r="D2545"/>
      <c r="E2545"/>
      <c r="F2545"/>
      <c r="G2545"/>
      <c r="H2545"/>
    </row>
    <row r="2546" spans="3:8" x14ac:dyDescent="0.3">
      <c r="C2546"/>
      <c r="D2546"/>
      <c r="E2546"/>
      <c r="F2546"/>
      <c r="G2546"/>
      <c r="H2546"/>
    </row>
    <row r="2547" spans="3:8" x14ac:dyDescent="0.3">
      <c r="C2547"/>
      <c r="D2547"/>
      <c r="E2547"/>
      <c r="F2547"/>
      <c r="G2547"/>
      <c r="H2547"/>
    </row>
    <row r="2548" spans="3:8" x14ac:dyDescent="0.3">
      <c r="C2548"/>
      <c r="D2548"/>
      <c r="E2548"/>
      <c r="F2548"/>
      <c r="G2548"/>
      <c r="H2548"/>
    </row>
    <row r="2549" spans="3:8" x14ac:dyDescent="0.3">
      <c r="C2549"/>
      <c r="D2549"/>
      <c r="E2549"/>
      <c r="F2549"/>
      <c r="G2549"/>
      <c r="H2549"/>
    </row>
    <row r="2550" spans="3:8" x14ac:dyDescent="0.3">
      <c r="C2550"/>
      <c r="D2550"/>
      <c r="E2550"/>
      <c r="F2550"/>
      <c r="G2550"/>
      <c r="H2550"/>
    </row>
    <row r="2551" spans="3:8" x14ac:dyDescent="0.3">
      <c r="C2551"/>
      <c r="D2551"/>
      <c r="E2551"/>
      <c r="F2551"/>
      <c r="G2551"/>
      <c r="H2551"/>
    </row>
    <row r="2552" spans="3:8" x14ac:dyDescent="0.3">
      <c r="C2552"/>
      <c r="D2552"/>
      <c r="E2552"/>
      <c r="F2552"/>
      <c r="G2552"/>
      <c r="H2552"/>
    </row>
    <row r="2553" spans="3:8" x14ac:dyDescent="0.3">
      <c r="C2553"/>
      <c r="D2553"/>
      <c r="E2553"/>
      <c r="F2553"/>
      <c r="G2553"/>
      <c r="H2553"/>
    </row>
    <row r="2554" spans="3:8" x14ac:dyDescent="0.3">
      <c r="C2554"/>
      <c r="D2554"/>
      <c r="E2554"/>
      <c r="F2554"/>
      <c r="G2554"/>
      <c r="H2554"/>
    </row>
    <row r="2555" spans="3:8" x14ac:dyDescent="0.3">
      <c r="C2555"/>
      <c r="D2555"/>
      <c r="E2555"/>
      <c r="F2555"/>
      <c r="G2555"/>
      <c r="H2555"/>
    </row>
    <row r="2556" spans="3:8" x14ac:dyDescent="0.3">
      <c r="C2556"/>
      <c r="D2556"/>
      <c r="E2556"/>
      <c r="F2556"/>
      <c r="G2556"/>
      <c r="H2556"/>
    </row>
    <row r="2557" spans="3:8" x14ac:dyDescent="0.3">
      <c r="C2557"/>
      <c r="D2557"/>
      <c r="E2557"/>
      <c r="F2557"/>
      <c r="G2557"/>
      <c r="H2557"/>
    </row>
    <row r="2558" spans="3:8" x14ac:dyDescent="0.3">
      <c r="C2558"/>
      <c r="D2558"/>
      <c r="E2558"/>
      <c r="F2558"/>
      <c r="G2558"/>
      <c r="H2558"/>
    </row>
    <row r="2559" spans="3:8" x14ac:dyDescent="0.3">
      <c r="C2559"/>
      <c r="D2559"/>
      <c r="E2559"/>
      <c r="F2559"/>
      <c r="G2559"/>
      <c r="H2559"/>
    </row>
    <row r="2560" spans="3:8" x14ac:dyDescent="0.3">
      <c r="C2560"/>
      <c r="D2560"/>
      <c r="E2560"/>
      <c r="F2560"/>
      <c r="G2560"/>
      <c r="H2560"/>
    </row>
    <row r="2561" spans="3:8" x14ac:dyDescent="0.3">
      <c r="C2561"/>
      <c r="D2561"/>
      <c r="E2561"/>
      <c r="F2561"/>
      <c r="G2561"/>
      <c r="H2561"/>
    </row>
    <row r="2562" spans="3:8" x14ac:dyDescent="0.3">
      <c r="C2562"/>
      <c r="D2562"/>
      <c r="E2562"/>
      <c r="F2562"/>
      <c r="G2562"/>
      <c r="H2562"/>
    </row>
    <row r="2563" spans="3:8" x14ac:dyDescent="0.3">
      <c r="C2563"/>
      <c r="D2563"/>
      <c r="E2563"/>
      <c r="F2563"/>
      <c r="G2563"/>
      <c r="H2563"/>
    </row>
    <row r="2564" spans="3:8" x14ac:dyDescent="0.3">
      <c r="C2564"/>
      <c r="D2564"/>
      <c r="E2564"/>
      <c r="F2564"/>
      <c r="G2564"/>
      <c r="H2564"/>
    </row>
    <row r="2565" spans="3:8" x14ac:dyDescent="0.3">
      <c r="C2565"/>
      <c r="D2565"/>
      <c r="E2565"/>
      <c r="F2565"/>
      <c r="G2565"/>
      <c r="H2565"/>
    </row>
    <row r="2566" spans="3:8" x14ac:dyDescent="0.3">
      <c r="C2566"/>
      <c r="D2566"/>
      <c r="E2566"/>
      <c r="F2566"/>
      <c r="G2566"/>
      <c r="H2566"/>
    </row>
    <row r="2567" spans="3:8" x14ac:dyDescent="0.3">
      <c r="C2567"/>
      <c r="D2567"/>
      <c r="E2567"/>
      <c r="F2567"/>
      <c r="G2567"/>
      <c r="H2567"/>
    </row>
    <row r="2568" spans="3:8" x14ac:dyDescent="0.3">
      <c r="C2568"/>
      <c r="D2568"/>
      <c r="E2568"/>
      <c r="F2568"/>
      <c r="G2568"/>
      <c r="H2568"/>
    </row>
    <row r="2569" spans="3:8" x14ac:dyDescent="0.3">
      <c r="C2569"/>
      <c r="D2569"/>
      <c r="E2569"/>
      <c r="F2569"/>
      <c r="G2569"/>
      <c r="H2569"/>
    </row>
    <row r="2570" spans="3:8" x14ac:dyDescent="0.3">
      <c r="C2570"/>
      <c r="D2570"/>
      <c r="E2570"/>
      <c r="F2570"/>
      <c r="G2570"/>
      <c r="H2570"/>
    </row>
    <row r="2571" spans="3:8" x14ac:dyDescent="0.3">
      <c r="C2571"/>
      <c r="D2571"/>
      <c r="E2571"/>
      <c r="F2571"/>
      <c r="G2571"/>
      <c r="H2571"/>
    </row>
    <row r="2572" spans="3:8" x14ac:dyDescent="0.3">
      <c r="C2572"/>
      <c r="D2572"/>
      <c r="E2572"/>
      <c r="F2572"/>
      <c r="G2572"/>
      <c r="H2572"/>
    </row>
    <row r="2573" spans="3:8" x14ac:dyDescent="0.3">
      <c r="C2573"/>
      <c r="D2573"/>
      <c r="E2573"/>
      <c r="F2573"/>
      <c r="G2573"/>
      <c r="H2573"/>
    </row>
    <row r="2574" spans="3:8" x14ac:dyDescent="0.3">
      <c r="C2574"/>
      <c r="D2574"/>
      <c r="E2574"/>
      <c r="F2574"/>
      <c r="G2574"/>
      <c r="H2574"/>
    </row>
    <row r="2575" spans="3:8" x14ac:dyDescent="0.3">
      <c r="C2575"/>
      <c r="D2575"/>
      <c r="E2575"/>
      <c r="F2575"/>
      <c r="G2575"/>
      <c r="H2575"/>
    </row>
    <row r="2576" spans="3:8" x14ac:dyDescent="0.3">
      <c r="C2576"/>
      <c r="D2576"/>
      <c r="E2576"/>
      <c r="F2576"/>
      <c r="G2576"/>
      <c r="H2576"/>
    </row>
    <row r="2577" spans="3:8" x14ac:dyDescent="0.3">
      <c r="C2577"/>
      <c r="D2577"/>
      <c r="E2577"/>
      <c r="F2577"/>
      <c r="G2577"/>
      <c r="H2577"/>
    </row>
    <row r="2578" spans="3:8" x14ac:dyDescent="0.3">
      <c r="C2578"/>
      <c r="D2578"/>
      <c r="E2578"/>
      <c r="F2578"/>
      <c r="G2578"/>
      <c r="H2578"/>
    </row>
    <row r="2579" spans="3:8" x14ac:dyDescent="0.3">
      <c r="C2579"/>
      <c r="D2579"/>
      <c r="E2579"/>
      <c r="F2579"/>
      <c r="G2579"/>
      <c r="H2579"/>
    </row>
    <row r="2580" spans="3:8" x14ac:dyDescent="0.3">
      <c r="C2580"/>
      <c r="D2580"/>
      <c r="E2580"/>
      <c r="F2580"/>
      <c r="G2580"/>
      <c r="H2580"/>
    </row>
    <row r="2581" spans="3:8" x14ac:dyDescent="0.3">
      <c r="C2581"/>
      <c r="D2581"/>
      <c r="E2581"/>
      <c r="F2581"/>
      <c r="G2581"/>
      <c r="H2581"/>
    </row>
    <row r="2582" spans="3:8" x14ac:dyDescent="0.3">
      <c r="C2582"/>
      <c r="D2582"/>
      <c r="E2582"/>
      <c r="F2582"/>
      <c r="G2582"/>
      <c r="H2582"/>
    </row>
    <row r="2583" spans="3:8" x14ac:dyDescent="0.3">
      <c r="C2583"/>
      <c r="D2583"/>
      <c r="E2583"/>
      <c r="F2583"/>
      <c r="G2583"/>
      <c r="H2583"/>
    </row>
    <row r="2584" spans="3:8" x14ac:dyDescent="0.3">
      <c r="C2584"/>
      <c r="D2584"/>
      <c r="E2584"/>
      <c r="F2584"/>
      <c r="G2584"/>
      <c r="H2584"/>
    </row>
    <row r="2585" spans="3:8" x14ac:dyDescent="0.3">
      <c r="C2585"/>
      <c r="D2585"/>
      <c r="E2585"/>
      <c r="F2585"/>
      <c r="G2585"/>
      <c r="H2585"/>
    </row>
    <row r="2586" spans="3:8" x14ac:dyDescent="0.3">
      <c r="C2586"/>
      <c r="D2586"/>
      <c r="E2586"/>
      <c r="F2586"/>
      <c r="G2586"/>
      <c r="H2586"/>
    </row>
    <row r="2587" spans="3:8" x14ac:dyDescent="0.3">
      <c r="C2587"/>
      <c r="D2587"/>
      <c r="E2587"/>
      <c r="F2587"/>
      <c r="G2587"/>
      <c r="H2587"/>
    </row>
    <row r="2588" spans="3:8" x14ac:dyDescent="0.3">
      <c r="C2588"/>
      <c r="D2588"/>
      <c r="E2588"/>
      <c r="F2588"/>
      <c r="G2588"/>
      <c r="H2588"/>
    </row>
    <row r="2589" spans="3:8" x14ac:dyDescent="0.3">
      <c r="C2589"/>
      <c r="D2589"/>
      <c r="E2589"/>
      <c r="F2589"/>
      <c r="G2589"/>
      <c r="H2589"/>
    </row>
    <row r="2590" spans="3:8" x14ac:dyDescent="0.3">
      <c r="C2590"/>
      <c r="D2590"/>
      <c r="E2590"/>
      <c r="F2590"/>
      <c r="G2590"/>
      <c r="H2590"/>
    </row>
    <row r="2591" spans="3:8" x14ac:dyDescent="0.3">
      <c r="C2591"/>
      <c r="D2591"/>
      <c r="E2591"/>
      <c r="F2591"/>
      <c r="G2591"/>
      <c r="H2591"/>
    </row>
    <row r="2592" spans="3:8" x14ac:dyDescent="0.3">
      <c r="C2592"/>
      <c r="D2592"/>
      <c r="E2592"/>
      <c r="F2592"/>
      <c r="G2592"/>
      <c r="H2592"/>
    </row>
    <row r="2593" spans="3:8" x14ac:dyDescent="0.3">
      <c r="C2593"/>
      <c r="D2593"/>
      <c r="E2593"/>
      <c r="F2593"/>
      <c r="G2593"/>
      <c r="H2593"/>
    </row>
    <row r="2594" spans="3:8" x14ac:dyDescent="0.3">
      <c r="C2594"/>
      <c r="D2594"/>
      <c r="E2594"/>
      <c r="F2594"/>
      <c r="G2594"/>
      <c r="H2594"/>
    </row>
    <row r="2595" spans="3:8" x14ac:dyDescent="0.3">
      <c r="C2595"/>
      <c r="D2595"/>
      <c r="E2595"/>
      <c r="F2595"/>
      <c r="G2595"/>
      <c r="H2595"/>
    </row>
    <row r="2596" spans="3:8" x14ac:dyDescent="0.3">
      <c r="C2596"/>
      <c r="D2596"/>
      <c r="E2596"/>
      <c r="F2596"/>
      <c r="G2596"/>
      <c r="H2596"/>
    </row>
    <row r="2597" spans="3:8" x14ac:dyDescent="0.3">
      <c r="C2597"/>
      <c r="D2597"/>
      <c r="E2597"/>
      <c r="F2597"/>
      <c r="G2597"/>
      <c r="H2597"/>
    </row>
    <row r="2598" spans="3:8" x14ac:dyDescent="0.3">
      <c r="C2598"/>
      <c r="D2598"/>
      <c r="E2598"/>
      <c r="F2598"/>
      <c r="G2598"/>
      <c r="H2598"/>
    </row>
    <row r="2599" spans="3:8" x14ac:dyDescent="0.3">
      <c r="C2599"/>
      <c r="D2599"/>
      <c r="E2599"/>
      <c r="F2599"/>
      <c r="G2599"/>
      <c r="H2599"/>
    </row>
    <row r="2600" spans="3:8" x14ac:dyDescent="0.3">
      <c r="C2600"/>
      <c r="D2600"/>
      <c r="E2600"/>
      <c r="F2600"/>
      <c r="G2600"/>
      <c r="H2600"/>
    </row>
    <row r="2601" spans="3:8" x14ac:dyDescent="0.3">
      <c r="C2601"/>
      <c r="D2601"/>
      <c r="E2601"/>
      <c r="F2601"/>
      <c r="G2601"/>
      <c r="H2601"/>
    </row>
    <row r="2602" spans="3:8" x14ac:dyDescent="0.3">
      <c r="C2602"/>
      <c r="D2602"/>
      <c r="E2602"/>
      <c r="F2602"/>
      <c r="G2602"/>
      <c r="H2602"/>
    </row>
    <row r="2603" spans="3:8" x14ac:dyDescent="0.3">
      <c r="C2603"/>
      <c r="D2603"/>
      <c r="E2603"/>
      <c r="F2603"/>
      <c r="G2603"/>
      <c r="H2603"/>
    </row>
    <row r="2604" spans="3:8" x14ac:dyDescent="0.3">
      <c r="C2604"/>
      <c r="D2604"/>
      <c r="E2604"/>
      <c r="F2604"/>
      <c r="G2604"/>
      <c r="H2604"/>
    </row>
    <row r="2605" spans="3:8" x14ac:dyDescent="0.3">
      <c r="C2605"/>
      <c r="D2605"/>
      <c r="E2605"/>
      <c r="F2605"/>
      <c r="G2605"/>
      <c r="H2605"/>
    </row>
    <row r="2606" spans="3:8" x14ac:dyDescent="0.3">
      <c r="C2606"/>
      <c r="D2606"/>
      <c r="E2606"/>
      <c r="F2606"/>
      <c r="G2606"/>
      <c r="H2606"/>
    </row>
    <row r="2607" spans="3:8" x14ac:dyDescent="0.3">
      <c r="C2607"/>
      <c r="D2607"/>
      <c r="E2607"/>
      <c r="F2607"/>
      <c r="G2607"/>
      <c r="H2607"/>
    </row>
    <row r="2608" spans="3:8" x14ac:dyDescent="0.3">
      <c r="C2608"/>
      <c r="D2608"/>
      <c r="E2608"/>
      <c r="F2608"/>
      <c r="G2608"/>
      <c r="H2608"/>
    </row>
    <row r="2609" spans="3:8" x14ac:dyDescent="0.3">
      <c r="C2609"/>
      <c r="D2609"/>
      <c r="E2609"/>
      <c r="F2609"/>
      <c r="G2609"/>
      <c r="H2609"/>
    </row>
    <row r="2610" spans="3:8" x14ac:dyDescent="0.3">
      <c r="C2610"/>
      <c r="D2610"/>
      <c r="E2610"/>
      <c r="F2610"/>
      <c r="G2610"/>
      <c r="H2610"/>
    </row>
    <row r="2611" spans="3:8" x14ac:dyDescent="0.3">
      <c r="C2611"/>
      <c r="D2611"/>
      <c r="E2611"/>
      <c r="F2611"/>
      <c r="G2611"/>
      <c r="H2611"/>
    </row>
    <row r="2612" spans="3:8" x14ac:dyDescent="0.3">
      <c r="C2612"/>
      <c r="D2612"/>
      <c r="E2612"/>
      <c r="F2612"/>
      <c r="G2612"/>
      <c r="H2612"/>
    </row>
    <row r="2613" spans="3:8" x14ac:dyDescent="0.3">
      <c r="C2613"/>
      <c r="D2613"/>
      <c r="E2613"/>
      <c r="F2613"/>
      <c r="G2613"/>
      <c r="H2613"/>
    </row>
    <row r="2614" spans="3:8" x14ac:dyDescent="0.3">
      <c r="C2614"/>
      <c r="D2614"/>
      <c r="E2614"/>
      <c r="F2614"/>
      <c r="G2614"/>
      <c r="H2614"/>
    </row>
    <row r="2615" spans="3:8" x14ac:dyDescent="0.3">
      <c r="C2615"/>
      <c r="D2615"/>
      <c r="E2615"/>
      <c r="F2615"/>
      <c r="G2615"/>
      <c r="H2615"/>
    </row>
    <row r="2616" spans="3:8" x14ac:dyDescent="0.3">
      <c r="C2616"/>
      <c r="D2616"/>
      <c r="E2616"/>
      <c r="F2616"/>
      <c r="G2616"/>
      <c r="H2616"/>
    </row>
    <row r="2617" spans="3:8" x14ac:dyDescent="0.3">
      <c r="C2617"/>
      <c r="D2617"/>
      <c r="E2617"/>
      <c r="F2617"/>
      <c r="G2617"/>
      <c r="H2617"/>
    </row>
    <row r="2618" spans="3:8" x14ac:dyDescent="0.3">
      <c r="C2618"/>
      <c r="D2618"/>
      <c r="E2618"/>
      <c r="F2618"/>
      <c r="G2618"/>
      <c r="H2618"/>
    </row>
    <row r="2619" spans="3:8" x14ac:dyDescent="0.3">
      <c r="C2619"/>
      <c r="D2619"/>
      <c r="E2619"/>
      <c r="F2619"/>
      <c r="G2619"/>
      <c r="H2619"/>
    </row>
    <row r="2620" spans="3:8" x14ac:dyDescent="0.3">
      <c r="C2620"/>
      <c r="D2620"/>
      <c r="E2620"/>
      <c r="F2620"/>
      <c r="G2620"/>
      <c r="H2620"/>
    </row>
    <row r="2621" spans="3:8" x14ac:dyDescent="0.3">
      <c r="C2621"/>
      <c r="D2621"/>
      <c r="E2621"/>
      <c r="F2621"/>
      <c r="G2621"/>
      <c r="H2621"/>
    </row>
    <row r="2622" spans="3:8" x14ac:dyDescent="0.3">
      <c r="C2622"/>
      <c r="D2622"/>
      <c r="E2622"/>
      <c r="F2622"/>
      <c r="G2622"/>
      <c r="H2622"/>
    </row>
    <row r="2623" spans="3:8" x14ac:dyDescent="0.3">
      <c r="C2623"/>
      <c r="D2623"/>
      <c r="E2623"/>
      <c r="F2623"/>
      <c r="G2623"/>
      <c r="H2623"/>
    </row>
    <row r="2624" spans="3:8" x14ac:dyDescent="0.3">
      <c r="C2624"/>
      <c r="D2624"/>
      <c r="E2624"/>
      <c r="F2624"/>
      <c r="G2624"/>
      <c r="H2624"/>
    </row>
    <row r="2625" spans="3:8" x14ac:dyDescent="0.3">
      <c r="C2625"/>
      <c r="D2625"/>
      <c r="E2625"/>
      <c r="F2625"/>
      <c r="G2625"/>
      <c r="H2625"/>
    </row>
    <row r="2626" spans="3:8" x14ac:dyDescent="0.3">
      <c r="C2626"/>
      <c r="D2626"/>
      <c r="E2626"/>
      <c r="F2626"/>
      <c r="G2626"/>
      <c r="H2626"/>
    </row>
    <row r="2627" spans="3:8" x14ac:dyDescent="0.3">
      <c r="C2627"/>
      <c r="D2627"/>
      <c r="E2627"/>
      <c r="F2627"/>
      <c r="G2627"/>
      <c r="H2627"/>
    </row>
    <row r="2628" spans="3:8" x14ac:dyDescent="0.3">
      <c r="C2628"/>
      <c r="D2628"/>
      <c r="E2628"/>
      <c r="F2628"/>
      <c r="G2628"/>
      <c r="H2628"/>
    </row>
    <row r="2629" spans="3:8" x14ac:dyDescent="0.3">
      <c r="C2629"/>
      <c r="D2629"/>
      <c r="E2629"/>
      <c r="F2629"/>
      <c r="G2629"/>
      <c r="H2629"/>
    </row>
    <row r="2630" spans="3:8" x14ac:dyDescent="0.3">
      <c r="C2630"/>
      <c r="D2630"/>
      <c r="E2630"/>
      <c r="F2630"/>
      <c r="G2630"/>
      <c r="H2630"/>
    </row>
    <row r="2631" spans="3:8" x14ac:dyDescent="0.3">
      <c r="C2631"/>
      <c r="D2631"/>
      <c r="E2631"/>
      <c r="F2631"/>
      <c r="G2631"/>
      <c r="H2631"/>
    </row>
    <row r="2632" spans="3:8" x14ac:dyDescent="0.3">
      <c r="C2632"/>
      <c r="D2632"/>
      <c r="E2632"/>
      <c r="F2632"/>
      <c r="G2632"/>
      <c r="H2632"/>
    </row>
    <row r="2633" spans="3:8" x14ac:dyDescent="0.3">
      <c r="C2633"/>
      <c r="D2633"/>
      <c r="E2633"/>
      <c r="F2633"/>
      <c r="G2633"/>
      <c r="H2633"/>
    </row>
    <row r="2634" spans="3:8" x14ac:dyDescent="0.3">
      <c r="C2634"/>
      <c r="D2634"/>
      <c r="E2634"/>
      <c r="F2634"/>
      <c r="G2634"/>
      <c r="H2634"/>
    </row>
    <row r="2635" spans="3:8" x14ac:dyDescent="0.3">
      <c r="C2635"/>
      <c r="D2635"/>
      <c r="E2635"/>
      <c r="F2635"/>
      <c r="G2635"/>
      <c r="H2635"/>
    </row>
    <row r="2636" spans="3:8" x14ac:dyDescent="0.3">
      <c r="C2636"/>
      <c r="D2636"/>
      <c r="E2636"/>
      <c r="F2636"/>
      <c r="G2636"/>
      <c r="H2636"/>
    </row>
    <row r="2637" spans="3:8" x14ac:dyDescent="0.3">
      <c r="C2637"/>
      <c r="D2637"/>
      <c r="E2637"/>
      <c r="F2637"/>
      <c r="G2637"/>
      <c r="H2637"/>
    </row>
    <row r="2638" spans="3:8" x14ac:dyDescent="0.3">
      <c r="C2638"/>
      <c r="D2638"/>
      <c r="E2638"/>
      <c r="F2638"/>
      <c r="G2638"/>
      <c r="H2638"/>
    </row>
    <row r="2639" spans="3:8" x14ac:dyDescent="0.3">
      <c r="C2639"/>
      <c r="D2639"/>
      <c r="E2639"/>
      <c r="F2639"/>
      <c r="G2639"/>
      <c r="H2639"/>
    </row>
    <row r="2640" spans="3:8" x14ac:dyDescent="0.3">
      <c r="C2640"/>
      <c r="D2640"/>
      <c r="E2640"/>
      <c r="F2640"/>
      <c r="G2640"/>
      <c r="H2640"/>
    </row>
    <row r="2641" spans="3:8" x14ac:dyDescent="0.3">
      <c r="C2641"/>
      <c r="D2641"/>
      <c r="E2641"/>
      <c r="F2641"/>
      <c r="G2641"/>
      <c r="H2641"/>
    </row>
    <row r="2642" spans="3:8" x14ac:dyDescent="0.3">
      <c r="C2642"/>
      <c r="D2642"/>
      <c r="E2642"/>
      <c r="F2642"/>
      <c r="G2642"/>
      <c r="H2642"/>
    </row>
    <row r="2643" spans="3:8" x14ac:dyDescent="0.3">
      <c r="C2643"/>
      <c r="D2643"/>
      <c r="E2643"/>
      <c r="F2643"/>
      <c r="G2643"/>
      <c r="H2643"/>
    </row>
    <row r="2644" spans="3:8" x14ac:dyDescent="0.3">
      <c r="C2644"/>
      <c r="D2644"/>
      <c r="E2644"/>
      <c r="F2644"/>
      <c r="G2644"/>
      <c r="H2644"/>
    </row>
    <row r="2645" spans="3:8" x14ac:dyDescent="0.3">
      <c r="C2645"/>
      <c r="D2645"/>
      <c r="E2645"/>
      <c r="F2645"/>
      <c r="G2645"/>
      <c r="H2645"/>
    </row>
    <row r="2646" spans="3:8" x14ac:dyDescent="0.3">
      <c r="C2646"/>
      <c r="D2646"/>
      <c r="E2646"/>
      <c r="F2646"/>
      <c r="G2646"/>
      <c r="H2646"/>
    </row>
    <row r="2647" spans="3:8" x14ac:dyDescent="0.3">
      <c r="C2647"/>
      <c r="D2647"/>
      <c r="E2647"/>
      <c r="F2647"/>
      <c r="G2647"/>
      <c r="H2647"/>
    </row>
    <row r="2648" spans="3:8" x14ac:dyDescent="0.3">
      <c r="C2648"/>
      <c r="D2648"/>
      <c r="E2648"/>
      <c r="F2648"/>
      <c r="G2648"/>
      <c r="H2648"/>
    </row>
    <row r="2649" spans="3:8" x14ac:dyDescent="0.3">
      <c r="C2649"/>
      <c r="D2649"/>
      <c r="E2649"/>
      <c r="F2649"/>
      <c r="G2649"/>
      <c r="H2649"/>
    </row>
    <row r="2650" spans="3:8" x14ac:dyDescent="0.3">
      <c r="C2650"/>
      <c r="D2650"/>
      <c r="E2650"/>
      <c r="F2650"/>
      <c r="G2650"/>
      <c r="H2650"/>
    </row>
    <row r="2651" spans="3:8" x14ac:dyDescent="0.3">
      <c r="C2651"/>
      <c r="D2651"/>
      <c r="E2651"/>
      <c r="F2651"/>
      <c r="G2651"/>
      <c r="H2651"/>
    </row>
    <row r="2652" spans="3:8" x14ac:dyDescent="0.3">
      <c r="C2652"/>
      <c r="D2652"/>
      <c r="E2652"/>
      <c r="F2652"/>
      <c r="G2652"/>
      <c r="H2652"/>
    </row>
    <row r="2653" spans="3:8" x14ac:dyDescent="0.3">
      <c r="C2653"/>
      <c r="D2653"/>
      <c r="E2653"/>
      <c r="F2653"/>
      <c r="G2653"/>
      <c r="H2653"/>
    </row>
    <row r="2654" spans="3:8" x14ac:dyDescent="0.3">
      <c r="C2654"/>
      <c r="D2654"/>
      <c r="E2654"/>
      <c r="F2654"/>
      <c r="G2654"/>
      <c r="H2654"/>
    </row>
    <row r="2655" spans="3:8" x14ac:dyDescent="0.3">
      <c r="C2655"/>
      <c r="D2655"/>
      <c r="E2655"/>
      <c r="F2655"/>
      <c r="G2655"/>
      <c r="H2655"/>
    </row>
    <row r="2656" spans="3:8" x14ac:dyDescent="0.3">
      <c r="C2656"/>
      <c r="D2656"/>
      <c r="E2656"/>
      <c r="F2656"/>
      <c r="G2656"/>
      <c r="H2656"/>
    </row>
    <row r="2657" spans="3:8" x14ac:dyDescent="0.3">
      <c r="C2657"/>
      <c r="D2657"/>
      <c r="E2657"/>
      <c r="F2657"/>
      <c r="G2657"/>
      <c r="H2657"/>
    </row>
    <row r="2658" spans="3:8" x14ac:dyDescent="0.3">
      <c r="C2658"/>
      <c r="D2658"/>
      <c r="E2658"/>
      <c r="F2658"/>
      <c r="G2658"/>
      <c r="H2658"/>
    </row>
    <row r="2659" spans="3:8" x14ac:dyDescent="0.3">
      <c r="C2659"/>
      <c r="D2659"/>
      <c r="E2659"/>
      <c r="F2659"/>
      <c r="G2659"/>
      <c r="H2659"/>
    </row>
    <row r="2660" spans="3:8" x14ac:dyDescent="0.3">
      <c r="C2660"/>
      <c r="D2660"/>
      <c r="E2660"/>
      <c r="F2660"/>
      <c r="G2660"/>
      <c r="H2660"/>
    </row>
    <row r="2661" spans="3:8" x14ac:dyDescent="0.3">
      <c r="C2661"/>
      <c r="D2661"/>
      <c r="E2661"/>
      <c r="F2661"/>
      <c r="G2661"/>
      <c r="H2661"/>
    </row>
    <row r="2662" spans="3:8" x14ac:dyDescent="0.3">
      <c r="C2662"/>
      <c r="D2662"/>
      <c r="E2662"/>
      <c r="F2662"/>
      <c r="G2662"/>
      <c r="H2662"/>
    </row>
    <row r="2663" spans="3:8" x14ac:dyDescent="0.3">
      <c r="C2663"/>
      <c r="D2663"/>
      <c r="E2663"/>
      <c r="F2663"/>
      <c r="G2663"/>
      <c r="H2663"/>
    </row>
    <row r="2664" spans="3:8" x14ac:dyDescent="0.3">
      <c r="C2664"/>
      <c r="D2664"/>
      <c r="E2664"/>
      <c r="F2664"/>
      <c r="G2664"/>
      <c r="H2664"/>
    </row>
    <row r="2665" spans="3:8" x14ac:dyDescent="0.3">
      <c r="C2665"/>
      <c r="D2665"/>
      <c r="E2665"/>
      <c r="F2665"/>
      <c r="G2665"/>
      <c r="H2665"/>
    </row>
    <row r="2666" spans="3:8" x14ac:dyDescent="0.3">
      <c r="C2666"/>
      <c r="D2666"/>
      <c r="E2666"/>
      <c r="F2666"/>
      <c r="G2666"/>
      <c r="H2666"/>
    </row>
    <row r="2667" spans="3:8" x14ac:dyDescent="0.3">
      <c r="C2667"/>
      <c r="D2667"/>
      <c r="E2667"/>
      <c r="F2667"/>
      <c r="G2667"/>
      <c r="H2667"/>
    </row>
    <row r="2668" spans="3:8" x14ac:dyDescent="0.3">
      <c r="C2668"/>
      <c r="D2668"/>
      <c r="E2668"/>
      <c r="F2668"/>
      <c r="G2668"/>
      <c r="H2668"/>
    </row>
    <row r="2669" spans="3:8" x14ac:dyDescent="0.3">
      <c r="C2669"/>
      <c r="D2669"/>
      <c r="E2669"/>
      <c r="F2669"/>
      <c r="G2669"/>
      <c r="H2669"/>
    </row>
    <row r="2670" spans="3:8" x14ac:dyDescent="0.3">
      <c r="C2670"/>
      <c r="D2670"/>
      <c r="E2670"/>
      <c r="F2670"/>
      <c r="G2670"/>
      <c r="H2670"/>
    </row>
    <row r="2671" spans="3:8" x14ac:dyDescent="0.3">
      <c r="C2671"/>
      <c r="D2671"/>
      <c r="E2671"/>
      <c r="F2671"/>
      <c r="G2671"/>
      <c r="H2671"/>
    </row>
    <row r="2672" spans="3:8" x14ac:dyDescent="0.3">
      <c r="C2672"/>
      <c r="D2672"/>
      <c r="E2672"/>
      <c r="F2672"/>
      <c r="G2672"/>
      <c r="H2672"/>
    </row>
    <row r="2673" spans="3:8" x14ac:dyDescent="0.3">
      <c r="C2673"/>
      <c r="D2673"/>
      <c r="E2673"/>
      <c r="F2673"/>
      <c r="G2673"/>
      <c r="H2673"/>
    </row>
    <row r="2674" spans="3:8" x14ac:dyDescent="0.3">
      <c r="C2674"/>
      <c r="D2674"/>
      <c r="E2674"/>
      <c r="F2674"/>
      <c r="G2674"/>
      <c r="H2674"/>
    </row>
    <row r="2675" spans="3:8" x14ac:dyDescent="0.3">
      <c r="C2675"/>
      <c r="D2675"/>
      <c r="E2675"/>
      <c r="F2675"/>
      <c r="G2675"/>
      <c r="H2675"/>
    </row>
    <row r="2676" spans="3:8" x14ac:dyDescent="0.3">
      <c r="C2676"/>
      <c r="D2676"/>
      <c r="E2676"/>
      <c r="F2676"/>
      <c r="G2676"/>
      <c r="H2676"/>
    </row>
    <row r="2677" spans="3:8" x14ac:dyDescent="0.3">
      <c r="C2677"/>
      <c r="D2677"/>
      <c r="E2677"/>
      <c r="F2677"/>
      <c r="G2677"/>
      <c r="H2677"/>
    </row>
    <row r="2678" spans="3:8" x14ac:dyDescent="0.3">
      <c r="C2678"/>
      <c r="D2678"/>
      <c r="E2678"/>
      <c r="F2678"/>
      <c r="G2678"/>
      <c r="H2678"/>
    </row>
    <row r="2679" spans="3:8" x14ac:dyDescent="0.3">
      <c r="C2679"/>
      <c r="D2679"/>
      <c r="E2679"/>
      <c r="F2679"/>
      <c r="G2679"/>
      <c r="H2679"/>
    </row>
    <row r="2680" spans="3:8" x14ac:dyDescent="0.3">
      <c r="C2680"/>
      <c r="D2680"/>
      <c r="E2680"/>
      <c r="F2680"/>
      <c r="G2680"/>
      <c r="H2680"/>
    </row>
    <row r="2681" spans="3:8" x14ac:dyDescent="0.3">
      <c r="C2681"/>
      <c r="D2681"/>
      <c r="E2681"/>
      <c r="F2681"/>
      <c r="G2681"/>
      <c r="H2681"/>
    </row>
    <row r="2682" spans="3:8" x14ac:dyDescent="0.3">
      <c r="C2682"/>
      <c r="D2682"/>
      <c r="E2682"/>
      <c r="F2682"/>
      <c r="G2682"/>
      <c r="H2682"/>
    </row>
    <row r="2683" spans="3:8" x14ac:dyDescent="0.3">
      <c r="C2683"/>
      <c r="D2683"/>
      <c r="E2683"/>
      <c r="F2683"/>
      <c r="G2683"/>
      <c r="H2683"/>
    </row>
    <row r="2684" spans="3:8" x14ac:dyDescent="0.3">
      <c r="C2684"/>
      <c r="D2684"/>
      <c r="E2684"/>
      <c r="F2684"/>
      <c r="G2684"/>
      <c r="H2684"/>
    </row>
    <row r="2685" spans="3:8" x14ac:dyDescent="0.3">
      <c r="C2685"/>
      <c r="D2685"/>
      <c r="E2685"/>
      <c r="F2685"/>
      <c r="G2685"/>
      <c r="H2685"/>
    </row>
    <row r="2686" spans="3:8" x14ac:dyDescent="0.3">
      <c r="C2686"/>
      <c r="D2686"/>
      <c r="E2686"/>
      <c r="F2686"/>
      <c r="G2686"/>
      <c r="H2686"/>
    </row>
    <row r="2687" spans="3:8" x14ac:dyDescent="0.3">
      <c r="C2687"/>
      <c r="D2687"/>
      <c r="E2687"/>
      <c r="F2687"/>
      <c r="G2687"/>
      <c r="H2687"/>
    </row>
    <row r="2688" spans="3:8" x14ac:dyDescent="0.3">
      <c r="C2688"/>
      <c r="D2688"/>
      <c r="E2688"/>
      <c r="F2688"/>
      <c r="G2688"/>
      <c r="H2688"/>
    </row>
    <row r="2689" spans="3:8" x14ac:dyDescent="0.3">
      <c r="C2689"/>
      <c r="D2689"/>
      <c r="E2689"/>
      <c r="F2689"/>
      <c r="G2689"/>
      <c r="H2689"/>
    </row>
    <row r="2690" spans="3:8" x14ac:dyDescent="0.3">
      <c r="C2690"/>
      <c r="D2690"/>
      <c r="E2690"/>
      <c r="F2690"/>
      <c r="G2690"/>
      <c r="H2690"/>
    </row>
    <row r="2691" spans="3:8" x14ac:dyDescent="0.3">
      <c r="C2691"/>
      <c r="D2691"/>
      <c r="E2691"/>
      <c r="F2691"/>
      <c r="G2691"/>
      <c r="H2691"/>
    </row>
    <row r="2692" spans="3:8" x14ac:dyDescent="0.3">
      <c r="C2692"/>
      <c r="D2692"/>
      <c r="E2692"/>
      <c r="F2692"/>
      <c r="G2692"/>
      <c r="H2692"/>
    </row>
    <row r="2693" spans="3:8" x14ac:dyDescent="0.3">
      <c r="C2693"/>
      <c r="D2693"/>
      <c r="E2693"/>
      <c r="F2693"/>
      <c r="G2693"/>
      <c r="H2693"/>
    </row>
    <row r="2694" spans="3:8" x14ac:dyDescent="0.3">
      <c r="C2694"/>
      <c r="D2694"/>
      <c r="E2694"/>
      <c r="F2694"/>
      <c r="G2694"/>
      <c r="H2694"/>
    </row>
    <row r="2695" spans="3:8" x14ac:dyDescent="0.3">
      <c r="C2695"/>
      <c r="D2695"/>
      <c r="E2695"/>
      <c r="F2695"/>
      <c r="G2695"/>
      <c r="H2695"/>
    </row>
    <row r="2696" spans="3:8" x14ac:dyDescent="0.3">
      <c r="C2696"/>
      <c r="D2696"/>
      <c r="E2696"/>
      <c r="F2696"/>
      <c r="G2696"/>
      <c r="H2696"/>
    </row>
    <row r="2697" spans="3:8" x14ac:dyDescent="0.3">
      <c r="C2697"/>
      <c r="D2697"/>
      <c r="E2697"/>
      <c r="F2697"/>
      <c r="G2697"/>
      <c r="H2697"/>
    </row>
    <row r="2698" spans="3:8" x14ac:dyDescent="0.3">
      <c r="C2698"/>
      <c r="D2698"/>
      <c r="E2698"/>
      <c r="F2698"/>
      <c r="G2698"/>
      <c r="H2698"/>
    </row>
    <row r="2699" spans="3:8" x14ac:dyDescent="0.3">
      <c r="C2699"/>
      <c r="D2699"/>
      <c r="E2699"/>
      <c r="F2699"/>
      <c r="G2699"/>
      <c r="H2699"/>
    </row>
    <row r="2700" spans="3:8" x14ac:dyDescent="0.3">
      <c r="C2700"/>
      <c r="D2700"/>
      <c r="E2700"/>
      <c r="F2700"/>
      <c r="G2700"/>
      <c r="H2700"/>
    </row>
    <row r="2701" spans="3:8" x14ac:dyDescent="0.3">
      <c r="C2701"/>
      <c r="D2701"/>
      <c r="E2701"/>
      <c r="F2701"/>
      <c r="G2701"/>
      <c r="H2701"/>
    </row>
    <row r="2702" spans="3:8" x14ac:dyDescent="0.3">
      <c r="C2702"/>
      <c r="D2702"/>
      <c r="E2702"/>
      <c r="F2702"/>
      <c r="G2702"/>
      <c r="H2702"/>
    </row>
    <row r="2703" spans="3:8" x14ac:dyDescent="0.3">
      <c r="C2703"/>
      <c r="D2703"/>
      <c r="E2703"/>
      <c r="F2703"/>
      <c r="G2703"/>
      <c r="H2703"/>
    </row>
    <row r="2704" spans="3:8" x14ac:dyDescent="0.3">
      <c r="C2704"/>
      <c r="D2704"/>
      <c r="E2704"/>
      <c r="F2704"/>
      <c r="G2704"/>
      <c r="H2704"/>
    </row>
    <row r="2705" spans="3:8" x14ac:dyDescent="0.3">
      <c r="C2705"/>
      <c r="D2705"/>
      <c r="E2705"/>
      <c r="F2705"/>
      <c r="G2705"/>
      <c r="H2705"/>
    </row>
    <row r="2706" spans="3:8" x14ac:dyDescent="0.3">
      <c r="C2706"/>
      <c r="D2706"/>
      <c r="E2706"/>
      <c r="F2706"/>
      <c r="G2706"/>
      <c r="H2706"/>
    </row>
    <row r="2707" spans="3:8" x14ac:dyDescent="0.3">
      <c r="C2707"/>
      <c r="D2707"/>
      <c r="E2707"/>
      <c r="F2707"/>
      <c r="G2707"/>
      <c r="H2707"/>
    </row>
    <row r="2708" spans="3:8" x14ac:dyDescent="0.3">
      <c r="C2708"/>
      <c r="D2708"/>
      <c r="E2708"/>
      <c r="F2708"/>
      <c r="G2708"/>
      <c r="H2708"/>
    </row>
    <row r="2709" spans="3:8" x14ac:dyDescent="0.3">
      <c r="C2709"/>
      <c r="D2709"/>
      <c r="E2709"/>
      <c r="F2709"/>
      <c r="G2709"/>
      <c r="H2709"/>
    </row>
    <row r="2710" spans="3:8" x14ac:dyDescent="0.3">
      <c r="C2710"/>
      <c r="D2710"/>
      <c r="E2710"/>
      <c r="F2710"/>
      <c r="G2710"/>
      <c r="H2710"/>
    </row>
    <row r="2711" spans="3:8" x14ac:dyDescent="0.3">
      <c r="C2711"/>
      <c r="D2711"/>
      <c r="E2711"/>
      <c r="F2711"/>
      <c r="G2711"/>
      <c r="H2711"/>
    </row>
    <row r="2712" spans="3:8" x14ac:dyDescent="0.3">
      <c r="C2712"/>
      <c r="D2712"/>
      <c r="E2712"/>
      <c r="F2712"/>
      <c r="G2712"/>
      <c r="H2712"/>
    </row>
    <row r="2713" spans="3:8" x14ac:dyDescent="0.3">
      <c r="C2713"/>
      <c r="D2713"/>
      <c r="E2713"/>
      <c r="F2713"/>
      <c r="G2713"/>
      <c r="H2713"/>
    </row>
    <row r="2714" spans="3:8" x14ac:dyDescent="0.3">
      <c r="C2714"/>
      <c r="D2714"/>
      <c r="E2714"/>
      <c r="F2714"/>
      <c r="G2714"/>
      <c r="H2714"/>
    </row>
    <row r="2715" spans="3:8" x14ac:dyDescent="0.3">
      <c r="C2715"/>
      <c r="D2715"/>
      <c r="E2715"/>
      <c r="F2715"/>
      <c r="G2715"/>
      <c r="H2715"/>
    </row>
    <row r="2716" spans="3:8" x14ac:dyDescent="0.3">
      <c r="C2716"/>
      <c r="D2716"/>
      <c r="E2716"/>
      <c r="F2716"/>
      <c r="G2716"/>
      <c r="H2716"/>
    </row>
    <row r="2717" spans="3:8" x14ac:dyDescent="0.3">
      <c r="C2717"/>
      <c r="D2717"/>
      <c r="E2717"/>
      <c r="F2717"/>
      <c r="G2717"/>
      <c r="H2717"/>
    </row>
    <row r="2718" spans="3:8" x14ac:dyDescent="0.3">
      <c r="C2718"/>
      <c r="D2718"/>
      <c r="E2718"/>
      <c r="F2718"/>
      <c r="G2718"/>
      <c r="H2718"/>
    </row>
    <row r="2719" spans="3:8" x14ac:dyDescent="0.3">
      <c r="C2719"/>
      <c r="D2719"/>
      <c r="E2719"/>
      <c r="F2719"/>
      <c r="G2719"/>
      <c r="H2719"/>
    </row>
    <row r="2720" spans="3:8" x14ac:dyDescent="0.3">
      <c r="C2720"/>
      <c r="D2720"/>
      <c r="E2720"/>
      <c r="F2720"/>
      <c r="G2720"/>
      <c r="H2720"/>
    </row>
    <row r="2721" spans="3:8" x14ac:dyDescent="0.3">
      <c r="C2721"/>
      <c r="D2721"/>
      <c r="E2721"/>
      <c r="F2721"/>
      <c r="G2721"/>
      <c r="H2721"/>
    </row>
    <row r="2722" spans="3:8" x14ac:dyDescent="0.3">
      <c r="C2722"/>
      <c r="D2722"/>
      <c r="E2722"/>
      <c r="F2722"/>
      <c r="G2722"/>
      <c r="H2722"/>
    </row>
    <row r="2723" spans="3:8" x14ac:dyDescent="0.3">
      <c r="C2723"/>
      <c r="D2723"/>
      <c r="E2723"/>
      <c r="F2723"/>
      <c r="G2723"/>
      <c r="H2723"/>
    </row>
    <row r="2724" spans="3:8" x14ac:dyDescent="0.3">
      <c r="C2724"/>
      <c r="D2724"/>
      <c r="E2724"/>
      <c r="F2724"/>
      <c r="G2724"/>
      <c r="H2724"/>
    </row>
    <row r="2725" spans="3:8" x14ac:dyDescent="0.3">
      <c r="C2725"/>
      <c r="D2725"/>
      <c r="E2725"/>
      <c r="F2725"/>
      <c r="G2725"/>
      <c r="H2725"/>
    </row>
    <row r="2726" spans="3:8" x14ac:dyDescent="0.3">
      <c r="C2726"/>
      <c r="D2726"/>
      <c r="E2726"/>
      <c r="F2726"/>
      <c r="G2726"/>
      <c r="H2726"/>
    </row>
    <row r="2727" spans="3:8" x14ac:dyDescent="0.3">
      <c r="C2727"/>
      <c r="D2727"/>
      <c r="E2727"/>
      <c r="F2727"/>
      <c r="G2727"/>
      <c r="H2727"/>
    </row>
    <row r="2728" spans="3:8" x14ac:dyDescent="0.3">
      <c r="C2728"/>
      <c r="D2728"/>
      <c r="E2728"/>
      <c r="F2728"/>
      <c r="G2728"/>
      <c r="H2728"/>
    </row>
    <row r="2729" spans="3:8" x14ac:dyDescent="0.3">
      <c r="C2729"/>
      <c r="D2729"/>
      <c r="E2729"/>
      <c r="F2729"/>
      <c r="G2729"/>
      <c r="H2729"/>
    </row>
    <row r="2730" spans="3:8" x14ac:dyDescent="0.3">
      <c r="C2730"/>
      <c r="D2730"/>
      <c r="E2730"/>
      <c r="F2730"/>
      <c r="G2730"/>
      <c r="H2730"/>
    </row>
    <row r="2731" spans="3:8" x14ac:dyDescent="0.3">
      <c r="C2731"/>
      <c r="D2731"/>
      <c r="E2731"/>
      <c r="F2731"/>
      <c r="G2731"/>
      <c r="H2731"/>
    </row>
    <row r="2732" spans="3:8" x14ac:dyDescent="0.3">
      <c r="C2732"/>
      <c r="D2732"/>
      <c r="E2732"/>
      <c r="F2732"/>
      <c r="G2732"/>
      <c r="H2732"/>
    </row>
    <row r="2733" spans="3:8" x14ac:dyDescent="0.3">
      <c r="C2733"/>
      <c r="D2733"/>
      <c r="E2733"/>
      <c r="F2733"/>
      <c r="G2733"/>
      <c r="H2733"/>
    </row>
    <row r="2734" spans="3:8" x14ac:dyDescent="0.3">
      <c r="C2734"/>
      <c r="D2734"/>
      <c r="E2734"/>
      <c r="F2734"/>
      <c r="G2734"/>
      <c r="H2734"/>
    </row>
    <row r="2735" spans="3:8" x14ac:dyDescent="0.3">
      <c r="C2735"/>
      <c r="D2735"/>
      <c r="E2735"/>
      <c r="F2735"/>
      <c r="G2735"/>
      <c r="H2735"/>
    </row>
    <row r="2736" spans="3:8" x14ac:dyDescent="0.3">
      <c r="C2736"/>
      <c r="D2736"/>
      <c r="E2736"/>
      <c r="F2736"/>
      <c r="G2736"/>
      <c r="H2736"/>
    </row>
    <row r="2737" spans="3:8" x14ac:dyDescent="0.3">
      <c r="C2737"/>
      <c r="D2737"/>
      <c r="E2737"/>
      <c r="F2737"/>
      <c r="G2737"/>
      <c r="H2737"/>
    </row>
    <row r="2738" spans="3:8" x14ac:dyDescent="0.3">
      <c r="C2738"/>
      <c r="D2738"/>
      <c r="E2738"/>
      <c r="F2738"/>
      <c r="G2738"/>
      <c r="H2738"/>
    </row>
    <row r="2739" spans="3:8" x14ac:dyDescent="0.3">
      <c r="C2739"/>
      <c r="D2739"/>
      <c r="E2739"/>
      <c r="F2739"/>
      <c r="G2739"/>
      <c r="H2739"/>
    </row>
    <row r="2740" spans="3:8" x14ac:dyDescent="0.3">
      <c r="C2740"/>
      <c r="D2740"/>
      <c r="E2740"/>
      <c r="F2740"/>
      <c r="G2740"/>
      <c r="H2740"/>
    </row>
    <row r="2741" spans="3:8" x14ac:dyDescent="0.3">
      <c r="C2741"/>
      <c r="D2741"/>
      <c r="E2741"/>
      <c r="F2741"/>
      <c r="G2741"/>
      <c r="H2741"/>
    </row>
    <row r="2742" spans="3:8" x14ac:dyDescent="0.3">
      <c r="C2742"/>
      <c r="D2742"/>
      <c r="E2742"/>
      <c r="F2742"/>
      <c r="G2742"/>
      <c r="H2742"/>
    </row>
    <row r="2743" spans="3:8" x14ac:dyDescent="0.3">
      <c r="C2743"/>
      <c r="D2743"/>
      <c r="E2743"/>
      <c r="F2743"/>
      <c r="G2743"/>
      <c r="H2743"/>
    </row>
    <row r="2744" spans="3:8" x14ac:dyDescent="0.3">
      <c r="C2744"/>
      <c r="D2744"/>
      <c r="E2744"/>
      <c r="F2744"/>
      <c r="G2744"/>
      <c r="H2744"/>
    </row>
    <row r="2745" spans="3:8" x14ac:dyDescent="0.3">
      <c r="C2745"/>
      <c r="D2745"/>
      <c r="E2745"/>
      <c r="F2745"/>
      <c r="G2745"/>
      <c r="H2745"/>
    </row>
    <row r="2746" spans="3:8" x14ac:dyDescent="0.3">
      <c r="C2746"/>
      <c r="D2746"/>
      <c r="E2746"/>
      <c r="F2746"/>
      <c r="G2746"/>
      <c r="H2746"/>
    </row>
    <row r="2747" spans="3:8" x14ac:dyDescent="0.3">
      <c r="C2747"/>
      <c r="D2747"/>
      <c r="E2747"/>
      <c r="F2747"/>
      <c r="G2747"/>
      <c r="H2747"/>
    </row>
    <row r="2748" spans="3:8" x14ac:dyDescent="0.3">
      <c r="C2748"/>
      <c r="D2748"/>
      <c r="E2748"/>
      <c r="F2748"/>
      <c r="G2748"/>
      <c r="H2748"/>
    </row>
    <row r="2749" spans="3:8" x14ac:dyDescent="0.3">
      <c r="C2749"/>
      <c r="D2749"/>
      <c r="E2749"/>
      <c r="F2749"/>
      <c r="G2749"/>
      <c r="H2749"/>
    </row>
    <row r="2750" spans="3:8" x14ac:dyDescent="0.3">
      <c r="C2750"/>
      <c r="D2750"/>
      <c r="E2750"/>
      <c r="F2750"/>
      <c r="G2750"/>
      <c r="H2750"/>
    </row>
    <row r="2751" spans="3:8" x14ac:dyDescent="0.3">
      <c r="C2751"/>
      <c r="D2751"/>
      <c r="E2751"/>
      <c r="F2751"/>
      <c r="G2751"/>
      <c r="H2751"/>
    </row>
    <row r="2752" spans="3:8" x14ac:dyDescent="0.3">
      <c r="C2752"/>
      <c r="D2752"/>
      <c r="E2752"/>
      <c r="F2752"/>
      <c r="G2752"/>
      <c r="H2752"/>
    </row>
    <row r="2753" spans="3:8" x14ac:dyDescent="0.3">
      <c r="C2753"/>
      <c r="D2753"/>
      <c r="E2753"/>
      <c r="F2753"/>
      <c r="G2753"/>
      <c r="H2753"/>
    </row>
    <row r="2754" spans="3:8" x14ac:dyDescent="0.3">
      <c r="C2754"/>
      <c r="D2754"/>
      <c r="E2754"/>
      <c r="F2754"/>
      <c r="G2754"/>
      <c r="H2754"/>
    </row>
    <row r="2755" spans="3:8" x14ac:dyDescent="0.3">
      <c r="C2755"/>
      <c r="D2755"/>
      <c r="E2755"/>
      <c r="F2755"/>
      <c r="G2755"/>
      <c r="H2755"/>
    </row>
    <row r="2756" spans="3:8" x14ac:dyDescent="0.3">
      <c r="C2756"/>
      <c r="D2756"/>
      <c r="E2756"/>
      <c r="F2756"/>
      <c r="G2756"/>
      <c r="H2756"/>
    </row>
    <row r="2757" spans="3:8" x14ac:dyDescent="0.3">
      <c r="C2757"/>
      <c r="D2757"/>
      <c r="E2757"/>
      <c r="F2757"/>
      <c r="G2757"/>
      <c r="H2757"/>
    </row>
    <row r="2758" spans="3:8" x14ac:dyDescent="0.3">
      <c r="C2758"/>
      <c r="D2758"/>
      <c r="E2758"/>
      <c r="F2758"/>
      <c r="G2758"/>
      <c r="H2758"/>
    </row>
    <row r="2759" spans="3:8" x14ac:dyDescent="0.3">
      <c r="C2759"/>
      <c r="D2759"/>
      <c r="E2759"/>
      <c r="F2759"/>
      <c r="G2759"/>
      <c r="H2759"/>
    </row>
    <row r="2760" spans="3:8" x14ac:dyDescent="0.3">
      <c r="C2760"/>
      <c r="D2760"/>
      <c r="E2760"/>
      <c r="F2760"/>
      <c r="G2760"/>
      <c r="H2760"/>
    </row>
    <row r="2761" spans="3:8" x14ac:dyDescent="0.3">
      <c r="C2761"/>
      <c r="D2761"/>
      <c r="E2761"/>
      <c r="F2761"/>
      <c r="G2761"/>
      <c r="H2761"/>
    </row>
    <row r="2762" spans="3:8" x14ac:dyDescent="0.3">
      <c r="C2762"/>
      <c r="D2762"/>
      <c r="E2762"/>
      <c r="F2762"/>
      <c r="G2762"/>
      <c r="H2762"/>
    </row>
    <row r="2763" spans="3:8" x14ac:dyDescent="0.3">
      <c r="C2763"/>
      <c r="D2763"/>
      <c r="E2763"/>
      <c r="F2763"/>
      <c r="G2763"/>
      <c r="H2763"/>
    </row>
    <row r="2764" spans="3:8" x14ac:dyDescent="0.3">
      <c r="C2764"/>
      <c r="D2764"/>
      <c r="E2764"/>
      <c r="F2764"/>
      <c r="G2764"/>
      <c r="H2764"/>
    </row>
    <row r="2765" spans="3:8" x14ac:dyDescent="0.3">
      <c r="C2765"/>
      <c r="D2765"/>
      <c r="E2765"/>
      <c r="F2765"/>
      <c r="G2765"/>
      <c r="H2765"/>
    </row>
    <row r="2766" spans="3:8" x14ac:dyDescent="0.3">
      <c r="C2766"/>
      <c r="D2766"/>
      <c r="E2766"/>
      <c r="F2766"/>
      <c r="G2766"/>
      <c r="H2766"/>
    </row>
    <row r="2767" spans="3:8" x14ac:dyDescent="0.3">
      <c r="C2767"/>
      <c r="D2767"/>
      <c r="E2767"/>
      <c r="F2767"/>
      <c r="G2767"/>
      <c r="H2767"/>
    </row>
    <row r="2768" spans="3:8" x14ac:dyDescent="0.3">
      <c r="C2768"/>
      <c r="D2768"/>
      <c r="E2768"/>
      <c r="F2768"/>
      <c r="G2768"/>
      <c r="H2768"/>
    </row>
    <row r="2769" spans="3:8" x14ac:dyDescent="0.3">
      <c r="C2769"/>
      <c r="D2769"/>
      <c r="E2769"/>
      <c r="F2769"/>
      <c r="G2769"/>
      <c r="H2769"/>
    </row>
    <row r="2770" spans="3:8" x14ac:dyDescent="0.3">
      <c r="C2770"/>
      <c r="D2770"/>
      <c r="E2770"/>
      <c r="F2770"/>
      <c r="G2770"/>
      <c r="H2770"/>
    </row>
    <row r="2771" spans="3:8" x14ac:dyDescent="0.3">
      <c r="C2771"/>
      <c r="D2771"/>
      <c r="E2771"/>
      <c r="F2771"/>
      <c r="G2771"/>
      <c r="H2771"/>
    </row>
    <row r="2772" spans="3:8" x14ac:dyDescent="0.3">
      <c r="C2772"/>
      <c r="D2772"/>
      <c r="E2772"/>
      <c r="F2772"/>
      <c r="G2772"/>
      <c r="H2772"/>
    </row>
    <row r="2773" spans="3:8" x14ac:dyDescent="0.3">
      <c r="C2773"/>
      <c r="D2773"/>
      <c r="E2773"/>
      <c r="F2773"/>
      <c r="G2773"/>
      <c r="H2773"/>
    </row>
    <row r="2774" spans="3:8" x14ac:dyDescent="0.3">
      <c r="C2774"/>
      <c r="D2774"/>
      <c r="E2774"/>
      <c r="F2774"/>
      <c r="G2774"/>
      <c r="H2774"/>
    </row>
    <row r="2775" spans="3:8" x14ac:dyDescent="0.3">
      <c r="C2775"/>
      <c r="D2775"/>
      <c r="E2775"/>
      <c r="F2775"/>
      <c r="G2775"/>
      <c r="H2775"/>
    </row>
    <row r="2776" spans="3:8" x14ac:dyDescent="0.3">
      <c r="C2776"/>
      <c r="D2776"/>
      <c r="E2776"/>
      <c r="F2776"/>
      <c r="G2776"/>
      <c r="H2776"/>
    </row>
    <row r="2777" spans="3:8" x14ac:dyDescent="0.3">
      <c r="C2777"/>
      <c r="D2777"/>
      <c r="E2777"/>
      <c r="F2777"/>
      <c r="G2777"/>
      <c r="H2777"/>
    </row>
    <row r="2778" spans="3:8" x14ac:dyDescent="0.3">
      <c r="C2778"/>
      <c r="D2778"/>
      <c r="E2778"/>
      <c r="F2778"/>
      <c r="G2778"/>
      <c r="H2778"/>
    </row>
    <row r="2779" spans="3:8" x14ac:dyDescent="0.3">
      <c r="C2779"/>
      <c r="D2779"/>
      <c r="E2779"/>
      <c r="F2779"/>
      <c r="G2779"/>
      <c r="H2779"/>
    </row>
    <row r="2780" spans="3:8" x14ac:dyDescent="0.3">
      <c r="C2780"/>
      <c r="D2780"/>
      <c r="E2780"/>
      <c r="F2780"/>
      <c r="G2780"/>
      <c r="H2780"/>
    </row>
    <row r="2781" spans="3:8" x14ac:dyDescent="0.3">
      <c r="C2781"/>
      <c r="D2781"/>
      <c r="E2781"/>
      <c r="F2781"/>
      <c r="G2781"/>
      <c r="H2781"/>
    </row>
    <row r="2782" spans="3:8" x14ac:dyDescent="0.3">
      <c r="C2782"/>
      <c r="D2782"/>
      <c r="E2782"/>
      <c r="F2782"/>
      <c r="G2782"/>
      <c r="H2782"/>
    </row>
    <row r="2783" spans="3:8" x14ac:dyDescent="0.3">
      <c r="C2783"/>
      <c r="D2783"/>
      <c r="E2783"/>
      <c r="F2783"/>
      <c r="G2783"/>
      <c r="H2783"/>
    </row>
    <row r="2784" spans="3:8" x14ac:dyDescent="0.3">
      <c r="C2784"/>
      <c r="D2784"/>
      <c r="E2784"/>
      <c r="F2784"/>
      <c r="G2784"/>
      <c r="H2784"/>
    </row>
    <row r="2785" spans="3:8" x14ac:dyDescent="0.3">
      <c r="C2785"/>
      <c r="D2785"/>
      <c r="E2785"/>
      <c r="F2785"/>
      <c r="G2785"/>
      <c r="H2785"/>
    </row>
    <row r="2786" spans="3:8" x14ac:dyDescent="0.3">
      <c r="C2786"/>
      <c r="D2786"/>
      <c r="E2786"/>
      <c r="F2786"/>
      <c r="G2786"/>
      <c r="H2786"/>
    </row>
    <row r="2787" spans="3:8" x14ac:dyDescent="0.3">
      <c r="C2787"/>
      <c r="D2787"/>
      <c r="E2787"/>
      <c r="F2787"/>
      <c r="G2787"/>
      <c r="H2787"/>
    </row>
    <row r="2788" spans="3:8" x14ac:dyDescent="0.3">
      <c r="C2788"/>
      <c r="D2788"/>
      <c r="E2788"/>
      <c r="F2788"/>
      <c r="G2788"/>
      <c r="H2788"/>
    </row>
    <row r="2789" spans="3:8" x14ac:dyDescent="0.3">
      <c r="C2789"/>
      <c r="D2789"/>
      <c r="E2789"/>
      <c r="F2789"/>
      <c r="G2789"/>
      <c r="H2789"/>
    </row>
    <row r="2790" spans="3:8" x14ac:dyDescent="0.3">
      <c r="C2790"/>
      <c r="D2790"/>
      <c r="E2790"/>
      <c r="F2790"/>
      <c r="G2790"/>
      <c r="H2790"/>
    </row>
    <row r="2791" spans="3:8" x14ac:dyDescent="0.3">
      <c r="C2791"/>
      <c r="D2791"/>
      <c r="E2791"/>
      <c r="F2791"/>
      <c r="G2791"/>
      <c r="H2791"/>
    </row>
    <row r="2792" spans="3:8" x14ac:dyDescent="0.3">
      <c r="C2792"/>
      <c r="D2792"/>
      <c r="E2792"/>
      <c r="F2792"/>
      <c r="G2792"/>
      <c r="H2792"/>
    </row>
    <row r="2793" spans="3:8" x14ac:dyDescent="0.3">
      <c r="C2793"/>
      <c r="D2793"/>
      <c r="E2793"/>
      <c r="F2793"/>
      <c r="G2793"/>
      <c r="H2793"/>
    </row>
    <row r="2794" spans="3:8" x14ac:dyDescent="0.3">
      <c r="C2794"/>
      <c r="D2794"/>
      <c r="E2794"/>
      <c r="F2794"/>
      <c r="G2794"/>
      <c r="H2794"/>
    </row>
    <row r="2795" spans="3:8" x14ac:dyDescent="0.3">
      <c r="C2795"/>
      <c r="D2795"/>
      <c r="E2795"/>
      <c r="F2795"/>
      <c r="G2795"/>
      <c r="H2795"/>
    </row>
    <row r="2796" spans="3:8" x14ac:dyDescent="0.3">
      <c r="C2796"/>
      <c r="D2796"/>
      <c r="E2796"/>
      <c r="F2796"/>
      <c r="G2796"/>
      <c r="H2796"/>
    </row>
    <row r="2797" spans="3:8" x14ac:dyDescent="0.3">
      <c r="C2797"/>
      <c r="D2797"/>
      <c r="E2797"/>
      <c r="F2797"/>
      <c r="G2797"/>
      <c r="H2797"/>
    </row>
    <row r="2798" spans="3:8" x14ac:dyDescent="0.3">
      <c r="C2798"/>
      <c r="D2798"/>
      <c r="E2798"/>
      <c r="F2798"/>
      <c r="G2798"/>
      <c r="H2798"/>
    </row>
    <row r="2799" spans="3:8" x14ac:dyDescent="0.3">
      <c r="C2799"/>
      <c r="D2799"/>
      <c r="E2799"/>
      <c r="F2799"/>
      <c r="G2799"/>
      <c r="H2799"/>
    </row>
    <row r="2800" spans="3:8" x14ac:dyDescent="0.3">
      <c r="C2800"/>
      <c r="D2800"/>
      <c r="E2800"/>
      <c r="F2800"/>
      <c r="G2800"/>
      <c r="H2800"/>
    </row>
    <row r="2801" spans="3:8" x14ac:dyDescent="0.3">
      <c r="C2801"/>
      <c r="D2801"/>
      <c r="E2801"/>
      <c r="F2801"/>
      <c r="G2801"/>
      <c r="H2801"/>
    </row>
    <row r="2802" spans="3:8" x14ac:dyDescent="0.3">
      <c r="C2802"/>
      <c r="D2802"/>
      <c r="E2802"/>
      <c r="F2802"/>
      <c r="G2802"/>
      <c r="H2802"/>
    </row>
    <row r="2803" spans="3:8" x14ac:dyDescent="0.3">
      <c r="C2803"/>
      <c r="D2803"/>
      <c r="E2803"/>
      <c r="F2803"/>
      <c r="G2803"/>
      <c r="H2803"/>
    </row>
    <row r="2804" spans="3:8" x14ac:dyDescent="0.3">
      <c r="C2804"/>
      <c r="D2804"/>
      <c r="E2804"/>
      <c r="F2804"/>
      <c r="G2804"/>
      <c r="H2804"/>
    </row>
    <row r="2805" spans="3:8" x14ac:dyDescent="0.3">
      <c r="C2805"/>
      <c r="D2805"/>
      <c r="E2805"/>
      <c r="F2805"/>
      <c r="G2805"/>
      <c r="H2805"/>
    </row>
    <row r="2806" spans="3:8" x14ac:dyDescent="0.3">
      <c r="C2806"/>
      <c r="D2806"/>
      <c r="E2806"/>
      <c r="F2806"/>
      <c r="G2806"/>
      <c r="H2806"/>
    </row>
    <row r="2807" spans="3:8" x14ac:dyDescent="0.3">
      <c r="C2807"/>
      <c r="D2807"/>
      <c r="E2807"/>
      <c r="F2807"/>
      <c r="G2807"/>
      <c r="H2807"/>
    </row>
    <row r="2808" spans="3:8" x14ac:dyDescent="0.3">
      <c r="C2808"/>
      <c r="D2808"/>
      <c r="E2808"/>
      <c r="F2808"/>
      <c r="G2808"/>
      <c r="H2808"/>
    </row>
    <row r="2809" spans="3:8" x14ac:dyDescent="0.3">
      <c r="C2809"/>
      <c r="D2809"/>
      <c r="E2809"/>
      <c r="F2809"/>
      <c r="G2809"/>
      <c r="H2809"/>
    </row>
    <row r="2810" spans="3:8" x14ac:dyDescent="0.3">
      <c r="C2810"/>
      <c r="D2810"/>
      <c r="E2810"/>
      <c r="F2810"/>
      <c r="G2810"/>
      <c r="H2810"/>
    </row>
    <row r="2811" spans="3:8" x14ac:dyDescent="0.3">
      <c r="C2811"/>
      <c r="D2811"/>
      <c r="E2811"/>
      <c r="F2811"/>
      <c r="G2811"/>
      <c r="H2811"/>
    </row>
    <row r="2812" spans="3:8" x14ac:dyDescent="0.3">
      <c r="C2812"/>
      <c r="D2812"/>
      <c r="E2812"/>
      <c r="F2812"/>
      <c r="G2812"/>
      <c r="H2812"/>
    </row>
    <row r="2813" spans="3:8" x14ac:dyDescent="0.3">
      <c r="C2813"/>
      <c r="D2813"/>
      <c r="E2813"/>
      <c r="F2813"/>
      <c r="G2813"/>
      <c r="H2813"/>
    </row>
    <row r="2814" spans="3:8" x14ac:dyDescent="0.3">
      <c r="C2814"/>
      <c r="D2814"/>
      <c r="E2814"/>
      <c r="F2814"/>
      <c r="G2814"/>
      <c r="H2814"/>
    </row>
    <row r="2815" spans="3:8" x14ac:dyDescent="0.3">
      <c r="C2815"/>
      <c r="D2815"/>
      <c r="E2815"/>
      <c r="F2815"/>
      <c r="G2815"/>
      <c r="H2815"/>
    </row>
    <row r="2816" spans="3:8" x14ac:dyDescent="0.3">
      <c r="C2816"/>
      <c r="D2816"/>
      <c r="E2816"/>
      <c r="F2816"/>
      <c r="G2816"/>
      <c r="H2816"/>
    </row>
    <row r="2817" spans="3:8" x14ac:dyDescent="0.3">
      <c r="C2817"/>
      <c r="D2817"/>
      <c r="E2817"/>
      <c r="F2817"/>
      <c r="G2817"/>
      <c r="H2817"/>
    </row>
    <row r="2818" spans="3:8" x14ac:dyDescent="0.3">
      <c r="C2818"/>
      <c r="D2818"/>
      <c r="E2818"/>
      <c r="F2818"/>
      <c r="G2818"/>
      <c r="H2818"/>
    </row>
    <row r="2819" spans="3:8" x14ac:dyDescent="0.3">
      <c r="C2819"/>
      <c r="D2819"/>
      <c r="E2819"/>
      <c r="F2819"/>
      <c r="G2819"/>
      <c r="H2819"/>
    </row>
    <row r="2820" spans="3:8" x14ac:dyDescent="0.3">
      <c r="C2820"/>
      <c r="D2820"/>
      <c r="E2820"/>
      <c r="F2820"/>
      <c r="G2820"/>
      <c r="H2820"/>
    </row>
    <row r="2821" spans="3:8" x14ac:dyDescent="0.3">
      <c r="C2821"/>
      <c r="D2821"/>
      <c r="E2821"/>
      <c r="F2821"/>
      <c r="G2821"/>
      <c r="H2821"/>
    </row>
    <row r="2822" spans="3:8" x14ac:dyDescent="0.3">
      <c r="C2822"/>
      <c r="D2822"/>
      <c r="E2822"/>
      <c r="F2822"/>
      <c r="G2822"/>
      <c r="H2822"/>
    </row>
    <row r="2823" spans="3:8" x14ac:dyDescent="0.3">
      <c r="C2823"/>
      <c r="D2823"/>
      <c r="E2823"/>
      <c r="F2823"/>
      <c r="G2823"/>
      <c r="H2823"/>
    </row>
    <row r="2824" spans="3:8" x14ac:dyDescent="0.3">
      <c r="C2824"/>
      <c r="D2824"/>
      <c r="E2824"/>
      <c r="F2824"/>
      <c r="G2824"/>
      <c r="H2824"/>
    </row>
    <row r="2825" spans="3:8" x14ac:dyDescent="0.3">
      <c r="C2825"/>
      <c r="D2825"/>
      <c r="E2825"/>
      <c r="F2825"/>
      <c r="G2825"/>
      <c r="H2825"/>
    </row>
    <row r="2826" spans="3:8" x14ac:dyDescent="0.3">
      <c r="C2826"/>
      <c r="D2826"/>
      <c r="E2826"/>
      <c r="F2826"/>
      <c r="G2826"/>
      <c r="H2826"/>
    </row>
    <row r="2827" spans="3:8" x14ac:dyDescent="0.3">
      <c r="C2827"/>
      <c r="D2827"/>
      <c r="E2827"/>
      <c r="F2827"/>
      <c r="G2827"/>
      <c r="H2827"/>
    </row>
    <row r="2828" spans="3:8" x14ac:dyDescent="0.3">
      <c r="C2828"/>
      <c r="D2828"/>
      <c r="E2828"/>
      <c r="F2828"/>
      <c r="G2828"/>
      <c r="H2828"/>
    </row>
    <row r="2829" spans="3:8" x14ac:dyDescent="0.3">
      <c r="C2829"/>
      <c r="D2829"/>
      <c r="E2829"/>
      <c r="F2829"/>
      <c r="G2829"/>
      <c r="H2829"/>
    </row>
    <row r="2830" spans="3:8" x14ac:dyDescent="0.3">
      <c r="C2830"/>
      <c r="D2830"/>
      <c r="E2830"/>
      <c r="F2830"/>
      <c r="G2830"/>
      <c r="H2830"/>
    </row>
    <row r="2831" spans="3:8" x14ac:dyDescent="0.3">
      <c r="C2831"/>
      <c r="D2831"/>
      <c r="E2831"/>
      <c r="F2831"/>
      <c r="G2831"/>
      <c r="H2831"/>
    </row>
    <row r="2832" spans="3:8" x14ac:dyDescent="0.3">
      <c r="C2832"/>
      <c r="D2832"/>
      <c r="E2832"/>
      <c r="F2832"/>
      <c r="G2832"/>
      <c r="H2832"/>
    </row>
    <row r="2833" spans="3:8" x14ac:dyDescent="0.3">
      <c r="C2833"/>
      <c r="D2833"/>
      <c r="E2833"/>
      <c r="F2833"/>
      <c r="G2833"/>
      <c r="H2833"/>
    </row>
    <row r="2834" spans="3:8" x14ac:dyDescent="0.3">
      <c r="C2834"/>
      <c r="D2834"/>
      <c r="E2834"/>
      <c r="F2834"/>
      <c r="G2834"/>
      <c r="H2834"/>
    </row>
    <row r="2835" spans="3:8" x14ac:dyDescent="0.3">
      <c r="C2835"/>
      <c r="D2835"/>
      <c r="E2835"/>
      <c r="F2835"/>
      <c r="G2835"/>
      <c r="H2835"/>
    </row>
    <row r="2836" spans="3:8" x14ac:dyDescent="0.3">
      <c r="C2836"/>
      <c r="D2836"/>
      <c r="E2836"/>
      <c r="F2836"/>
      <c r="G2836"/>
      <c r="H2836"/>
    </row>
    <row r="2837" spans="3:8" x14ac:dyDescent="0.3">
      <c r="C2837"/>
      <c r="D2837"/>
      <c r="E2837"/>
      <c r="F2837"/>
      <c r="G2837"/>
      <c r="H2837"/>
    </row>
    <row r="2838" spans="3:8" x14ac:dyDescent="0.3">
      <c r="C2838"/>
      <c r="D2838"/>
      <c r="E2838"/>
      <c r="F2838"/>
      <c r="G2838"/>
      <c r="H2838"/>
    </row>
    <row r="2839" spans="3:8" x14ac:dyDescent="0.3">
      <c r="C2839"/>
      <c r="D2839"/>
      <c r="E2839"/>
      <c r="F2839"/>
      <c r="G2839"/>
      <c r="H2839"/>
    </row>
    <row r="2840" spans="3:8" x14ac:dyDescent="0.3">
      <c r="C2840"/>
      <c r="D2840"/>
      <c r="E2840"/>
      <c r="F2840"/>
      <c r="G2840"/>
      <c r="H2840"/>
    </row>
    <row r="2841" spans="3:8" x14ac:dyDescent="0.3">
      <c r="C2841"/>
      <c r="D2841"/>
      <c r="E2841"/>
      <c r="F2841"/>
      <c r="G2841"/>
      <c r="H2841"/>
    </row>
    <row r="2842" spans="3:8" x14ac:dyDescent="0.3">
      <c r="C2842"/>
      <c r="D2842"/>
      <c r="E2842"/>
      <c r="F2842"/>
      <c r="G2842"/>
      <c r="H2842"/>
    </row>
    <row r="2843" spans="3:8" x14ac:dyDescent="0.3">
      <c r="C2843"/>
      <c r="D2843"/>
      <c r="E2843"/>
      <c r="F2843"/>
      <c r="G2843"/>
      <c r="H2843"/>
    </row>
    <row r="2844" spans="3:8" x14ac:dyDescent="0.3">
      <c r="C2844"/>
      <c r="D2844"/>
      <c r="E2844"/>
      <c r="F2844"/>
      <c r="G2844"/>
      <c r="H2844"/>
    </row>
    <row r="2845" spans="3:8" x14ac:dyDescent="0.3">
      <c r="C2845"/>
      <c r="D2845"/>
      <c r="E2845"/>
      <c r="F2845"/>
      <c r="G2845"/>
      <c r="H2845"/>
    </row>
    <row r="2846" spans="3:8" x14ac:dyDescent="0.3">
      <c r="C2846"/>
      <c r="D2846"/>
      <c r="E2846"/>
      <c r="F2846"/>
      <c r="G2846"/>
      <c r="H2846"/>
    </row>
    <row r="2847" spans="3:8" x14ac:dyDescent="0.3">
      <c r="C2847"/>
      <c r="D2847"/>
      <c r="E2847"/>
      <c r="F2847"/>
      <c r="G2847"/>
      <c r="H2847"/>
    </row>
    <row r="2848" spans="3:8" x14ac:dyDescent="0.3">
      <c r="C2848"/>
      <c r="D2848"/>
      <c r="E2848"/>
      <c r="F2848"/>
      <c r="G2848"/>
      <c r="H2848"/>
    </row>
    <row r="2849" spans="3:8" x14ac:dyDescent="0.3">
      <c r="C2849"/>
      <c r="D2849"/>
      <c r="E2849"/>
      <c r="F2849"/>
      <c r="G2849"/>
      <c r="H2849"/>
    </row>
    <row r="2850" spans="3:8" x14ac:dyDescent="0.3">
      <c r="C2850"/>
      <c r="D2850"/>
      <c r="E2850"/>
      <c r="F2850"/>
      <c r="G2850"/>
      <c r="H2850"/>
    </row>
    <row r="2851" spans="3:8" x14ac:dyDescent="0.3">
      <c r="C2851"/>
      <c r="D2851"/>
      <c r="E2851"/>
      <c r="F2851"/>
      <c r="G2851"/>
      <c r="H2851"/>
    </row>
    <row r="2852" spans="3:8" x14ac:dyDescent="0.3">
      <c r="C2852"/>
      <c r="D2852"/>
      <c r="E2852"/>
      <c r="F2852"/>
      <c r="G2852"/>
      <c r="H2852"/>
    </row>
    <row r="2853" spans="3:8" x14ac:dyDescent="0.3">
      <c r="C2853"/>
      <c r="D2853"/>
      <c r="E2853"/>
      <c r="F2853"/>
      <c r="G2853"/>
      <c r="H2853"/>
    </row>
    <row r="2854" spans="3:8" x14ac:dyDescent="0.3">
      <c r="C2854"/>
      <c r="D2854"/>
      <c r="E2854"/>
      <c r="F2854"/>
      <c r="G2854"/>
      <c r="H2854"/>
    </row>
    <row r="2855" spans="3:8" x14ac:dyDescent="0.3">
      <c r="C2855"/>
      <c r="D2855"/>
      <c r="E2855"/>
      <c r="F2855"/>
      <c r="G2855"/>
      <c r="H2855"/>
    </row>
    <row r="2856" spans="3:8" x14ac:dyDescent="0.3">
      <c r="C2856"/>
      <c r="D2856"/>
      <c r="E2856"/>
      <c r="F2856"/>
      <c r="G2856"/>
      <c r="H2856"/>
    </row>
    <row r="2857" spans="3:8" x14ac:dyDescent="0.3">
      <c r="C2857"/>
      <c r="D2857"/>
      <c r="E2857"/>
      <c r="F2857"/>
      <c r="G2857"/>
      <c r="H2857"/>
    </row>
    <row r="2858" spans="3:8" x14ac:dyDescent="0.3">
      <c r="C2858"/>
      <c r="D2858"/>
      <c r="E2858"/>
      <c r="F2858"/>
      <c r="G2858"/>
      <c r="H2858"/>
    </row>
    <row r="2859" spans="3:8" x14ac:dyDescent="0.3">
      <c r="C2859"/>
      <c r="D2859"/>
      <c r="E2859"/>
      <c r="F2859"/>
      <c r="G2859"/>
      <c r="H2859"/>
    </row>
    <row r="2860" spans="3:8" x14ac:dyDescent="0.3">
      <c r="C2860"/>
      <c r="D2860"/>
      <c r="E2860"/>
      <c r="F2860"/>
      <c r="G2860"/>
      <c r="H2860"/>
    </row>
    <row r="2861" spans="3:8" x14ac:dyDescent="0.3">
      <c r="C2861"/>
      <c r="D2861"/>
      <c r="E2861"/>
      <c r="F2861"/>
      <c r="G2861"/>
      <c r="H2861"/>
    </row>
    <row r="2862" spans="3:8" x14ac:dyDescent="0.3">
      <c r="C2862"/>
      <c r="D2862"/>
      <c r="E2862"/>
      <c r="F2862"/>
      <c r="G2862"/>
      <c r="H2862"/>
    </row>
    <row r="2863" spans="3:8" x14ac:dyDescent="0.3">
      <c r="C2863"/>
      <c r="D2863"/>
      <c r="E2863"/>
      <c r="F2863"/>
      <c r="G2863"/>
      <c r="H2863"/>
    </row>
    <row r="2864" spans="3:8" x14ac:dyDescent="0.3">
      <c r="C2864"/>
      <c r="D2864"/>
      <c r="E2864"/>
      <c r="F2864"/>
      <c r="G2864"/>
      <c r="H2864"/>
    </row>
    <row r="2865" spans="3:8" x14ac:dyDescent="0.3">
      <c r="C2865"/>
      <c r="D2865"/>
      <c r="E2865"/>
      <c r="F2865"/>
      <c r="G2865"/>
      <c r="H2865"/>
    </row>
    <row r="2866" spans="3:8" x14ac:dyDescent="0.3">
      <c r="C2866"/>
      <c r="D2866"/>
      <c r="E2866"/>
      <c r="F2866"/>
      <c r="G2866"/>
      <c r="H2866"/>
    </row>
    <row r="2867" spans="3:8" x14ac:dyDescent="0.3">
      <c r="C2867"/>
      <c r="D2867"/>
      <c r="E2867"/>
      <c r="F2867"/>
      <c r="G2867"/>
      <c r="H2867"/>
    </row>
    <row r="2868" spans="3:8" x14ac:dyDescent="0.3">
      <c r="C2868"/>
      <c r="D2868"/>
      <c r="E2868"/>
      <c r="F2868"/>
      <c r="G2868"/>
      <c r="H2868"/>
    </row>
    <row r="2869" spans="3:8" x14ac:dyDescent="0.3">
      <c r="C2869"/>
      <c r="D2869"/>
      <c r="E2869"/>
      <c r="F2869"/>
      <c r="G2869"/>
      <c r="H2869"/>
    </row>
    <row r="2870" spans="3:8" x14ac:dyDescent="0.3">
      <c r="C2870"/>
      <c r="D2870"/>
      <c r="E2870"/>
      <c r="F2870"/>
      <c r="G2870"/>
      <c r="H2870"/>
    </row>
    <row r="2871" spans="3:8" x14ac:dyDescent="0.3">
      <c r="C2871"/>
      <c r="D2871"/>
      <c r="E2871"/>
      <c r="F2871"/>
      <c r="G2871"/>
      <c r="H2871"/>
    </row>
    <row r="2872" spans="3:8" x14ac:dyDescent="0.3">
      <c r="C2872"/>
      <c r="D2872"/>
      <c r="E2872"/>
      <c r="F2872"/>
      <c r="G2872"/>
      <c r="H2872"/>
    </row>
    <row r="2873" spans="3:8" x14ac:dyDescent="0.3">
      <c r="C2873"/>
      <c r="D2873"/>
      <c r="E2873"/>
      <c r="F2873"/>
      <c r="G2873"/>
      <c r="H2873"/>
    </row>
    <row r="2874" spans="3:8" x14ac:dyDescent="0.3">
      <c r="C2874"/>
      <c r="D2874"/>
      <c r="E2874"/>
      <c r="F2874"/>
      <c r="G2874"/>
      <c r="H2874"/>
    </row>
    <row r="2875" spans="3:8" x14ac:dyDescent="0.3">
      <c r="C2875"/>
      <c r="D2875"/>
      <c r="E2875"/>
      <c r="F2875"/>
      <c r="G2875"/>
      <c r="H2875"/>
    </row>
    <row r="2876" spans="3:8" x14ac:dyDescent="0.3">
      <c r="C2876"/>
      <c r="D2876"/>
      <c r="E2876"/>
      <c r="F2876"/>
      <c r="G2876"/>
      <c r="H2876"/>
    </row>
    <row r="2877" spans="3:8" x14ac:dyDescent="0.3">
      <c r="C2877"/>
      <c r="D2877"/>
      <c r="E2877"/>
      <c r="F2877"/>
      <c r="G2877"/>
      <c r="H2877"/>
    </row>
    <row r="2878" spans="3:8" x14ac:dyDescent="0.3">
      <c r="C2878"/>
      <c r="D2878"/>
      <c r="E2878"/>
      <c r="F2878"/>
      <c r="G2878"/>
      <c r="H2878"/>
    </row>
    <row r="2879" spans="3:8" x14ac:dyDescent="0.3">
      <c r="C2879"/>
      <c r="D2879"/>
      <c r="E2879"/>
      <c r="F2879"/>
      <c r="G2879"/>
      <c r="H2879"/>
    </row>
    <row r="2880" spans="3:8" x14ac:dyDescent="0.3">
      <c r="C2880"/>
      <c r="D2880"/>
      <c r="E2880"/>
      <c r="F2880"/>
      <c r="G2880"/>
      <c r="H2880"/>
    </row>
    <row r="2881" spans="3:8" x14ac:dyDescent="0.3">
      <c r="C2881"/>
      <c r="D2881"/>
      <c r="E2881"/>
      <c r="F2881"/>
      <c r="G2881"/>
      <c r="H2881"/>
    </row>
    <row r="2882" spans="3:8" x14ac:dyDescent="0.3">
      <c r="C2882"/>
      <c r="D2882"/>
      <c r="E2882"/>
      <c r="F2882"/>
      <c r="G2882"/>
      <c r="H2882"/>
    </row>
    <row r="2883" spans="3:8" x14ac:dyDescent="0.3">
      <c r="C2883"/>
      <c r="D2883"/>
      <c r="E2883"/>
      <c r="F2883"/>
      <c r="G2883"/>
      <c r="H2883"/>
    </row>
    <row r="2884" spans="3:8" x14ac:dyDescent="0.3">
      <c r="C2884"/>
      <c r="D2884"/>
      <c r="E2884"/>
      <c r="F2884"/>
      <c r="G2884"/>
      <c r="H2884"/>
    </row>
    <row r="2885" spans="3:8" x14ac:dyDescent="0.3">
      <c r="C2885"/>
      <c r="D2885"/>
      <c r="E2885"/>
      <c r="F2885"/>
      <c r="G2885"/>
      <c r="H2885"/>
    </row>
    <row r="2886" spans="3:8" x14ac:dyDescent="0.3">
      <c r="C2886"/>
      <c r="D2886"/>
      <c r="E2886"/>
      <c r="F2886"/>
      <c r="G2886"/>
      <c r="H2886"/>
    </row>
    <row r="2887" spans="3:8" x14ac:dyDescent="0.3">
      <c r="C2887"/>
      <c r="D2887"/>
      <c r="E2887"/>
      <c r="F2887"/>
      <c r="G2887"/>
      <c r="H2887"/>
    </row>
    <row r="2888" spans="3:8" x14ac:dyDescent="0.3">
      <c r="C2888"/>
      <c r="D2888"/>
      <c r="E2888"/>
      <c r="F2888"/>
      <c r="G2888"/>
      <c r="H2888"/>
    </row>
    <row r="2889" spans="3:8" x14ac:dyDescent="0.3">
      <c r="C2889"/>
      <c r="D2889"/>
      <c r="E2889"/>
      <c r="F2889"/>
      <c r="G2889"/>
      <c r="H2889"/>
    </row>
    <row r="2890" spans="3:8" x14ac:dyDescent="0.3">
      <c r="C2890"/>
      <c r="D2890"/>
      <c r="E2890"/>
      <c r="F2890"/>
      <c r="G2890"/>
      <c r="H2890"/>
    </row>
    <row r="2891" spans="3:8" x14ac:dyDescent="0.3">
      <c r="C2891"/>
      <c r="D2891"/>
      <c r="E2891"/>
      <c r="F2891"/>
      <c r="G2891"/>
      <c r="H2891"/>
    </row>
    <row r="2892" spans="3:8" x14ac:dyDescent="0.3">
      <c r="C2892"/>
      <c r="D2892"/>
      <c r="E2892"/>
      <c r="F2892"/>
      <c r="G2892"/>
      <c r="H2892"/>
    </row>
    <row r="2893" spans="3:8" x14ac:dyDescent="0.3">
      <c r="C2893"/>
      <c r="D2893"/>
      <c r="E2893"/>
      <c r="F2893"/>
      <c r="G2893"/>
      <c r="H2893"/>
    </row>
    <row r="2894" spans="3:8" x14ac:dyDescent="0.3">
      <c r="C2894"/>
      <c r="D2894"/>
      <c r="E2894"/>
      <c r="F2894"/>
      <c r="G2894"/>
      <c r="H2894"/>
    </row>
    <row r="2895" spans="3:8" x14ac:dyDescent="0.3">
      <c r="C2895"/>
      <c r="D2895"/>
      <c r="E2895"/>
      <c r="F2895"/>
      <c r="G2895"/>
      <c r="H2895"/>
    </row>
    <row r="2896" spans="3:8" x14ac:dyDescent="0.3">
      <c r="C2896"/>
      <c r="D2896"/>
      <c r="E2896"/>
      <c r="F2896"/>
      <c r="G2896"/>
      <c r="H2896"/>
    </row>
    <row r="2897" spans="3:8" x14ac:dyDescent="0.3">
      <c r="C2897"/>
      <c r="D2897"/>
      <c r="E2897"/>
      <c r="F2897"/>
      <c r="G2897"/>
      <c r="H2897"/>
    </row>
    <row r="2898" spans="3:8" x14ac:dyDescent="0.3">
      <c r="C2898"/>
      <c r="D2898"/>
      <c r="E2898"/>
      <c r="F2898"/>
      <c r="G2898"/>
      <c r="H2898"/>
    </row>
    <row r="2899" spans="3:8" x14ac:dyDescent="0.3">
      <c r="C2899"/>
      <c r="D2899"/>
      <c r="E2899"/>
      <c r="F2899"/>
      <c r="G2899"/>
      <c r="H2899"/>
    </row>
    <row r="2900" spans="3:8" x14ac:dyDescent="0.3">
      <c r="C2900"/>
      <c r="D2900"/>
      <c r="E2900"/>
      <c r="F2900"/>
      <c r="G2900"/>
      <c r="H2900"/>
    </row>
    <row r="2901" spans="3:8" x14ac:dyDescent="0.3">
      <c r="C2901"/>
      <c r="D2901"/>
      <c r="E2901"/>
      <c r="F2901"/>
      <c r="G2901"/>
      <c r="H2901"/>
    </row>
    <row r="2902" spans="3:8" x14ac:dyDescent="0.3">
      <c r="C2902"/>
      <c r="D2902"/>
      <c r="E2902"/>
      <c r="F2902"/>
      <c r="G2902"/>
      <c r="H2902"/>
    </row>
    <row r="2903" spans="3:8" x14ac:dyDescent="0.3">
      <c r="C2903"/>
      <c r="D2903"/>
      <c r="E2903"/>
      <c r="F2903"/>
      <c r="G2903"/>
      <c r="H2903"/>
    </row>
    <row r="2904" spans="3:8" x14ac:dyDescent="0.3">
      <c r="C2904"/>
      <c r="D2904"/>
      <c r="E2904"/>
      <c r="F2904"/>
      <c r="G2904"/>
      <c r="H2904"/>
    </row>
    <row r="2905" spans="3:8" x14ac:dyDescent="0.3">
      <c r="C2905"/>
      <c r="D2905"/>
      <c r="E2905"/>
      <c r="F2905"/>
      <c r="G2905"/>
      <c r="H2905"/>
    </row>
    <row r="2906" spans="3:8" x14ac:dyDescent="0.3">
      <c r="C2906"/>
      <c r="D2906"/>
      <c r="E2906"/>
      <c r="F2906"/>
      <c r="G2906"/>
      <c r="H2906"/>
    </row>
    <row r="2907" spans="3:8" x14ac:dyDescent="0.3">
      <c r="C2907"/>
      <c r="D2907"/>
      <c r="E2907"/>
      <c r="F2907"/>
      <c r="G2907"/>
      <c r="H2907"/>
    </row>
    <row r="2908" spans="3:8" x14ac:dyDescent="0.3">
      <c r="C2908"/>
      <c r="D2908"/>
      <c r="E2908"/>
      <c r="F2908"/>
      <c r="G2908"/>
      <c r="H2908"/>
    </row>
    <row r="2909" spans="3:8" x14ac:dyDescent="0.3">
      <c r="C2909"/>
      <c r="D2909"/>
      <c r="E2909"/>
      <c r="F2909"/>
      <c r="G2909"/>
      <c r="H2909"/>
    </row>
    <row r="2910" spans="3:8" x14ac:dyDescent="0.3">
      <c r="C2910"/>
      <c r="D2910"/>
      <c r="E2910"/>
      <c r="F2910"/>
      <c r="G2910"/>
      <c r="H2910"/>
    </row>
    <row r="2911" spans="3:8" x14ac:dyDescent="0.3">
      <c r="C2911"/>
      <c r="D2911"/>
      <c r="E2911"/>
      <c r="F2911"/>
      <c r="G2911"/>
      <c r="H2911"/>
    </row>
    <row r="2912" spans="3:8" x14ac:dyDescent="0.3">
      <c r="C2912"/>
      <c r="D2912"/>
      <c r="E2912"/>
      <c r="F2912"/>
      <c r="G2912"/>
      <c r="H2912"/>
    </row>
    <row r="2913" spans="3:8" x14ac:dyDescent="0.3">
      <c r="C2913"/>
      <c r="D2913"/>
      <c r="E2913"/>
      <c r="F2913"/>
      <c r="G2913"/>
      <c r="H2913"/>
    </row>
    <row r="2914" spans="3:8" x14ac:dyDescent="0.3">
      <c r="C2914"/>
      <c r="D2914"/>
      <c r="E2914"/>
      <c r="F2914"/>
      <c r="G2914"/>
      <c r="H2914"/>
    </row>
    <row r="2915" spans="3:8" x14ac:dyDescent="0.3">
      <c r="C2915"/>
      <c r="D2915"/>
      <c r="E2915"/>
      <c r="F2915"/>
      <c r="G2915"/>
      <c r="H2915"/>
    </row>
    <row r="2916" spans="3:8" x14ac:dyDescent="0.3">
      <c r="C2916"/>
      <c r="D2916"/>
      <c r="E2916"/>
      <c r="F2916"/>
      <c r="G2916"/>
      <c r="H2916"/>
    </row>
    <row r="2917" spans="3:8" x14ac:dyDescent="0.3">
      <c r="C2917"/>
      <c r="D2917"/>
      <c r="E2917"/>
      <c r="F2917"/>
      <c r="G2917"/>
      <c r="H2917"/>
    </row>
    <row r="2918" spans="3:8" x14ac:dyDescent="0.3">
      <c r="C2918"/>
      <c r="D2918"/>
      <c r="E2918"/>
      <c r="F2918"/>
      <c r="G2918"/>
      <c r="H2918"/>
    </row>
    <row r="2919" spans="3:8" x14ac:dyDescent="0.3">
      <c r="C2919"/>
      <c r="D2919"/>
      <c r="E2919"/>
      <c r="F2919"/>
      <c r="G2919"/>
      <c r="H2919"/>
    </row>
    <row r="2920" spans="3:8" x14ac:dyDescent="0.3">
      <c r="C2920"/>
      <c r="D2920"/>
      <c r="E2920"/>
      <c r="F2920"/>
      <c r="G2920"/>
      <c r="H2920"/>
    </row>
    <row r="2921" spans="3:8" x14ac:dyDescent="0.3">
      <c r="C2921"/>
      <c r="D2921"/>
      <c r="E2921"/>
      <c r="F2921"/>
      <c r="G2921"/>
      <c r="H2921"/>
    </row>
    <row r="2922" spans="3:8" x14ac:dyDescent="0.3">
      <c r="C2922"/>
      <c r="D2922"/>
      <c r="E2922"/>
      <c r="F2922"/>
      <c r="G2922"/>
      <c r="H2922"/>
    </row>
    <row r="2923" spans="3:8" x14ac:dyDescent="0.3">
      <c r="C2923"/>
      <c r="D2923"/>
      <c r="E2923"/>
      <c r="F2923"/>
      <c r="G2923"/>
      <c r="H2923"/>
    </row>
    <row r="2924" spans="3:8" x14ac:dyDescent="0.3">
      <c r="C2924"/>
      <c r="D2924"/>
      <c r="E2924"/>
      <c r="F2924"/>
      <c r="G2924"/>
      <c r="H2924"/>
    </row>
    <row r="2925" spans="3:8" x14ac:dyDescent="0.3">
      <c r="C2925"/>
      <c r="D2925"/>
      <c r="E2925"/>
      <c r="F2925"/>
      <c r="G2925"/>
      <c r="H2925"/>
    </row>
    <row r="2926" spans="3:8" x14ac:dyDescent="0.3">
      <c r="C2926"/>
      <c r="D2926"/>
      <c r="E2926"/>
      <c r="F2926"/>
      <c r="G2926"/>
      <c r="H2926"/>
    </row>
    <row r="2927" spans="3:8" x14ac:dyDescent="0.3">
      <c r="C2927"/>
      <c r="D2927"/>
      <c r="E2927"/>
      <c r="F2927"/>
      <c r="G2927"/>
      <c r="H2927"/>
    </row>
    <row r="2928" spans="3:8" x14ac:dyDescent="0.3">
      <c r="C2928"/>
      <c r="D2928"/>
      <c r="E2928"/>
      <c r="F2928"/>
      <c r="G2928"/>
      <c r="H2928"/>
    </row>
    <row r="2929" spans="3:8" x14ac:dyDescent="0.3">
      <c r="C2929"/>
      <c r="D2929"/>
      <c r="E2929"/>
      <c r="F2929"/>
      <c r="G2929"/>
      <c r="H2929"/>
    </row>
    <row r="2930" spans="3:8" x14ac:dyDescent="0.3">
      <c r="C2930"/>
      <c r="D2930"/>
      <c r="E2930"/>
      <c r="F2930"/>
      <c r="G2930"/>
      <c r="H2930"/>
    </row>
    <row r="2931" spans="3:8" x14ac:dyDescent="0.3">
      <c r="C2931"/>
      <c r="D2931"/>
      <c r="E2931"/>
      <c r="F2931"/>
      <c r="G2931"/>
      <c r="H2931"/>
    </row>
    <row r="2932" spans="3:8" x14ac:dyDescent="0.3">
      <c r="C2932"/>
      <c r="D2932"/>
      <c r="E2932"/>
      <c r="F2932"/>
      <c r="G2932"/>
      <c r="H2932"/>
    </row>
    <row r="2933" spans="3:8" x14ac:dyDescent="0.3">
      <c r="C2933"/>
      <c r="D2933"/>
      <c r="E2933"/>
      <c r="F2933"/>
      <c r="G2933"/>
      <c r="H2933"/>
    </row>
    <row r="2934" spans="3:8" x14ac:dyDescent="0.3">
      <c r="C2934"/>
      <c r="D2934"/>
      <c r="E2934"/>
      <c r="F2934"/>
      <c r="G2934"/>
      <c r="H2934"/>
    </row>
    <row r="2935" spans="3:8" x14ac:dyDescent="0.3">
      <c r="C2935"/>
      <c r="D2935"/>
      <c r="E2935"/>
      <c r="F2935"/>
      <c r="G2935"/>
      <c r="H2935"/>
    </row>
    <row r="2936" spans="3:8" x14ac:dyDescent="0.3">
      <c r="C2936"/>
      <c r="D2936"/>
      <c r="E2936"/>
      <c r="F2936"/>
      <c r="G2936"/>
      <c r="H2936"/>
    </row>
    <row r="2937" spans="3:8" x14ac:dyDescent="0.3">
      <c r="C2937"/>
      <c r="D2937"/>
      <c r="E2937"/>
      <c r="F2937"/>
      <c r="G2937"/>
      <c r="H2937"/>
    </row>
    <row r="2938" spans="3:8" x14ac:dyDescent="0.3">
      <c r="C2938"/>
      <c r="D2938"/>
      <c r="E2938"/>
      <c r="F2938"/>
      <c r="G2938"/>
      <c r="H2938"/>
    </row>
    <row r="2939" spans="3:8" x14ac:dyDescent="0.3">
      <c r="C2939"/>
      <c r="D2939"/>
      <c r="E2939"/>
      <c r="F2939"/>
      <c r="G2939"/>
      <c r="H2939"/>
    </row>
    <row r="2940" spans="3:8" x14ac:dyDescent="0.3">
      <c r="C2940"/>
      <c r="D2940"/>
      <c r="E2940"/>
      <c r="F2940"/>
      <c r="G2940"/>
      <c r="H2940"/>
    </row>
    <row r="2941" spans="3:8" x14ac:dyDescent="0.3">
      <c r="C2941"/>
      <c r="D2941"/>
      <c r="E2941"/>
      <c r="F2941"/>
      <c r="G2941"/>
      <c r="H2941"/>
    </row>
    <row r="2942" spans="3:8" x14ac:dyDescent="0.3">
      <c r="C2942"/>
      <c r="D2942"/>
      <c r="E2942"/>
      <c r="F2942"/>
      <c r="G2942"/>
      <c r="H2942"/>
    </row>
    <row r="2943" spans="3:8" x14ac:dyDescent="0.3">
      <c r="C2943"/>
      <c r="D2943"/>
      <c r="E2943"/>
      <c r="F2943"/>
      <c r="G2943"/>
      <c r="H2943"/>
    </row>
    <row r="2944" spans="3:8" x14ac:dyDescent="0.3">
      <c r="C2944"/>
      <c r="D2944"/>
      <c r="E2944"/>
      <c r="F2944"/>
      <c r="G2944"/>
      <c r="H2944"/>
    </row>
    <row r="2945" spans="3:8" x14ac:dyDescent="0.3">
      <c r="C2945"/>
      <c r="D2945"/>
      <c r="E2945"/>
      <c r="F2945"/>
      <c r="G2945"/>
      <c r="H2945"/>
    </row>
    <row r="2946" spans="3:8" x14ac:dyDescent="0.3">
      <c r="C2946"/>
      <c r="D2946"/>
      <c r="E2946"/>
      <c r="F2946"/>
      <c r="G2946"/>
      <c r="H2946"/>
    </row>
    <row r="2947" spans="3:8" x14ac:dyDescent="0.3">
      <c r="C2947"/>
      <c r="D2947"/>
      <c r="E2947"/>
      <c r="F2947"/>
      <c r="G2947"/>
      <c r="H2947"/>
    </row>
    <row r="2948" spans="3:8" x14ac:dyDescent="0.3">
      <c r="C2948"/>
      <c r="D2948"/>
      <c r="E2948"/>
      <c r="F2948"/>
      <c r="G2948"/>
      <c r="H2948"/>
    </row>
    <row r="2949" spans="3:8" x14ac:dyDescent="0.3">
      <c r="C2949"/>
      <c r="D2949"/>
      <c r="E2949"/>
      <c r="F2949"/>
      <c r="G2949"/>
      <c r="H2949"/>
    </row>
    <row r="2950" spans="3:8" x14ac:dyDescent="0.3">
      <c r="C2950"/>
      <c r="D2950"/>
      <c r="E2950"/>
      <c r="F2950"/>
      <c r="G2950"/>
      <c r="H2950"/>
    </row>
    <row r="2951" spans="3:8" x14ac:dyDescent="0.3">
      <c r="C2951"/>
      <c r="D2951"/>
      <c r="E2951"/>
      <c r="F2951"/>
      <c r="G2951"/>
      <c r="H2951"/>
    </row>
    <row r="2952" spans="3:8" x14ac:dyDescent="0.3">
      <c r="C2952"/>
      <c r="D2952"/>
      <c r="E2952"/>
      <c r="F2952"/>
      <c r="G2952"/>
      <c r="H2952"/>
    </row>
    <row r="2953" spans="3:8" x14ac:dyDescent="0.3">
      <c r="C2953"/>
      <c r="D2953"/>
      <c r="E2953"/>
      <c r="F2953"/>
      <c r="G2953"/>
      <c r="H2953"/>
    </row>
    <row r="2954" spans="3:8" x14ac:dyDescent="0.3">
      <c r="C2954"/>
      <c r="D2954"/>
      <c r="E2954"/>
      <c r="F2954"/>
      <c r="G2954"/>
      <c r="H2954"/>
    </row>
    <row r="2955" spans="3:8" x14ac:dyDescent="0.3">
      <c r="C2955"/>
      <c r="D2955"/>
      <c r="E2955"/>
      <c r="F2955"/>
      <c r="G2955"/>
      <c r="H2955"/>
    </row>
    <row r="2956" spans="3:8" x14ac:dyDescent="0.3">
      <c r="C2956"/>
      <c r="D2956"/>
      <c r="E2956"/>
      <c r="F2956"/>
      <c r="G2956"/>
      <c r="H2956"/>
    </row>
    <row r="2957" spans="3:8" x14ac:dyDescent="0.3">
      <c r="C2957"/>
      <c r="D2957"/>
      <c r="E2957"/>
      <c r="F2957"/>
      <c r="G2957"/>
      <c r="H2957"/>
    </row>
    <row r="2958" spans="3:8" x14ac:dyDescent="0.3">
      <c r="C2958"/>
      <c r="D2958"/>
      <c r="E2958"/>
      <c r="F2958"/>
      <c r="G2958"/>
      <c r="H2958"/>
    </row>
    <row r="2959" spans="3:8" x14ac:dyDescent="0.3">
      <c r="C2959"/>
      <c r="D2959"/>
      <c r="E2959"/>
      <c r="F2959"/>
      <c r="G2959"/>
      <c r="H2959"/>
    </row>
    <row r="2960" spans="3:8" x14ac:dyDescent="0.3">
      <c r="C2960"/>
      <c r="D2960"/>
      <c r="E2960"/>
      <c r="F2960"/>
      <c r="G2960"/>
      <c r="H2960"/>
    </row>
    <row r="2961" spans="3:8" x14ac:dyDescent="0.3">
      <c r="C2961"/>
      <c r="D2961"/>
      <c r="E2961"/>
      <c r="F2961"/>
      <c r="G2961"/>
      <c r="H2961"/>
    </row>
    <row r="2962" spans="3:8" x14ac:dyDescent="0.3">
      <c r="C2962"/>
      <c r="D2962"/>
      <c r="E2962"/>
      <c r="F2962"/>
      <c r="G2962"/>
      <c r="H2962"/>
    </row>
    <row r="2963" spans="3:8" x14ac:dyDescent="0.3">
      <c r="C2963"/>
      <c r="D2963"/>
      <c r="E2963"/>
      <c r="F2963"/>
      <c r="G2963"/>
      <c r="H2963"/>
    </row>
    <row r="2964" spans="3:8" x14ac:dyDescent="0.3">
      <c r="C2964"/>
      <c r="D2964"/>
      <c r="E2964"/>
      <c r="F2964"/>
      <c r="G2964"/>
      <c r="H2964"/>
    </row>
    <row r="2965" spans="3:8" x14ac:dyDescent="0.3">
      <c r="C2965"/>
      <c r="D2965"/>
      <c r="E2965"/>
      <c r="F2965"/>
      <c r="G2965"/>
      <c r="H2965"/>
    </row>
    <row r="2966" spans="3:8" x14ac:dyDescent="0.3">
      <c r="C2966"/>
      <c r="D2966"/>
      <c r="E2966"/>
      <c r="F2966"/>
      <c r="G2966"/>
      <c r="H2966"/>
    </row>
    <row r="2967" spans="3:8" x14ac:dyDescent="0.3">
      <c r="C2967"/>
      <c r="D2967"/>
      <c r="E2967"/>
      <c r="F2967"/>
      <c r="G2967"/>
      <c r="H2967"/>
    </row>
    <row r="2968" spans="3:8" x14ac:dyDescent="0.3">
      <c r="C2968"/>
      <c r="D2968"/>
      <c r="E2968"/>
      <c r="F2968"/>
      <c r="G2968"/>
      <c r="H2968"/>
    </row>
    <row r="2969" spans="3:8" x14ac:dyDescent="0.3">
      <c r="C2969"/>
      <c r="D2969"/>
      <c r="E2969"/>
      <c r="F2969"/>
      <c r="G2969"/>
      <c r="H2969"/>
    </row>
    <row r="2970" spans="3:8" x14ac:dyDescent="0.3">
      <c r="C2970"/>
      <c r="D2970"/>
      <c r="E2970"/>
      <c r="F2970"/>
      <c r="G2970"/>
      <c r="H2970"/>
    </row>
    <row r="2971" spans="3:8" x14ac:dyDescent="0.3">
      <c r="C2971"/>
      <c r="D2971"/>
      <c r="E2971"/>
      <c r="F2971"/>
      <c r="G2971"/>
      <c r="H2971"/>
    </row>
    <row r="2972" spans="3:8" x14ac:dyDescent="0.3">
      <c r="C2972"/>
      <c r="D2972"/>
      <c r="E2972"/>
      <c r="F2972"/>
      <c r="G2972"/>
      <c r="H2972"/>
    </row>
    <row r="2973" spans="3:8" x14ac:dyDescent="0.3">
      <c r="C2973"/>
      <c r="D2973"/>
      <c r="E2973"/>
      <c r="F2973"/>
      <c r="G2973"/>
      <c r="H2973"/>
    </row>
    <row r="2974" spans="3:8" x14ac:dyDescent="0.3">
      <c r="C2974"/>
      <c r="D2974"/>
      <c r="E2974"/>
      <c r="F2974"/>
      <c r="G2974"/>
      <c r="H2974"/>
    </row>
    <row r="2975" spans="3:8" x14ac:dyDescent="0.3">
      <c r="C2975"/>
      <c r="D2975"/>
      <c r="E2975"/>
      <c r="F2975"/>
      <c r="G2975"/>
      <c r="H2975"/>
    </row>
    <row r="2976" spans="3:8" x14ac:dyDescent="0.3">
      <c r="C2976"/>
      <c r="D2976"/>
      <c r="E2976"/>
      <c r="F2976"/>
      <c r="G2976"/>
      <c r="H2976"/>
    </row>
    <row r="2977" spans="3:8" x14ac:dyDescent="0.3">
      <c r="C2977"/>
      <c r="D2977"/>
      <c r="E2977"/>
      <c r="F2977"/>
      <c r="G2977"/>
      <c r="H2977"/>
    </row>
    <row r="2978" spans="3:8" x14ac:dyDescent="0.3">
      <c r="C2978"/>
      <c r="D2978"/>
      <c r="E2978"/>
      <c r="F2978"/>
      <c r="G2978"/>
      <c r="H2978"/>
    </row>
    <row r="2979" spans="3:8" x14ac:dyDescent="0.3">
      <c r="C2979"/>
      <c r="D2979"/>
      <c r="E2979"/>
      <c r="F2979"/>
      <c r="G2979"/>
      <c r="H2979"/>
    </row>
    <row r="2980" spans="3:8" x14ac:dyDescent="0.3">
      <c r="C2980"/>
      <c r="D2980"/>
      <c r="E2980"/>
      <c r="F2980"/>
      <c r="G2980"/>
      <c r="H2980"/>
    </row>
    <row r="2981" spans="3:8" x14ac:dyDescent="0.3">
      <c r="C2981"/>
      <c r="D2981"/>
      <c r="E2981"/>
      <c r="F2981"/>
      <c r="G2981"/>
      <c r="H2981"/>
    </row>
    <row r="2982" spans="3:8" x14ac:dyDescent="0.3">
      <c r="C2982"/>
      <c r="D2982"/>
      <c r="E2982"/>
      <c r="F2982"/>
      <c r="G2982"/>
      <c r="H2982"/>
    </row>
    <row r="2983" spans="3:8" x14ac:dyDescent="0.3">
      <c r="C2983"/>
      <c r="D2983"/>
      <c r="E2983"/>
      <c r="F2983"/>
      <c r="G2983"/>
      <c r="H2983"/>
    </row>
    <row r="2984" spans="3:8" x14ac:dyDescent="0.3">
      <c r="C2984"/>
      <c r="D2984"/>
      <c r="E2984"/>
      <c r="F2984"/>
      <c r="G2984"/>
      <c r="H2984"/>
    </row>
    <row r="2985" spans="3:8" x14ac:dyDescent="0.3">
      <c r="C2985"/>
      <c r="D2985"/>
      <c r="E2985"/>
      <c r="F2985"/>
      <c r="G2985"/>
      <c r="H2985"/>
    </row>
    <row r="2986" spans="3:8" x14ac:dyDescent="0.3">
      <c r="C2986"/>
      <c r="D2986"/>
      <c r="E2986"/>
      <c r="F2986"/>
      <c r="G2986"/>
      <c r="H2986"/>
    </row>
    <row r="2987" spans="3:8" x14ac:dyDescent="0.3">
      <c r="C2987"/>
      <c r="D2987"/>
      <c r="E2987"/>
      <c r="F2987"/>
      <c r="G2987"/>
      <c r="H2987"/>
    </row>
    <row r="2988" spans="3:8" x14ac:dyDescent="0.3">
      <c r="C2988"/>
      <c r="D2988"/>
      <c r="E2988"/>
      <c r="F2988"/>
      <c r="G2988"/>
      <c r="H2988"/>
    </row>
    <row r="2989" spans="3:8" x14ac:dyDescent="0.3">
      <c r="C2989"/>
      <c r="D2989"/>
      <c r="E2989"/>
      <c r="F2989"/>
      <c r="G2989"/>
      <c r="H2989"/>
    </row>
    <row r="2990" spans="3:8" x14ac:dyDescent="0.3">
      <c r="C2990"/>
      <c r="D2990"/>
      <c r="E2990"/>
      <c r="F2990"/>
      <c r="G2990"/>
      <c r="H2990"/>
    </row>
    <row r="2991" spans="3:8" x14ac:dyDescent="0.3">
      <c r="C2991"/>
      <c r="D2991"/>
      <c r="E2991"/>
      <c r="F2991"/>
      <c r="G2991"/>
      <c r="H2991"/>
    </row>
    <row r="2992" spans="3:8" x14ac:dyDescent="0.3">
      <c r="C2992"/>
      <c r="D2992"/>
      <c r="E2992"/>
      <c r="F2992"/>
      <c r="G2992"/>
      <c r="H2992"/>
    </row>
    <row r="2993" spans="3:8" x14ac:dyDescent="0.3">
      <c r="C2993"/>
      <c r="D2993"/>
      <c r="E2993"/>
      <c r="F2993"/>
      <c r="G2993"/>
      <c r="H2993"/>
    </row>
    <row r="2994" spans="3:8" x14ac:dyDescent="0.3">
      <c r="C2994"/>
      <c r="D2994"/>
      <c r="E2994"/>
      <c r="F2994"/>
      <c r="G2994"/>
      <c r="H2994"/>
    </row>
    <row r="2995" spans="3:8" x14ac:dyDescent="0.3">
      <c r="C2995"/>
      <c r="D2995"/>
      <c r="E2995"/>
      <c r="F2995"/>
      <c r="G2995"/>
      <c r="H2995"/>
    </row>
    <row r="2996" spans="3:8" x14ac:dyDescent="0.3">
      <c r="C2996"/>
      <c r="D2996"/>
      <c r="E2996"/>
      <c r="F2996"/>
      <c r="G2996"/>
      <c r="H2996"/>
    </row>
    <row r="2997" spans="3:8" x14ac:dyDescent="0.3">
      <c r="C2997"/>
      <c r="D2997"/>
      <c r="E2997"/>
      <c r="F2997"/>
      <c r="G2997"/>
      <c r="H2997"/>
    </row>
    <row r="2998" spans="3:8" x14ac:dyDescent="0.3">
      <c r="C2998"/>
      <c r="D2998"/>
      <c r="E2998"/>
      <c r="F2998"/>
      <c r="G2998"/>
      <c r="H2998"/>
    </row>
    <row r="2999" spans="3:8" x14ac:dyDescent="0.3">
      <c r="C2999"/>
      <c r="D2999"/>
      <c r="E2999"/>
      <c r="F2999"/>
      <c r="G2999"/>
      <c r="H2999"/>
    </row>
    <row r="3000" spans="3:8" x14ac:dyDescent="0.3">
      <c r="C3000"/>
      <c r="D3000"/>
      <c r="E3000"/>
      <c r="F3000"/>
      <c r="G3000"/>
      <c r="H3000"/>
    </row>
    <row r="3001" spans="3:8" x14ac:dyDescent="0.3">
      <c r="C3001"/>
      <c r="D3001"/>
      <c r="E3001"/>
      <c r="F3001"/>
      <c r="G3001"/>
      <c r="H3001"/>
    </row>
    <row r="3002" spans="3:8" x14ac:dyDescent="0.3">
      <c r="C3002"/>
      <c r="D3002"/>
      <c r="E3002"/>
      <c r="F3002"/>
      <c r="G3002"/>
      <c r="H3002"/>
    </row>
    <row r="3003" spans="3:8" x14ac:dyDescent="0.3">
      <c r="C3003"/>
      <c r="D3003"/>
      <c r="E3003"/>
      <c r="F3003"/>
      <c r="G3003"/>
      <c r="H3003"/>
    </row>
    <row r="3004" spans="3:8" x14ac:dyDescent="0.3">
      <c r="C3004"/>
      <c r="D3004"/>
      <c r="E3004"/>
      <c r="F3004"/>
      <c r="G3004"/>
      <c r="H3004"/>
    </row>
    <row r="3005" spans="3:8" x14ac:dyDescent="0.3">
      <c r="C3005"/>
      <c r="D3005"/>
      <c r="E3005"/>
      <c r="F3005"/>
      <c r="G3005"/>
      <c r="H3005"/>
    </row>
    <row r="3006" spans="3:8" x14ac:dyDescent="0.3">
      <c r="C3006"/>
      <c r="D3006"/>
      <c r="E3006"/>
      <c r="F3006"/>
      <c r="G3006"/>
      <c r="H3006"/>
    </row>
    <row r="3007" spans="3:8" x14ac:dyDescent="0.3">
      <c r="C3007"/>
      <c r="D3007"/>
      <c r="E3007"/>
      <c r="F3007"/>
      <c r="G3007"/>
      <c r="H3007"/>
    </row>
    <row r="3008" spans="3:8" x14ac:dyDescent="0.3">
      <c r="C3008"/>
      <c r="D3008"/>
      <c r="E3008"/>
      <c r="F3008"/>
      <c r="G3008"/>
      <c r="H3008"/>
    </row>
    <row r="3009" spans="3:8" x14ac:dyDescent="0.3">
      <c r="C3009"/>
      <c r="D3009"/>
      <c r="E3009"/>
      <c r="F3009"/>
      <c r="G3009"/>
      <c r="H3009"/>
    </row>
    <row r="3010" spans="3:8" x14ac:dyDescent="0.3">
      <c r="C3010"/>
      <c r="D3010"/>
      <c r="E3010"/>
      <c r="F3010"/>
      <c r="G3010"/>
      <c r="H3010"/>
    </row>
    <row r="3011" spans="3:8" x14ac:dyDescent="0.3">
      <c r="C3011"/>
      <c r="D3011"/>
      <c r="E3011"/>
      <c r="F3011"/>
      <c r="G3011"/>
      <c r="H3011"/>
    </row>
    <row r="3012" spans="3:8" x14ac:dyDescent="0.3">
      <c r="C3012"/>
      <c r="D3012"/>
      <c r="E3012"/>
      <c r="F3012"/>
      <c r="G3012"/>
      <c r="H3012"/>
    </row>
    <row r="3013" spans="3:8" x14ac:dyDescent="0.3">
      <c r="C3013"/>
      <c r="D3013"/>
      <c r="E3013"/>
      <c r="F3013"/>
      <c r="G3013"/>
      <c r="H3013"/>
    </row>
    <row r="3014" spans="3:8" x14ac:dyDescent="0.3">
      <c r="C3014"/>
      <c r="D3014"/>
      <c r="E3014"/>
      <c r="F3014"/>
      <c r="G3014"/>
      <c r="H3014"/>
    </row>
    <row r="3015" spans="3:8" x14ac:dyDescent="0.3">
      <c r="C3015"/>
      <c r="D3015"/>
      <c r="E3015"/>
      <c r="F3015"/>
      <c r="G3015"/>
      <c r="H3015"/>
    </row>
    <row r="3016" spans="3:8" x14ac:dyDescent="0.3">
      <c r="C3016"/>
      <c r="D3016"/>
      <c r="E3016"/>
      <c r="F3016"/>
      <c r="G3016"/>
      <c r="H3016"/>
    </row>
    <row r="3017" spans="3:8" x14ac:dyDescent="0.3">
      <c r="C3017"/>
      <c r="D3017"/>
      <c r="E3017"/>
      <c r="F3017"/>
      <c r="G3017"/>
      <c r="H3017"/>
    </row>
    <row r="3018" spans="3:8" x14ac:dyDescent="0.3">
      <c r="C3018"/>
      <c r="D3018"/>
      <c r="E3018"/>
      <c r="F3018"/>
      <c r="G3018"/>
      <c r="H3018"/>
    </row>
    <row r="3019" spans="3:8" x14ac:dyDescent="0.3">
      <c r="C3019"/>
      <c r="D3019"/>
      <c r="E3019"/>
      <c r="F3019"/>
      <c r="G3019"/>
      <c r="H3019"/>
    </row>
    <row r="3020" spans="3:8" x14ac:dyDescent="0.3">
      <c r="C3020"/>
      <c r="D3020"/>
      <c r="E3020"/>
      <c r="F3020"/>
      <c r="G3020"/>
      <c r="H3020"/>
    </row>
    <row r="3021" spans="3:8" x14ac:dyDescent="0.3">
      <c r="C3021"/>
      <c r="D3021"/>
      <c r="E3021"/>
      <c r="F3021"/>
      <c r="G3021"/>
      <c r="H3021"/>
    </row>
    <row r="3022" spans="3:8" x14ac:dyDescent="0.3">
      <c r="C3022"/>
      <c r="D3022"/>
      <c r="E3022"/>
      <c r="F3022"/>
      <c r="G3022"/>
      <c r="H3022"/>
    </row>
    <row r="3023" spans="3:8" x14ac:dyDescent="0.3">
      <c r="C3023"/>
      <c r="D3023"/>
      <c r="E3023"/>
      <c r="F3023"/>
      <c r="G3023"/>
      <c r="H3023"/>
    </row>
    <row r="3024" spans="3:8" x14ac:dyDescent="0.3">
      <c r="C3024"/>
      <c r="D3024"/>
      <c r="E3024"/>
      <c r="F3024"/>
      <c r="G3024"/>
      <c r="H3024"/>
    </row>
    <row r="3025" spans="3:8" x14ac:dyDescent="0.3">
      <c r="C3025"/>
      <c r="D3025"/>
      <c r="E3025"/>
      <c r="F3025"/>
      <c r="G3025"/>
      <c r="H3025"/>
    </row>
    <row r="3026" spans="3:8" x14ac:dyDescent="0.3">
      <c r="C3026"/>
      <c r="D3026"/>
      <c r="E3026"/>
      <c r="F3026"/>
      <c r="G3026"/>
      <c r="H3026"/>
    </row>
    <row r="3027" spans="3:8" x14ac:dyDescent="0.3">
      <c r="C3027"/>
      <c r="D3027"/>
      <c r="E3027"/>
      <c r="F3027"/>
      <c r="G3027"/>
      <c r="H3027"/>
    </row>
    <row r="3028" spans="3:8" x14ac:dyDescent="0.3">
      <c r="C3028"/>
      <c r="D3028"/>
      <c r="E3028"/>
      <c r="F3028"/>
      <c r="G3028"/>
      <c r="H3028"/>
    </row>
    <row r="3029" spans="3:8" x14ac:dyDescent="0.3">
      <c r="C3029"/>
      <c r="D3029"/>
      <c r="E3029"/>
      <c r="F3029"/>
      <c r="G3029"/>
      <c r="H3029"/>
    </row>
    <row r="3030" spans="3:8" x14ac:dyDescent="0.3">
      <c r="C3030"/>
      <c r="D3030"/>
      <c r="E3030"/>
      <c r="F3030"/>
      <c r="G3030"/>
      <c r="H3030"/>
    </row>
    <row r="3031" spans="3:8" x14ac:dyDescent="0.3">
      <c r="C3031"/>
      <c r="D3031"/>
      <c r="E3031"/>
      <c r="F3031"/>
      <c r="G3031"/>
      <c r="H3031"/>
    </row>
    <row r="3032" spans="3:8" x14ac:dyDescent="0.3">
      <c r="C3032"/>
      <c r="D3032"/>
      <c r="E3032"/>
      <c r="F3032"/>
      <c r="G3032"/>
      <c r="H3032"/>
    </row>
    <row r="3033" spans="3:8" x14ac:dyDescent="0.3">
      <c r="C3033"/>
      <c r="D3033"/>
      <c r="E3033"/>
      <c r="F3033"/>
      <c r="G3033"/>
      <c r="H3033"/>
    </row>
    <row r="3034" spans="3:8" x14ac:dyDescent="0.3">
      <c r="C3034"/>
      <c r="D3034"/>
      <c r="E3034"/>
      <c r="F3034"/>
      <c r="G3034"/>
      <c r="H3034"/>
    </row>
    <row r="3035" spans="3:8" x14ac:dyDescent="0.3">
      <c r="C3035"/>
      <c r="D3035"/>
      <c r="E3035"/>
      <c r="F3035"/>
      <c r="G3035"/>
      <c r="H3035"/>
    </row>
    <row r="3036" spans="3:8" x14ac:dyDescent="0.3">
      <c r="C3036"/>
      <c r="D3036"/>
      <c r="E3036"/>
      <c r="F3036"/>
      <c r="G3036"/>
      <c r="H3036"/>
    </row>
    <row r="3037" spans="3:8" x14ac:dyDescent="0.3">
      <c r="C3037"/>
      <c r="D3037"/>
      <c r="E3037"/>
      <c r="F3037"/>
      <c r="G3037"/>
      <c r="H3037"/>
    </row>
    <row r="3038" spans="3:8" x14ac:dyDescent="0.3">
      <c r="C3038"/>
      <c r="D3038"/>
      <c r="E3038"/>
      <c r="F3038"/>
      <c r="G3038"/>
      <c r="H3038"/>
    </row>
    <row r="3039" spans="3:8" x14ac:dyDescent="0.3">
      <c r="C3039"/>
      <c r="D3039"/>
      <c r="E3039"/>
      <c r="F3039"/>
      <c r="G3039"/>
      <c r="H3039"/>
    </row>
    <row r="3040" spans="3:8" x14ac:dyDescent="0.3">
      <c r="C3040"/>
      <c r="D3040"/>
      <c r="E3040"/>
      <c r="F3040"/>
      <c r="G3040"/>
      <c r="H3040"/>
    </row>
    <row r="3041" spans="3:8" x14ac:dyDescent="0.3">
      <c r="C3041"/>
      <c r="D3041"/>
      <c r="E3041"/>
      <c r="F3041"/>
      <c r="G3041"/>
      <c r="H3041"/>
    </row>
    <row r="3042" spans="3:8" x14ac:dyDescent="0.3">
      <c r="C3042"/>
      <c r="D3042"/>
      <c r="E3042"/>
      <c r="F3042"/>
      <c r="G3042"/>
      <c r="H3042"/>
    </row>
    <row r="3043" spans="3:8" x14ac:dyDescent="0.3">
      <c r="C3043"/>
      <c r="D3043"/>
      <c r="E3043"/>
      <c r="F3043"/>
      <c r="G3043"/>
      <c r="H3043"/>
    </row>
    <row r="3044" spans="3:8" x14ac:dyDescent="0.3">
      <c r="C3044"/>
      <c r="D3044"/>
      <c r="E3044"/>
      <c r="F3044"/>
      <c r="G3044"/>
      <c r="H3044"/>
    </row>
    <row r="3045" spans="3:8" x14ac:dyDescent="0.3">
      <c r="C3045"/>
      <c r="D3045"/>
      <c r="E3045"/>
      <c r="F3045"/>
      <c r="G3045"/>
      <c r="H3045"/>
    </row>
    <row r="3046" spans="3:8" x14ac:dyDescent="0.3">
      <c r="C3046"/>
      <c r="D3046"/>
      <c r="E3046"/>
      <c r="F3046"/>
      <c r="G3046"/>
      <c r="H3046"/>
    </row>
    <row r="3047" spans="3:8" x14ac:dyDescent="0.3">
      <c r="C3047"/>
      <c r="D3047"/>
      <c r="E3047"/>
      <c r="F3047"/>
      <c r="G3047"/>
      <c r="H3047"/>
    </row>
    <row r="3048" spans="3:8" x14ac:dyDescent="0.3">
      <c r="C3048"/>
      <c r="D3048"/>
      <c r="E3048"/>
      <c r="F3048"/>
      <c r="G3048"/>
      <c r="H3048"/>
    </row>
    <row r="3049" spans="3:8" x14ac:dyDescent="0.3">
      <c r="C3049"/>
      <c r="D3049"/>
      <c r="E3049"/>
      <c r="F3049"/>
      <c r="G3049"/>
      <c r="H3049"/>
    </row>
    <row r="3050" spans="3:8" x14ac:dyDescent="0.3">
      <c r="C3050"/>
      <c r="D3050"/>
      <c r="E3050"/>
      <c r="F3050"/>
      <c r="G3050"/>
      <c r="H3050"/>
    </row>
    <row r="3051" spans="3:8" x14ac:dyDescent="0.3">
      <c r="C3051"/>
      <c r="D3051"/>
      <c r="E3051"/>
      <c r="F3051"/>
      <c r="G3051"/>
      <c r="H3051"/>
    </row>
    <row r="3052" spans="3:8" x14ac:dyDescent="0.3">
      <c r="C3052"/>
      <c r="D3052"/>
      <c r="E3052"/>
      <c r="F3052"/>
      <c r="G3052"/>
      <c r="H3052"/>
    </row>
    <row r="3053" spans="3:8" x14ac:dyDescent="0.3">
      <c r="C3053"/>
      <c r="D3053"/>
      <c r="E3053"/>
      <c r="F3053"/>
      <c r="G3053"/>
      <c r="H3053"/>
    </row>
    <row r="3054" spans="3:8" x14ac:dyDescent="0.3">
      <c r="C3054"/>
      <c r="D3054"/>
      <c r="E3054"/>
      <c r="F3054"/>
      <c r="G3054"/>
      <c r="H3054"/>
    </row>
    <row r="3055" spans="3:8" x14ac:dyDescent="0.3">
      <c r="C3055"/>
      <c r="D3055"/>
      <c r="E3055"/>
      <c r="F3055"/>
      <c r="G3055"/>
      <c r="H3055"/>
    </row>
    <row r="3056" spans="3:8" x14ac:dyDescent="0.3">
      <c r="C3056"/>
      <c r="D3056"/>
      <c r="E3056"/>
      <c r="F3056"/>
      <c r="G3056"/>
      <c r="H3056"/>
    </row>
    <row r="3057" spans="3:8" x14ac:dyDescent="0.3">
      <c r="C3057"/>
      <c r="D3057"/>
      <c r="E3057"/>
      <c r="F3057"/>
      <c r="G3057"/>
      <c r="H3057"/>
    </row>
    <row r="3058" spans="3:8" x14ac:dyDescent="0.3">
      <c r="C3058"/>
      <c r="D3058"/>
      <c r="E3058"/>
      <c r="F3058"/>
      <c r="G3058"/>
      <c r="H3058"/>
    </row>
    <row r="3059" spans="3:8" x14ac:dyDescent="0.3">
      <c r="C3059"/>
      <c r="D3059"/>
      <c r="E3059"/>
      <c r="F3059"/>
      <c r="G3059"/>
      <c r="H3059"/>
    </row>
    <row r="3060" spans="3:8" x14ac:dyDescent="0.3">
      <c r="C3060"/>
      <c r="D3060"/>
      <c r="E3060"/>
      <c r="F3060"/>
      <c r="G3060"/>
      <c r="H3060"/>
    </row>
    <row r="3061" spans="3:8" x14ac:dyDescent="0.3">
      <c r="C3061"/>
      <c r="D3061"/>
      <c r="E3061"/>
      <c r="F3061"/>
      <c r="G3061"/>
      <c r="H3061"/>
    </row>
    <row r="3062" spans="3:8" x14ac:dyDescent="0.3">
      <c r="C3062"/>
      <c r="D3062"/>
      <c r="E3062"/>
      <c r="F3062"/>
      <c r="G3062"/>
      <c r="H3062"/>
    </row>
    <row r="3063" spans="3:8" x14ac:dyDescent="0.3">
      <c r="C3063"/>
      <c r="D3063"/>
      <c r="E3063"/>
      <c r="F3063"/>
      <c r="G3063"/>
      <c r="H3063"/>
    </row>
    <row r="3064" spans="3:8" x14ac:dyDescent="0.3">
      <c r="C3064"/>
      <c r="D3064"/>
      <c r="E3064"/>
      <c r="F3064"/>
      <c r="G3064"/>
      <c r="H3064"/>
    </row>
    <row r="3065" spans="3:8" x14ac:dyDescent="0.3">
      <c r="C3065"/>
      <c r="D3065"/>
      <c r="E3065"/>
      <c r="F3065"/>
      <c r="G3065"/>
      <c r="H3065"/>
    </row>
    <row r="3066" spans="3:8" x14ac:dyDescent="0.3">
      <c r="C3066"/>
      <c r="D3066"/>
      <c r="E3066"/>
      <c r="F3066"/>
      <c r="G3066"/>
      <c r="H3066"/>
    </row>
    <row r="3067" spans="3:8" x14ac:dyDescent="0.3">
      <c r="C3067"/>
      <c r="D3067"/>
      <c r="E3067"/>
      <c r="F3067"/>
      <c r="G3067"/>
      <c r="H3067"/>
    </row>
    <row r="3068" spans="3:8" x14ac:dyDescent="0.3">
      <c r="C3068"/>
      <c r="D3068"/>
      <c r="E3068"/>
      <c r="F3068"/>
      <c r="G3068"/>
      <c r="H3068"/>
    </row>
    <row r="3069" spans="3:8" x14ac:dyDescent="0.3">
      <c r="C3069"/>
      <c r="D3069"/>
      <c r="E3069"/>
      <c r="F3069"/>
      <c r="G3069"/>
      <c r="H3069"/>
    </row>
    <row r="3070" spans="3:8" x14ac:dyDescent="0.3">
      <c r="C3070"/>
      <c r="D3070"/>
      <c r="E3070"/>
      <c r="F3070"/>
      <c r="G3070"/>
      <c r="H3070"/>
    </row>
    <row r="3071" spans="3:8" x14ac:dyDescent="0.3">
      <c r="C3071"/>
      <c r="D3071"/>
      <c r="E3071"/>
      <c r="F3071"/>
      <c r="G3071"/>
      <c r="H3071"/>
    </row>
    <row r="3072" spans="3:8" x14ac:dyDescent="0.3">
      <c r="C3072"/>
      <c r="D3072"/>
      <c r="E3072"/>
      <c r="F3072"/>
      <c r="G3072"/>
      <c r="H3072"/>
    </row>
    <row r="3073" spans="3:8" x14ac:dyDescent="0.3">
      <c r="C3073"/>
      <c r="D3073"/>
      <c r="E3073"/>
      <c r="F3073"/>
      <c r="G3073"/>
      <c r="H3073"/>
    </row>
    <row r="3074" spans="3:8" x14ac:dyDescent="0.3">
      <c r="C3074"/>
      <c r="D3074"/>
      <c r="E3074"/>
      <c r="F3074"/>
      <c r="G3074"/>
      <c r="H3074"/>
    </row>
    <row r="3075" spans="3:8" x14ac:dyDescent="0.3">
      <c r="C3075"/>
      <c r="D3075"/>
      <c r="E3075"/>
      <c r="F3075"/>
      <c r="G3075"/>
      <c r="H3075"/>
    </row>
    <row r="3076" spans="3:8" x14ac:dyDescent="0.3">
      <c r="C3076"/>
      <c r="D3076"/>
      <c r="E3076"/>
      <c r="F3076"/>
      <c r="G3076"/>
      <c r="H3076"/>
    </row>
    <row r="3077" spans="3:8" x14ac:dyDescent="0.3">
      <c r="C3077"/>
      <c r="D3077"/>
      <c r="E3077"/>
      <c r="F3077"/>
      <c r="G3077"/>
      <c r="H3077"/>
    </row>
    <row r="3078" spans="3:8" x14ac:dyDescent="0.3">
      <c r="C3078"/>
      <c r="D3078"/>
      <c r="E3078"/>
      <c r="F3078"/>
      <c r="G3078"/>
      <c r="H3078"/>
    </row>
    <row r="3079" spans="3:8" x14ac:dyDescent="0.3">
      <c r="C3079"/>
      <c r="D3079"/>
      <c r="E3079"/>
      <c r="F3079"/>
      <c r="G3079"/>
      <c r="H3079"/>
    </row>
    <row r="3080" spans="3:8" x14ac:dyDescent="0.3">
      <c r="C3080"/>
      <c r="D3080"/>
      <c r="E3080"/>
      <c r="F3080"/>
      <c r="G3080"/>
      <c r="H3080"/>
    </row>
    <row r="3081" spans="3:8" x14ac:dyDescent="0.3">
      <c r="C3081"/>
      <c r="D3081"/>
      <c r="E3081"/>
      <c r="F3081"/>
      <c r="G3081"/>
      <c r="H3081"/>
    </row>
    <row r="3082" spans="3:8" x14ac:dyDescent="0.3">
      <c r="C3082"/>
      <c r="D3082"/>
      <c r="E3082"/>
      <c r="F3082"/>
      <c r="G3082"/>
      <c r="H3082"/>
    </row>
    <row r="3083" spans="3:8" x14ac:dyDescent="0.3">
      <c r="C3083"/>
      <c r="D3083"/>
      <c r="E3083"/>
      <c r="F3083"/>
      <c r="G3083"/>
      <c r="H3083"/>
    </row>
    <row r="3084" spans="3:8" x14ac:dyDescent="0.3">
      <c r="C3084"/>
      <c r="D3084"/>
      <c r="E3084"/>
      <c r="F3084"/>
      <c r="G3084"/>
      <c r="H3084"/>
    </row>
    <row r="3085" spans="3:8" x14ac:dyDescent="0.3">
      <c r="C3085"/>
      <c r="D3085"/>
      <c r="E3085"/>
      <c r="F3085"/>
      <c r="G3085"/>
      <c r="H3085"/>
    </row>
    <row r="3086" spans="3:8" x14ac:dyDescent="0.3">
      <c r="C3086"/>
      <c r="D3086"/>
      <c r="E3086"/>
      <c r="F3086"/>
      <c r="G3086"/>
      <c r="H3086"/>
    </row>
    <row r="3087" spans="3:8" x14ac:dyDescent="0.3">
      <c r="C3087"/>
      <c r="D3087"/>
      <c r="E3087"/>
      <c r="F3087"/>
      <c r="G3087"/>
      <c r="H3087"/>
    </row>
    <row r="3088" spans="3:8" x14ac:dyDescent="0.3">
      <c r="C3088"/>
      <c r="D3088"/>
      <c r="E3088"/>
      <c r="F3088"/>
      <c r="G3088"/>
      <c r="H3088"/>
    </row>
    <row r="3089" spans="3:8" x14ac:dyDescent="0.3">
      <c r="C3089"/>
      <c r="D3089"/>
      <c r="E3089"/>
      <c r="F3089"/>
      <c r="G3089"/>
      <c r="H3089"/>
    </row>
    <row r="3090" spans="3:8" x14ac:dyDescent="0.3">
      <c r="C3090"/>
      <c r="D3090"/>
      <c r="E3090"/>
      <c r="F3090"/>
      <c r="G3090"/>
      <c r="H3090"/>
    </row>
    <row r="3091" spans="3:8" x14ac:dyDescent="0.3">
      <c r="C3091"/>
      <c r="D3091"/>
      <c r="E3091"/>
      <c r="F3091"/>
      <c r="G3091"/>
      <c r="H3091"/>
    </row>
    <row r="3092" spans="3:8" x14ac:dyDescent="0.3">
      <c r="C3092"/>
      <c r="D3092"/>
      <c r="E3092"/>
      <c r="F3092"/>
      <c r="G3092"/>
      <c r="H3092"/>
    </row>
    <row r="3093" spans="3:8" x14ac:dyDescent="0.3">
      <c r="C3093"/>
      <c r="D3093"/>
      <c r="E3093"/>
      <c r="F3093"/>
      <c r="G3093"/>
      <c r="H3093"/>
    </row>
    <row r="3094" spans="3:8" x14ac:dyDescent="0.3">
      <c r="C3094"/>
      <c r="D3094"/>
      <c r="E3094"/>
      <c r="F3094"/>
      <c r="G3094"/>
      <c r="H3094"/>
    </row>
    <row r="3095" spans="3:8" x14ac:dyDescent="0.3">
      <c r="C3095"/>
      <c r="D3095"/>
      <c r="E3095"/>
      <c r="F3095"/>
      <c r="G3095"/>
      <c r="H3095"/>
    </row>
    <row r="3096" spans="3:8" x14ac:dyDescent="0.3">
      <c r="C3096"/>
      <c r="D3096"/>
      <c r="E3096"/>
      <c r="F3096"/>
      <c r="G3096"/>
      <c r="H3096"/>
    </row>
    <row r="3097" spans="3:8" x14ac:dyDescent="0.3">
      <c r="C3097"/>
      <c r="D3097"/>
      <c r="E3097"/>
      <c r="F3097"/>
      <c r="G3097"/>
      <c r="H3097"/>
    </row>
    <row r="3098" spans="3:8" x14ac:dyDescent="0.3">
      <c r="C3098"/>
      <c r="D3098"/>
      <c r="E3098"/>
      <c r="F3098"/>
      <c r="G3098"/>
      <c r="H3098"/>
    </row>
    <row r="3099" spans="3:8" x14ac:dyDescent="0.3">
      <c r="C3099"/>
      <c r="D3099"/>
      <c r="E3099"/>
      <c r="F3099"/>
      <c r="G3099"/>
      <c r="H3099"/>
    </row>
    <row r="3100" spans="3:8" x14ac:dyDescent="0.3">
      <c r="C3100"/>
      <c r="D3100"/>
      <c r="E3100"/>
      <c r="F3100"/>
      <c r="G3100"/>
      <c r="H3100"/>
    </row>
    <row r="3101" spans="3:8" x14ac:dyDescent="0.3">
      <c r="C3101"/>
      <c r="D3101"/>
      <c r="E3101"/>
      <c r="F3101"/>
      <c r="G3101"/>
      <c r="H3101"/>
    </row>
    <row r="3102" spans="3:8" x14ac:dyDescent="0.3">
      <c r="C3102"/>
      <c r="D3102"/>
      <c r="E3102"/>
      <c r="F3102"/>
      <c r="G3102"/>
      <c r="H3102"/>
    </row>
    <row r="3103" spans="3:8" x14ac:dyDescent="0.3">
      <c r="C3103"/>
      <c r="D3103"/>
      <c r="E3103"/>
      <c r="F3103"/>
      <c r="G3103"/>
      <c r="H3103"/>
    </row>
    <row r="3104" spans="3:8" x14ac:dyDescent="0.3">
      <c r="C3104"/>
      <c r="D3104"/>
      <c r="E3104"/>
      <c r="F3104"/>
      <c r="G3104"/>
      <c r="H3104"/>
    </row>
    <row r="3105" spans="3:8" x14ac:dyDescent="0.3">
      <c r="C3105"/>
      <c r="D3105"/>
      <c r="E3105"/>
      <c r="F3105"/>
      <c r="G3105"/>
      <c r="H3105"/>
    </row>
    <row r="3106" spans="3:8" x14ac:dyDescent="0.3">
      <c r="C3106"/>
      <c r="D3106"/>
      <c r="E3106"/>
      <c r="F3106"/>
      <c r="G3106"/>
      <c r="H3106"/>
    </row>
    <row r="3107" spans="3:8" x14ac:dyDescent="0.3">
      <c r="C3107"/>
      <c r="D3107"/>
      <c r="E3107"/>
      <c r="F3107"/>
      <c r="G3107"/>
      <c r="H3107"/>
    </row>
    <row r="3108" spans="3:8" x14ac:dyDescent="0.3">
      <c r="C3108"/>
      <c r="D3108"/>
      <c r="E3108"/>
      <c r="F3108"/>
      <c r="G3108"/>
      <c r="H3108"/>
    </row>
    <row r="3109" spans="3:8" x14ac:dyDescent="0.3">
      <c r="C3109"/>
      <c r="D3109"/>
      <c r="E3109"/>
      <c r="F3109"/>
      <c r="G3109"/>
      <c r="H3109"/>
    </row>
    <row r="3110" spans="3:8" x14ac:dyDescent="0.3">
      <c r="C3110"/>
      <c r="D3110"/>
      <c r="E3110"/>
      <c r="F3110"/>
      <c r="G3110"/>
      <c r="H3110"/>
    </row>
    <row r="3111" spans="3:8" x14ac:dyDescent="0.3">
      <c r="C3111"/>
      <c r="D3111"/>
      <c r="E3111"/>
      <c r="F3111"/>
      <c r="G3111"/>
      <c r="H3111"/>
    </row>
    <row r="3112" spans="3:8" x14ac:dyDescent="0.3">
      <c r="C3112"/>
      <c r="D3112"/>
      <c r="E3112"/>
      <c r="F3112"/>
      <c r="G3112"/>
      <c r="H3112"/>
    </row>
    <row r="3113" spans="3:8" x14ac:dyDescent="0.3">
      <c r="C3113"/>
      <c r="D3113"/>
      <c r="E3113"/>
      <c r="F3113"/>
      <c r="G3113"/>
      <c r="H3113"/>
    </row>
    <row r="3114" spans="3:8" x14ac:dyDescent="0.3">
      <c r="C3114"/>
      <c r="D3114"/>
      <c r="E3114"/>
      <c r="F3114"/>
      <c r="G3114"/>
      <c r="H3114"/>
    </row>
    <row r="3115" spans="3:8" x14ac:dyDescent="0.3">
      <c r="C3115"/>
      <c r="D3115"/>
      <c r="E3115"/>
      <c r="F3115"/>
      <c r="G3115"/>
      <c r="H3115"/>
    </row>
    <row r="3116" spans="3:8" x14ac:dyDescent="0.3">
      <c r="C3116"/>
      <c r="D3116"/>
      <c r="E3116"/>
      <c r="F3116"/>
      <c r="G3116"/>
      <c r="H3116"/>
    </row>
    <row r="3117" spans="3:8" x14ac:dyDescent="0.3">
      <c r="C3117"/>
      <c r="D3117"/>
      <c r="E3117"/>
      <c r="F3117"/>
      <c r="G3117"/>
      <c r="H3117"/>
    </row>
    <row r="3118" spans="3:8" x14ac:dyDescent="0.3">
      <c r="C3118"/>
      <c r="D3118"/>
      <c r="E3118"/>
      <c r="F3118"/>
      <c r="G3118"/>
      <c r="H3118"/>
    </row>
    <row r="3119" spans="3:8" x14ac:dyDescent="0.3">
      <c r="C3119"/>
      <c r="D3119"/>
      <c r="E3119"/>
      <c r="F3119"/>
      <c r="G3119"/>
      <c r="H3119"/>
    </row>
    <row r="3120" spans="3:8" x14ac:dyDescent="0.3">
      <c r="C3120"/>
      <c r="D3120"/>
      <c r="E3120"/>
      <c r="F3120"/>
      <c r="G3120"/>
      <c r="H3120"/>
    </row>
    <row r="3121" spans="3:8" x14ac:dyDescent="0.3">
      <c r="C3121"/>
      <c r="D3121"/>
      <c r="E3121"/>
      <c r="F3121"/>
      <c r="G3121"/>
      <c r="H3121"/>
    </row>
    <row r="3122" spans="3:8" x14ac:dyDescent="0.3">
      <c r="C3122"/>
      <c r="D3122"/>
      <c r="E3122"/>
      <c r="F3122"/>
      <c r="G3122"/>
      <c r="H3122"/>
    </row>
    <row r="3123" spans="3:8" x14ac:dyDescent="0.3">
      <c r="C3123"/>
      <c r="D3123"/>
      <c r="E3123"/>
      <c r="F3123"/>
      <c r="G3123"/>
      <c r="H3123"/>
    </row>
    <row r="3124" spans="3:8" x14ac:dyDescent="0.3">
      <c r="C3124"/>
      <c r="D3124"/>
      <c r="E3124"/>
      <c r="F3124"/>
      <c r="G3124"/>
      <c r="H3124"/>
    </row>
    <row r="3125" spans="3:8" x14ac:dyDescent="0.3">
      <c r="C3125"/>
      <c r="D3125"/>
      <c r="E3125"/>
      <c r="F3125"/>
      <c r="G3125"/>
      <c r="H3125"/>
    </row>
    <row r="3126" spans="3:8" x14ac:dyDescent="0.3">
      <c r="C3126"/>
      <c r="D3126"/>
      <c r="E3126"/>
      <c r="F3126"/>
      <c r="G3126"/>
      <c r="H3126"/>
    </row>
    <row r="3127" spans="3:8" x14ac:dyDescent="0.3">
      <c r="C3127"/>
      <c r="D3127"/>
      <c r="E3127"/>
      <c r="F3127"/>
      <c r="G3127"/>
      <c r="H3127"/>
    </row>
    <row r="3128" spans="3:8" x14ac:dyDescent="0.3">
      <c r="C3128"/>
      <c r="D3128"/>
      <c r="E3128"/>
      <c r="F3128"/>
      <c r="G3128"/>
      <c r="H3128"/>
    </row>
    <row r="3129" spans="3:8" x14ac:dyDescent="0.3">
      <c r="C3129"/>
      <c r="D3129"/>
      <c r="E3129"/>
      <c r="F3129"/>
      <c r="G3129"/>
      <c r="H3129"/>
    </row>
    <row r="3130" spans="3:8" x14ac:dyDescent="0.3">
      <c r="C3130"/>
      <c r="D3130"/>
      <c r="E3130"/>
      <c r="F3130"/>
      <c r="G3130"/>
      <c r="H3130"/>
    </row>
    <row r="3131" spans="3:8" x14ac:dyDescent="0.3">
      <c r="C3131"/>
      <c r="D3131"/>
      <c r="E3131"/>
      <c r="F3131"/>
      <c r="G3131"/>
      <c r="H3131"/>
    </row>
    <row r="3132" spans="3:8" x14ac:dyDescent="0.3">
      <c r="C3132"/>
      <c r="D3132"/>
      <c r="E3132"/>
      <c r="F3132"/>
      <c r="G3132"/>
      <c r="H3132"/>
    </row>
    <row r="3133" spans="3:8" x14ac:dyDescent="0.3">
      <c r="C3133"/>
      <c r="D3133"/>
      <c r="E3133"/>
      <c r="F3133"/>
      <c r="G3133"/>
      <c r="H3133"/>
    </row>
    <row r="3134" spans="3:8" x14ac:dyDescent="0.3">
      <c r="C3134"/>
      <c r="D3134"/>
      <c r="E3134"/>
      <c r="F3134"/>
      <c r="G3134"/>
      <c r="H3134"/>
    </row>
    <row r="3135" spans="3:8" x14ac:dyDescent="0.3">
      <c r="C3135"/>
      <c r="D3135"/>
      <c r="E3135"/>
      <c r="F3135"/>
      <c r="G3135"/>
      <c r="H3135"/>
    </row>
    <row r="3136" spans="3:8" x14ac:dyDescent="0.3">
      <c r="C3136"/>
      <c r="D3136"/>
      <c r="E3136"/>
      <c r="F3136"/>
      <c r="G3136"/>
      <c r="H3136"/>
    </row>
    <row r="3137" spans="3:8" x14ac:dyDescent="0.3">
      <c r="C3137"/>
      <c r="D3137"/>
      <c r="E3137"/>
      <c r="F3137"/>
      <c r="G3137"/>
      <c r="H3137"/>
    </row>
    <row r="3138" spans="3:8" x14ac:dyDescent="0.3">
      <c r="C3138"/>
      <c r="D3138"/>
      <c r="E3138"/>
      <c r="F3138"/>
      <c r="G3138"/>
      <c r="H3138"/>
    </row>
    <row r="3139" spans="3:8" x14ac:dyDescent="0.3">
      <c r="C3139"/>
      <c r="D3139"/>
      <c r="E3139"/>
      <c r="F3139"/>
      <c r="G3139"/>
      <c r="H3139"/>
    </row>
    <row r="3140" spans="3:8" x14ac:dyDescent="0.3">
      <c r="C3140"/>
      <c r="D3140"/>
      <c r="E3140"/>
      <c r="F3140"/>
      <c r="G3140"/>
      <c r="H3140"/>
    </row>
    <row r="3141" spans="3:8" x14ac:dyDescent="0.3">
      <c r="C3141"/>
      <c r="D3141"/>
      <c r="E3141"/>
      <c r="F3141"/>
      <c r="G3141"/>
      <c r="H3141"/>
    </row>
    <row r="3142" spans="3:8" x14ac:dyDescent="0.3">
      <c r="C3142"/>
      <c r="D3142"/>
      <c r="E3142"/>
      <c r="F3142"/>
      <c r="G3142"/>
      <c r="H3142"/>
    </row>
    <row r="3143" spans="3:8" x14ac:dyDescent="0.3">
      <c r="C3143"/>
      <c r="D3143"/>
      <c r="E3143"/>
      <c r="F3143"/>
      <c r="G3143"/>
      <c r="H3143"/>
    </row>
    <row r="3144" spans="3:8" x14ac:dyDescent="0.3">
      <c r="C3144"/>
      <c r="D3144"/>
      <c r="E3144"/>
      <c r="F3144"/>
      <c r="G3144"/>
      <c r="H3144"/>
    </row>
    <row r="3145" spans="3:8" x14ac:dyDescent="0.3">
      <c r="C3145"/>
      <c r="D3145"/>
      <c r="E3145"/>
      <c r="F3145"/>
      <c r="G3145"/>
      <c r="H3145"/>
    </row>
    <row r="3146" spans="3:8" x14ac:dyDescent="0.3">
      <c r="C3146"/>
      <c r="D3146"/>
      <c r="E3146"/>
      <c r="F3146"/>
      <c r="G3146"/>
      <c r="H3146"/>
    </row>
    <row r="3147" spans="3:8" x14ac:dyDescent="0.3">
      <c r="C3147"/>
      <c r="D3147"/>
      <c r="E3147"/>
      <c r="F3147"/>
      <c r="G3147"/>
      <c r="H3147"/>
    </row>
    <row r="3148" spans="3:8" x14ac:dyDescent="0.3">
      <c r="C3148"/>
      <c r="D3148"/>
      <c r="E3148"/>
      <c r="F3148"/>
      <c r="G3148"/>
      <c r="H3148"/>
    </row>
    <row r="3149" spans="3:8" x14ac:dyDescent="0.3">
      <c r="C3149"/>
      <c r="D3149"/>
      <c r="E3149"/>
      <c r="F3149"/>
      <c r="G3149"/>
      <c r="H3149"/>
    </row>
    <row r="3150" spans="3:8" x14ac:dyDescent="0.3">
      <c r="C3150"/>
      <c r="D3150"/>
      <c r="E3150"/>
      <c r="F3150"/>
      <c r="G3150"/>
      <c r="H3150"/>
    </row>
    <row r="3151" spans="3:8" x14ac:dyDescent="0.3">
      <c r="C3151"/>
      <c r="D3151"/>
      <c r="E3151"/>
      <c r="F3151"/>
      <c r="G3151"/>
      <c r="H3151"/>
    </row>
    <row r="3152" spans="3:8" x14ac:dyDescent="0.3">
      <c r="C3152"/>
      <c r="D3152"/>
      <c r="E3152"/>
      <c r="F3152"/>
      <c r="G3152"/>
      <c r="H3152"/>
    </row>
    <row r="3153" spans="3:8" x14ac:dyDescent="0.3">
      <c r="C3153"/>
      <c r="D3153"/>
      <c r="E3153"/>
      <c r="F3153"/>
      <c r="G3153"/>
      <c r="H3153"/>
    </row>
    <row r="3154" spans="3:8" x14ac:dyDescent="0.3">
      <c r="C3154"/>
      <c r="D3154"/>
      <c r="E3154"/>
      <c r="F3154"/>
      <c r="G3154"/>
      <c r="H3154"/>
    </row>
    <row r="3155" spans="3:8" x14ac:dyDescent="0.3">
      <c r="C3155"/>
      <c r="D3155"/>
      <c r="E3155"/>
      <c r="F3155"/>
      <c r="G3155"/>
      <c r="H3155"/>
    </row>
    <row r="3156" spans="3:8" x14ac:dyDescent="0.3">
      <c r="C3156"/>
      <c r="D3156"/>
      <c r="E3156"/>
      <c r="F3156"/>
      <c r="G3156"/>
      <c r="H3156"/>
    </row>
    <row r="3157" spans="3:8" x14ac:dyDescent="0.3">
      <c r="C3157"/>
      <c r="D3157"/>
      <c r="E3157"/>
      <c r="F3157"/>
      <c r="G3157"/>
      <c r="H3157"/>
    </row>
    <row r="3158" spans="3:8" x14ac:dyDescent="0.3">
      <c r="C3158"/>
      <c r="D3158"/>
      <c r="E3158"/>
      <c r="F3158"/>
      <c r="G3158"/>
      <c r="H3158"/>
    </row>
    <row r="3159" spans="3:8" x14ac:dyDescent="0.3">
      <c r="C3159"/>
      <c r="D3159"/>
      <c r="E3159"/>
      <c r="F3159"/>
      <c r="G3159"/>
      <c r="H3159"/>
    </row>
    <row r="3160" spans="3:8" x14ac:dyDescent="0.3">
      <c r="C3160"/>
      <c r="D3160"/>
      <c r="E3160"/>
      <c r="F3160"/>
      <c r="G3160"/>
      <c r="H3160"/>
    </row>
    <row r="3161" spans="3:8" x14ac:dyDescent="0.3">
      <c r="C3161"/>
      <c r="D3161"/>
      <c r="E3161"/>
      <c r="F3161"/>
      <c r="G3161"/>
      <c r="H3161"/>
    </row>
    <row r="3162" spans="3:8" x14ac:dyDescent="0.3">
      <c r="C3162"/>
      <c r="D3162"/>
      <c r="E3162"/>
      <c r="F3162"/>
      <c r="G3162"/>
      <c r="H3162"/>
    </row>
    <row r="3163" spans="3:8" x14ac:dyDescent="0.3">
      <c r="C3163"/>
      <c r="D3163"/>
      <c r="E3163"/>
      <c r="F3163"/>
      <c r="G3163"/>
      <c r="H3163"/>
    </row>
    <row r="3164" spans="3:8" x14ac:dyDescent="0.3">
      <c r="C3164"/>
      <c r="D3164"/>
      <c r="E3164"/>
      <c r="F3164"/>
      <c r="G3164"/>
      <c r="H3164"/>
    </row>
    <row r="3165" spans="3:8" x14ac:dyDescent="0.3">
      <c r="C3165"/>
      <c r="D3165"/>
      <c r="E3165"/>
      <c r="F3165"/>
      <c r="G3165"/>
      <c r="H3165"/>
    </row>
    <row r="3166" spans="3:8" x14ac:dyDescent="0.3">
      <c r="C3166"/>
      <c r="D3166"/>
      <c r="E3166"/>
      <c r="F3166"/>
      <c r="G3166"/>
      <c r="H3166"/>
    </row>
    <row r="3167" spans="3:8" x14ac:dyDescent="0.3">
      <c r="C3167"/>
      <c r="D3167"/>
      <c r="E3167"/>
      <c r="F3167"/>
      <c r="G3167"/>
      <c r="H3167"/>
    </row>
    <row r="3168" spans="3:8" x14ac:dyDescent="0.3">
      <c r="C3168"/>
      <c r="D3168"/>
      <c r="E3168"/>
      <c r="F3168"/>
      <c r="G3168"/>
      <c r="H3168"/>
    </row>
    <row r="3169" spans="3:8" x14ac:dyDescent="0.3">
      <c r="C3169"/>
      <c r="D3169"/>
      <c r="E3169"/>
      <c r="F3169"/>
      <c r="G3169"/>
      <c r="H3169"/>
    </row>
    <row r="3170" spans="3:8" x14ac:dyDescent="0.3">
      <c r="C3170"/>
      <c r="D3170"/>
      <c r="E3170"/>
      <c r="F3170"/>
      <c r="G3170"/>
      <c r="H3170"/>
    </row>
    <row r="3171" spans="3:8" x14ac:dyDescent="0.3">
      <c r="C3171"/>
      <c r="D3171"/>
      <c r="E3171"/>
      <c r="F3171"/>
      <c r="G3171"/>
      <c r="H3171"/>
    </row>
    <row r="3172" spans="3:8" x14ac:dyDescent="0.3">
      <c r="C3172"/>
      <c r="D3172"/>
      <c r="E3172"/>
      <c r="F3172"/>
      <c r="G3172"/>
      <c r="H3172"/>
    </row>
    <row r="3173" spans="3:8" x14ac:dyDescent="0.3">
      <c r="C3173"/>
      <c r="D3173"/>
      <c r="E3173"/>
      <c r="F3173"/>
      <c r="G3173"/>
      <c r="H3173"/>
    </row>
    <row r="3174" spans="3:8" x14ac:dyDescent="0.3">
      <c r="C3174"/>
      <c r="D3174"/>
      <c r="E3174"/>
      <c r="F3174"/>
      <c r="G3174"/>
      <c r="H3174"/>
    </row>
    <row r="3175" spans="3:8" x14ac:dyDescent="0.3">
      <c r="C3175"/>
      <c r="D3175"/>
      <c r="E3175"/>
      <c r="F3175"/>
      <c r="G3175"/>
      <c r="H3175"/>
    </row>
    <row r="3176" spans="3:8" x14ac:dyDescent="0.3">
      <c r="C3176"/>
      <c r="D3176"/>
      <c r="E3176"/>
      <c r="F3176"/>
      <c r="G3176"/>
      <c r="H3176"/>
    </row>
    <row r="3177" spans="3:8" x14ac:dyDescent="0.3">
      <c r="C3177"/>
      <c r="D3177"/>
      <c r="E3177"/>
      <c r="F3177"/>
      <c r="G3177"/>
      <c r="H3177"/>
    </row>
    <row r="3178" spans="3:8" x14ac:dyDescent="0.3">
      <c r="C3178"/>
      <c r="D3178"/>
      <c r="E3178"/>
      <c r="F3178"/>
      <c r="G3178"/>
      <c r="H3178"/>
    </row>
    <row r="3179" spans="3:8" x14ac:dyDescent="0.3">
      <c r="C3179"/>
      <c r="D3179"/>
      <c r="E3179"/>
      <c r="F3179"/>
      <c r="G3179"/>
      <c r="H3179"/>
    </row>
    <row r="3180" spans="3:8" x14ac:dyDescent="0.3">
      <c r="C3180"/>
      <c r="D3180"/>
      <c r="E3180"/>
      <c r="F3180"/>
      <c r="G3180"/>
      <c r="H3180"/>
    </row>
    <row r="3181" spans="3:8" x14ac:dyDescent="0.3">
      <c r="C3181"/>
      <c r="D3181"/>
      <c r="E3181"/>
      <c r="F3181"/>
      <c r="G3181"/>
      <c r="H3181"/>
    </row>
    <row r="3182" spans="3:8" x14ac:dyDescent="0.3">
      <c r="C3182"/>
      <c r="D3182"/>
      <c r="E3182"/>
      <c r="F3182"/>
      <c r="G3182"/>
      <c r="H3182"/>
    </row>
    <row r="3183" spans="3:8" x14ac:dyDescent="0.3">
      <c r="C3183"/>
      <c r="D3183"/>
      <c r="E3183"/>
      <c r="F3183"/>
      <c r="G3183"/>
      <c r="H3183"/>
    </row>
    <row r="3184" spans="3:8" x14ac:dyDescent="0.3">
      <c r="C3184"/>
      <c r="D3184"/>
      <c r="E3184"/>
      <c r="F3184"/>
      <c r="G3184"/>
      <c r="H3184"/>
    </row>
    <row r="3185" spans="3:8" x14ac:dyDescent="0.3">
      <c r="C3185"/>
      <c r="D3185"/>
      <c r="E3185"/>
      <c r="F3185"/>
      <c r="G3185"/>
      <c r="H3185"/>
    </row>
    <row r="3186" spans="3:8" x14ac:dyDescent="0.3">
      <c r="C3186"/>
      <c r="D3186"/>
      <c r="E3186"/>
      <c r="F3186"/>
      <c r="G3186"/>
      <c r="H3186"/>
    </row>
    <row r="3187" spans="3:8" x14ac:dyDescent="0.3">
      <c r="C3187"/>
      <c r="D3187"/>
      <c r="E3187"/>
      <c r="F3187"/>
      <c r="G3187"/>
      <c r="H3187"/>
    </row>
    <row r="3188" spans="3:8" x14ac:dyDescent="0.3">
      <c r="C3188"/>
      <c r="D3188"/>
      <c r="E3188"/>
      <c r="F3188"/>
      <c r="G3188"/>
      <c r="H3188"/>
    </row>
    <row r="3189" spans="3:8" x14ac:dyDescent="0.3">
      <c r="C3189"/>
      <c r="D3189"/>
      <c r="E3189"/>
      <c r="F3189"/>
      <c r="G3189"/>
      <c r="H3189"/>
    </row>
    <row r="3190" spans="3:8" x14ac:dyDescent="0.3">
      <c r="C3190"/>
      <c r="D3190"/>
      <c r="E3190"/>
      <c r="F3190"/>
      <c r="G3190"/>
      <c r="H3190"/>
    </row>
    <row r="3191" spans="3:8" x14ac:dyDescent="0.3">
      <c r="C3191"/>
      <c r="D3191"/>
      <c r="E3191"/>
      <c r="F3191"/>
      <c r="G3191"/>
      <c r="H3191"/>
    </row>
    <row r="3192" spans="3:8" x14ac:dyDescent="0.3">
      <c r="C3192"/>
      <c r="D3192"/>
      <c r="E3192"/>
      <c r="F3192"/>
      <c r="G3192"/>
      <c r="H3192"/>
    </row>
    <row r="3193" spans="3:8" x14ac:dyDescent="0.3">
      <c r="C3193"/>
      <c r="D3193"/>
      <c r="E3193"/>
      <c r="F3193"/>
      <c r="G3193"/>
      <c r="H3193"/>
    </row>
    <row r="3194" spans="3:8" x14ac:dyDescent="0.3">
      <c r="C3194"/>
      <c r="D3194"/>
      <c r="E3194"/>
      <c r="F3194"/>
      <c r="G3194"/>
      <c r="H3194"/>
    </row>
    <row r="3195" spans="3:8" x14ac:dyDescent="0.3">
      <c r="C3195"/>
      <c r="D3195"/>
      <c r="E3195"/>
      <c r="F3195"/>
      <c r="G3195"/>
      <c r="H3195"/>
    </row>
    <row r="3196" spans="3:8" x14ac:dyDescent="0.3">
      <c r="C3196"/>
      <c r="D3196"/>
      <c r="E3196"/>
      <c r="F3196"/>
      <c r="G3196"/>
      <c r="H3196"/>
    </row>
    <row r="3197" spans="3:8" x14ac:dyDescent="0.3">
      <c r="C3197"/>
      <c r="D3197"/>
      <c r="E3197"/>
      <c r="F3197"/>
      <c r="G3197"/>
      <c r="H3197"/>
    </row>
    <row r="3198" spans="3:8" x14ac:dyDescent="0.3">
      <c r="C3198"/>
      <c r="D3198"/>
      <c r="E3198"/>
      <c r="F3198"/>
      <c r="G3198"/>
      <c r="H3198"/>
    </row>
    <row r="3199" spans="3:8" x14ac:dyDescent="0.3">
      <c r="C3199"/>
      <c r="D3199"/>
      <c r="E3199"/>
      <c r="F3199"/>
      <c r="G3199"/>
      <c r="H3199"/>
    </row>
    <row r="3200" spans="3:8" x14ac:dyDescent="0.3">
      <c r="C3200"/>
      <c r="D3200"/>
      <c r="E3200"/>
      <c r="F3200"/>
      <c r="G3200"/>
      <c r="H3200"/>
    </row>
    <row r="3201" spans="3:8" x14ac:dyDescent="0.3">
      <c r="C3201"/>
      <c r="D3201"/>
      <c r="E3201"/>
      <c r="F3201"/>
      <c r="G3201"/>
      <c r="H3201"/>
    </row>
    <row r="3202" spans="3:8" x14ac:dyDescent="0.3">
      <c r="C3202"/>
      <c r="D3202"/>
      <c r="E3202"/>
      <c r="F3202"/>
      <c r="G3202"/>
      <c r="H3202"/>
    </row>
    <row r="3203" spans="3:8" x14ac:dyDescent="0.3">
      <c r="C3203"/>
      <c r="D3203"/>
      <c r="E3203"/>
      <c r="F3203"/>
      <c r="G3203"/>
      <c r="H3203"/>
    </row>
    <row r="3204" spans="3:8" x14ac:dyDescent="0.3">
      <c r="C3204"/>
      <c r="D3204"/>
      <c r="E3204"/>
      <c r="F3204"/>
      <c r="G3204"/>
      <c r="H3204"/>
    </row>
    <row r="3205" spans="3:8" x14ac:dyDescent="0.3">
      <c r="C3205"/>
      <c r="D3205"/>
      <c r="E3205"/>
      <c r="F3205"/>
      <c r="G3205"/>
      <c r="H3205"/>
    </row>
    <row r="3206" spans="3:8" x14ac:dyDescent="0.3">
      <c r="C3206"/>
      <c r="D3206"/>
      <c r="E3206"/>
      <c r="F3206"/>
      <c r="G3206"/>
      <c r="H3206"/>
    </row>
    <row r="3207" spans="3:8" x14ac:dyDescent="0.3">
      <c r="C3207"/>
      <c r="D3207"/>
      <c r="E3207"/>
      <c r="F3207"/>
      <c r="G3207"/>
      <c r="H3207"/>
    </row>
    <row r="3208" spans="3:8" x14ac:dyDescent="0.3">
      <c r="C3208"/>
      <c r="D3208"/>
      <c r="E3208"/>
      <c r="F3208"/>
      <c r="G3208"/>
      <c r="H3208"/>
    </row>
    <row r="3209" spans="3:8" x14ac:dyDescent="0.3">
      <c r="C3209"/>
      <c r="D3209"/>
      <c r="E3209"/>
      <c r="F3209"/>
      <c r="G3209"/>
      <c r="H3209"/>
    </row>
    <row r="3210" spans="3:8" x14ac:dyDescent="0.3">
      <c r="C3210"/>
      <c r="D3210"/>
      <c r="E3210"/>
      <c r="F3210"/>
      <c r="G3210"/>
      <c r="H3210"/>
    </row>
    <row r="3211" spans="3:8" x14ac:dyDescent="0.3">
      <c r="C3211"/>
      <c r="D3211"/>
      <c r="E3211"/>
      <c r="F3211"/>
      <c r="G3211"/>
      <c r="H3211"/>
    </row>
    <row r="3212" spans="3:8" x14ac:dyDescent="0.3">
      <c r="C3212"/>
      <c r="D3212"/>
      <c r="E3212"/>
      <c r="F3212"/>
      <c r="G3212"/>
      <c r="H3212"/>
    </row>
    <row r="3213" spans="3:8" x14ac:dyDescent="0.3">
      <c r="C3213"/>
      <c r="D3213"/>
      <c r="E3213"/>
      <c r="F3213"/>
      <c r="G3213"/>
      <c r="H3213"/>
    </row>
    <row r="3214" spans="3:8" x14ac:dyDescent="0.3">
      <c r="C3214"/>
      <c r="D3214"/>
      <c r="E3214"/>
      <c r="F3214"/>
      <c r="G3214"/>
      <c r="H3214"/>
    </row>
    <row r="3215" spans="3:8" x14ac:dyDescent="0.3">
      <c r="C3215"/>
      <c r="D3215"/>
      <c r="E3215"/>
      <c r="F3215"/>
      <c r="G3215"/>
      <c r="H3215"/>
    </row>
    <row r="3216" spans="3:8" x14ac:dyDescent="0.3">
      <c r="C3216"/>
      <c r="D3216"/>
      <c r="E3216"/>
      <c r="F3216"/>
      <c r="G3216"/>
      <c r="H3216"/>
    </row>
    <row r="3217" spans="3:8" x14ac:dyDescent="0.3">
      <c r="C3217"/>
      <c r="D3217"/>
      <c r="E3217"/>
      <c r="F3217"/>
      <c r="G3217"/>
      <c r="H3217"/>
    </row>
    <row r="3218" spans="3:8" x14ac:dyDescent="0.3">
      <c r="C3218"/>
      <c r="D3218"/>
      <c r="E3218"/>
      <c r="F3218"/>
      <c r="G3218"/>
      <c r="H3218"/>
    </row>
    <row r="3219" spans="3:8" x14ac:dyDescent="0.3">
      <c r="C3219"/>
      <c r="D3219"/>
      <c r="E3219"/>
      <c r="F3219"/>
      <c r="G3219"/>
      <c r="H3219"/>
    </row>
    <row r="3220" spans="3:8" x14ac:dyDescent="0.3">
      <c r="C3220"/>
      <c r="D3220"/>
      <c r="E3220"/>
      <c r="F3220"/>
      <c r="G3220"/>
      <c r="H3220"/>
    </row>
    <row r="3221" spans="3:8" x14ac:dyDescent="0.3">
      <c r="C3221"/>
      <c r="D3221"/>
      <c r="E3221"/>
      <c r="F3221"/>
      <c r="G3221"/>
      <c r="H3221"/>
    </row>
    <row r="3222" spans="3:8" x14ac:dyDescent="0.3">
      <c r="C3222"/>
      <c r="D3222"/>
      <c r="E3222"/>
      <c r="F3222"/>
      <c r="G3222"/>
      <c r="H3222"/>
    </row>
    <row r="3223" spans="3:8" x14ac:dyDescent="0.3">
      <c r="C3223"/>
      <c r="D3223"/>
      <c r="E3223"/>
      <c r="F3223"/>
      <c r="G3223"/>
      <c r="H3223"/>
    </row>
    <row r="3224" spans="3:8" x14ac:dyDescent="0.3">
      <c r="C3224"/>
      <c r="D3224"/>
      <c r="E3224"/>
      <c r="F3224"/>
      <c r="G3224"/>
      <c r="H3224"/>
    </row>
    <row r="3225" spans="3:8" x14ac:dyDescent="0.3">
      <c r="C3225"/>
      <c r="D3225"/>
      <c r="E3225"/>
      <c r="F3225"/>
      <c r="G3225"/>
      <c r="H3225"/>
    </row>
    <row r="3226" spans="3:8" x14ac:dyDescent="0.3">
      <c r="C3226"/>
      <c r="D3226"/>
      <c r="E3226"/>
      <c r="F3226"/>
      <c r="G3226"/>
      <c r="H3226"/>
    </row>
    <row r="3227" spans="3:8" x14ac:dyDescent="0.3">
      <c r="C3227"/>
      <c r="D3227"/>
      <c r="E3227"/>
      <c r="F3227"/>
      <c r="G3227"/>
      <c r="H3227"/>
    </row>
    <row r="3228" spans="3:8" x14ac:dyDescent="0.3">
      <c r="C3228"/>
      <c r="D3228"/>
      <c r="E3228"/>
      <c r="F3228"/>
      <c r="G3228"/>
      <c r="H3228"/>
    </row>
    <row r="3229" spans="3:8" x14ac:dyDescent="0.3">
      <c r="C3229"/>
      <c r="D3229"/>
      <c r="E3229"/>
      <c r="F3229"/>
      <c r="G3229"/>
      <c r="H3229"/>
    </row>
    <row r="3230" spans="3:8" x14ac:dyDescent="0.3">
      <c r="C3230"/>
      <c r="D3230"/>
      <c r="E3230"/>
      <c r="F3230"/>
      <c r="G3230"/>
      <c r="H3230"/>
    </row>
    <row r="3231" spans="3:8" x14ac:dyDescent="0.3">
      <c r="C3231"/>
      <c r="D3231"/>
      <c r="E3231"/>
      <c r="F3231"/>
      <c r="G3231"/>
      <c r="H3231"/>
    </row>
    <row r="3232" spans="3:8" x14ac:dyDescent="0.3">
      <c r="C3232"/>
      <c r="D3232"/>
      <c r="E3232"/>
      <c r="F3232"/>
      <c r="G3232"/>
      <c r="H3232"/>
    </row>
    <row r="3233" spans="3:8" x14ac:dyDescent="0.3">
      <c r="C3233"/>
      <c r="D3233"/>
      <c r="E3233"/>
      <c r="F3233"/>
      <c r="G3233"/>
      <c r="H3233"/>
    </row>
    <row r="3234" spans="3:8" x14ac:dyDescent="0.3">
      <c r="C3234"/>
      <c r="D3234"/>
      <c r="E3234"/>
      <c r="F3234"/>
      <c r="G3234"/>
      <c r="H3234"/>
    </row>
    <row r="3235" spans="3:8" x14ac:dyDescent="0.3">
      <c r="C3235"/>
      <c r="D3235"/>
      <c r="E3235"/>
      <c r="F3235"/>
      <c r="G3235"/>
      <c r="H3235"/>
    </row>
    <row r="3236" spans="3:8" x14ac:dyDescent="0.3">
      <c r="C3236"/>
      <c r="D3236"/>
      <c r="E3236"/>
      <c r="F3236"/>
      <c r="G3236"/>
      <c r="H3236"/>
    </row>
    <row r="3237" spans="3:8" x14ac:dyDescent="0.3">
      <c r="C3237"/>
      <c r="D3237"/>
      <c r="E3237"/>
      <c r="F3237"/>
      <c r="G3237"/>
      <c r="H3237"/>
    </row>
    <row r="3238" spans="3:8" x14ac:dyDescent="0.3">
      <c r="C3238"/>
      <c r="D3238"/>
      <c r="E3238"/>
      <c r="F3238"/>
      <c r="G3238"/>
      <c r="H3238"/>
    </row>
    <row r="3239" spans="3:8" x14ac:dyDescent="0.3">
      <c r="C3239"/>
      <c r="D3239"/>
      <c r="E3239"/>
      <c r="F3239"/>
      <c r="G3239"/>
      <c r="H3239"/>
    </row>
    <row r="3240" spans="3:8" x14ac:dyDescent="0.3">
      <c r="C3240"/>
      <c r="D3240"/>
      <c r="E3240"/>
      <c r="F3240"/>
      <c r="G3240"/>
      <c r="H3240"/>
    </row>
    <row r="3241" spans="3:8" x14ac:dyDescent="0.3">
      <c r="C3241"/>
      <c r="D3241"/>
      <c r="E3241"/>
      <c r="F3241"/>
      <c r="G3241"/>
      <c r="H3241"/>
    </row>
    <row r="3242" spans="3:8" x14ac:dyDescent="0.3">
      <c r="C3242"/>
      <c r="D3242"/>
      <c r="E3242"/>
      <c r="F3242"/>
      <c r="G3242"/>
      <c r="H3242"/>
    </row>
    <row r="3243" spans="3:8" x14ac:dyDescent="0.3">
      <c r="C3243"/>
      <c r="D3243"/>
      <c r="E3243"/>
      <c r="F3243"/>
      <c r="G3243"/>
      <c r="H3243"/>
    </row>
    <row r="3244" spans="3:8" x14ac:dyDescent="0.3">
      <c r="C3244"/>
      <c r="D3244"/>
      <c r="E3244"/>
      <c r="F3244"/>
      <c r="G3244"/>
      <c r="H3244"/>
    </row>
    <row r="3245" spans="3:8" x14ac:dyDescent="0.3">
      <c r="C3245"/>
      <c r="D3245"/>
      <c r="E3245"/>
      <c r="F3245"/>
      <c r="G3245"/>
      <c r="H3245"/>
    </row>
    <row r="3246" spans="3:8" x14ac:dyDescent="0.3">
      <c r="C3246"/>
      <c r="D3246"/>
      <c r="E3246"/>
      <c r="F3246"/>
      <c r="G3246"/>
      <c r="H3246"/>
    </row>
    <row r="3247" spans="3:8" x14ac:dyDescent="0.3">
      <c r="C3247"/>
      <c r="D3247"/>
      <c r="E3247"/>
      <c r="F3247"/>
      <c r="G3247"/>
      <c r="H3247"/>
    </row>
    <row r="3248" spans="3:8" x14ac:dyDescent="0.3">
      <c r="C3248"/>
      <c r="D3248"/>
      <c r="E3248"/>
      <c r="F3248"/>
      <c r="G3248"/>
      <c r="H3248"/>
    </row>
    <row r="3249" spans="3:8" x14ac:dyDescent="0.3">
      <c r="C3249"/>
      <c r="D3249"/>
      <c r="E3249"/>
      <c r="F3249"/>
      <c r="G3249"/>
      <c r="H3249"/>
    </row>
    <row r="3250" spans="3:8" x14ac:dyDescent="0.3">
      <c r="C3250"/>
      <c r="D3250"/>
      <c r="E3250"/>
      <c r="F3250"/>
      <c r="G3250"/>
      <c r="H3250"/>
    </row>
    <row r="3251" spans="3:8" x14ac:dyDescent="0.3">
      <c r="C3251"/>
      <c r="D3251"/>
      <c r="E3251"/>
      <c r="F3251"/>
      <c r="G3251"/>
      <c r="H3251"/>
    </row>
    <row r="3252" spans="3:8" x14ac:dyDescent="0.3">
      <c r="C3252"/>
      <c r="D3252"/>
      <c r="E3252"/>
      <c r="F3252"/>
      <c r="G3252"/>
      <c r="H3252"/>
    </row>
    <row r="3253" spans="3:8" x14ac:dyDescent="0.3">
      <c r="C3253"/>
      <c r="D3253"/>
      <c r="E3253"/>
      <c r="F3253"/>
      <c r="G3253"/>
      <c r="H3253"/>
    </row>
    <row r="3254" spans="3:8" x14ac:dyDescent="0.3">
      <c r="C3254"/>
      <c r="D3254"/>
      <c r="E3254"/>
      <c r="F3254"/>
      <c r="G3254"/>
      <c r="H3254"/>
    </row>
    <row r="3255" spans="3:8" x14ac:dyDescent="0.3">
      <c r="C3255"/>
      <c r="D3255"/>
      <c r="E3255"/>
      <c r="F3255"/>
      <c r="G3255"/>
      <c r="H3255"/>
    </row>
    <row r="3256" spans="3:8" x14ac:dyDescent="0.3">
      <c r="C3256"/>
      <c r="D3256"/>
      <c r="E3256"/>
      <c r="F3256"/>
      <c r="G3256"/>
      <c r="H3256"/>
    </row>
    <row r="3257" spans="3:8" x14ac:dyDescent="0.3">
      <c r="C3257"/>
      <c r="D3257"/>
      <c r="E3257"/>
      <c r="F3257"/>
      <c r="G3257"/>
      <c r="H3257"/>
    </row>
    <row r="3258" spans="3:8" x14ac:dyDescent="0.3">
      <c r="C3258"/>
      <c r="D3258"/>
      <c r="E3258"/>
      <c r="F3258"/>
      <c r="G3258"/>
      <c r="H3258"/>
    </row>
    <row r="3259" spans="3:8" x14ac:dyDescent="0.3">
      <c r="C3259"/>
      <c r="D3259"/>
      <c r="E3259"/>
      <c r="F3259"/>
      <c r="G3259"/>
      <c r="H3259"/>
    </row>
    <row r="3260" spans="3:8" x14ac:dyDescent="0.3">
      <c r="C3260"/>
      <c r="D3260"/>
      <c r="E3260"/>
      <c r="F3260"/>
      <c r="G3260"/>
      <c r="H3260"/>
    </row>
    <row r="3261" spans="3:8" x14ac:dyDescent="0.3">
      <c r="C3261"/>
      <c r="D3261"/>
      <c r="E3261"/>
      <c r="F3261"/>
      <c r="G3261"/>
      <c r="H3261"/>
    </row>
    <row r="3262" spans="3:8" x14ac:dyDescent="0.3">
      <c r="C3262"/>
      <c r="D3262"/>
      <c r="E3262"/>
      <c r="F3262"/>
      <c r="G3262"/>
      <c r="H3262"/>
    </row>
    <row r="3263" spans="3:8" x14ac:dyDescent="0.3">
      <c r="C3263"/>
      <c r="D3263"/>
      <c r="E3263"/>
      <c r="F3263"/>
      <c r="G3263"/>
      <c r="H3263"/>
    </row>
    <row r="3264" spans="3:8" x14ac:dyDescent="0.3">
      <c r="C3264"/>
      <c r="D3264"/>
      <c r="E3264"/>
      <c r="F3264"/>
      <c r="G3264"/>
      <c r="H3264"/>
    </row>
    <row r="3265" spans="3:8" x14ac:dyDescent="0.3">
      <c r="C3265"/>
      <c r="D3265"/>
      <c r="E3265"/>
      <c r="F3265"/>
      <c r="G3265"/>
      <c r="H3265"/>
    </row>
    <row r="3266" spans="3:8" x14ac:dyDescent="0.3">
      <c r="C3266"/>
      <c r="D3266"/>
      <c r="E3266"/>
      <c r="F3266"/>
      <c r="G3266"/>
      <c r="H3266"/>
    </row>
    <row r="3267" spans="3:8" x14ac:dyDescent="0.3">
      <c r="C3267"/>
      <c r="D3267"/>
      <c r="E3267"/>
      <c r="F3267"/>
      <c r="G3267"/>
      <c r="H3267"/>
    </row>
    <row r="3268" spans="3:8" x14ac:dyDescent="0.3">
      <c r="C3268"/>
      <c r="D3268"/>
      <c r="E3268"/>
      <c r="F3268"/>
      <c r="G3268"/>
      <c r="H3268"/>
    </row>
    <row r="3269" spans="3:8" x14ac:dyDescent="0.3">
      <c r="C3269"/>
      <c r="D3269"/>
      <c r="E3269"/>
      <c r="F3269"/>
      <c r="G3269"/>
      <c r="H3269"/>
    </row>
    <row r="3270" spans="3:8" x14ac:dyDescent="0.3">
      <c r="C3270"/>
      <c r="D3270"/>
      <c r="E3270"/>
      <c r="F3270"/>
      <c r="G3270"/>
      <c r="H3270"/>
    </row>
    <row r="3271" spans="3:8" x14ac:dyDescent="0.3">
      <c r="C3271"/>
      <c r="D3271"/>
      <c r="E3271"/>
      <c r="F3271"/>
      <c r="G3271"/>
      <c r="H3271"/>
    </row>
    <row r="3272" spans="3:8" x14ac:dyDescent="0.3">
      <c r="C3272"/>
      <c r="D3272"/>
      <c r="E3272"/>
      <c r="F3272"/>
      <c r="G3272"/>
      <c r="H3272"/>
    </row>
    <row r="3273" spans="3:8" x14ac:dyDescent="0.3">
      <c r="C3273"/>
      <c r="D3273"/>
      <c r="E3273"/>
      <c r="F3273"/>
      <c r="G3273"/>
      <c r="H3273"/>
    </row>
    <row r="3274" spans="3:8" x14ac:dyDescent="0.3">
      <c r="C3274"/>
      <c r="D3274"/>
      <c r="E3274"/>
      <c r="F3274"/>
      <c r="G3274"/>
      <c r="H3274"/>
    </row>
    <row r="3275" spans="3:8" x14ac:dyDescent="0.3">
      <c r="C3275"/>
      <c r="D3275"/>
      <c r="E3275"/>
      <c r="F3275"/>
      <c r="G3275"/>
      <c r="H3275"/>
    </row>
    <row r="3276" spans="3:8" x14ac:dyDescent="0.3">
      <c r="C3276"/>
      <c r="D3276"/>
      <c r="E3276"/>
      <c r="F3276"/>
      <c r="G3276"/>
      <c r="H3276"/>
    </row>
    <row r="3277" spans="3:8" x14ac:dyDescent="0.3">
      <c r="C3277"/>
      <c r="D3277"/>
      <c r="E3277"/>
      <c r="F3277"/>
      <c r="G3277"/>
      <c r="H3277"/>
    </row>
    <row r="3278" spans="3:8" x14ac:dyDescent="0.3">
      <c r="C3278"/>
      <c r="D3278"/>
      <c r="E3278"/>
      <c r="F3278"/>
      <c r="G3278"/>
      <c r="H3278"/>
    </row>
    <row r="3279" spans="3:8" x14ac:dyDescent="0.3">
      <c r="C3279"/>
      <c r="D3279"/>
      <c r="E3279"/>
      <c r="F3279"/>
      <c r="G3279"/>
      <c r="H3279"/>
    </row>
    <row r="3280" spans="3:8" x14ac:dyDescent="0.3">
      <c r="C3280"/>
      <c r="D3280"/>
      <c r="E3280"/>
      <c r="F3280"/>
      <c r="G3280"/>
      <c r="H3280"/>
    </row>
    <row r="3281" spans="3:8" x14ac:dyDescent="0.3">
      <c r="C3281"/>
      <c r="D3281"/>
      <c r="E3281"/>
      <c r="F3281"/>
      <c r="G3281"/>
      <c r="H3281"/>
    </row>
    <row r="3282" spans="3:8" x14ac:dyDescent="0.3">
      <c r="C3282"/>
      <c r="D3282"/>
      <c r="E3282"/>
      <c r="F3282"/>
      <c r="G3282"/>
      <c r="H3282"/>
    </row>
    <row r="3283" spans="3:8" x14ac:dyDescent="0.3">
      <c r="C3283"/>
      <c r="D3283"/>
      <c r="E3283"/>
      <c r="F3283"/>
      <c r="G3283"/>
      <c r="H3283"/>
    </row>
    <row r="3284" spans="3:8" x14ac:dyDescent="0.3">
      <c r="C3284"/>
      <c r="D3284"/>
      <c r="E3284"/>
      <c r="F3284"/>
      <c r="G3284"/>
      <c r="H3284"/>
    </row>
    <row r="3285" spans="3:8" x14ac:dyDescent="0.3">
      <c r="C3285"/>
      <c r="D3285"/>
      <c r="E3285"/>
      <c r="F3285"/>
      <c r="G3285"/>
      <c r="H3285"/>
    </row>
    <row r="3286" spans="3:8" x14ac:dyDescent="0.3">
      <c r="C3286"/>
      <c r="D3286"/>
      <c r="E3286"/>
      <c r="F3286"/>
      <c r="G3286"/>
      <c r="H3286"/>
    </row>
    <row r="3287" spans="3:8" x14ac:dyDescent="0.3">
      <c r="C3287"/>
      <c r="D3287"/>
      <c r="E3287"/>
      <c r="F3287"/>
      <c r="G3287"/>
      <c r="H3287"/>
    </row>
    <row r="3288" spans="3:8" x14ac:dyDescent="0.3">
      <c r="C3288"/>
      <c r="D3288"/>
      <c r="E3288"/>
      <c r="F3288"/>
      <c r="G3288"/>
      <c r="H3288"/>
    </row>
    <row r="3289" spans="3:8" x14ac:dyDescent="0.3">
      <c r="C3289"/>
      <c r="D3289"/>
      <c r="E3289"/>
      <c r="F3289"/>
      <c r="G3289"/>
      <c r="H3289"/>
    </row>
    <row r="3290" spans="3:8" x14ac:dyDescent="0.3">
      <c r="C3290"/>
      <c r="D3290"/>
      <c r="E3290"/>
      <c r="F3290"/>
      <c r="G3290"/>
      <c r="H3290"/>
    </row>
    <row r="3291" spans="3:8" x14ac:dyDescent="0.3">
      <c r="C3291"/>
      <c r="D3291"/>
      <c r="E3291"/>
      <c r="F3291"/>
      <c r="G3291"/>
      <c r="H3291"/>
    </row>
    <row r="3292" spans="3:8" x14ac:dyDescent="0.3">
      <c r="C3292"/>
      <c r="D3292"/>
      <c r="E3292"/>
      <c r="F3292"/>
      <c r="G3292"/>
      <c r="H3292"/>
    </row>
    <row r="3293" spans="3:8" x14ac:dyDescent="0.3">
      <c r="C3293"/>
      <c r="D3293"/>
      <c r="E3293"/>
      <c r="F3293"/>
      <c r="G3293"/>
      <c r="H3293"/>
    </row>
    <row r="3294" spans="3:8" x14ac:dyDescent="0.3">
      <c r="C3294"/>
      <c r="D3294"/>
      <c r="E3294"/>
      <c r="F3294"/>
      <c r="G3294"/>
      <c r="H3294"/>
    </row>
    <row r="3295" spans="3:8" x14ac:dyDescent="0.3">
      <c r="C3295"/>
      <c r="D3295"/>
      <c r="E3295"/>
      <c r="F3295"/>
      <c r="G3295"/>
      <c r="H3295"/>
    </row>
    <row r="3296" spans="3:8" x14ac:dyDescent="0.3">
      <c r="C3296"/>
      <c r="D3296"/>
      <c r="E3296"/>
      <c r="F3296"/>
      <c r="G3296"/>
      <c r="H3296"/>
    </row>
    <row r="3297" spans="3:8" x14ac:dyDescent="0.3">
      <c r="C3297"/>
      <c r="D3297"/>
      <c r="E3297"/>
      <c r="F3297"/>
      <c r="G3297"/>
      <c r="H3297"/>
    </row>
    <row r="3298" spans="3:8" x14ac:dyDescent="0.3">
      <c r="C3298"/>
      <c r="D3298"/>
      <c r="E3298"/>
      <c r="F3298"/>
      <c r="G3298"/>
      <c r="H3298"/>
    </row>
    <row r="3299" spans="3:8" x14ac:dyDescent="0.3">
      <c r="C3299"/>
      <c r="D3299"/>
      <c r="E3299"/>
      <c r="F3299"/>
      <c r="G3299"/>
      <c r="H3299"/>
    </row>
    <row r="3300" spans="3:8" x14ac:dyDescent="0.3">
      <c r="C3300"/>
      <c r="D3300"/>
      <c r="E3300"/>
      <c r="F3300"/>
      <c r="G3300"/>
      <c r="H3300"/>
    </row>
    <row r="3301" spans="3:8" x14ac:dyDescent="0.3">
      <c r="C3301"/>
      <c r="D3301"/>
      <c r="E3301"/>
      <c r="F3301"/>
      <c r="G3301"/>
      <c r="H3301"/>
    </row>
    <row r="3302" spans="3:8" x14ac:dyDescent="0.3">
      <c r="C3302"/>
      <c r="D3302"/>
      <c r="E3302"/>
      <c r="F3302"/>
      <c r="G3302"/>
      <c r="H3302"/>
    </row>
    <row r="3303" spans="3:8" x14ac:dyDescent="0.3">
      <c r="C3303"/>
      <c r="D3303"/>
      <c r="E3303"/>
      <c r="F3303"/>
      <c r="G3303"/>
      <c r="H3303"/>
    </row>
    <row r="3304" spans="3:8" x14ac:dyDescent="0.3">
      <c r="C3304"/>
      <c r="D3304"/>
      <c r="E3304"/>
      <c r="F3304"/>
      <c r="G3304"/>
      <c r="H3304"/>
    </row>
    <row r="3305" spans="3:8" x14ac:dyDescent="0.3">
      <c r="C3305"/>
      <c r="D3305"/>
      <c r="E3305"/>
      <c r="F3305"/>
      <c r="G3305"/>
      <c r="H3305"/>
    </row>
    <row r="3306" spans="3:8" x14ac:dyDescent="0.3">
      <c r="C3306"/>
      <c r="D3306"/>
      <c r="E3306"/>
      <c r="F3306"/>
      <c r="G3306"/>
      <c r="H3306"/>
    </row>
    <row r="3307" spans="3:8" x14ac:dyDescent="0.3">
      <c r="C3307"/>
      <c r="D3307"/>
      <c r="E3307"/>
      <c r="F3307"/>
      <c r="G3307"/>
      <c r="H3307"/>
    </row>
    <row r="3308" spans="3:8" x14ac:dyDescent="0.3">
      <c r="C3308"/>
      <c r="D3308"/>
      <c r="E3308"/>
      <c r="F3308"/>
      <c r="G3308"/>
      <c r="H3308"/>
    </row>
    <row r="3309" spans="3:8" x14ac:dyDescent="0.3">
      <c r="C3309"/>
      <c r="D3309"/>
      <c r="E3309"/>
      <c r="F3309"/>
      <c r="G3309"/>
      <c r="H3309"/>
    </row>
    <row r="3310" spans="3:8" x14ac:dyDescent="0.3">
      <c r="C3310"/>
      <c r="D3310"/>
      <c r="E3310"/>
      <c r="F3310"/>
      <c r="G3310"/>
      <c r="H3310"/>
    </row>
    <row r="3311" spans="3:8" x14ac:dyDescent="0.3">
      <c r="C3311"/>
      <c r="D3311"/>
      <c r="E3311"/>
      <c r="F3311"/>
      <c r="G3311"/>
      <c r="H3311"/>
    </row>
    <row r="3312" spans="3:8" x14ac:dyDescent="0.3">
      <c r="C3312"/>
      <c r="D3312"/>
      <c r="E3312"/>
      <c r="F3312"/>
      <c r="G3312"/>
      <c r="H3312"/>
    </row>
    <row r="3313" spans="3:8" x14ac:dyDescent="0.3">
      <c r="C3313"/>
      <c r="D3313"/>
      <c r="E3313"/>
      <c r="F3313"/>
      <c r="G3313"/>
      <c r="H3313"/>
    </row>
    <row r="3314" spans="3:8" x14ac:dyDescent="0.3">
      <c r="C3314"/>
      <c r="D3314"/>
      <c r="E3314"/>
      <c r="F3314"/>
      <c r="G3314"/>
      <c r="H3314"/>
    </row>
    <row r="3315" spans="3:8" x14ac:dyDescent="0.3">
      <c r="C3315"/>
      <c r="D3315"/>
      <c r="E3315"/>
      <c r="F3315"/>
      <c r="G3315"/>
      <c r="H3315"/>
    </row>
    <row r="3316" spans="3:8" x14ac:dyDescent="0.3">
      <c r="C3316"/>
      <c r="D3316"/>
      <c r="E3316"/>
      <c r="F3316"/>
      <c r="G3316"/>
      <c r="H3316"/>
    </row>
    <row r="3317" spans="3:8" x14ac:dyDescent="0.3">
      <c r="C3317"/>
      <c r="D3317"/>
      <c r="E3317"/>
      <c r="F3317"/>
      <c r="G3317"/>
      <c r="H3317"/>
    </row>
    <row r="3318" spans="3:8" x14ac:dyDescent="0.3">
      <c r="C3318"/>
      <c r="D3318"/>
      <c r="E3318"/>
      <c r="F3318"/>
      <c r="G3318"/>
      <c r="H3318"/>
    </row>
    <row r="3319" spans="3:8" x14ac:dyDescent="0.3">
      <c r="C3319"/>
      <c r="D3319"/>
      <c r="E3319"/>
      <c r="F3319"/>
      <c r="G3319"/>
      <c r="H3319"/>
    </row>
    <row r="3320" spans="3:8" x14ac:dyDescent="0.3">
      <c r="C3320"/>
      <c r="D3320"/>
      <c r="E3320"/>
      <c r="F3320"/>
      <c r="G3320"/>
      <c r="H3320"/>
    </row>
    <row r="3321" spans="3:8" x14ac:dyDescent="0.3">
      <c r="C3321"/>
      <c r="D3321"/>
      <c r="E3321"/>
      <c r="F3321"/>
      <c r="G3321"/>
      <c r="H3321"/>
    </row>
    <row r="3322" spans="3:8" x14ac:dyDescent="0.3">
      <c r="C3322"/>
      <c r="D3322"/>
      <c r="E3322"/>
      <c r="F3322"/>
      <c r="G3322"/>
      <c r="H3322"/>
    </row>
    <row r="3323" spans="3:8" x14ac:dyDescent="0.3">
      <c r="C3323"/>
      <c r="D3323"/>
      <c r="E3323"/>
      <c r="F3323"/>
      <c r="G3323"/>
      <c r="H3323"/>
    </row>
    <row r="3324" spans="3:8" x14ac:dyDescent="0.3">
      <c r="C3324"/>
      <c r="D3324"/>
      <c r="E3324"/>
      <c r="F3324"/>
      <c r="G3324"/>
      <c r="H3324"/>
    </row>
    <row r="3325" spans="3:8" x14ac:dyDescent="0.3">
      <c r="C3325"/>
      <c r="D3325"/>
      <c r="E3325"/>
      <c r="F3325"/>
      <c r="G3325"/>
      <c r="H3325"/>
    </row>
    <row r="3326" spans="3:8" x14ac:dyDescent="0.3">
      <c r="C3326"/>
      <c r="D3326"/>
      <c r="E3326"/>
      <c r="F3326"/>
      <c r="G3326"/>
      <c r="H3326"/>
    </row>
    <row r="3327" spans="3:8" x14ac:dyDescent="0.3">
      <c r="C3327"/>
      <c r="D3327"/>
      <c r="E3327"/>
      <c r="F3327"/>
      <c r="G3327"/>
      <c r="H3327"/>
    </row>
    <row r="3328" spans="3:8" x14ac:dyDescent="0.3">
      <c r="C3328"/>
      <c r="D3328"/>
      <c r="E3328"/>
      <c r="F3328"/>
      <c r="G3328"/>
      <c r="H3328"/>
    </row>
    <row r="3329" spans="3:8" x14ac:dyDescent="0.3">
      <c r="C3329"/>
      <c r="D3329"/>
      <c r="E3329"/>
      <c r="F3329"/>
      <c r="G3329"/>
      <c r="H3329"/>
    </row>
    <row r="3330" spans="3:8" x14ac:dyDescent="0.3">
      <c r="C3330"/>
      <c r="D3330"/>
      <c r="E3330"/>
      <c r="F3330"/>
      <c r="G3330"/>
      <c r="H3330"/>
    </row>
    <row r="3331" spans="3:8" x14ac:dyDescent="0.3">
      <c r="C3331"/>
      <c r="D3331"/>
      <c r="E3331"/>
      <c r="F3331"/>
      <c r="G3331"/>
      <c r="H3331"/>
    </row>
    <row r="3332" spans="3:8" x14ac:dyDescent="0.3">
      <c r="C3332"/>
      <c r="D3332"/>
      <c r="E3332"/>
      <c r="F3332"/>
      <c r="G3332"/>
      <c r="H3332"/>
    </row>
    <row r="3333" spans="3:8" x14ac:dyDescent="0.3">
      <c r="C3333"/>
      <c r="D3333"/>
      <c r="E3333"/>
      <c r="F3333"/>
      <c r="G3333"/>
      <c r="H3333"/>
    </row>
    <row r="3334" spans="3:8" x14ac:dyDescent="0.3">
      <c r="C3334"/>
      <c r="D3334"/>
      <c r="E3334"/>
      <c r="F3334"/>
      <c r="G3334"/>
      <c r="H3334"/>
    </row>
    <row r="3335" spans="3:8" x14ac:dyDescent="0.3">
      <c r="C3335"/>
      <c r="D3335"/>
      <c r="E3335"/>
      <c r="F3335"/>
      <c r="G3335"/>
      <c r="H3335"/>
    </row>
    <row r="3336" spans="3:8" x14ac:dyDescent="0.3">
      <c r="C3336"/>
      <c r="D3336"/>
      <c r="E3336"/>
      <c r="F3336"/>
      <c r="G3336"/>
      <c r="H3336"/>
    </row>
    <row r="3337" spans="3:8" x14ac:dyDescent="0.3">
      <c r="C3337"/>
      <c r="D3337"/>
      <c r="E3337"/>
      <c r="F3337"/>
      <c r="G3337"/>
      <c r="H3337"/>
    </row>
    <row r="3338" spans="3:8" x14ac:dyDescent="0.3">
      <c r="C3338"/>
      <c r="D3338"/>
      <c r="E3338"/>
      <c r="F3338"/>
      <c r="G3338"/>
      <c r="H3338"/>
    </row>
    <row r="3339" spans="3:8" x14ac:dyDescent="0.3">
      <c r="C3339"/>
      <c r="D3339"/>
      <c r="E3339"/>
      <c r="F3339"/>
      <c r="G3339"/>
      <c r="H3339"/>
    </row>
    <row r="3340" spans="3:8" x14ac:dyDescent="0.3">
      <c r="C3340"/>
      <c r="D3340"/>
      <c r="E3340"/>
      <c r="F3340"/>
      <c r="G3340"/>
      <c r="H3340"/>
    </row>
    <row r="3341" spans="3:8" x14ac:dyDescent="0.3">
      <c r="C3341"/>
      <c r="D3341"/>
      <c r="E3341"/>
      <c r="F3341"/>
      <c r="G3341"/>
      <c r="H3341"/>
    </row>
    <row r="3342" spans="3:8" x14ac:dyDescent="0.3">
      <c r="C3342"/>
      <c r="D3342"/>
      <c r="E3342"/>
      <c r="F3342"/>
      <c r="G3342"/>
      <c r="H3342"/>
    </row>
    <row r="3343" spans="3:8" x14ac:dyDescent="0.3">
      <c r="C3343"/>
      <c r="D3343"/>
      <c r="E3343"/>
      <c r="F3343"/>
      <c r="G3343"/>
      <c r="H3343"/>
    </row>
    <row r="3344" spans="3:8" x14ac:dyDescent="0.3">
      <c r="C3344"/>
      <c r="D3344"/>
      <c r="E3344"/>
      <c r="F3344"/>
      <c r="G3344"/>
      <c r="H3344"/>
    </row>
    <row r="3345" spans="3:8" x14ac:dyDescent="0.3">
      <c r="C3345"/>
      <c r="D3345"/>
      <c r="E3345"/>
      <c r="F3345"/>
      <c r="G3345"/>
      <c r="H3345"/>
    </row>
    <row r="3346" spans="3:8" x14ac:dyDescent="0.3">
      <c r="C3346"/>
      <c r="D3346"/>
      <c r="E3346"/>
      <c r="F3346"/>
      <c r="G3346"/>
      <c r="H3346"/>
    </row>
    <row r="3347" spans="3:8" x14ac:dyDescent="0.3">
      <c r="C3347"/>
      <c r="D3347"/>
      <c r="E3347"/>
      <c r="F3347"/>
      <c r="G3347"/>
      <c r="H3347"/>
    </row>
    <row r="3348" spans="3:8" x14ac:dyDescent="0.3">
      <c r="C3348"/>
      <c r="D3348"/>
      <c r="E3348"/>
      <c r="F3348"/>
      <c r="G3348"/>
      <c r="H3348"/>
    </row>
    <row r="3349" spans="3:8" x14ac:dyDescent="0.3">
      <c r="C3349"/>
      <c r="D3349"/>
      <c r="E3349"/>
      <c r="F3349"/>
      <c r="G3349"/>
      <c r="H3349"/>
    </row>
    <row r="3350" spans="3:8" x14ac:dyDescent="0.3">
      <c r="C3350"/>
      <c r="D3350"/>
      <c r="E3350"/>
      <c r="F3350"/>
      <c r="G3350"/>
      <c r="H3350"/>
    </row>
    <row r="3351" spans="3:8" x14ac:dyDescent="0.3">
      <c r="C3351"/>
      <c r="D3351"/>
      <c r="E3351"/>
      <c r="F3351"/>
      <c r="G3351"/>
      <c r="H3351"/>
    </row>
    <row r="3352" spans="3:8" x14ac:dyDescent="0.3">
      <c r="C3352"/>
      <c r="D3352"/>
      <c r="E3352"/>
      <c r="F3352"/>
      <c r="G3352"/>
      <c r="H3352"/>
    </row>
    <row r="3353" spans="3:8" x14ac:dyDescent="0.3">
      <c r="C3353"/>
      <c r="D3353"/>
      <c r="E3353"/>
      <c r="F3353"/>
      <c r="G3353"/>
      <c r="H3353"/>
    </row>
    <row r="3354" spans="3:8" x14ac:dyDescent="0.3">
      <c r="C3354"/>
      <c r="D3354"/>
      <c r="E3354"/>
      <c r="F3354"/>
      <c r="G3354"/>
      <c r="H3354"/>
    </row>
    <row r="3355" spans="3:8" x14ac:dyDescent="0.3">
      <c r="C3355"/>
      <c r="D3355"/>
      <c r="E3355"/>
      <c r="F3355"/>
      <c r="G3355"/>
      <c r="H3355"/>
    </row>
    <row r="3356" spans="3:8" x14ac:dyDescent="0.3">
      <c r="C3356"/>
      <c r="D3356"/>
      <c r="E3356"/>
      <c r="F3356"/>
      <c r="G3356"/>
      <c r="H3356"/>
    </row>
    <row r="3357" spans="3:8" x14ac:dyDescent="0.3">
      <c r="C3357"/>
      <c r="D3357"/>
      <c r="E3357"/>
      <c r="F3357"/>
      <c r="G3357"/>
      <c r="H3357"/>
    </row>
    <row r="3358" spans="3:8" x14ac:dyDescent="0.3">
      <c r="C3358"/>
      <c r="D3358"/>
      <c r="E3358"/>
      <c r="F3358"/>
      <c r="G3358"/>
      <c r="H3358"/>
    </row>
    <row r="3359" spans="3:8" x14ac:dyDescent="0.3">
      <c r="C3359"/>
      <c r="D3359"/>
      <c r="E3359"/>
      <c r="F3359"/>
      <c r="G3359"/>
      <c r="H3359"/>
    </row>
    <row r="3360" spans="3:8" x14ac:dyDescent="0.3">
      <c r="C3360"/>
      <c r="D3360"/>
      <c r="E3360"/>
      <c r="F3360"/>
      <c r="G3360"/>
      <c r="H3360"/>
    </row>
    <row r="3361" spans="3:8" x14ac:dyDescent="0.3">
      <c r="C3361"/>
      <c r="D3361"/>
      <c r="E3361"/>
      <c r="F3361"/>
      <c r="G3361"/>
      <c r="H3361"/>
    </row>
    <row r="3362" spans="3:8" x14ac:dyDescent="0.3">
      <c r="C3362"/>
      <c r="D3362"/>
      <c r="E3362"/>
      <c r="F3362"/>
      <c r="G3362"/>
      <c r="H3362"/>
    </row>
    <row r="3363" spans="3:8" x14ac:dyDescent="0.3">
      <c r="C3363"/>
      <c r="D3363"/>
      <c r="E3363"/>
      <c r="F3363"/>
      <c r="G3363"/>
      <c r="H3363"/>
    </row>
    <row r="3364" spans="3:8" x14ac:dyDescent="0.3">
      <c r="C3364"/>
      <c r="D3364"/>
      <c r="E3364"/>
      <c r="F3364"/>
      <c r="G3364"/>
      <c r="H3364"/>
    </row>
    <row r="3365" spans="3:8" x14ac:dyDescent="0.3">
      <c r="C3365"/>
      <c r="D3365"/>
      <c r="E3365"/>
      <c r="F3365"/>
      <c r="G3365"/>
      <c r="H3365"/>
    </row>
    <row r="3366" spans="3:8" x14ac:dyDescent="0.3">
      <c r="C3366"/>
      <c r="D3366"/>
      <c r="E3366"/>
      <c r="F3366"/>
      <c r="G3366"/>
      <c r="H3366"/>
    </row>
    <row r="3367" spans="3:8" x14ac:dyDescent="0.3">
      <c r="C3367"/>
      <c r="D3367"/>
      <c r="E3367"/>
      <c r="F3367"/>
      <c r="G3367"/>
      <c r="H3367"/>
    </row>
    <row r="3368" spans="3:8" x14ac:dyDescent="0.3">
      <c r="C3368"/>
      <c r="D3368"/>
      <c r="E3368"/>
      <c r="F3368"/>
      <c r="G3368"/>
      <c r="H3368"/>
    </row>
    <row r="3369" spans="3:8" x14ac:dyDescent="0.3">
      <c r="C3369"/>
      <c r="D3369"/>
      <c r="E3369"/>
      <c r="F3369"/>
      <c r="G3369"/>
      <c r="H3369"/>
    </row>
    <row r="3370" spans="3:8" x14ac:dyDescent="0.3">
      <c r="C3370"/>
      <c r="D3370"/>
      <c r="E3370"/>
      <c r="F3370"/>
      <c r="G3370"/>
      <c r="H3370"/>
    </row>
    <row r="3371" spans="3:8" x14ac:dyDescent="0.3">
      <c r="C3371"/>
      <c r="D3371"/>
      <c r="E3371"/>
      <c r="F3371"/>
      <c r="G3371"/>
      <c r="H3371"/>
    </row>
    <row r="3372" spans="3:8" x14ac:dyDescent="0.3">
      <c r="C3372"/>
      <c r="D3372"/>
      <c r="E3372"/>
      <c r="F3372"/>
      <c r="G3372"/>
      <c r="H3372"/>
    </row>
    <row r="3373" spans="3:8" x14ac:dyDescent="0.3">
      <c r="C3373"/>
      <c r="D3373"/>
      <c r="E3373"/>
      <c r="F3373"/>
      <c r="G3373"/>
      <c r="H3373"/>
    </row>
    <row r="3374" spans="3:8" x14ac:dyDescent="0.3">
      <c r="C3374"/>
      <c r="D3374"/>
      <c r="E3374"/>
      <c r="F3374"/>
      <c r="G3374"/>
      <c r="H3374"/>
    </row>
    <row r="3375" spans="3:8" x14ac:dyDescent="0.3">
      <c r="C3375"/>
      <c r="D3375"/>
      <c r="E3375"/>
      <c r="F3375"/>
      <c r="G3375"/>
      <c r="H3375"/>
    </row>
    <row r="3376" spans="3:8" x14ac:dyDescent="0.3">
      <c r="C3376"/>
      <c r="D3376"/>
      <c r="E3376"/>
      <c r="F3376"/>
      <c r="G3376"/>
      <c r="H3376"/>
    </row>
    <row r="3377" spans="3:8" x14ac:dyDescent="0.3">
      <c r="C3377"/>
      <c r="D3377"/>
      <c r="E3377"/>
      <c r="F3377"/>
      <c r="G3377"/>
      <c r="H3377"/>
    </row>
    <row r="3378" spans="3:8" x14ac:dyDescent="0.3">
      <c r="C3378"/>
      <c r="D3378"/>
      <c r="E3378"/>
      <c r="F3378"/>
      <c r="G3378"/>
      <c r="H3378"/>
    </row>
    <row r="3379" spans="3:8" x14ac:dyDescent="0.3">
      <c r="C3379"/>
      <c r="D3379"/>
      <c r="E3379"/>
      <c r="F3379"/>
      <c r="G3379"/>
      <c r="H3379"/>
    </row>
    <row r="3380" spans="3:8" x14ac:dyDescent="0.3">
      <c r="C3380"/>
      <c r="D3380"/>
      <c r="E3380"/>
      <c r="F3380"/>
      <c r="G3380"/>
      <c r="H3380"/>
    </row>
    <row r="3381" spans="3:8" x14ac:dyDescent="0.3">
      <c r="C3381"/>
      <c r="D3381"/>
      <c r="E3381"/>
      <c r="F3381"/>
      <c r="G3381"/>
      <c r="H3381"/>
    </row>
    <row r="3382" spans="3:8" x14ac:dyDescent="0.3">
      <c r="C3382"/>
      <c r="D3382"/>
      <c r="E3382"/>
      <c r="F3382"/>
      <c r="G3382"/>
      <c r="H3382"/>
    </row>
    <row r="3383" spans="3:8" x14ac:dyDescent="0.3">
      <c r="C3383"/>
      <c r="D3383"/>
      <c r="E3383"/>
      <c r="F3383"/>
      <c r="G3383"/>
      <c r="H3383"/>
    </row>
    <row r="3384" spans="3:8" x14ac:dyDescent="0.3">
      <c r="C3384"/>
      <c r="D3384"/>
      <c r="E3384"/>
      <c r="F3384"/>
      <c r="G3384"/>
      <c r="H3384"/>
    </row>
    <row r="3385" spans="3:8" x14ac:dyDescent="0.3">
      <c r="C3385"/>
      <c r="D3385"/>
      <c r="E3385"/>
      <c r="F3385"/>
      <c r="G3385"/>
      <c r="H3385"/>
    </row>
    <row r="3386" spans="3:8" x14ac:dyDescent="0.3">
      <c r="C3386"/>
      <c r="D3386"/>
      <c r="E3386"/>
      <c r="F3386"/>
      <c r="G3386"/>
      <c r="H3386"/>
    </row>
    <row r="3387" spans="3:8" x14ac:dyDescent="0.3">
      <c r="C3387"/>
      <c r="D3387"/>
      <c r="E3387"/>
      <c r="F3387"/>
      <c r="G3387"/>
      <c r="H3387"/>
    </row>
    <row r="3388" spans="3:8" x14ac:dyDescent="0.3">
      <c r="C3388"/>
      <c r="D3388"/>
      <c r="E3388"/>
      <c r="F3388"/>
      <c r="G3388"/>
      <c r="H3388"/>
    </row>
    <row r="3389" spans="3:8" x14ac:dyDescent="0.3">
      <c r="C3389"/>
      <c r="D3389"/>
      <c r="E3389"/>
      <c r="F3389"/>
      <c r="G3389"/>
      <c r="H3389"/>
    </row>
    <row r="3390" spans="3:8" x14ac:dyDescent="0.3">
      <c r="C3390"/>
      <c r="D3390"/>
      <c r="E3390"/>
      <c r="F3390"/>
      <c r="G3390"/>
      <c r="H3390"/>
    </row>
    <row r="3391" spans="3:8" x14ac:dyDescent="0.3">
      <c r="C3391"/>
      <c r="D3391"/>
      <c r="E3391"/>
      <c r="F3391"/>
      <c r="G3391"/>
      <c r="H3391"/>
    </row>
    <row r="3392" spans="3:8" x14ac:dyDescent="0.3">
      <c r="C3392"/>
      <c r="D3392"/>
      <c r="E3392"/>
      <c r="F3392"/>
      <c r="G3392"/>
      <c r="H3392"/>
    </row>
    <row r="3393" spans="3:8" x14ac:dyDescent="0.3">
      <c r="C3393"/>
      <c r="D3393"/>
      <c r="E3393"/>
      <c r="F3393"/>
      <c r="G3393"/>
      <c r="H3393"/>
    </row>
    <row r="3394" spans="3:8" x14ac:dyDescent="0.3">
      <c r="C3394"/>
      <c r="D3394"/>
      <c r="E3394"/>
      <c r="F3394"/>
      <c r="G3394"/>
      <c r="H3394"/>
    </row>
    <row r="3395" spans="3:8" x14ac:dyDescent="0.3">
      <c r="C3395"/>
      <c r="D3395"/>
      <c r="E3395"/>
      <c r="F3395"/>
      <c r="G3395"/>
      <c r="H3395"/>
    </row>
    <row r="3396" spans="3:8" x14ac:dyDescent="0.3">
      <c r="C3396"/>
      <c r="D3396"/>
      <c r="E3396"/>
      <c r="F3396"/>
      <c r="G3396"/>
      <c r="H3396"/>
    </row>
    <row r="3397" spans="3:8" x14ac:dyDescent="0.3">
      <c r="C3397"/>
      <c r="D3397"/>
      <c r="E3397"/>
      <c r="F3397"/>
      <c r="G3397"/>
      <c r="H3397"/>
    </row>
    <row r="3398" spans="3:8" x14ac:dyDescent="0.3">
      <c r="C3398"/>
      <c r="D3398"/>
      <c r="E3398"/>
      <c r="F3398"/>
      <c r="G3398"/>
      <c r="H3398"/>
    </row>
    <row r="3399" spans="3:8" x14ac:dyDescent="0.3">
      <c r="C3399"/>
      <c r="D3399"/>
      <c r="E3399"/>
      <c r="F3399"/>
      <c r="G3399"/>
      <c r="H3399"/>
    </row>
    <row r="3400" spans="3:8" x14ac:dyDescent="0.3">
      <c r="C3400"/>
      <c r="D3400"/>
      <c r="E3400"/>
      <c r="F3400"/>
      <c r="G3400"/>
      <c r="H3400"/>
    </row>
    <row r="3401" spans="3:8" x14ac:dyDescent="0.3">
      <c r="C3401"/>
      <c r="D3401"/>
      <c r="E3401"/>
      <c r="F3401"/>
      <c r="G3401"/>
      <c r="H3401"/>
    </row>
    <row r="3402" spans="3:8" x14ac:dyDescent="0.3">
      <c r="C3402"/>
      <c r="D3402"/>
      <c r="E3402"/>
      <c r="F3402"/>
      <c r="G3402"/>
      <c r="H3402"/>
    </row>
    <row r="3403" spans="3:8" x14ac:dyDescent="0.3">
      <c r="C3403"/>
      <c r="D3403"/>
      <c r="E3403"/>
      <c r="F3403"/>
      <c r="G3403"/>
      <c r="H3403"/>
    </row>
    <row r="3404" spans="3:8" x14ac:dyDescent="0.3">
      <c r="C3404"/>
      <c r="D3404"/>
      <c r="E3404"/>
      <c r="F3404"/>
      <c r="G3404"/>
      <c r="H3404"/>
    </row>
    <row r="3405" spans="3:8" x14ac:dyDescent="0.3">
      <c r="C3405"/>
      <c r="D3405"/>
      <c r="E3405"/>
      <c r="F3405"/>
      <c r="G3405"/>
      <c r="H3405"/>
    </row>
    <row r="3406" spans="3:8" x14ac:dyDescent="0.3">
      <c r="C3406"/>
      <c r="D3406"/>
      <c r="E3406"/>
      <c r="F3406"/>
      <c r="G3406"/>
      <c r="H3406"/>
    </row>
    <row r="3407" spans="3:8" x14ac:dyDescent="0.3">
      <c r="C3407"/>
      <c r="D3407"/>
      <c r="E3407"/>
      <c r="F3407"/>
      <c r="G3407"/>
      <c r="H3407"/>
    </row>
    <row r="3408" spans="3:8" x14ac:dyDescent="0.3">
      <c r="C3408"/>
      <c r="D3408"/>
      <c r="E3408"/>
      <c r="F3408"/>
      <c r="G3408"/>
      <c r="H3408"/>
    </row>
    <row r="3409" spans="3:8" x14ac:dyDescent="0.3">
      <c r="C3409"/>
      <c r="D3409"/>
      <c r="E3409"/>
      <c r="F3409"/>
      <c r="G3409"/>
      <c r="H3409"/>
    </row>
    <row r="3410" spans="3:8" x14ac:dyDescent="0.3">
      <c r="C3410"/>
      <c r="D3410"/>
      <c r="E3410"/>
      <c r="F3410"/>
      <c r="G3410"/>
      <c r="H3410"/>
    </row>
    <row r="3411" spans="3:8" x14ac:dyDescent="0.3">
      <c r="C3411"/>
      <c r="D3411"/>
      <c r="E3411"/>
      <c r="F3411"/>
      <c r="G3411"/>
      <c r="H3411"/>
    </row>
    <row r="3412" spans="3:8" x14ac:dyDescent="0.3">
      <c r="C3412"/>
      <c r="D3412"/>
      <c r="E3412"/>
      <c r="F3412"/>
      <c r="G3412"/>
      <c r="H3412"/>
    </row>
    <row r="3413" spans="3:8" x14ac:dyDescent="0.3">
      <c r="C3413"/>
      <c r="D3413"/>
      <c r="E3413"/>
      <c r="F3413"/>
      <c r="G3413"/>
      <c r="H3413"/>
    </row>
    <row r="3414" spans="3:8" x14ac:dyDescent="0.3">
      <c r="C3414"/>
      <c r="D3414"/>
      <c r="E3414"/>
      <c r="F3414"/>
      <c r="G3414"/>
      <c r="H3414"/>
    </row>
    <row r="3415" spans="3:8" x14ac:dyDescent="0.3">
      <c r="C3415"/>
      <c r="D3415"/>
      <c r="E3415"/>
      <c r="F3415"/>
      <c r="G3415"/>
      <c r="H3415"/>
    </row>
    <row r="3416" spans="3:8" x14ac:dyDescent="0.3">
      <c r="C3416"/>
      <c r="D3416"/>
      <c r="E3416"/>
      <c r="F3416"/>
      <c r="G3416"/>
      <c r="H3416"/>
    </row>
    <row r="3417" spans="3:8" x14ac:dyDescent="0.3">
      <c r="C3417"/>
      <c r="D3417"/>
      <c r="E3417"/>
      <c r="F3417"/>
      <c r="G3417"/>
      <c r="H3417"/>
    </row>
    <row r="3418" spans="3:8" x14ac:dyDescent="0.3">
      <c r="C3418"/>
      <c r="D3418"/>
      <c r="E3418"/>
      <c r="F3418"/>
      <c r="G3418"/>
      <c r="H3418"/>
    </row>
    <row r="3419" spans="3:8" x14ac:dyDescent="0.3">
      <c r="C3419"/>
      <c r="D3419"/>
      <c r="E3419"/>
      <c r="F3419"/>
      <c r="G3419"/>
      <c r="H3419"/>
    </row>
    <row r="3420" spans="3:8" x14ac:dyDescent="0.3">
      <c r="C3420"/>
      <c r="D3420"/>
      <c r="E3420"/>
      <c r="F3420"/>
      <c r="G3420"/>
      <c r="H3420"/>
    </row>
    <row r="3421" spans="3:8" x14ac:dyDescent="0.3">
      <c r="C3421"/>
      <c r="D3421"/>
      <c r="E3421"/>
      <c r="F3421"/>
      <c r="G3421"/>
      <c r="H3421"/>
    </row>
    <row r="3422" spans="3:8" x14ac:dyDescent="0.3">
      <c r="C3422"/>
      <c r="D3422"/>
      <c r="E3422"/>
      <c r="F3422"/>
      <c r="G3422"/>
      <c r="H3422"/>
    </row>
    <row r="3423" spans="3:8" x14ac:dyDescent="0.3">
      <c r="C3423"/>
      <c r="D3423"/>
      <c r="E3423"/>
      <c r="F3423"/>
      <c r="G3423"/>
      <c r="H3423"/>
    </row>
    <row r="3424" spans="3:8" x14ac:dyDescent="0.3">
      <c r="C3424"/>
      <c r="D3424"/>
      <c r="E3424"/>
      <c r="F3424"/>
      <c r="G3424"/>
      <c r="H3424"/>
    </row>
    <row r="3425" spans="3:8" x14ac:dyDescent="0.3">
      <c r="C3425"/>
      <c r="D3425"/>
      <c r="E3425"/>
      <c r="F3425"/>
      <c r="G3425"/>
      <c r="H3425"/>
    </row>
    <row r="3426" spans="3:8" x14ac:dyDescent="0.3">
      <c r="C3426"/>
      <c r="D3426"/>
      <c r="E3426"/>
      <c r="F3426"/>
      <c r="G3426"/>
      <c r="H3426"/>
    </row>
    <row r="3427" spans="3:8" x14ac:dyDescent="0.3">
      <c r="C3427"/>
      <c r="D3427"/>
      <c r="E3427"/>
      <c r="F3427"/>
      <c r="G3427"/>
      <c r="H3427"/>
    </row>
    <row r="3428" spans="3:8" x14ac:dyDescent="0.3">
      <c r="C3428"/>
      <c r="D3428"/>
      <c r="E3428"/>
      <c r="F3428"/>
      <c r="G3428"/>
      <c r="H3428"/>
    </row>
    <row r="3429" spans="3:8" x14ac:dyDescent="0.3">
      <c r="C3429"/>
      <c r="D3429"/>
      <c r="E3429"/>
      <c r="F3429"/>
      <c r="G3429"/>
      <c r="H3429"/>
    </row>
    <row r="3430" spans="3:8" x14ac:dyDescent="0.3">
      <c r="C3430"/>
      <c r="D3430"/>
      <c r="E3430"/>
      <c r="F3430"/>
      <c r="G3430"/>
      <c r="H3430"/>
    </row>
    <row r="3431" spans="3:8" x14ac:dyDescent="0.3">
      <c r="C3431"/>
      <c r="D3431"/>
      <c r="E3431"/>
      <c r="F3431"/>
      <c r="G3431"/>
      <c r="H3431"/>
    </row>
    <row r="3432" spans="3:8" x14ac:dyDescent="0.3">
      <c r="C3432"/>
      <c r="D3432"/>
      <c r="E3432"/>
      <c r="F3432"/>
      <c r="G3432"/>
      <c r="H3432"/>
    </row>
    <row r="3433" spans="3:8" x14ac:dyDescent="0.3">
      <c r="C3433"/>
      <c r="D3433"/>
      <c r="E3433"/>
      <c r="F3433"/>
      <c r="G3433"/>
      <c r="H3433"/>
    </row>
    <row r="3434" spans="3:8" x14ac:dyDescent="0.3">
      <c r="C3434"/>
      <c r="D3434"/>
      <c r="E3434"/>
      <c r="F3434"/>
      <c r="G3434"/>
      <c r="H3434"/>
    </row>
    <row r="3435" spans="3:8" x14ac:dyDescent="0.3">
      <c r="C3435"/>
      <c r="D3435"/>
      <c r="E3435"/>
      <c r="F3435"/>
      <c r="G3435"/>
      <c r="H3435"/>
    </row>
    <row r="3436" spans="3:8" x14ac:dyDescent="0.3">
      <c r="C3436"/>
      <c r="D3436"/>
      <c r="E3436"/>
      <c r="F3436"/>
      <c r="G3436"/>
      <c r="H3436"/>
    </row>
    <row r="3437" spans="3:8" x14ac:dyDescent="0.3">
      <c r="C3437"/>
      <c r="D3437"/>
      <c r="E3437"/>
      <c r="F3437"/>
      <c r="G3437"/>
      <c r="H3437"/>
    </row>
    <row r="3438" spans="3:8" x14ac:dyDescent="0.3">
      <c r="C3438"/>
      <c r="D3438"/>
      <c r="E3438"/>
      <c r="F3438"/>
      <c r="G3438"/>
      <c r="H3438"/>
    </row>
    <row r="3439" spans="3:8" x14ac:dyDescent="0.3">
      <c r="C3439"/>
      <c r="D3439"/>
      <c r="E3439"/>
      <c r="F3439"/>
      <c r="G3439"/>
      <c r="H3439"/>
    </row>
    <row r="3440" spans="3:8" x14ac:dyDescent="0.3">
      <c r="C3440"/>
      <c r="D3440"/>
      <c r="E3440"/>
      <c r="F3440"/>
      <c r="G3440"/>
      <c r="H3440"/>
    </row>
    <row r="3441" spans="3:8" x14ac:dyDescent="0.3">
      <c r="C3441"/>
      <c r="D3441"/>
      <c r="E3441"/>
      <c r="F3441"/>
      <c r="G3441"/>
      <c r="H3441"/>
    </row>
    <row r="3442" spans="3:8" x14ac:dyDescent="0.3">
      <c r="C3442"/>
      <c r="D3442"/>
      <c r="E3442"/>
      <c r="F3442"/>
      <c r="G3442"/>
      <c r="H3442"/>
    </row>
    <row r="3443" spans="3:8" x14ac:dyDescent="0.3">
      <c r="C3443"/>
      <c r="D3443"/>
      <c r="E3443"/>
      <c r="F3443"/>
      <c r="G3443"/>
      <c r="H3443"/>
    </row>
    <row r="3444" spans="3:8" x14ac:dyDescent="0.3">
      <c r="C3444"/>
      <c r="D3444"/>
      <c r="E3444"/>
      <c r="F3444"/>
      <c r="G3444"/>
      <c r="H3444"/>
    </row>
    <row r="3445" spans="3:8" x14ac:dyDescent="0.3">
      <c r="C3445"/>
      <c r="D3445"/>
      <c r="E3445"/>
      <c r="F3445"/>
      <c r="G3445"/>
      <c r="H3445"/>
    </row>
    <row r="3446" spans="3:8" x14ac:dyDescent="0.3">
      <c r="C3446"/>
      <c r="D3446"/>
      <c r="E3446"/>
      <c r="F3446"/>
      <c r="G3446"/>
      <c r="H3446"/>
    </row>
    <row r="3447" spans="3:8" x14ac:dyDescent="0.3">
      <c r="C3447"/>
      <c r="D3447"/>
      <c r="E3447"/>
      <c r="F3447"/>
      <c r="G3447"/>
      <c r="H3447"/>
    </row>
    <row r="3448" spans="3:8" x14ac:dyDescent="0.3">
      <c r="C3448"/>
      <c r="D3448"/>
      <c r="E3448"/>
      <c r="F3448"/>
      <c r="G3448"/>
      <c r="H3448"/>
    </row>
    <row r="3449" spans="3:8" x14ac:dyDescent="0.3">
      <c r="C3449"/>
      <c r="D3449"/>
      <c r="E3449"/>
      <c r="F3449"/>
      <c r="G3449"/>
      <c r="H3449"/>
    </row>
    <row r="3450" spans="3:8" x14ac:dyDescent="0.3">
      <c r="C3450"/>
      <c r="D3450"/>
      <c r="E3450"/>
      <c r="F3450"/>
      <c r="G3450"/>
      <c r="H3450"/>
    </row>
    <row r="3451" spans="3:8" x14ac:dyDescent="0.3">
      <c r="C3451"/>
      <c r="D3451"/>
      <c r="E3451"/>
      <c r="F3451"/>
      <c r="G3451"/>
      <c r="H3451"/>
    </row>
    <row r="3452" spans="3:8" x14ac:dyDescent="0.3">
      <c r="C3452"/>
      <c r="D3452"/>
      <c r="E3452"/>
      <c r="F3452"/>
      <c r="G3452"/>
      <c r="H3452"/>
    </row>
    <row r="3453" spans="3:8" x14ac:dyDescent="0.3">
      <c r="C3453"/>
      <c r="D3453"/>
      <c r="E3453"/>
      <c r="F3453"/>
      <c r="G3453"/>
      <c r="H3453"/>
    </row>
    <row r="3454" spans="3:8" x14ac:dyDescent="0.3">
      <c r="C3454"/>
      <c r="D3454"/>
      <c r="E3454"/>
      <c r="F3454"/>
      <c r="G3454"/>
      <c r="H3454"/>
    </row>
    <row r="3455" spans="3:8" x14ac:dyDescent="0.3">
      <c r="C3455"/>
      <c r="D3455"/>
      <c r="E3455"/>
      <c r="F3455"/>
      <c r="G3455"/>
      <c r="H3455"/>
    </row>
    <row r="3456" spans="3:8" x14ac:dyDescent="0.3">
      <c r="C3456"/>
      <c r="D3456"/>
      <c r="E3456"/>
      <c r="F3456"/>
      <c r="G3456"/>
      <c r="H3456"/>
    </row>
    <row r="3457" spans="3:8" x14ac:dyDescent="0.3">
      <c r="C3457"/>
      <c r="D3457"/>
      <c r="E3457"/>
      <c r="F3457"/>
      <c r="G3457"/>
      <c r="H3457"/>
    </row>
    <row r="3458" spans="3:8" x14ac:dyDescent="0.3">
      <c r="C3458"/>
      <c r="D3458"/>
      <c r="E3458"/>
      <c r="F3458"/>
      <c r="G3458"/>
      <c r="H3458"/>
    </row>
    <row r="3459" spans="3:8" x14ac:dyDescent="0.3">
      <c r="C3459"/>
      <c r="D3459"/>
      <c r="E3459"/>
      <c r="F3459"/>
      <c r="G3459"/>
      <c r="H3459"/>
    </row>
    <row r="3460" spans="3:8" x14ac:dyDescent="0.3">
      <c r="C3460"/>
      <c r="D3460"/>
      <c r="E3460"/>
      <c r="F3460"/>
      <c r="G3460"/>
      <c r="H3460"/>
    </row>
    <row r="3461" spans="3:8" x14ac:dyDescent="0.3">
      <c r="C3461"/>
      <c r="D3461"/>
      <c r="E3461"/>
      <c r="F3461"/>
      <c r="G3461"/>
      <c r="H3461"/>
    </row>
    <row r="3462" spans="3:8" x14ac:dyDescent="0.3">
      <c r="C3462"/>
      <c r="D3462"/>
      <c r="E3462"/>
      <c r="F3462"/>
      <c r="G3462"/>
      <c r="H3462"/>
    </row>
    <row r="3463" spans="3:8" x14ac:dyDescent="0.3">
      <c r="C3463"/>
      <c r="D3463"/>
      <c r="E3463"/>
      <c r="F3463"/>
      <c r="G3463"/>
      <c r="H3463"/>
    </row>
    <row r="3464" spans="3:8" x14ac:dyDescent="0.3">
      <c r="C3464"/>
      <c r="D3464"/>
      <c r="E3464"/>
      <c r="F3464"/>
      <c r="G3464"/>
      <c r="H3464"/>
    </row>
    <row r="3465" spans="3:8" x14ac:dyDescent="0.3">
      <c r="C3465"/>
      <c r="D3465"/>
      <c r="E3465"/>
      <c r="F3465"/>
      <c r="G3465"/>
      <c r="H3465"/>
    </row>
    <row r="3466" spans="3:8" x14ac:dyDescent="0.3">
      <c r="C3466"/>
      <c r="D3466"/>
      <c r="E3466"/>
      <c r="F3466"/>
      <c r="G3466"/>
      <c r="H3466"/>
    </row>
    <row r="3467" spans="3:8" x14ac:dyDescent="0.3">
      <c r="C3467"/>
      <c r="D3467"/>
      <c r="E3467"/>
      <c r="F3467"/>
      <c r="G3467"/>
      <c r="H3467"/>
    </row>
    <row r="3468" spans="3:8" x14ac:dyDescent="0.3">
      <c r="C3468"/>
      <c r="D3468"/>
      <c r="E3468"/>
      <c r="F3468"/>
      <c r="G3468"/>
      <c r="H3468"/>
    </row>
    <row r="3469" spans="3:8" x14ac:dyDescent="0.3">
      <c r="C3469"/>
      <c r="D3469"/>
      <c r="E3469"/>
      <c r="F3469"/>
      <c r="G3469"/>
      <c r="H3469"/>
    </row>
    <row r="3470" spans="3:8" x14ac:dyDescent="0.3">
      <c r="C3470"/>
      <c r="D3470"/>
      <c r="E3470"/>
      <c r="F3470"/>
      <c r="G3470"/>
      <c r="H3470"/>
    </row>
    <row r="3471" spans="3:8" x14ac:dyDescent="0.3">
      <c r="C3471"/>
      <c r="D3471"/>
      <c r="E3471"/>
      <c r="F3471"/>
      <c r="G3471"/>
      <c r="H3471"/>
    </row>
    <row r="3472" spans="3:8" x14ac:dyDescent="0.3">
      <c r="C3472"/>
      <c r="D3472"/>
      <c r="E3472"/>
      <c r="F3472"/>
      <c r="G3472"/>
      <c r="H3472"/>
    </row>
    <row r="3473" spans="3:8" x14ac:dyDescent="0.3">
      <c r="C3473"/>
      <c r="D3473"/>
      <c r="E3473"/>
      <c r="F3473"/>
      <c r="G3473"/>
      <c r="H3473"/>
    </row>
    <row r="3474" spans="3:8" x14ac:dyDescent="0.3">
      <c r="C3474"/>
      <c r="D3474"/>
      <c r="E3474"/>
      <c r="F3474"/>
      <c r="G3474"/>
      <c r="H3474"/>
    </row>
    <row r="3475" spans="3:8" x14ac:dyDescent="0.3">
      <c r="C3475"/>
      <c r="D3475"/>
      <c r="E3475"/>
      <c r="F3475"/>
      <c r="G3475"/>
      <c r="H3475"/>
    </row>
    <row r="3476" spans="3:8" x14ac:dyDescent="0.3">
      <c r="C3476"/>
      <c r="D3476"/>
      <c r="E3476"/>
      <c r="F3476"/>
      <c r="G3476"/>
      <c r="H3476"/>
    </row>
    <row r="3477" spans="3:8" x14ac:dyDescent="0.3">
      <c r="C3477"/>
      <c r="D3477"/>
      <c r="E3477"/>
      <c r="F3477"/>
      <c r="G3477"/>
      <c r="H3477"/>
    </row>
    <row r="3478" spans="3:8" x14ac:dyDescent="0.3">
      <c r="C3478"/>
      <c r="D3478"/>
      <c r="E3478"/>
      <c r="F3478"/>
      <c r="G3478"/>
      <c r="H3478"/>
    </row>
    <row r="3479" spans="3:8" x14ac:dyDescent="0.3">
      <c r="C3479"/>
      <c r="D3479"/>
      <c r="E3479"/>
      <c r="F3479"/>
      <c r="G3479"/>
      <c r="H3479"/>
    </row>
    <row r="3480" spans="3:8" x14ac:dyDescent="0.3">
      <c r="C3480"/>
      <c r="D3480"/>
      <c r="E3480"/>
      <c r="F3480"/>
      <c r="G3480"/>
      <c r="H3480"/>
    </row>
    <row r="3481" spans="3:8" x14ac:dyDescent="0.3">
      <c r="C3481"/>
      <c r="D3481"/>
      <c r="E3481"/>
      <c r="F3481"/>
      <c r="G3481"/>
      <c r="H3481"/>
    </row>
    <row r="3482" spans="3:8" x14ac:dyDescent="0.3">
      <c r="C3482"/>
      <c r="D3482"/>
      <c r="E3482"/>
      <c r="F3482"/>
      <c r="G3482"/>
      <c r="H3482"/>
    </row>
    <row r="3483" spans="3:8" x14ac:dyDescent="0.3">
      <c r="C3483"/>
      <c r="D3483"/>
      <c r="E3483"/>
      <c r="F3483"/>
      <c r="G3483"/>
      <c r="H3483"/>
    </row>
    <row r="3484" spans="3:8" x14ac:dyDescent="0.3">
      <c r="C3484"/>
      <c r="D3484"/>
      <c r="E3484"/>
      <c r="F3484"/>
      <c r="G3484"/>
      <c r="H3484"/>
    </row>
    <row r="3485" spans="3:8" x14ac:dyDescent="0.3">
      <c r="C3485"/>
      <c r="D3485"/>
      <c r="E3485"/>
      <c r="F3485"/>
      <c r="G3485"/>
      <c r="H3485"/>
    </row>
    <row r="3486" spans="3:8" x14ac:dyDescent="0.3">
      <c r="C3486"/>
      <c r="D3486"/>
      <c r="E3486"/>
      <c r="F3486"/>
      <c r="G3486"/>
      <c r="H3486"/>
    </row>
    <row r="3487" spans="3:8" x14ac:dyDescent="0.3">
      <c r="C3487"/>
      <c r="D3487"/>
      <c r="E3487"/>
      <c r="F3487"/>
      <c r="G3487"/>
      <c r="H3487"/>
    </row>
    <row r="3488" spans="3:8" x14ac:dyDescent="0.3">
      <c r="C3488"/>
      <c r="D3488"/>
      <c r="E3488"/>
      <c r="F3488"/>
      <c r="G3488"/>
      <c r="H3488"/>
    </row>
    <row r="3489" spans="3:8" x14ac:dyDescent="0.3">
      <c r="C3489"/>
      <c r="D3489"/>
      <c r="E3489"/>
      <c r="F3489"/>
      <c r="G3489"/>
      <c r="H3489"/>
    </row>
    <row r="3490" spans="3:8" x14ac:dyDescent="0.3">
      <c r="C3490"/>
      <c r="D3490"/>
      <c r="E3490"/>
      <c r="F3490"/>
      <c r="G3490"/>
      <c r="H3490"/>
    </row>
    <row r="3491" spans="3:8" x14ac:dyDescent="0.3">
      <c r="C3491"/>
      <c r="D3491"/>
      <c r="E3491"/>
      <c r="F3491"/>
      <c r="G3491"/>
      <c r="H3491"/>
    </row>
    <row r="3492" spans="3:8" x14ac:dyDescent="0.3">
      <c r="C3492"/>
      <c r="D3492"/>
      <c r="E3492"/>
      <c r="F3492"/>
      <c r="G3492"/>
      <c r="H3492"/>
    </row>
    <row r="3493" spans="3:8" x14ac:dyDescent="0.3">
      <c r="C3493"/>
      <c r="D3493"/>
      <c r="E3493"/>
      <c r="F3493"/>
      <c r="G3493"/>
      <c r="H3493"/>
    </row>
    <row r="3494" spans="3:8" x14ac:dyDescent="0.3">
      <c r="C3494"/>
      <c r="D3494"/>
      <c r="E3494"/>
      <c r="F3494"/>
      <c r="G3494"/>
      <c r="H3494"/>
    </row>
    <row r="3495" spans="3:8" x14ac:dyDescent="0.3">
      <c r="C3495"/>
      <c r="D3495"/>
      <c r="E3495"/>
      <c r="F3495"/>
      <c r="G3495"/>
      <c r="H3495"/>
    </row>
    <row r="3496" spans="3:8" x14ac:dyDescent="0.3">
      <c r="C3496"/>
      <c r="D3496"/>
      <c r="E3496"/>
      <c r="F3496"/>
      <c r="G3496"/>
      <c r="H3496"/>
    </row>
    <row r="3497" spans="3:8" x14ac:dyDescent="0.3">
      <c r="C3497"/>
      <c r="D3497"/>
      <c r="E3497"/>
      <c r="F3497"/>
      <c r="G3497"/>
      <c r="H3497"/>
    </row>
    <row r="3498" spans="3:8" x14ac:dyDescent="0.3">
      <c r="C3498"/>
      <c r="D3498"/>
      <c r="E3498"/>
      <c r="F3498"/>
      <c r="G3498"/>
      <c r="H3498"/>
    </row>
    <row r="3499" spans="3:8" x14ac:dyDescent="0.3">
      <c r="C3499"/>
      <c r="D3499"/>
      <c r="E3499"/>
      <c r="F3499"/>
      <c r="G3499"/>
      <c r="H3499"/>
    </row>
    <row r="3500" spans="3:8" x14ac:dyDescent="0.3">
      <c r="C3500"/>
      <c r="D3500"/>
      <c r="E3500"/>
      <c r="F3500"/>
      <c r="G3500"/>
      <c r="H3500"/>
    </row>
    <row r="3501" spans="3:8" x14ac:dyDescent="0.3">
      <c r="C3501"/>
      <c r="D3501"/>
      <c r="E3501"/>
      <c r="F3501"/>
      <c r="G3501"/>
      <c r="H3501"/>
    </row>
    <row r="3502" spans="3:8" x14ac:dyDescent="0.3">
      <c r="C3502"/>
      <c r="D3502"/>
      <c r="E3502"/>
      <c r="F3502"/>
      <c r="G3502"/>
      <c r="H3502"/>
    </row>
    <row r="3503" spans="3:8" x14ac:dyDescent="0.3">
      <c r="C3503"/>
      <c r="D3503"/>
      <c r="E3503"/>
      <c r="F3503"/>
      <c r="G3503"/>
      <c r="H3503"/>
    </row>
    <row r="3504" spans="3:8" x14ac:dyDescent="0.3">
      <c r="C3504"/>
      <c r="D3504"/>
      <c r="E3504"/>
      <c r="F3504"/>
      <c r="G3504"/>
      <c r="H3504"/>
    </row>
    <row r="3505" spans="3:8" x14ac:dyDescent="0.3">
      <c r="C3505"/>
      <c r="D3505"/>
      <c r="E3505"/>
      <c r="F3505"/>
      <c r="G3505"/>
      <c r="H3505"/>
    </row>
    <row r="3506" spans="3:8" x14ac:dyDescent="0.3">
      <c r="C3506"/>
      <c r="D3506"/>
      <c r="E3506"/>
      <c r="F3506"/>
      <c r="G3506"/>
      <c r="H3506"/>
    </row>
    <row r="3507" spans="3:8" x14ac:dyDescent="0.3">
      <c r="C3507"/>
      <c r="D3507"/>
      <c r="E3507"/>
      <c r="F3507"/>
      <c r="G3507"/>
      <c r="H3507"/>
    </row>
    <row r="3508" spans="3:8" x14ac:dyDescent="0.3">
      <c r="C3508"/>
      <c r="D3508"/>
      <c r="E3508"/>
      <c r="F3508"/>
      <c r="G3508"/>
      <c r="H3508"/>
    </row>
    <row r="3509" spans="3:8" x14ac:dyDescent="0.3">
      <c r="C3509"/>
      <c r="D3509"/>
      <c r="E3509"/>
      <c r="F3509"/>
      <c r="G3509"/>
      <c r="H3509"/>
    </row>
    <row r="3510" spans="3:8" x14ac:dyDescent="0.3">
      <c r="C3510"/>
      <c r="D3510"/>
      <c r="E3510"/>
      <c r="F3510"/>
      <c r="G3510"/>
      <c r="H3510"/>
    </row>
    <row r="3511" spans="3:8" x14ac:dyDescent="0.3">
      <c r="C3511"/>
      <c r="D3511"/>
      <c r="E3511"/>
      <c r="F3511"/>
      <c r="G3511"/>
      <c r="H3511"/>
    </row>
    <row r="3512" spans="3:8" x14ac:dyDescent="0.3">
      <c r="C3512"/>
      <c r="D3512"/>
      <c r="E3512"/>
      <c r="F3512"/>
      <c r="G3512"/>
      <c r="H3512"/>
    </row>
    <row r="3513" spans="3:8" x14ac:dyDescent="0.3">
      <c r="C3513"/>
      <c r="D3513"/>
      <c r="E3513"/>
      <c r="F3513"/>
      <c r="G3513"/>
      <c r="H3513"/>
    </row>
    <row r="3514" spans="3:8" x14ac:dyDescent="0.3">
      <c r="C3514"/>
      <c r="D3514"/>
      <c r="E3514"/>
      <c r="F3514"/>
      <c r="G3514"/>
      <c r="H3514"/>
    </row>
    <row r="3515" spans="3:8" x14ac:dyDescent="0.3">
      <c r="C3515"/>
      <c r="D3515"/>
      <c r="E3515"/>
      <c r="F3515"/>
      <c r="G3515"/>
      <c r="H3515"/>
    </row>
    <row r="3516" spans="3:8" x14ac:dyDescent="0.3">
      <c r="C3516"/>
      <c r="D3516"/>
      <c r="E3516"/>
      <c r="F3516"/>
      <c r="G3516"/>
      <c r="H3516"/>
    </row>
    <row r="3517" spans="3:8" x14ac:dyDescent="0.3">
      <c r="C3517"/>
      <c r="D3517"/>
      <c r="E3517"/>
      <c r="F3517"/>
      <c r="G3517"/>
      <c r="H3517"/>
    </row>
    <row r="3518" spans="3:8" x14ac:dyDescent="0.3">
      <c r="C3518"/>
      <c r="D3518"/>
      <c r="E3518"/>
      <c r="F3518"/>
      <c r="G3518"/>
      <c r="H3518"/>
    </row>
    <row r="3519" spans="3:8" x14ac:dyDescent="0.3">
      <c r="C3519"/>
      <c r="D3519"/>
      <c r="E3519"/>
      <c r="F3519"/>
      <c r="G3519"/>
      <c r="H3519"/>
    </row>
    <row r="3520" spans="3:8" x14ac:dyDescent="0.3">
      <c r="C3520"/>
      <c r="D3520"/>
      <c r="E3520"/>
      <c r="F3520"/>
      <c r="G3520"/>
      <c r="H3520"/>
    </row>
    <row r="3521" spans="3:8" x14ac:dyDescent="0.3">
      <c r="C3521"/>
      <c r="D3521"/>
      <c r="E3521"/>
      <c r="F3521"/>
      <c r="G3521"/>
      <c r="H3521"/>
    </row>
    <row r="3522" spans="3:8" x14ac:dyDescent="0.3">
      <c r="C3522"/>
      <c r="D3522"/>
      <c r="E3522"/>
      <c r="F3522"/>
      <c r="G3522"/>
      <c r="H3522"/>
    </row>
    <row r="3523" spans="3:8" x14ac:dyDescent="0.3">
      <c r="C3523"/>
      <c r="D3523"/>
      <c r="E3523"/>
      <c r="F3523"/>
      <c r="G3523"/>
      <c r="H3523"/>
    </row>
    <row r="3524" spans="3:8" x14ac:dyDescent="0.3">
      <c r="C3524"/>
      <c r="D3524"/>
      <c r="E3524"/>
      <c r="F3524"/>
      <c r="G3524"/>
      <c r="H3524"/>
    </row>
    <row r="3525" spans="3:8" x14ac:dyDescent="0.3">
      <c r="C3525"/>
      <c r="D3525"/>
      <c r="E3525"/>
      <c r="F3525"/>
      <c r="G3525"/>
      <c r="H3525"/>
    </row>
    <row r="3526" spans="3:8" x14ac:dyDescent="0.3">
      <c r="C3526"/>
      <c r="D3526"/>
      <c r="E3526"/>
      <c r="F3526"/>
      <c r="G3526"/>
      <c r="H3526"/>
    </row>
    <row r="3527" spans="3:8" x14ac:dyDescent="0.3">
      <c r="C3527"/>
      <c r="D3527"/>
      <c r="E3527"/>
      <c r="F3527"/>
      <c r="G3527"/>
      <c r="H3527"/>
    </row>
    <row r="3528" spans="3:8" x14ac:dyDescent="0.3">
      <c r="C3528"/>
      <c r="D3528"/>
      <c r="E3528"/>
      <c r="F3528"/>
      <c r="G3528"/>
      <c r="H3528"/>
    </row>
    <row r="3529" spans="3:8" x14ac:dyDescent="0.3">
      <c r="C3529"/>
      <c r="D3529"/>
      <c r="E3529"/>
      <c r="F3529"/>
      <c r="G3529"/>
      <c r="H3529"/>
    </row>
    <row r="3530" spans="3:8" x14ac:dyDescent="0.3">
      <c r="C3530"/>
      <c r="D3530"/>
      <c r="E3530"/>
      <c r="F3530"/>
      <c r="G3530"/>
      <c r="H3530"/>
    </row>
    <row r="3531" spans="3:8" x14ac:dyDescent="0.3">
      <c r="C3531"/>
      <c r="D3531"/>
      <c r="E3531"/>
      <c r="F3531"/>
      <c r="G3531"/>
      <c r="H3531"/>
    </row>
    <row r="3532" spans="3:8" x14ac:dyDescent="0.3">
      <c r="C3532"/>
      <c r="D3532"/>
      <c r="E3532"/>
      <c r="F3532"/>
      <c r="G3532"/>
      <c r="H3532"/>
    </row>
    <row r="3533" spans="3:8" x14ac:dyDescent="0.3">
      <c r="C3533"/>
      <c r="D3533"/>
      <c r="E3533"/>
      <c r="F3533"/>
      <c r="G3533"/>
      <c r="H3533"/>
    </row>
    <row r="3534" spans="3:8" x14ac:dyDescent="0.3">
      <c r="C3534"/>
      <c r="D3534"/>
      <c r="E3534"/>
      <c r="F3534"/>
      <c r="G3534"/>
      <c r="H3534"/>
    </row>
    <row r="3535" spans="3:8" x14ac:dyDescent="0.3">
      <c r="C3535"/>
      <c r="D3535"/>
      <c r="E3535"/>
      <c r="F3535"/>
      <c r="G3535"/>
      <c r="H3535"/>
    </row>
    <row r="3536" spans="3:8" x14ac:dyDescent="0.3">
      <c r="C3536"/>
      <c r="D3536"/>
      <c r="E3536"/>
      <c r="F3536"/>
      <c r="G3536"/>
      <c r="H3536"/>
    </row>
    <row r="3537" spans="3:8" x14ac:dyDescent="0.3">
      <c r="C3537"/>
      <c r="D3537"/>
      <c r="E3537"/>
      <c r="F3537"/>
      <c r="G3537"/>
      <c r="H3537"/>
    </row>
    <row r="3538" spans="3:8" x14ac:dyDescent="0.3">
      <c r="C3538"/>
      <c r="D3538"/>
      <c r="E3538"/>
      <c r="F3538"/>
      <c r="G3538"/>
      <c r="H3538"/>
    </row>
    <row r="3539" spans="3:8" x14ac:dyDescent="0.3">
      <c r="C3539"/>
      <c r="D3539"/>
      <c r="E3539"/>
      <c r="F3539"/>
      <c r="G3539"/>
      <c r="H3539"/>
    </row>
    <row r="3540" spans="3:8" x14ac:dyDescent="0.3">
      <c r="C3540"/>
      <c r="D3540"/>
      <c r="E3540"/>
      <c r="F3540"/>
      <c r="G3540"/>
      <c r="H3540"/>
    </row>
    <row r="3541" spans="3:8" x14ac:dyDescent="0.3">
      <c r="C3541"/>
      <c r="D3541"/>
      <c r="E3541"/>
      <c r="F3541"/>
      <c r="G3541"/>
      <c r="H3541"/>
    </row>
    <row r="3542" spans="3:8" x14ac:dyDescent="0.3">
      <c r="C3542"/>
      <c r="D3542"/>
      <c r="E3542"/>
      <c r="F3542"/>
      <c r="G3542"/>
      <c r="H3542"/>
    </row>
    <row r="3543" spans="3:8" x14ac:dyDescent="0.3">
      <c r="C3543"/>
      <c r="D3543"/>
      <c r="E3543"/>
      <c r="F3543"/>
      <c r="G3543"/>
      <c r="H3543"/>
    </row>
    <row r="3544" spans="3:8" x14ac:dyDescent="0.3">
      <c r="C3544"/>
      <c r="D3544"/>
      <c r="E3544"/>
      <c r="F3544"/>
      <c r="G3544"/>
      <c r="H3544"/>
    </row>
    <row r="3545" spans="3:8" x14ac:dyDescent="0.3">
      <c r="C3545"/>
      <c r="D3545"/>
      <c r="E3545"/>
      <c r="F3545"/>
      <c r="G3545"/>
      <c r="H3545"/>
    </row>
    <row r="3546" spans="3:8" x14ac:dyDescent="0.3">
      <c r="C3546"/>
      <c r="D3546"/>
      <c r="E3546"/>
      <c r="F3546"/>
      <c r="G3546"/>
      <c r="H3546"/>
    </row>
    <row r="3547" spans="3:8" x14ac:dyDescent="0.3">
      <c r="C3547"/>
      <c r="D3547"/>
      <c r="E3547"/>
      <c r="F3547"/>
      <c r="G3547"/>
      <c r="H3547"/>
    </row>
    <row r="3548" spans="3:8" x14ac:dyDescent="0.3">
      <c r="C3548"/>
      <c r="D3548"/>
      <c r="E3548"/>
      <c r="F3548"/>
      <c r="G3548"/>
      <c r="H3548"/>
    </row>
    <row r="3549" spans="3:8" x14ac:dyDescent="0.3">
      <c r="C3549"/>
      <c r="D3549"/>
      <c r="E3549"/>
      <c r="F3549"/>
      <c r="G3549"/>
      <c r="H3549"/>
    </row>
    <row r="3550" spans="3:8" x14ac:dyDescent="0.3">
      <c r="C3550"/>
      <c r="D3550"/>
      <c r="E3550"/>
      <c r="F3550"/>
      <c r="G3550"/>
      <c r="H3550"/>
    </row>
    <row r="3551" spans="3:8" x14ac:dyDescent="0.3">
      <c r="C3551"/>
      <c r="D3551"/>
      <c r="E3551"/>
      <c r="F3551"/>
      <c r="G3551"/>
      <c r="H3551"/>
    </row>
    <row r="3552" spans="3:8" x14ac:dyDescent="0.3">
      <c r="C3552"/>
      <c r="D3552"/>
      <c r="E3552"/>
      <c r="F3552"/>
      <c r="G3552"/>
      <c r="H3552"/>
    </row>
    <row r="3553" spans="3:8" x14ac:dyDescent="0.3">
      <c r="C3553"/>
      <c r="D3553"/>
      <c r="E3553"/>
      <c r="F3553"/>
      <c r="G3553"/>
      <c r="H3553"/>
    </row>
    <row r="3554" spans="3:8" x14ac:dyDescent="0.3">
      <c r="C3554"/>
      <c r="D3554"/>
      <c r="E3554"/>
      <c r="F3554"/>
      <c r="G3554"/>
      <c r="H3554"/>
    </row>
    <row r="3555" spans="3:8" x14ac:dyDescent="0.3">
      <c r="C3555"/>
      <c r="D3555"/>
      <c r="E3555"/>
      <c r="F3555"/>
      <c r="G3555"/>
      <c r="H3555"/>
    </row>
    <row r="3556" spans="3:8" x14ac:dyDescent="0.3">
      <c r="C3556"/>
      <c r="D3556"/>
      <c r="E3556"/>
      <c r="F3556"/>
      <c r="G3556"/>
      <c r="H3556"/>
    </row>
    <row r="3557" spans="3:8" x14ac:dyDescent="0.3">
      <c r="C3557"/>
      <c r="D3557"/>
      <c r="E3557"/>
      <c r="F3557"/>
      <c r="G3557"/>
      <c r="H3557"/>
    </row>
    <row r="3558" spans="3:8" x14ac:dyDescent="0.3">
      <c r="C3558"/>
      <c r="D3558"/>
      <c r="E3558"/>
      <c r="F3558"/>
      <c r="G3558"/>
      <c r="H3558"/>
    </row>
    <row r="3559" spans="3:8" x14ac:dyDescent="0.3">
      <c r="C3559"/>
      <c r="D3559"/>
      <c r="E3559"/>
      <c r="F3559"/>
      <c r="G3559"/>
      <c r="H3559"/>
    </row>
    <row r="3560" spans="3:8" x14ac:dyDescent="0.3">
      <c r="C3560"/>
      <c r="D3560"/>
      <c r="E3560"/>
      <c r="F3560"/>
      <c r="G3560"/>
      <c r="H3560"/>
    </row>
    <row r="3561" spans="3:8" x14ac:dyDescent="0.3">
      <c r="C3561"/>
      <c r="D3561"/>
      <c r="E3561"/>
      <c r="F3561"/>
      <c r="G3561"/>
      <c r="H3561"/>
    </row>
    <row r="3562" spans="3:8" x14ac:dyDescent="0.3">
      <c r="C3562"/>
      <c r="D3562"/>
      <c r="E3562"/>
      <c r="F3562"/>
      <c r="G3562"/>
      <c r="H3562"/>
    </row>
    <row r="3563" spans="3:8" x14ac:dyDescent="0.3">
      <c r="C3563"/>
      <c r="D3563"/>
      <c r="E3563"/>
      <c r="F3563"/>
      <c r="G3563"/>
      <c r="H3563"/>
    </row>
    <row r="3564" spans="3:8" x14ac:dyDescent="0.3">
      <c r="C3564"/>
      <c r="D3564"/>
      <c r="E3564"/>
      <c r="F3564"/>
      <c r="G3564"/>
      <c r="H3564"/>
    </row>
    <row r="3565" spans="3:8" x14ac:dyDescent="0.3">
      <c r="C3565"/>
      <c r="D3565"/>
      <c r="E3565"/>
      <c r="F3565"/>
      <c r="G3565"/>
      <c r="H3565"/>
    </row>
    <row r="3566" spans="3:8" x14ac:dyDescent="0.3">
      <c r="C3566"/>
      <c r="D3566"/>
      <c r="E3566"/>
      <c r="F3566"/>
      <c r="G3566"/>
      <c r="H3566"/>
    </row>
    <row r="3567" spans="3:8" x14ac:dyDescent="0.3">
      <c r="C3567"/>
      <c r="D3567"/>
      <c r="E3567"/>
      <c r="F3567"/>
      <c r="G3567"/>
      <c r="H3567"/>
    </row>
    <row r="3568" spans="3:8" x14ac:dyDescent="0.3">
      <c r="C3568"/>
      <c r="D3568"/>
      <c r="E3568"/>
      <c r="F3568"/>
      <c r="G3568"/>
      <c r="H3568"/>
    </row>
    <row r="3569" spans="3:8" x14ac:dyDescent="0.3">
      <c r="C3569"/>
      <c r="D3569"/>
      <c r="E3569"/>
      <c r="F3569"/>
      <c r="G3569"/>
      <c r="H3569"/>
    </row>
    <row r="3570" spans="3:8" x14ac:dyDescent="0.3">
      <c r="C3570"/>
      <c r="D3570"/>
      <c r="E3570"/>
      <c r="F3570"/>
      <c r="G3570"/>
      <c r="H3570"/>
    </row>
    <row r="3571" spans="3:8" x14ac:dyDescent="0.3">
      <c r="C3571"/>
      <c r="D3571"/>
      <c r="E3571"/>
      <c r="F3571"/>
      <c r="G3571"/>
      <c r="H3571"/>
    </row>
    <row r="3572" spans="3:8" x14ac:dyDescent="0.3">
      <c r="C3572"/>
      <c r="D3572"/>
      <c r="E3572"/>
      <c r="F3572"/>
      <c r="G3572"/>
      <c r="H3572"/>
    </row>
    <row r="3573" spans="3:8" x14ac:dyDescent="0.3">
      <c r="C3573"/>
      <c r="D3573"/>
      <c r="E3573"/>
      <c r="F3573"/>
      <c r="G3573"/>
      <c r="H3573"/>
    </row>
    <row r="3574" spans="3:8" x14ac:dyDescent="0.3">
      <c r="C3574"/>
      <c r="D3574"/>
      <c r="E3574"/>
      <c r="F3574"/>
      <c r="G3574"/>
      <c r="H3574"/>
    </row>
    <row r="3575" spans="3:8" x14ac:dyDescent="0.3">
      <c r="C3575"/>
      <c r="D3575"/>
      <c r="E3575"/>
      <c r="F3575"/>
      <c r="G3575"/>
      <c r="H3575"/>
    </row>
    <row r="3576" spans="3:8" x14ac:dyDescent="0.3">
      <c r="C3576"/>
      <c r="D3576"/>
      <c r="E3576"/>
      <c r="F3576"/>
      <c r="G3576"/>
      <c r="H3576"/>
    </row>
    <row r="3577" spans="3:8" x14ac:dyDescent="0.3">
      <c r="C3577"/>
      <c r="D3577"/>
      <c r="E3577"/>
      <c r="F3577"/>
      <c r="G3577"/>
      <c r="H3577"/>
    </row>
    <row r="3578" spans="3:8" x14ac:dyDescent="0.3">
      <c r="C3578"/>
      <c r="D3578"/>
      <c r="E3578"/>
      <c r="F3578"/>
      <c r="G3578"/>
      <c r="H3578"/>
    </row>
    <row r="3579" spans="3:8" x14ac:dyDescent="0.3">
      <c r="C3579"/>
      <c r="D3579"/>
      <c r="E3579"/>
      <c r="F3579"/>
      <c r="G3579"/>
      <c r="H3579"/>
    </row>
    <row r="3580" spans="3:8" x14ac:dyDescent="0.3">
      <c r="C3580"/>
      <c r="D3580"/>
      <c r="E3580"/>
      <c r="F3580"/>
      <c r="G3580"/>
      <c r="H3580"/>
    </row>
    <row r="3581" spans="3:8" x14ac:dyDescent="0.3">
      <c r="C3581"/>
      <c r="D3581"/>
      <c r="E3581"/>
      <c r="F3581"/>
      <c r="G3581"/>
      <c r="H3581"/>
    </row>
    <row r="3582" spans="3:8" x14ac:dyDescent="0.3">
      <c r="C3582"/>
      <c r="D3582"/>
      <c r="E3582"/>
      <c r="F3582"/>
      <c r="G3582"/>
      <c r="H3582"/>
    </row>
    <row r="3583" spans="3:8" x14ac:dyDescent="0.3">
      <c r="C3583"/>
      <c r="D3583"/>
      <c r="E3583"/>
      <c r="F3583"/>
      <c r="G3583"/>
      <c r="H3583"/>
    </row>
    <row r="3584" spans="3:8" x14ac:dyDescent="0.3">
      <c r="C3584"/>
      <c r="D3584"/>
      <c r="E3584"/>
      <c r="F3584"/>
      <c r="G3584"/>
      <c r="H3584"/>
    </row>
    <row r="3585" spans="3:8" x14ac:dyDescent="0.3">
      <c r="C3585"/>
      <c r="D3585"/>
      <c r="E3585"/>
      <c r="F3585"/>
      <c r="G3585"/>
      <c r="H3585"/>
    </row>
    <row r="3586" spans="3:8" x14ac:dyDescent="0.3">
      <c r="C3586"/>
      <c r="D3586"/>
      <c r="E3586"/>
      <c r="F3586"/>
      <c r="G3586"/>
      <c r="H3586"/>
    </row>
    <row r="3587" spans="3:8" x14ac:dyDescent="0.3">
      <c r="C3587"/>
      <c r="D3587"/>
      <c r="E3587"/>
      <c r="F3587"/>
      <c r="G3587"/>
      <c r="H3587"/>
    </row>
    <row r="3588" spans="3:8" x14ac:dyDescent="0.3">
      <c r="C3588"/>
      <c r="D3588"/>
      <c r="E3588"/>
      <c r="F3588"/>
      <c r="G3588"/>
      <c r="H3588"/>
    </row>
    <row r="3589" spans="3:8" x14ac:dyDescent="0.3">
      <c r="C3589"/>
      <c r="D3589"/>
      <c r="E3589"/>
      <c r="F3589"/>
      <c r="G3589"/>
      <c r="H3589"/>
    </row>
    <row r="3590" spans="3:8" x14ac:dyDescent="0.3">
      <c r="C3590"/>
      <c r="D3590"/>
      <c r="E3590"/>
      <c r="F3590"/>
      <c r="G3590"/>
      <c r="H3590"/>
    </row>
    <row r="3591" spans="3:8" x14ac:dyDescent="0.3">
      <c r="C3591"/>
      <c r="D3591"/>
      <c r="E3591"/>
      <c r="F3591"/>
      <c r="G3591"/>
      <c r="H3591"/>
    </row>
    <row r="3592" spans="3:8" x14ac:dyDescent="0.3">
      <c r="C3592"/>
      <c r="D3592"/>
      <c r="E3592"/>
      <c r="F3592"/>
      <c r="G3592"/>
      <c r="H3592"/>
    </row>
    <row r="3593" spans="3:8" x14ac:dyDescent="0.3">
      <c r="C3593"/>
      <c r="D3593"/>
      <c r="E3593"/>
      <c r="F3593"/>
      <c r="G3593"/>
      <c r="H3593"/>
    </row>
    <row r="3594" spans="3:8" x14ac:dyDescent="0.3">
      <c r="C3594"/>
      <c r="D3594"/>
      <c r="E3594"/>
      <c r="F3594"/>
      <c r="G3594"/>
      <c r="H3594"/>
    </row>
    <row r="3595" spans="3:8" x14ac:dyDescent="0.3">
      <c r="C3595"/>
      <c r="D3595"/>
      <c r="E3595"/>
      <c r="F3595"/>
      <c r="G3595"/>
      <c r="H3595"/>
    </row>
    <row r="3596" spans="3:8" x14ac:dyDescent="0.3">
      <c r="C3596"/>
      <c r="D3596"/>
      <c r="E3596"/>
      <c r="F3596"/>
      <c r="G3596"/>
      <c r="H3596"/>
    </row>
    <row r="3597" spans="3:8" x14ac:dyDescent="0.3">
      <c r="C3597"/>
      <c r="D3597"/>
      <c r="E3597"/>
      <c r="F3597"/>
      <c r="G3597"/>
      <c r="H3597"/>
    </row>
    <row r="3598" spans="3:8" x14ac:dyDescent="0.3">
      <c r="C3598"/>
      <c r="D3598"/>
      <c r="E3598"/>
      <c r="F3598"/>
      <c r="G3598"/>
      <c r="H3598"/>
    </row>
    <row r="3599" spans="3:8" x14ac:dyDescent="0.3">
      <c r="C3599"/>
      <c r="D3599"/>
      <c r="E3599"/>
      <c r="F3599"/>
      <c r="G3599"/>
      <c r="H3599"/>
    </row>
    <row r="3600" spans="3:8" x14ac:dyDescent="0.3">
      <c r="C3600"/>
      <c r="D3600"/>
      <c r="E3600"/>
      <c r="F3600"/>
      <c r="G3600"/>
      <c r="H3600"/>
    </row>
    <row r="3601" spans="3:8" x14ac:dyDescent="0.3">
      <c r="C3601"/>
      <c r="D3601"/>
      <c r="E3601"/>
      <c r="F3601"/>
      <c r="G3601"/>
      <c r="H3601"/>
    </row>
    <row r="3602" spans="3:8" x14ac:dyDescent="0.3">
      <c r="C3602"/>
      <c r="D3602"/>
      <c r="E3602"/>
      <c r="F3602"/>
      <c r="G3602"/>
      <c r="H3602"/>
    </row>
    <row r="3603" spans="3:8" x14ac:dyDescent="0.3">
      <c r="C3603"/>
      <c r="D3603"/>
      <c r="E3603"/>
      <c r="F3603"/>
      <c r="G3603"/>
      <c r="H3603"/>
    </row>
    <row r="3604" spans="3:8" x14ac:dyDescent="0.3">
      <c r="C3604"/>
      <c r="D3604"/>
      <c r="E3604"/>
      <c r="F3604"/>
      <c r="G3604"/>
      <c r="H3604"/>
    </row>
    <row r="3605" spans="3:8" x14ac:dyDescent="0.3">
      <c r="C3605"/>
      <c r="D3605"/>
      <c r="E3605"/>
      <c r="F3605"/>
      <c r="G3605"/>
      <c r="H3605"/>
    </row>
    <row r="3606" spans="3:8" x14ac:dyDescent="0.3">
      <c r="C3606"/>
      <c r="D3606"/>
      <c r="E3606"/>
      <c r="F3606"/>
      <c r="G3606"/>
      <c r="H3606"/>
    </row>
    <row r="3607" spans="3:8" x14ac:dyDescent="0.3">
      <c r="C3607"/>
      <c r="D3607"/>
      <c r="E3607"/>
      <c r="F3607"/>
      <c r="G3607"/>
      <c r="H3607"/>
    </row>
    <row r="3608" spans="3:8" x14ac:dyDescent="0.3">
      <c r="C3608"/>
      <c r="D3608"/>
      <c r="E3608"/>
      <c r="F3608"/>
      <c r="G3608"/>
      <c r="H3608"/>
    </row>
    <row r="3609" spans="3:8" x14ac:dyDescent="0.3">
      <c r="C3609"/>
      <c r="D3609"/>
      <c r="E3609"/>
      <c r="F3609"/>
      <c r="G3609"/>
      <c r="H3609"/>
    </row>
    <row r="3610" spans="3:8" x14ac:dyDescent="0.3">
      <c r="C3610"/>
      <c r="D3610"/>
      <c r="E3610"/>
      <c r="F3610"/>
      <c r="G3610"/>
      <c r="H3610"/>
    </row>
    <row r="3611" spans="3:8" x14ac:dyDescent="0.3">
      <c r="C3611"/>
      <c r="D3611"/>
      <c r="E3611"/>
      <c r="F3611"/>
      <c r="G3611"/>
      <c r="H3611"/>
    </row>
    <row r="3612" spans="3:8" x14ac:dyDescent="0.3">
      <c r="C3612"/>
      <c r="D3612"/>
      <c r="E3612"/>
      <c r="F3612"/>
      <c r="G3612"/>
      <c r="H3612"/>
    </row>
    <row r="3613" spans="3:8" x14ac:dyDescent="0.3">
      <c r="C3613"/>
      <c r="D3613"/>
      <c r="E3613"/>
      <c r="F3613"/>
      <c r="G3613"/>
      <c r="H3613"/>
    </row>
    <row r="3614" spans="3:8" x14ac:dyDescent="0.3">
      <c r="C3614"/>
      <c r="D3614"/>
      <c r="E3614"/>
      <c r="F3614"/>
      <c r="G3614"/>
      <c r="H3614"/>
    </row>
    <row r="3615" spans="3:8" x14ac:dyDescent="0.3">
      <c r="C3615"/>
      <c r="D3615"/>
      <c r="E3615"/>
      <c r="F3615"/>
      <c r="G3615"/>
      <c r="H3615"/>
    </row>
    <row r="3616" spans="3:8" x14ac:dyDescent="0.3">
      <c r="C3616"/>
      <c r="D3616"/>
      <c r="E3616"/>
      <c r="F3616"/>
      <c r="G3616"/>
      <c r="H3616"/>
    </row>
    <row r="3617" spans="3:8" x14ac:dyDescent="0.3">
      <c r="C3617"/>
      <c r="D3617"/>
      <c r="E3617"/>
      <c r="F3617"/>
      <c r="G3617"/>
      <c r="H3617"/>
    </row>
    <row r="3618" spans="3:8" x14ac:dyDescent="0.3">
      <c r="C3618"/>
      <c r="D3618"/>
      <c r="E3618"/>
      <c r="F3618"/>
      <c r="G3618"/>
      <c r="H3618"/>
    </row>
    <row r="3619" spans="3:8" x14ac:dyDescent="0.3">
      <c r="C3619"/>
      <c r="D3619"/>
      <c r="E3619"/>
      <c r="F3619"/>
      <c r="G3619"/>
      <c r="H3619"/>
    </row>
    <row r="3620" spans="3:8" x14ac:dyDescent="0.3">
      <c r="C3620"/>
      <c r="D3620"/>
      <c r="E3620"/>
      <c r="F3620"/>
      <c r="G3620"/>
      <c r="H3620"/>
    </row>
    <row r="3621" spans="3:8" x14ac:dyDescent="0.3">
      <c r="C3621"/>
      <c r="D3621"/>
      <c r="E3621"/>
      <c r="F3621"/>
      <c r="G3621"/>
      <c r="H3621"/>
    </row>
    <row r="3622" spans="3:8" x14ac:dyDescent="0.3">
      <c r="C3622"/>
      <c r="D3622"/>
      <c r="E3622"/>
      <c r="F3622"/>
      <c r="G3622"/>
      <c r="H3622"/>
    </row>
    <row r="3623" spans="3:8" x14ac:dyDescent="0.3">
      <c r="C3623"/>
      <c r="D3623"/>
      <c r="E3623"/>
      <c r="F3623"/>
      <c r="G3623"/>
      <c r="H3623"/>
    </row>
    <row r="3624" spans="3:8" x14ac:dyDescent="0.3">
      <c r="C3624"/>
      <c r="D3624"/>
      <c r="E3624"/>
      <c r="F3624"/>
      <c r="G3624"/>
      <c r="H3624"/>
    </row>
    <row r="3625" spans="3:8" x14ac:dyDescent="0.3">
      <c r="C3625"/>
      <c r="D3625"/>
      <c r="E3625"/>
      <c r="F3625"/>
      <c r="G3625"/>
      <c r="H3625"/>
    </row>
    <row r="3626" spans="3:8" x14ac:dyDescent="0.3">
      <c r="C3626"/>
      <c r="D3626"/>
      <c r="E3626"/>
      <c r="F3626"/>
      <c r="G3626"/>
      <c r="H3626"/>
    </row>
    <row r="3627" spans="3:8" x14ac:dyDescent="0.3">
      <c r="C3627"/>
      <c r="D3627"/>
      <c r="E3627"/>
      <c r="F3627"/>
      <c r="G3627"/>
      <c r="H3627"/>
    </row>
    <row r="3628" spans="3:8" x14ac:dyDescent="0.3">
      <c r="C3628"/>
      <c r="D3628"/>
      <c r="E3628"/>
      <c r="F3628"/>
      <c r="G3628"/>
      <c r="H3628"/>
    </row>
    <row r="3629" spans="3:8" x14ac:dyDescent="0.3">
      <c r="C3629"/>
      <c r="D3629"/>
      <c r="E3629"/>
      <c r="F3629"/>
      <c r="G3629"/>
      <c r="H3629"/>
    </row>
    <row r="3630" spans="3:8" x14ac:dyDescent="0.3">
      <c r="C3630"/>
      <c r="D3630"/>
      <c r="E3630"/>
      <c r="F3630"/>
      <c r="G3630"/>
      <c r="H3630"/>
    </row>
    <row r="3631" spans="3:8" x14ac:dyDescent="0.3">
      <c r="C3631"/>
      <c r="D3631"/>
      <c r="E3631"/>
      <c r="F3631"/>
      <c r="G3631"/>
      <c r="H3631"/>
    </row>
    <row r="3632" spans="3:8" x14ac:dyDescent="0.3">
      <c r="C3632"/>
      <c r="D3632"/>
      <c r="E3632"/>
      <c r="F3632"/>
      <c r="G3632"/>
      <c r="H3632"/>
    </row>
    <row r="3633" spans="3:8" x14ac:dyDescent="0.3">
      <c r="C3633"/>
      <c r="D3633"/>
      <c r="E3633"/>
      <c r="F3633"/>
      <c r="G3633"/>
      <c r="H3633"/>
    </row>
    <row r="3634" spans="3:8" x14ac:dyDescent="0.3">
      <c r="C3634"/>
      <c r="D3634"/>
      <c r="E3634"/>
      <c r="F3634"/>
      <c r="G3634"/>
      <c r="H3634"/>
    </row>
    <row r="3635" spans="3:8" x14ac:dyDescent="0.3">
      <c r="C3635"/>
      <c r="D3635"/>
      <c r="E3635"/>
      <c r="F3635"/>
      <c r="G3635"/>
      <c r="H3635"/>
    </row>
    <row r="3636" spans="3:8" x14ac:dyDescent="0.3">
      <c r="C3636"/>
      <c r="D3636"/>
      <c r="E3636"/>
      <c r="F3636"/>
      <c r="G3636"/>
      <c r="H3636"/>
    </row>
    <row r="3637" spans="3:8" x14ac:dyDescent="0.3">
      <c r="C3637"/>
      <c r="D3637"/>
      <c r="E3637"/>
      <c r="F3637"/>
      <c r="G3637"/>
      <c r="H3637"/>
    </row>
    <row r="3638" spans="3:8" x14ac:dyDescent="0.3">
      <c r="C3638"/>
      <c r="D3638"/>
      <c r="E3638"/>
      <c r="F3638"/>
      <c r="G3638"/>
      <c r="H3638"/>
    </row>
    <row r="3639" spans="3:8" x14ac:dyDescent="0.3">
      <c r="C3639"/>
      <c r="D3639"/>
      <c r="E3639"/>
      <c r="F3639"/>
      <c r="G3639"/>
      <c r="H3639"/>
    </row>
    <row r="3640" spans="3:8" x14ac:dyDescent="0.3">
      <c r="C3640"/>
      <c r="D3640"/>
      <c r="E3640"/>
      <c r="F3640"/>
      <c r="G3640"/>
      <c r="H3640"/>
    </row>
    <row r="3641" spans="3:8" x14ac:dyDescent="0.3">
      <c r="C3641"/>
      <c r="D3641"/>
      <c r="E3641"/>
      <c r="F3641"/>
      <c r="G3641"/>
      <c r="H3641"/>
    </row>
    <row r="3642" spans="3:8" x14ac:dyDescent="0.3">
      <c r="C3642"/>
      <c r="D3642"/>
      <c r="E3642"/>
      <c r="F3642"/>
      <c r="G3642"/>
      <c r="H3642"/>
    </row>
    <row r="3643" spans="3:8" x14ac:dyDescent="0.3">
      <c r="C3643"/>
      <c r="D3643"/>
      <c r="E3643"/>
      <c r="F3643"/>
      <c r="G3643"/>
      <c r="H3643"/>
    </row>
    <row r="3644" spans="3:8" x14ac:dyDescent="0.3">
      <c r="C3644"/>
      <c r="D3644"/>
      <c r="E3644"/>
      <c r="F3644"/>
      <c r="G3644"/>
      <c r="H3644"/>
    </row>
    <row r="3645" spans="3:8" x14ac:dyDescent="0.3">
      <c r="C3645"/>
      <c r="D3645"/>
      <c r="E3645"/>
      <c r="F3645"/>
      <c r="G3645"/>
      <c r="H3645"/>
    </row>
    <row r="3646" spans="3:8" x14ac:dyDescent="0.3">
      <c r="C3646"/>
      <c r="D3646"/>
      <c r="E3646"/>
      <c r="F3646"/>
      <c r="G3646"/>
      <c r="H3646"/>
    </row>
    <row r="3647" spans="3:8" x14ac:dyDescent="0.3">
      <c r="C3647"/>
      <c r="D3647"/>
      <c r="E3647"/>
      <c r="F3647"/>
      <c r="G3647"/>
      <c r="H3647"/>
    </row>
    <row r="3648" spans="3:8" x14ac:dyDescent="0.3">
      <c r="C3648"/>
      <c r="D3648"/>
      <c r="E3648"/>
      <c r="F3648"/>
      <c r="G3648"/>
      <c r="H3648"/>
    </row>
    <row r="3649" spans="3:8" x14ac:dyDescent="0.3">
      <c r="C3649"/>
      <c r="D3649"/>
      <c r="E3649"/>
      <c r="F3649"/>
      <c r="G3649"/>
      <c r="H3649"/>
    </row>
    <row r="3650" spans="3:8" x14ac:dyDescent="0.3">
      <c r="C3650"/>
      <c r="D3650"/>
      <c r="E3650"/>
      <c r="F3650"/>
      <c r="G3650"/>
      <c r="H3650"/>
    </row>
    <row r="3651" spans="3:8" x14ac:dyDescent="0.3">
      <c r="C3651"/>
      <c r="D3651"/>
      <c r="E3651"/>
      <c r="F3651"/>
      <c r="G3651"/>
      <c r="H3651"/>
    </row>
    <row r="3652" spans="3:8" x14ac:dyDescent="0.3">
      <c r="C3652"/>
      <c r="D3652"/>
      <c r="E3652"/>
      <c r="F3652"/>
      <c r="G3652"/>
      <c r="H3652"/>
    </row>
    <row r="3653" spans="3:8" x14ac:dyDescent="0.3">
      <c r="C3653"/>
      <c r="D3653"/>
      <c r="E3653"/>
      <c r="F3653"/>
      <c r="G3653"/>
      <c r="H3653"/>
    </row>
    <row r="3654" spans="3:8" x14ac:dyDescent="0.3">
      <c r="C3654"/>
      <c r="D3654"/>
      <c r="E3654"/>
      <c r="F3654"/>
      <c r="G3654"/>
      <c r="H3654"/>
    </row>
    <row r="3655" spans="3:8" x14ac:dyDescent="0.3">
      <c r="C3655"/>
      <c r="D3655"/>
      <c r="E3655"/>
      <c r="F3655"/>
      <c r="G3655"/>
      <c r="H3655"/>
    </row>
    <row r="3656" spans="3:8" x14ac:dyDescent="0.3">
      <c r="C3656"/>
      <c r="D3656"/>
      <c r="E3656"/>
      <c r="F3656"/>
      <c r="G3656"/>
      <c r="H3656"/>
    </row>
    <row r="3657" spans="3:8" x14ac:dyDescent="0.3">
      <c r="C3657"/>
      <c r="D3657"/>
      <c r="E3657"/>
      <c r="F3657"/>
      <c r="G3657"/>
      <c r="H3657"/>
    </row>
    <row r="3658" spans="3:8" x14ac:dyDescent="0.3">
      <c r="C3658"/>
      <c r="D3658"/>
      <c r="E3658"/>
      <c r="F3658"/>
      <c r="G3658"/>
      <c r="H3658"/>
    </row>
    <row r="3659" spans="3:8" x14ac:dyDescent="0.3">
      <c r="C3659"/>
      <c r="D3659"/>
      <c r="E3659"/>
      <c r="F3659"/>
      <c r="G3659"/>
      <c r="H3659"/>
    </row>
    <row r="3660" spans="3:8" x14ac:dyDescent="0.3">
      <c r="C3660"/>
      <c r="D3660"/>
      <c r="E3660"/>
      <c r="F3660"/>
      <c r="G3660"/>
      <c r="H3660"/>
    </row>
    <row r="3661" spans="3:8" x14ac:dyDescent="0.3">
      <c r="C3661"/>
      <c r="D3661"/>
      <c r="E3661"/>
      <c r="F3661"/>
      <c r="G3661"/>
      <c r="H3661"/>
    </row>
    <row r="3662" spans="3:8" x14ac:dyDescent="0.3">
      <c r="C3662"/>
      <c r="D3662"/>
      <c r="E3662"/>
      <c r="F3662"/>
      <c r="G3662"/>
      <c r="H3662"/>
    </row>
    <row r="3663" spans="3:8" x14ac:dyDescent="0.3">
      <c r="C3663"/>
      <c r="D3663"/>
      <c r="E3663"/>
      <c r="F3663"/>
      <c r="G3663"/>
      <c r="H3663"/>
    </row>
    <row r="3664" spans="3:8" x14ac:dyDescent="0.3">
      <c r="C3664"/>
      <c r="D3664"/>
      <c r="E3664"/>
      <c r="F3664"/>
      <c r="G3664"/>
      <c r="H3664"/>
    </row>
    <row r="3665" spans="3:8" x14ac:dyDescent="0.3">
      <c r="C3665"/>
      <c r="D3665"/>
      <c r="E3665"/>
      <c r="F3665"/>
      <c r="G3665"/>
      <c r="H3665"/>
    </row>
    <row r="3666" spans="3:8" x14ac:dyDescent="0.3">
      <c r="C3666"/>
      <c r="D3666"/>
      <c r="E3666"/>
      <c r="F3666"/>
      <c r="G3666"/>
      <c r="H3666"/>
    </row>
    <row r="3667" spans="3:8" x14ac:dyDescent="0.3">
      <c r="C3667"/>
      <c r="D3667"/>
      <c r="E3667"/>
      <c r="F3667"/>
      <c r="G3667"/>
      <c r="H3667"/>
    </row>
    <row r="3668" spans="3:8" x14ac:dyDescent="0.3">
      <c r="C3668"/>
      <c r="D3668"/>
      <c r="E3668"/>
      <c r="F3668"/>
      <c r="G3668"/>
      <c r="H3668"/>
    </row>
    <row r="3669" spans="3:8" x14ac:dyDescent="0.3">
      <c r="C3669"/>
      <c r="D3669"/>
      <c r="E3669"/>
      <c r="F3669"/>
      <c r="G3669"/>
      <c r="H3669"/>
    </row>
    <row r="3670" spans="3:8" x14ac:dyDescent="0.3">
      <c r="C3670"/>
      <c r="D3670"/>
      <c r="E3670"/>
      <c r="F3670"/>
      <c r="G3670"/>
      <c r="H3670"/>
    </row>
    <row r="3671" spans="3:8" x14ac:dyDescent="0.3">
      <c r="C3671"/>
      <c r="D3671"/>
      <c r="E3671"/>
      <c r="F3671"/>
      <c r="G3671"/>
      <c r="H3671"/>
    </row>
    <row r="3672" spans="3:8" x14ac:dyDescent="0.3">
      <c r="C3672"/>
      <c r="D3672"/>
      <c r="E3672"/>
      <c r="F3672"/>
      <c r="G3672"/>
      <c r="H3672"/>
    </row>
    <row r="3673" spans="3:8" x14ac:dyDescent="0.3">
      <c r="C3673"/>
      <c r="D3673"/>
      <c r="E3673"/>
      <c r="F3673"/>
      <c r="G3673"/>
      <c r="H3673"/>
    </row>
    <row r="3674" spans="3:8" x14ac:dyDescent="0.3">
      <c r="C3674"/>
      <c r="D3674"/>
      <c r="E3674"/>
      <c r="F3674"/>
      <c r="G3674"/>
      <c r="H3674"/>
    </row>
    <row r="3675" spans="3:8" x14ac:dyDescent="0.3">
      <c r="C3675"/>
      <c r="D3675"/>
      <c r="E3675"/>
      <c r="F3675"/>
      <c r="G3675"/>
      <c r="H3675"/>
    </row>
    <row r="3676" spans="3:8" x14ac:dyDescent="0.3">
      <c r="C3676"/>
      <c r="D3676"/>
      <c r="E3676"/>
      <c r="F3676"/>
      <c r="G3676"/>
      <c r="H3676"/>
    </row>
    <row r="3677" spans="3:8" x14ac:dyDescent="0.3">
      <c r="C3677"/>
      <c r="D3677"/>
      <c r="E3677"/>
      <c r="F3677"/>
      <c r="G3677"/>
      <c r="H3677"/>
    </row>
    <row r="3678" spans="3:8" x14ac:dyDescent="0.3">
      <c r="C3678"/>
      <c r="D3678"/>
      <c r="E3678"/>
      <c r="F3678"/>
      <c r="G3678"/>
      <c r="H3678"/>
    </row>
    <row r="3679" spans="3:8" x14ac:dyDescent="0.3">
      <c r="C3679"/>
      <c r="D3679"/>
      <c r="E3679"/>
      <c r="F3679"/>
      <c r="G3679"/>
      <c r="H3679"/>
    </row>
    <row r="3680" spans="3:8" x14ac:dyDescent="0.3">
      <c r="C3680"/>
      <c r="D3680"/>
      <c r="E3680"/>
      <c r="F3680"/>
      <c r="G3680"/>
      <c r="H3680"/>
    </row>
    <row r="3681" spans="3:8" x14ac:dyDescent="0.3">
      <c r="C3681"/>
      <c r="D3681"/>
      <c r="E3681"/>
      <c r="F3681"/>
      <c r="G3681"/>
      <c r="H3681"/>
    </row>
    <row r="3682" spans="3:8" x14ac:dyDescent="0.3">
      <c r="C3682"/>
      <c r="D3682"/>
      <c r="E3682"/>
      <c r="F3682"/>
      <c r="G3682"/>
      <c r="H3682"/>
    </row>
    <row r="3683" spans="3:8" x14ac:dyDescent="0.3">
      <c r="C3683"/>
      <c r="D3683"/>
      <c r="E3683"/>
      <c r="F3683"/>
      <c r="G3683"/>
      <c r="H3683"/>
    </row>
    <row r="3684" spans="3:8" x14ac:dyDescent="0.3">
      <c r="C3684"/>
      <c r="D3684"/>
      <c r="E3684"/>
      <c r="F3684"/>
      <c r="G3684"/>
      <c r="H3684"/>
    </row>
    <row r="3685" spans="3:8" x14ac:dyDescent="0.3">
      <c r="C3685"/>
      <c r="D3685"/>
      <c r="E3685"/>
      <c r="F3685"/>
      <c r="G3685"/>
      <c r="H3685"/>
    </row>
    <row r="3686" spans="3:8" x14ac:dyDescent="0.3">
      <c r="C3686"/>
      <c r="D3686"/>
      <c r="E3686"/>
      <c r="F3686"/>
      <c r="G3686"/>
      <c r="H3686"/>
    </row>
    <row r="3687" spans="3:8" x14ac:dyDescent="0.3">
      <c r="C3687"/>
      <c r="D3687"/>
      <c r="E3687"/>
      <c r="F3687"/>
      <c r="G3687"/>
      <c r="H3687"/>
    </row>
    <row r="3688" spans="3:8" x14ac:dyDescent="0.3">
      <c r="C3688"/>
      <c r="D3688"/>
      <c r="E3688"/>
      <c r="F3688"/>
      <c r="G3688"/>
      <c r="H3688"/>
    </row>
    <row r="3689" spans="3:8" x14ac:dyDescent="0.3">
      <c r="C3689"/>
      <c r="D3689"/>
      <c r="E3689"/>
      <c r="F3689"/>
      <c r="G3689"/>
      <c r="H3689"/>
    </row>
    <row r="3690" spans="3:8" x14ac:dyDescent="0.3">
      <c r="C3690"/>
      <c r="D3690"/>
      <c r="E3690"/>
      <c r="F3690"/>
      <c r="G3690"/>
      <c r="H3690"/>
    </row>
    <row r="3691" spans="3:8" x14ac:dyDescent="0.3">
      <c r="C3691"/>
      <c r="D3691"/>
      <c r="E3691"/>
      <c r="F3691"/>
      <c r="G3691"/>
      <c r="H3691"/>
    </row>
    <row r="3692" spans="3:8" x14ac:dyDescent="0.3">
      <c r="C3692"/>
      <c r="D3692"/>
      <c r="E3692"/>
      <c r="F3692"/>
      <c r="G3692"/>
      <c r="H3692"/>
    </row>
    <row r="3693" spans="3:8" x14ac:dyDescent="0.3">
      <c r="C3693"/>
      <c r="D3693"/>
      <c r="E3693"/>
      <c r="F3693"/>
      <c r="G3693"/>
      <c r="H3693"/>
    </row>
    <row r="3694" spans="3:8" x14ac:dyDescent="0.3">
      <c r="C3694"/>
      <c r="D3694"/>
      <c r="E3694"/>
      <c r="F3694"/>
      <c r="G3694"/>
      <c r="H3694"/>
    </row>
    <row r="3695" spans="3:8" x14ac:dyDescent="0.3">
      <c r="C3695"/>
      <c r="D3695"/>
      <c r="E3695"/>
      <c r="F3695"/>
      <c r="G3695"/>
      <c r="H3695"/>
    </row>
    <row r="3696" spans="3:8" x14ac:dyDescent="0.3">
      <c r="C3696"/>
      <c r="D3696"/>
      <c r="E3696"/>
      <c r="F3696"/>
      <c r="G3696"/>
      <c r="H3696"/>
    </row>
    <row r="3697" spans="3:8" x14ac:dyDescent="0.3">
      <c r="C3697"/>
      <c r="D3697"/>
      <c r="E3697"/>
      <c r="F3697"/>
      <c r="G3697"/>
      <c r="H3697"/>
    </row>
    <row r="3698" spans="3:8" x14ac:dyDescent="0.3">
      <c r="C3698"/>
      <c r="D3698"/>
      <c r="E3698"/>
      <c r="F3698"/>
      <c r="G3698"/>
      <c r="H3698"/>
    </row>
    <row r="3699" spans="3:8" x14ac:dyDescent="0.3">
      <c r="C3699"/>
      <c r="D3699"/>
      <c r="E3699"/>
      <c r="F3699"/>
      <c r="G3699"/>
      <c r="H3699"/>
    </row>
    <row r="3700" spans="3:8" x14ac:dyDescent="0.3">
      <c r="C3700"/>
      <c r="D3700"/>
      <c r="E3700"/>
      <c r="F3700"/>
      <c r="G3700"/>
      <c r="H3700"/>
    </row>
    <row r="3701" spans="3:8" x14ac:dyDescent="0.3">
      <c r="C3701"/>
      <c r="D3701"/>
      <c r="E3701"/>
      <c r="F3701"/>
      <c r="G3701"/>
      <c r="H3701"/>
    </row>
    <row r="3702" spans="3:8" x14ac:dyDescent="0.3">
      <c r="C3702"/>
      <c r="D3702"/>
      <c r="E3702"/>
      <c r="F3702"/>
      <c r="G3702"/>
      <c r="H3702"/>
    </row>
    <row r="3703" spans="3:8" x14ac:dyDescent="0.3">
      <c r="C3703"/>
      <c r="D3703"/>
      <c r="E3703"/>
      <c r="F3703"/>
      <c r="G3703"/>
      <c r="H3703"/>
    </row>
    <row r="3704" spans="3:8" x14ac:dyDescent="0.3">
      <c r="C3704"/>
      <c r="D3704"/>
      <c r="E3704"/>
      <c r="F3704"/>
      <c r="G3704"/>
      <c r="H3704"/>
    </row>
    <row r="3705" spans="3:8" x14ac:dyDescent="0.3">
      <c r="C3705"/>
      <c r="D3705"/>
      <c r="E3705"/>
      <c r="F3705"/>
      <c r="G3705"/>
      <c r="H3705"/>
    </row>
    <row r="3706" spans="3:8" x14ac:dyDescent="0.3">
      <c r="C3706"/>
      <c r="D3706"/>
      <c r="E3706"/>
      <c r="F3706"/>
      <c r="G3706"/>
      <c r="H3706"/>
    </row>
    <row r="3707" spans="3:8" x14ac:dyDescent="0.3">
      <c r="C3707"/>
      <c r="D3707"/>
      <c r="E3707"/>
      <c r="F3707"/>
      <c r="G3707"/>
      <c r="H3707"/>
    </row>
    <row r="3708" spans="3:8" x14ac:dyDescent="0.3">
      <c r="C3708"/>
      <c r="D3708"/>
      <c r="E3708"/>
      <c r="F3708"/>
      <c r="G3708"/>
      <c r="H3708"/>
    </row>
    <row r="3709" spans="3:8" x14ac:dyDescent="0.3">
      <c r="C3709"/>
      <c r="D3709"/>
      <c r="E3709"/>
      <c r="F3709"/>
      <c r="G3709"/>
      <c r="H3709"/>
    </row>
    <row r="3710" spans="3:8" x14ac:dyDescent="0.3">
      <c r="C3710"/>
      <c r="D3710"/>
      <c r="E3710"/>
      <c r="F3710"/>
      <c r="G3710"/>
      <c r="H3710"/>
    </row>
    <row r="3711" spans="3:8" x14ac:dyDescent="0.3">
      <c r="C3711"/>
      <c r="D3711"/>
      <c r="E3711"/>
      <c r="F3711"/>
      <c r="G3711"/>
      <c r="H3711"/>
    </row>
    <row r="3712" spans="3:8" x14ac:dyDescent="0.3">
      <c r="C3712"/>
      <c r="D3712"/>
      <c r="E3712"/>
      <c r="F3712"/>
      <c r="G3712"/>
      <c r="H3712"/>
    </row>
    <row r="3713" spans="3:8" x14ac:dyDescent="0.3">
      <c r="C3713"/>
      <c r="D3713"/>
      <c r="E3713"/>
      <c r="F3713"/>
      <c r="G3713"/>
      <c r="H3713"/>
    </row>
    <row r="3714" spans="3:8" x14ac:dyDescent="0.3">
      <c r="C3714"/>
      <c r="D3714"/>
      <c r="E3714"/>
      <c r="F3714"/>
      <c r="G3714"/>
      <c r="H3714"/>
    </row>
    <row r="3715" spans="3:8" x14ac:dyDescent="0.3">
      <c r="C3715"/>
      <c r="D3715"/>
      <c r="E3715"/>
      <c r="F3715"/>
      <c r="G3715"/>
      <c r="H3715"/>
    </row>
    <row r="3716" spans="3:8" x14ac:dyDescent="0.3">
      <c r="C3716"/>
      <c r="D3716"/>
      <c r="E3716"/>
      <c r="F3716"/>
      <c r="G3716"/>
      <c r="H3716"/>
    </row>
    <row r="3717" spans="3:8" x14ac:dyDescent="0.3">
      <c r="C3717"/>
      <c r="D3717"/>
      <c r="E3717"/>
      <c r="F3717"/>
      <c r="G3717"/>
      <c r="H3717"/>
    </row>
    <row r="3718" spans="3:8" x14ac:dyDescent="0.3">
      <c r="C3718"/>
      <c r="D3718"/>
      <c r="E3718"/>
      <c r="F3718"/>
      <c r="G3718"/>
      <c r="H3718"/>
    </row>
    <row r="3719" spans="3:8" x14ac:dyDescent="0.3">
      <c r="C3719"/>
      <c r="D3719"/>
      <c r="E3719"/>
      <c r="F3719"/>
      <c r="G3719"/>
      <c r="H3719"/>
    </row>
    <row r="3720" spans="3:8" x14ac:dyDescent="0.3">
      <c r="C3720"/>
      <c r="D3720"/>
      <c r="E3720"/>
      <c r="F3720"/>
      <c r="G3720"/>
      <c r="H3720"/>
    </row>
    <row r="3721" spans="3:8" x14ac:dyDescent="0.3">
      <c r="C3721"/>
      <c r="D3721"/>
      <c r="E3721"/>
      <c r="F3721"/>
      <c r="G3721"/>
      <c r="H3721"/>
    </row>
    <row r="3722" spans="3:8" x14ac:dyDescent="0.3">
      <c r="C3722"/>
      <c r="D3722"/>
      <c r="E3722"/>
      <c r="F3722"/>
      <c r="G3722"/>
      <c r="H3722"/>
    </row>
    <row r="3723" spans="3:8" x14ac:dyDescent="0.3">
      <c r="C3723"/>
      <c r="D3723"/>
      <c r="E3723"/>
      <c r="F3723"/>
      <c r="G3723"/>
      <c r="H3723"/>
    </row>
    <row r="3724" spans="3:8" x14ac:dyDescent="0.3">
      <c r="C3724"/>
      <c r="D3724"/>
      <c r="E3724"/>
      <c r="F3724"/>
      <c r="G3724"/>
      <c r="H3724"/>
    </row>
    <row r="3725" spans="3:8" x14ac:dyDescent="0.3">
      <c r="C3725"/>
      <c r="D3725"/>
      <c r="E3725"/>
      <c r="F3725"/>
      <c r="G3725"/>
      <c r="H3725"/>
    </row>
    <row r="3726" spans="3:8" x14ac:dyDescent="0.3">
      <c r="C3726"/>
      <c r="D3726"/>
      <c r="E3726"/>
      <c r="F3726"/>
      <c r="G3726"/>
      <c r="H3726"/>
    </row>
    <row r="3727" spans="3:8" x14ac:dyDescent="0.3">
      <c r="C3727"/>
      <c r="D3727"/>
      <c r="E3727"/>
      <c r="F3727"/>
      <c r="G3727"/>
      <c r="H3727"/>
    </row>
    <row r="3728" spans="3:8" x14ac:dyDescent="0.3">
      <c r="C3728"/>
      <c r="D3728"/>
      <c r="E3728"/>
      <c r="F3728"/>
      <c r="G3728"/>
      <c r="H3728"/>
    </row>
    <row r="3729" spans="3:8" x14ac:dyDescent="0.3">
      <c r="C3729"/>
      <c r="D3729"/>
      <c r="E3729"/>
      <c r="F3729"/>
      <c r="G3729"/>
      <c r="H3729"/>
    </row>
    <row r="3730" spans="3:8" x14ac:dyDescent="0.3">
      <c r="C3730"/>
      <c r="D3730"/>
      <c r="E3730"/>
      <c r="F3730"/>
      <c r="G3730"/>
      <c r="H3730"/>
    </row>
    <row r="3731" spans="3:8" x14ac:dyDescent="0.3">
      <c r="C3731"/>
      <c r="D3731"/>
      <c r="E3731"/>
      <c r="F3731"/>
      <c r="G3731"/>
      <c r="H3731"/>
    </row>
    <row r="3732" spans="3:8" x14ac:dyDescent="0.3">
      <c r="C3732"/>
      <c r="D3732"/>
      <c r="E3732"/>
      <c r="F3732"/>
      <c r="G3732"/>
      <c r="H3732"/>
    </row>
    <row r="3733" spans="3:8" x14ac:dyDescent="0.3">
      <c r="C3733"/>
      <c r="D3733"/>
      <c r="E3733"/>
      <c r="F3733"/>
      <c r="G3733"/>
      <c r="H3733"/>
    </row>
    <row r="3734" spans="3:8" x14ac:dyDescent="0.3">
      <c r="C3734"/>
      <c r="D3734"/>
      <c r="E3734"/>
      <c r="F3734"/>
      <c r="G3734"/>
      <c r="H3734"/>
    </row>
    <row r="3735" spans="3:8" x14ac:dyDescent="0.3">
      <c r="C3735"/>
      <c r="D3735"/>
      <c r="E3735"/>
      <c r="F3735"/>
      <c r="G3735"/>
      <c r="H3735"/>
    </row>
    <row r="3736" spans="3:8" x14ac:dyDescent="0.3">
      <c r="C3736"/>
      <c r="D3736"/>
      <c r="E3736"/>
      <c r="F3736"/>
      <c r="G3736"/>
      <c r="H3736"/>
    </row>
    <row r="3737" spans="3:8" x14ac:dyDescent="0.3">
      <c r="C3737"/>
      <c r="D3737"/>
      <c r="E3737"/>
      <c r="F3737"/>
      <c r="G3737"/>
      <c r="H3737"/>
    </row>
    <row r="3738" spans="3:8" x14ac:dyDescent="0.3">
      <c r="C3738"/>
      <c r="D3738"/>
      <c r="E3738"/>
      <c r="F3738"/>
      <c r="G3738"/>
      <c r="H3738"/>
    </row>
    <row r="3739" spans="3:8" x14ac:dyDescent="0.3">
      <c r="C3739"/>
      <c r="D3739"/>
      <c r="E3739"/>
      <c r="F3739"/>
      <c r="G3739"/>
      <c r="H3739"/>
    </row>
    <row r="3740" spans="3:8" x14ac:dyDescent="0.3">
      <c r="C3740"/>
      <c r="D3740"/>
      <c r="E3740"/>
      <c r="F3740"/>
      <c r="G3740"/>
      <c r="H3740"/>
    </row>
    <row r="3741" spans="3:8" x14ac:dyDescent="0.3">
      <c r="C3741"/>
      <c r="D3741"/>
      <c r="E3741"/>
      <c r="F3741"/>
      <c r="G3741"/>
      <c r="H3741"/>
    </row>
    <row r="3742" spans="3:8" x14ac:dyDescent="0.3">
      <c r="C3742"/>
      <c r="D3742"/>
      <c r="E3742"/>
      <c r="F3742"/>
      <c r="G3742"/>
      <c r="H3742"/>
    </row>
    <row r="3743" spans="3:8" x14ac:dyDescent="0.3">
      <c r="C3743"/>
      <c r="D3743"/>
      <c r="E3743"/>
      <c r="F3743"/>
      <c r="G3743"/>
      <c r="H3743"/>
    </row>
    <row r="3744" spans="3:8" x14ac:dyDescent="0.3">
      <c r="C3744"/>
      <c r="D3744"/>
      <c r="E3744"/>
      <c r="F3744"/>
      <c r="G3744"/>
      <c r="H3744"/>
    </row>
    <row r="3745" spans="3:8" x14ac:dyDescent="0.3">
      <c r="C3745"/>
      <c r="D3745"/>
      <c r="E3745"/>
      <c r="F3745"/>
      <c r="G3745"/>
      <c r="H3745"/>
    </row>
    <row r="3746" spans="3:8" x14ac:dyDescent="0.3">
      <c r="C3746"/>
      <c r="D3746"/>
      <c r="E3746"/>
      <c r="F3746"/>
      <c r="G3746"/>
      <c r="H3746"/>
    </row>
    <row r="3747" spans="3:8" x14ac:dyDescent="0.3">
      <c r="C3747"/>
      <c r="D3747"/>
      <c r="E3747"/>
      <c r="F3747"/>
      <c r="G3747"/>
      <c r="H3747"/>
    </row>
    <row r="3748" spans="3:8" x14ac:dyDescent="0.3">
      <c r="C3748"/>
      <c r="D3748"/>
      <c r="E3748"/>
      <c r="F3748"/>
      <c r="G3748"/>
      <c r="H3748"/>
    </row>
    <row r="3749" spans="3:8" x14ac:dyDescent="0.3">
      <c r="C3749"/>
      <c r="D3749"/>
      <c r="E3749"/>
      <c r="F3749"/>
      <c r="G3749"/>
      <c r="H3749"/>
    </row>
    <row r="3750" spans="3:8" x14ac:dyDescent="0.3">
      <c r="C3750"/>
      <c r="D3750"/>
      <c r="E3750"/>
      <c r="F3750"/>
      <c r="G3750"/>
      <c r="H3750"/>
    </row>
    <row r="3751" spans="3:8" x14ac:dyDescent="0.3">
      <c r="C3751"/>
      <c r="D3751"/>
      <c r="E3751"/>
      <c r="F3751"/>
      <c r="G3751"/>
      <c r="H3751"/>
    </row>
    <row r="3752" spans="3:8" x14ac:dyDescent="0.3">
      <c r="C3752"/>
      <c r="D3752"/>
      <c r="E3752"/>
      <c r="F3752"/>
      <c r="G3752"/>
      <c r="H3752"/>
    </row>
    <row r="3753" spans="3:8" x14ac:dyDescent="0.3">
      <c r="C3753"/>
      <c r="D3753"/>
      <c r="E3753"/>
      <c r="F3753"/>
      <c r="G3753"/>
      <c r="H3753"/>
    </row>
    <row r="3754" spans="3:8" x14ac:dyDescent="0.3">
      <c r="C3754"/>
      <c r="D3754"/>
      <c r="E3754"/>
      <c r="F3754"/>
      <c r="G3754"/>
      <c r="H3754"/>
    </row>
    <row r="3755" spans="3:8" x14ac:dyDescent="0.3">
      <c r="C3755"/>
      <c r="D3755"/>
      <c r="E3755"/>
      <c r="F3755"/>
      <c r="G3755"/>
      <c r="H3755"/>
    </row>
    <row r="3756" spans="3:8" x14ac:dyDescent="0.3">
      <c r="C3756"/>
      <c r="D3756"/>
      <c r="E3756"/>
      <c r="F3756"/>
      <c r="G3756"/>
      <c r="H3756"/>
    </row>
    <row r="3757" spans="3:8" x14ac:dyDescent="0.3">
      <c r="C3757"/>
      <c r="D3757"/>
      <c r="E3757"/>
      <c r="F3757"/>
      <c r="G3757"/>
      <c r="H3757"/>
    </row>
    <row r="3758" spans="3:8" x14ac:dyDescent="0.3">
      <c r="C3758"/>
      <c r="D3758"/>
      <c r="E3758"/>
      <c r="F3758"/>
      <c r="G3758"/>
      <c r="H3758"/>
    </row>
    <row r="3759" spans="3:8" x14ac:dyDescent="0.3">
      <c r="C3759"/>
      <c r="D3759"/>
      <c r="E3759"/>
      <c r="F3759"/>
      <c r="G3759"/>
      <c r="H3759"/>
    </row>
    <row r="3760" spans="3:8" x14ac:dyDescent="0.3">
      <c r="C3760"/>
      <c r="D3760"/>
      <c r="E3760"/>
      <c r="F3760"/>
      <c r="G3760"/>
      <c r="H3760"/>
    </row>
    <row r="3761" spans="3:8" x14ac:dyDescent="0.3">
      <c r="C3761"/>
      <c r="D3761"/>
      <c r="E3761"/>
      <c r="F3761"/>
      <c r="G3761"/>
      <c r="H3761"/>
    </row>
    <row r="3762" spans="3:8" x14ac:dyDescent="0.3">
      <c r="C3762"/>
      <c r="D3762"/>
      <c r="E3762"/>
      <c r="F3762"/>
      <c r="G3762"/>
      <c r="H3762"/>
    </row>
    <row r="3763" spans="3:8" x14ac:dyDescent="0.3">
      <c r="C3763"/>
      <c r="D3763"/>
      <c r="E3763"/>
      <c r="F3763"/>
      <c r="G3763"/>
      <c r="H3763"/>
    </row>
    <row r="3764" spans="3:8" x14ac:dyDescent="0.3">
      <c r="C3764"/>
      <c r="D3764"/>
      <c r="E3764"/>
      <c r="F3764"/>
      <c r="G3764"/>
      <c r="H3764"/>
    </row>
    <row r="3765" spans="3:8" x14ac:dyDescent="0.3">
      <c r="C3765"/>
      <c r="D3765"/>
      <c r="E3765"/>
      <c r="F3765"/>
      <c r="G3765"/>
      <c r="H3765"/>
    </row>
    <row r="3766" spans="3:8" x14ac:dyDescent="0.3">
      <c r="C3766"/>
      <c r="D3766"/>
      <c r="E3766"/>
      <c r="F3766"/>
      <c r="G3766"/>
      <c r="H3766"/>
    </row>
    <row r="3767" spans="3:8" x14ac:dyDescent="0.3">
      <c r="C3767"/>
      <c r="D3767"/>
      <c r="E3767"/>
      <c r="F3767"/>
      <c r="G3767"/>
      <c r="H3767"/>
    </row>
    <row r="3768" spans="3:8" x14ac:dyDescent="0.3">
      <c r="C3768"/>
      <c r="D3768"/>
      <c r="E3768"/>
      <c r="F3768"/>
      <c r="G3768"/>
      <c r="H3768"/>
    </row>
    <row r="3769" spans="3:8" x14ac:dyDescent="0.3">
      <c r="C3769"/>
      <c r="D3769"/>
      <c r="E3769"/>
      <c r="F3769"/>
      <c r="G3769"/>
      <c r="H3769"/>
    </row>
    <row r="3770" spans="3:8" x14ac:dyDescent="0.3">
      <c r="C3770"/>
      <c r="D3770"/>
      <c r="E3770"/>
      <c r="F3770"/>
      <c r="G3770"/>
      <c r="H3770"/>
    </row>
    <row r="3771" spans="3:8" x14ac:dyDescent="0.3">
      <c r="C3771"/>
      <c r="D3771"/>
      <c r="E3771"/>
      <c r="F3771"/>
      <c r="G3771"/>
      <c r="H3771"/>
    </row>
    <row r="3772" spans="3:8" x14ac:dyDescent="0.3">
      <c r="C3772"/>
      <c r="D3772"/>
      <c r="E3772"/>
      <c r="F3772"/>
      <c r="G3772"/>
      <c r="H3772"/>
    </row>
    <row r="3773" spans="3:8" x14ac:dyDescent="0.3">
      <c r="C3773"/>
      <c r="D3773"/>
      <c r="E3773"/>
      <c r="F3773"/>
      <c r="G3773"/>
      <c r="H3773"/>
    </row>
    <row r="3774" spans="3:8" x14ac:dyDescent="0.3">
      <c r="C3774"/>
      <c r="D3774"/>
      <c r="E3774"/>
      <c r="F3774"/>
      <c r="G3774"/>
      <c r="H3774"/>
    </row>
    <row r="3775" spans="3:8" x14ac:dyDescent="0.3">
      <c r="C3775"/>
      <c r="D3775"/>
      <c r="E3775"/>
      <c r="F3775"/>
      <c r="G3775"/>
      <c r="H3775"/>
    </row>
    <row r="3776" spans="3:8" x14ac:dyDescent="0.3">
      <c r="C3776"/>
      <c r="D3776"/>
      <c r="E3776"/>
      <c r="F3776"/>
      <c r="G3776"/>
      <c r="H3776"/>
    </row>
    <row r="3777" spans="3:8" x14ac:dyDescent="0.3">
      <c r="C3777"/>
      <c r="D3777"/>
      <c r="E3777"/>
      <c r="F3777"/>
      <c r="G3777"/>
      <c r="H3777"/>
    </row>
    <row r="3778" spans="3:8" x14ac:dyDescent="0.3">
      <c r="C3778"/>
      <c r="D3778"/>
      <c r="E3778"/>
      <c r="F3778"/>
      <c r="G3778"/>
      <c r="H3778"/>
    </row>
    <row r="3779" spans="3:8" x14ac:dyDescent="0.3">
      <c r="C3779"/>
      <c r="D3779"/>
      <c r="E3779"/>
      <c r="F3779"/>
      <c r="G3779"/>
      <c r="H3779"/>
    </row>
    <row r="3780" spans="3:8" x14ac:dyDescent="0.3">
      <c r="C3780"/>
      <c r="D3780"/>
      <c r="E3780"/>
      <c r="F3780"/>
      <c r="G3780"/>
      <c r="H3780"/>
    </row>
    <row r="3781" spans="3:8" x14ac:dyDescent="0.3">
      <c r="C3781"/>
      <c r="D3781"/>
      <c r="E3781"/>
      <c r="F3781"/>
      <c r="G3781"/>
      <c r="H3781"/>
    </row>
    <row r="3782" spans="3:8" x14ac:dyDescent="0.3">
      <c r="C3782"/>
      <c r="D3782"/>
      <c r="E3782"/>
      <c r="F3782"/>
      <c r="G3782"/>
      <c r="H3782"/>
    </row>
    <row r="3783" spans="3:8" x14ac:dyDescent="0.3">
      <c r="C3783"/>
      <c r="D3783"/>
      <c r="E3783"/>
      <c r="F3783"/>
      <c r="G3783"/>
      <c r="H3783"/>
    </row>
    <row r="3784" spans="3:8" x14ac:dyDescent="0.3">
      <c r="C3784"/>
      <c r="D3784"/>
      <c r="E3784"/>
      <c r="F3784"/>
      <c r="G3784"/>
      <c r="H3784"/>
    </row>
    <row r="3785" spans="3:8" x14ac:dyDescent="0.3">
      <c r="C3785"/>
      <c r="D3785"/>
      <c r="E3785"/>
      <c r="F3785"/>
      <c r="G3785"/>
      <c r="H3785"/>
    </row>
    <row r="3786" spans="3:8" x14ac:dyDescent="0.3">
      <c r="C3786"/>
      <c r="D3786"/>
      <c r="E3786"/>
      <c r="F3786"/>
      <c r="G3786"/>
      <c r="H3786"/>
    </row>
    <row r="3787" spans="3:8" x14ac:dyDescent="0.3">
      <c r="C3787"/>
      <c r="D3787"/>
      <c r="E3787"/>
      <c r="F3787"/>
      <c r="G3787"/>
      <c r="H3787"/>
    </row>
    <row r="3788" spans="3:8" x14ac:dyDescent="0.3">
      <c r="C3788"/>
      <c r="D3788"/>
      <c r="E3788"/>
      <c r="F3788"/>
      <c r="G3788"/>
      <c r="H3788"/>
    </row>
    <row r="3789" spans="3:8" x14ac:dyDescent="0.3">
      <c r="C3789"/>
      <c r="D3789"/>
      <c r="E3789"/>
      <c r="F3789"/>
      <c r="G3789"/>
      <c r="H3789"/>
    </row>
    <row r="3790" spans="3:8" x14ac:dyDescent="0.3">
      <c r="C3790"/>
      <c r="D3790"/>
      <c r="E3790"/>
      <c r="F3790"/>
      <c r="G3790"/>
      <c r="H3790"/>
    </row>
    <row r="3791" spans="3:8" x14ac:dyDescent="0.3">
      <c r="C3791"/>
      <c r="D3791"/>
      <c r="E3791"/>
      <c r="F3791"/>
      <c r="G3791"/>
      <c r="H3791"/>
    </row>
    <row r="3792" spans="3:8" x14ac:dyDescent="0.3">
      <c r="C3792"/>
      <c r="D3792"/>
      <c r="E3792"/>
      <c r="F3792"/>
      <c r="G3792"/>
      <c r="H3792"/>
    </row>
    <row r="3793" spans="3:8" x14ac:dyDescent="0.3">
      <c r="C3793"/>
      <c r="D3793"/>
      <c r="E3793"/>
      <c r="F3793"/>
      <c r="G3793"/>
      <c r="H3793"/>
    </row>
    <row r="3794" spans="3:8" x14ac:dyDescent="0.3">
      <c r="C3794"/>
      <c r="D3794"/>
      <c r="E3794"/>
      <c r="F3794"/>
      <c r="G3794"/>
      <c r="H3794"/>
    </row>
    <row r="3795" spans="3:8" x14ac:dyDescent="0.3">
      <c r="C3795"/>
      <c r="D3795"/>
      <c r="E3795"/>
      <c r="F3795"/>
      <c r="G3795"/>
      <c r="H3795"/>
    </row>
    <row r="3796" spans="3:8" x14ac:dyDescent="0.3">
      <c r="C3796"/>
      <c r="D3796"/>
      <c r="E3796"/>
      <c r="F3796"/>
      <c r="G3796"/>
      <c r="H3796"/>
    </row>
    <row r="3797" spans="3:8" x14ac:dyDescent="0.3">
      <c r="C3797"/>
      <c r="D3797"/>
      <c r="E3797"/>
      <c r="F3797"/>
      <c r="G3797"/>
      <c r="H3797"/>
    </row>
    <row r="3798" spans="3:8" x14ac:dyDescent="0.3">
      <c r="C3798"/>
      <c r="D3798"/>
      <c r="E3798"/>
      <c r="F3798"/>
      <c r="G3798"/>
      <c r="H3798"/>
    </row>
    <row r="3799" spans="3:8" x14ac:dyDescent="0.3">
      <c r="C3799"/>
      <c r="D3799"/>
      <c r="E3799"/>
      <c r="F3799"/>
      <c r="G3799"/>
      <c r="H3799"/>
    </row>
    <row r="3800" spans="3:8" x14ac:dyDescent="0.3">
      <c r="C3800"/>
      <c r="D3800"/>
      <c r="E3800"/>
      <c r="F3800"/>
      <c r="G3800"/>
      <c r="H3800"/>
    </row>
    <row r="3801" spans="3:8" x14ac:dyDescent="0.3">
      <c r="C3801"/>
      <c r="D3801"/>
      <c r="E3801"/>
      <c r="F3801"/>
      <c r="G3801"/>
      <c r="H3801"/>
    </row>
    <row r="3802" spans="3:8" x14ac:dyDescent="0.3">
      <c r="C3802"/>
      <c r="D3802"/>
      <c r="E3802"/>
      <c r="F3802"/>
      <c r="G3802"/>
      <c r="H3802"/>
    </row>
    <row r="3803" spans="3:8" x14ac:dyDescent="0.3">
      <c r="C3803"/>
      <c r="D3803"/>
      <c r="E3803"/>
      <c r="F3803"/>
      <c r="G3803"/>
      <c r="H3803"/>
    </row>
    <row r="3804" spans="3:8" x14ac:dyDescent="0.3">
      <c r="C3804"/>
      <c r="D3804"/>
      <c r="E3804"/>
      <c r="F3804"/>
      <c r="G3804"/>
      <c r="H3804"/>
    </row>
    <row r="3805" spans="3:8" x14ac:dyDescent="0.3">
      <c r="C3805"/>
      <c r="D3805"/>
      <c r="E3805"/>
      <c r="F3805"/>
      <c r="G3805"/>
      <c r="H3805"/>
    </row>
    <row r="3806" spans="3:8" x14ac:dyDescent="0.3">
      <c r="C3806"/>
      <c r="D3806"/>
      <c r="E3806"/>
      <c r="F3806"/>
      <c r="G3806"/>
      <c r="H3806"/>
    </row>
    <row r="3807" spans="3:8" x14ac:dyDescent="0.3">
      <c r="C3807"/>
      <c r="D3807"/>
      <c r="E3807"/>
      <c r="F3807"/>
      <c r="G3807"/>
      <c r="H3807"/>
    </row>
    <row r="3808" spans="3:8" x14ac:dyDescent="0.3">
      <c r="C3808"/>
      <c r="D3808"/>
      <c r="E3808"/>
      <c r="F3808"/>
      <c r="G3808"/>
      <c r="H3808"/>
    </row>
    <row r="3809" spans="3:8" x14ac:dyDescent="0.3">
      <c r="C3809"/>
      <c r="D3809"/>
      <c r="E3809"/>
      <c r="F3809"/>
      <c r="G3809"/>
      <c r="H3809"/>
    </row>
    <row r="3810" spans="3:8" x14ac:dyDescent="0.3">
      <c r="C3810"/>
      <c r="D3810"/>
      <c r="E3810"/>
      <c r="F3810"/>
      <c r="G3810"/>
      <c r="H3810"/>
    </row>
    <row r="3811" spans="3:8" x14ac:dyDescent="0.3">
      <c r="C3811"/>
      <c r="D3811"/>
      <c r="E3811"/>
      <c r="F3811"/>
      <c r="G3811"/>
      <c r="H3811"/>
    </row>
    <row r="3812" spans="3:8" x14ac:dyDescent="0.3">
      <c r="C3812"/>
      <c r="D3812"/>
      <c r="E3812"/>
      <c r="F3812"/>
      <c r="G3812"/>
      <c r="H3812"/>
    </row>
    <row r="3813" spans="3:8" x14ac:dyDescent="0.3">
      <c r="C3813"/>
      <c r="D3813"/>
      <c r="E3813"/>
      <c r="F3813"/>
      <c r="G3813"/>
      <c r="H3813"/>
    </row>
    <row r="3814" spans="3:8" x14ac:dyDescent="0.3">
      <c r="C3814"/>
      <c r="D3814"/>
      <c r="E3814"/>
      <c r="F3814"/>
      <c r="G3814"/>
      <c r="H3814"/>
    </row>
    <row r="3815" spans="3:8" x14ac:dyDescent="0.3">
      <c r="C3815"/>
      <c r="D3815"/>
      <c r="E3815"/>
      <c r="F3815"/>
      <c r="G3815"/>
      <c r="H3815"/>
    </row>
    <row r="3816" spans="3:8" x14ac:dyDescent="0.3">
      <c r="C3816"/>
      <c r="D3816"/>
      <c r="E3816"/>
      <c r="F3816"/>
      <c r="G3816"/>
      <c r="H3816"/>
    </row>
    <row r="3817" spans="3:8" x14ac:dyDescent="0.3">
      <c r="C3817"/>
      <c r="D3817"/>
      <c r="E3817"/>
      <c r="F3817"/>
      <c r="G3817"/>
      <c r="H3817"/>
    </row>
    <row r="3818" spans="3:8" x14ac:dyDescent="0.3">
      <c r="C3818"/>
      <c r="D3818"/>
      <c r="E3818"/>
      <c r="F3818"/>
      <c r="G3818"/>
      <c r="H3818"/>
    </row>
    <row r="3819" spans="3:8" x14ac:dyDescent="0.3">
      <c r="C3819"/>
      <c r="D3819"/>
      <c r="E3819"/>
      <c r="F3819"/>
      <c r="G3819"/>
      <c r="H3819"/>
    </row>
    <row r="3820" spans="3:8" x14ac:dyDescent="0.3">
      <c r="C3820"/>
      <c r="D3820"/>
      <c r="E3820"/>
      <c r="F3820"/>
      <c r="G3820"/>
      <c r="H3820"/>
    </row>
    <row r="3821" spans="3:8" x14ac:dyDescent="0.3">
      <c r="C3821"/>
      <c r="D3821"/>
      <c r="E3821"/>
      <c r="F3821"/>
      <c r="G3821"/>
      <c r="H3821"/>
    </row>
    <row r="3822" spans="3:8" x14ac:dyDescent="0.3">
      <c r="C3822"/>
      <c r="D3822"/>
      <c r="E3822"/>
      <c r="F3822"/>
      <c r="G3822"/>
      <c r="H3822"/>
    </row>
    <row r="3823" spans="3:8" x14ac:dyDescent="0.3">
      <c r="C3823"/>
      <c r="D3823"/>
      <c r="E3823"/>
      <c r="F3823"/>
      <c r="G3823"/>
      <c r="H3823"/>
    </row>
    <row r="3824" spans="3:8" x14ac:dyDescent="0.3">
      <c r="C3824"/>
      <c r="D3824"/>
      <c r="E3824"/>
      <c r="F3824"/>
      <c r="G3824"/>
      <c r="H3824"/>
    </row>
    <row r="3825" spans="3:8" x14ac:dyDescent="0.3">
      <c r="C3825"/>
      <c r="D3825"/>
      <c r="E3825"/>
      <c r="F3825"/>
      <c r="G3825"/>
      <c r="H3825"/>
    </row>
    <row r="3826" spans="3:8" x14ac:dyDescent="0.3">
      <c r="C3826"/>
      <c r="D3826"/>
      <c r="E3826"/>
      <c r="F3826"/>
      <c r="G3826"/>
      <c r="H3826"/>
    </row>
    <row r="3827" spans="3:8" x14ac:dyDescent="0.3">
      <c r="C3827"/>
      <c r="D3827"/>
      <c r="E3827"/>
      <c r="F3827"/>
      <c r="G3827"/>
      <c r="H3827"/>
    </row>
    <row r="3828" spans="3:8" x14ac:dyDescent="0.3">
      <c r="C3828"/>
      <c r="D3828"/>
      <c r="E3828"/>
      <c r="F3828"/>
      <c r="G3828"/>
      <c r="H3828"/>
    </row>
    <row r="3829" spans="3:8" x14ac:dyDescent="0.3">
      <c r="C3829"/>
      <c r="D3829"/>
      <c r="E3829"/>
      <c r="F3829"/>
      <c r="G3829"/>
      <c r="H3829"/>
    </row>
    <row r="3830" spans="3:8" x14ac:dyDescent="0.3">
      <c r="C3830"/>
      <c r="D3830"/>
      <c r="E3830"/>
      <c r="F3830"/>
      <c r="G3830"/>
      <c r="H3830"/>
    </row>
    <row r="3831" spans="3:8" x14ac:dyDescent="0.3">
      <c r="C3831"/>
      <c r="D3831"/>
      <c r="E3831"/>
      <c r="F3831"/>
      <c r="G3831"/>
      <c r="H3831"/>
    </row>
    <row r="3832" spans="3:8" x14ac:dyDescent="0.3">
      <c r="C3832"/>
      <c r="D3832"/>
      <c r="E3832"/>
      <c r="F3832"/>
      <c r="G3832"/>
      <c r="H3832"/>
    </row>
    <row r="3833" spans="3:8" x14ac:dyDescent="0.3">
      <c r="C3833"/>
      <c r="D3833"/>
      <c r="E3833"/>
      <c r="F3833"/>
      <c r="G3833"/>
      <c r="H3833"/>
    </row>
    <row r="3834" spans="3:8" x14ac:dyDescent="0.3">
      <c r="C3834"/>
      <c r="D3834"/>
      <c r="E3834"/>
      <c r="F3834"/>
      <c r="G3834"/>
      <c r="H3834"/>
    </row>
    <row r="3835" spans="3:8" x14ac:dyDescent="0.3">
      <c r="C3835"/>
      <c r="D3835"/>
      <c r="E3835"/>
      <c r="F3835"/>
      <c r="G3835"/>
      <c r="H3835"/>
    </row>
    <row r="3836" spans="3:8" x14ac:dyDescent="0.3">
      <c r="C3836"/>
      <c r="D3836"/>
      <c r="E3836"/>
      <c r="F3836"/>
      <c r="G3836"/>
      <c r="H3836"/>
    </row>
    <row r="3837" spans="3:8" x14ac:dyDescent="0.3">
      <c r="C3837"/>
      <c r="D3837"/>
      <c r="E3837"/>
      <c r="F3837"/>
      <c r="G3837"/>
      <c r="H3837"/>
    </row>
    <row r="3838" spans="3:8" x14ac:dyDescent="0.3">
      <c r="C3838"/>
      <c r="D3838"/>
      <c r="E3838"/>
      <c r="F3838"/>
      <c r="G3838"/>
      <c r="H3838"/>
    </row>
    <row r="3839" spans="3:8" x14ac:dyDescent="0.3">
      <c r="C3839"/>
      <c r="D3839"/>
      <c r="E3839"/>
      <c r="F3839"/>
      <c r="G3839"/>
      <c r="H3839"/>
    </row>
    <row r="3840" spans="3:8" x14ac:dyDescent="0.3">
      <c r="C3840"/>
      <c r="D3840"/>
      <c r="E3840"/>
      <c r="F3840"/>
      <c r="G3840"/>
      <c r="H3840"/>
    </row>
    <row r="3841" spans="3:8" x14ac:dyDescent="0.3">
      <c r="C3841"/>
      <c r="D3841"/>
      <c r="E3841"/>
      <c r="F3841"/>
      <c r="G3841"/>
      <c r="H3841"/>
    </row>
    <row r="3842" spans="3:8" x14ac:dyDescent="0.3">
      <c r="C3842"/>
      <c r="D3842"/>
      <c r="E3842"/>
      <c r="F3842"/>
      <c r="G3842"/>
      <c r="H3842"/>
    </row>
    <row r="3843" spans="3:8" x14ac:dyDescent="0.3">
      <c r="C3843"/>
      <c r="D3843"/>
      <c r="E3843"/>
      <c r="F3843"/>
      <c r="G3843"/>
      <c r="H3843"/>
    </row>
    <row r="3844" spans="3:8" x14ac:dyDescent="0.3">
      <c r="C3844"/>
      <c r="D3844"/>
      <c r="E3844"/>
      <c r="F3844"/>
      <c r="G3844"/>
      <c r="H3844"/>
    </row>
    <row r="3845" spans="3:8" x14ac:dyDescent="0.3">
      <c r="C3845"/>
      <c r="D3845"/>
      <c r="E3845"/>
      <c r="F3845"/>
      <c r="G3845"/>
      <c r="H3845"/>
    </row>
    <row r="3846" spans="3:8" x14ac:dyDescent="0.3">
      <c r="C3846"/>
      <c r="D3846"/>
      <c r="E3846"/>
      <c r="F3846"/>
      <c r="G3846"/>
      <c r="H3846"/>
    </row>
    <row r="3847" spans="3:8" x14ac:dyDescent="0.3">
      <c r="C3847"/>
      <c r="D3847"/>
      <c r="E3847"/>
      <c r="F3847"/>
      <c r="G3847"/>
      <c r="H3847"/>
    </row>
    <row r="3848" spans="3:8" x14ac:dyDescent="0.3">
      <c r="C3848"/>
      <c r="D3848"/>
      <c r="E3848"/>
      <c r="F3848"/>
      <c r="G3848"/>
      <c r="H3848"/>
    </row>
    <row r="3849" spans="3:8" x14ac:dyDescent="0.3">
      <c r="C3849"/>
      <c r="D3849"/>
      <c r="E3849"/>
      <c r="F3849"/>
      <c r="G3849"/>
      <c r="H3849"/>
    </row>
    <row r="3850" spans="3:8" x14ac:dyDescent="0.3">
      <c r="C3850"/>
      <c r="D3850"/>
      <c r="E3850"/>
      <c r="F3850"/>
      <c r="G3850"/>
      <c r="H3850"/>
    </row>
    <row r="3851" spans="3:8" x14ac:dyDescent="0.3">
      <c r="C3851"/>
      <c r="D3851"/>
      <c r="E3851"/>
      <c r="F3851"/>
      <c r="G3851"/>
      <c r="H3851"/>
    </row>
    <row r="3852" spans="3:8" x14ac:dyDescent="0.3">
      <c r="C3852"/>
      <c r="D3852"/>
      <c r="E3852"/>
      <c r="F3852"/>
      <c r="G3852"/>
      <c r="H3852"/>
    </row>
    <row r="3853" spans="3:8" x14ac:dyDescent="0.3">
      <c r="C3853"/>
      <c r="D3853"/>
      <c r="E3853"/>
      <c r="F3853"/>
      <c r="G3853"/>
      <c r="H3853"/>
    </row>
    <row r="3854" spans="3:8" x14ac:dyDescent="0.3">
      <c r="C3854"/>
      <c r="D3854"/>
      <c r="E3854"/>
      <c r="F3854"/>
      <c r="G3854"/>
      <c r="H3854"/>
    </row>
    <row r="3855" spans="3:8" x14ac:dyDescent="0.3">
      <c r="C3855"/>
      <c r="D3855"/>
      <c r="E3855"/>
      <c r="F3855"/>
      <c r="G3855"/>
      <c r="H3855"/>
    </row>
    <row r="3856" spans="3:8" x14ac:dyDescent="0.3">
      <c r="C3856"/>
      <c r="D3856"/>
      <c r="E3856"/>
      <c r="F3856"/>
      <c r="G3856"/>
      <c r="H3856"/>
    </row>
    <row r="3857" spans="3:8" x14ac:dyDescent="0.3">
      <c r="C3857"/>
      <c r="D3857"/>
      <c r="E3857"/>
      <c r="F3857"/>
      <c r="G3857"/>
      <c r="H3857"/>
    </row>
    <row r="3858" spans="3:8" x14ac:dyDescent="0.3">
      <c r="C3858"/>
      <c r="D3858"/>
      <c r="E3858"/>
      <c r="F3858"/>
      <c r="G3858"/>
      <c r="H3858"/>
    </row>
    <row r="3859" spans="3:8" x14ac:dyDescent="0.3">
      <c r="C3859"/>
      <c r="D3859"/>
      <c r="E3859"/>
      <c r="F3859"/>
      <c r="G3859"/>
      <c r="H3859"/>
    </row>
    <row r="3860" spans="3:8" x14ac:dyDescent="0.3">
      <c r="C3860"/>
      <c r="D3860"/>
      <c r="E3860"/>
      <c r="F3860"/>
      <c r="G3860"/>
      <c r="H3860"/>
    </row>
    <row r="3861" spans="3:8" x14ac:dyDescent="0.3">
      <c r="C3861"/>
      <c r="D3861"/>
      <c r="E3861"/>
      <c r="F3861"/>
      <c r="G3861"/>
      <c r="H3861"/>
    </row>
    <row r="3862" spans="3:8" x14ac:dyDescent="0.3">
      <c r="C3862"/>
      <c r="D3862"/>
      <c r="E3862"/>
      <c r="F3862"/>
      <c r="G3862"/>
      <c r="H3862"/>
    </row>
    <row r="3863" spans="3:8" x14ac:dyDescent="0.3">
      <c r="C3863"/>
      <c r="D3863"/>
      <c r="E3863"/>
      <c r="F3863"/>
      <c r="G3863"/>
      <c r="H3863"/>
    </row>
    <row r="3864" spans="3:8" x14ac:dyDescent="0.3">
      <c r="C3864"/>
      <c r="D3864"/>
      <c r="E3864"/>
      <c r="F3864"/>
      <c r="G3864"/>
      <c r="H3864"/>
    </row>
    <row r="3865" spans="3:8" x14ac:dyDescent="0.3">
      <c r="C3865"/>
      <c r="D3865"/>
      <c r="E3865"/>
      <c r="F3865"/>
      <c r="G3865"/>
      <c r="H3865"/>
    </row>
    <row r="3866" spans="3:8" x14ac:dyDescent="0.3">
      <c r="C3866"/>
      <c r="D3866"/>
      <c r="E3866"/>
      <c r="F3866"/>
      <c r="G3866"/>
      <c r="H3866"/>
    </row>
    <row r="3867" spans="3:8" x14ac:dyDescent="0.3">
      <c r="C3867"/>
      <c r="D3867"/>
      <c r="E3867"/>
      <c r="F3867"/>
      <c r="G3867"/>
      <c r="H3867"/>
    </row>
    <row r="3868" spans="3:8" x14ac:dyDescent="0.3">
      <c r="C3868"/>
      <c r="D3868"/>
      <c r="E3868"/>
      <c r="F3868"/>
      <c r="G3868"/>
      <c r="H3868"/>
    </row>
    <row r="3869" spans="3:8" x14ac:dyDescent="0.3">
      <c r="C3869"/>
      <c r="D3869"/>
      <c r="E3869"/>
      <c r="F3869"/>
      <c r="G3869"/>
      <c r="H3869"/>
    </row>
    <row r="3870" spans="3:8" x14ac:dyDescent="0.3">
      <c r="C3870"/>
      <c r="D3870"/>
      <c r="E3870"/>
      <c r="F3870"/>
      <c r="G3870"/>
      <c r="H3870"/>
    </row>
    <row r="3871" spans="3:8" x14ac:dyDescent="0.3">
      <c r="C3871"/>
      <c r="D3871"/>
      <c r="E3871"/>
      <c r="F3871"/>
      <c r="G3871"/>
      <c r="H3871"/>
    </row>
    <row r="3872" spans="3:8" x14ac:dyDescent="0.3">
      <c r="C3872"/>
      <c r="D3872"/>
      <c r="E3872"/>
      <c r="F3872"/>
      <c r="G3872"/>
      <c r="H3872"/>
    </row>
    <row r="3873" spans="3:8" x14ac:dyDescent="0.3">
      <c r="C3873"/>
      <c r="D3873"/>
      <c r="E3873"/>
      <c r="F3873"/>
      <c r="G3873"/>
      <c r="H3873"/>
    </row>
    <row r="3874" spans="3:8" x14ac:dyDescent="0.3">
      <c r="C3874"/>
      <c r="D3874"/>
      <c r="E3874"/>
      <c r="F3874"/>
      <c r="G3874"/>
      <c r="H3874"/>
    </row>
    <row r="3875" spans="3:8" x14ac:dyDescent="0.3">
      <c r="C3875"/>
      <c r="D3875"/>
      <c r="E3875"/>
      <c r="F3875"/>
      <c r="G3875"/>
      <c r="H3875"/>
    </row>
    <row r="3876" spans="3:8" x14ac:dyDescent="0.3">
      <c r="C3876"/>
      <c r="D3876"/>
      <c r="E3876"/>
      <c r="F3876"/>
      <c r="G3876"/>
      <c r="H3876"/>
    </row>
    <row r="3877" spans="3:8" x14ac:dyDescent="0.3">
      <c r="C3877"/>
      <c r="D3877"/>
      <c r="E3877"/>
      <c r="F3877"/>
      <c r="G3877"/>
      <c r="H3877"/>
    </row>
    <row r="3878" spans="3:8" x14ac:dyDescent="0.3">
      <c r="C3878"/>
      <c r="D3878"/>
      <c r="E3878"/>
      <c r="F3878"/>
      <c r="G3878"/>
      <c r="H3878"/>
    </row>
    <row r="3879" spans="3:8" x14ac:dyDescent="0.3">
      <c r="C3879"/>
      <c r="D3879"/>
      <c r="E3879"/>
      <c r="F3879"/>
      <c r="G3879"/>
      <c r="H3879"/>
    </row>
    <row r="3880" spans="3:8" x14ac:dyDescent="0.3">
      <c r="C3880"/>
      <c r="D3880"/>
      <c r="E3880"/>
      <c r="F3880"/>
      <c r="G3880"/>
      <c r="H3880"/>
    </row>
    <row r="3881" spans="3:8" x14ac:dyDescent="0.3">
      <c r="C3881"/>
      <c r="D3881"/>
      <c r="E3881"/>
      <c r="F3881"/>
      <c r="G3881"/>
      <c r="H3881"/>
    </row>
    <row r="3882" spans="3:8" x14ac:dyDescent="0.3">
      <c r="C3882"/>
      <c r="D3882"/>
      <c r="E3882"/>
      <c r="F3882"/>
      <c r="G3882"/>
      <c r="H3882"/>
    </row>
    <row r="3883" spans="3:8" x14ac:dyDescent="0.3">
      <c r="C3883"/>
      <c r="D3883"/>
      <c r="E3883"/>
      <c r="F3883"/>
      <c r="G3883"/>
      <c r="H3883"/>
    </row>
    <row r="3884" spans="3:8" x14ac:dyDescent="0.3">
      <c r="C3884"/>
      <c r="D3884"/>
      <c r="E3884"/>
      <c r="F3884"/>
      <c r="G3884"/>
      <c r="H3884"/>
    </row>
    <row r="3885" spans="3:8" x14ac:dyDescent="0.3">
      <c r="C3885"/>
      <c r="D3885"/>
      <c r="E3885"/>
      <c r="F3885"/>
      <c r="G3885"/>
      <c r="H3885"/>
    </row>
    <row r="3886" spans="3:8" x14ac:dyDescent="0.3">
      <c r="C3886"/>
      <c r="D3886"/>
      <c r="E3886"/>
      <c r="F3886"/>
      <c r="G3886"/>
      <c r="H3886"/>
    </row>
    <row r="3887" spans="3:8" x14ac:dyDescent="0.3">
      <c r="C3887"/>
      <c r="D3887"/>
      <c r="E3887"/>
      <c r="F3887"/>
      <c r="G3887"/>
      <c r="H3887"/>
    </row>
    <row r="3888" spans="3:8" x14ac:dyDescent="0.3">
      <c r="C3888"/>
      <c r="D3888"/>
      <c r="E3888"/>
      <c r="F3888"/>
      <c r="G3888"/>
      <c r="H3888"/>
    </row>
    <row r="3889" spans="3:8" x14ac:dyDescent="0.3">
      <c r="C3889"/>
      <c r="D3889"/>
      <c r="E3889"/>
      <c r="F3889"/>
      <c r="G3889"/>
      <c r="H3889"/>
    </row>
    <row r="3890" spans="3:8" x14ac:dyDescent="0.3">
      <c r="C3890"/>
      <c r="D3890"/>
      <c r="E3890"/>
      <c r="F3890"/>
      <c r="G3890"/>
      <c r="H3890"/>
    </row>
    <row r="3891" spans="3:8" x14ac:dyDescent="0.3">
      <c r="C3891"/>
      <c r="D3891"/>
      <c r="E3891"/>
      <c r="F3891"/>
      <c r="G3891"/>
      <c r="H3891"/>
    </row>
    <row r="3892" spans="3:8" x14ac:dyDescent="0.3">
      <c r="C3892"/>
      <c r="D3892"/>
      <c r="E3892"/>
      <c r="F3892"/>
      <c r="G3892"/>
      <c r="H3892"/>
    </row>
    <row r="3893" spans="3:8" x14ac:dyDescent="0.3">
      <c r="C3893"/>
      <c r="D3893"/>
      <c r="E3893"/>
      <c r="F3893"/>
      <c r="G3893"/>
      <c r="H3893"/>
    </row>
    <row r="3894" spans="3:8" x14ac:dyDescent="0.3">
      <c r="C3894"/>
      <c r="D3894"/>
      <c r="E3894"/>
      <c r="F3894"/>
      <c r="G3894"/>
      <c r="H3894"/>
    </row>
    <row r="3895" spans="3:8" x14ac:dyDescent="0.3">
      <c r="C3895"/>
      <c r="D3895"/>
      <c r="E3895"/>
      <c r="F3895"/>
      <c r="G3895"/>
      <c r="H3895"/>
    </row>
    <row r="3896" spans="3:8" x14ac:dyDescent="0.3">
      <c r="C3896"/>
      <c r="D3896"/>
      <c r="E3896"/>
      <c r="F3896"/>
      <c r="G3896"/>
      <c r="H3896"/>
    </row>
    <row r="3897" spans="3:8" x14ac:dyDescent="0.3">
      <c r="C3897"/>
      <c r="D3897"/>
      <c r="E3897"/>
      <c r="F3897"/>
      <c r="G3897"/>
      <c r="H3897"/>
    </row>
    <row r="3898" spans="3:8" x14ac:dyDescent="0.3">
      <c r="C3898"/>
      <c r="D3898"/>
      <c r="E3898"/>
      <c r="F3898"/>
      <c r="G3898"/>
      <c r="H3898"/>
    </row>
    <row r="3899" spans="3:8" x14ac:dyDescent="0.3">
      <c r="C3899"/>
      <c r="D3899"/>
      <c r="E3899"/>
      <c r="F3899"/>
      <c r="G3899"/>
      <c r="H3899"/>
    </row>
    <row r="3900" spans="3:8" x14ac:dyDescent="0.3">
      <c r="C3900"/>
      <c r="D3900"/>
      <c r="E3900"/>
      <c r="F3900"/>
      <c r="G3900"/>
      <c r="H3900"/>
    </row>
    <row r="3901" spans="3:8" x14ac:dyDescent="0.3">
      <c r="C3901"/>
      <c r="D3901"/>
      <c r="E3901"/>
      <c r="F3901"/>
      <c r="G3901"/>
      <c r="H3901"/>
    </row>
    <row r="3902" spans="3:8" x14ac:dyDescent="0.3">
      <c r="C3902"/>
      <c r="D3902"/>
      <c r="E3902"/>
      <c r="F3902"/>
      <c r="G3902"/>
      <c r="H3902"/>
    </row>
    <row r="3903" spans="3:8" x14ac:dyDescent="0.3">
      <c r="C3903"/>
      <c r="D3903"/>
      <c r="E3903"/>
      <c r="F3903"/>
      <c r="G3903"/>
      <c r="H3903"/>
    </row>
    <row r="3904" spans="3:8" x14ac:dyDescent="0.3">
      <c r="C3904"/>
      <c r="D3904"/>
      <c r="E3904"/>
      <c r="F3904"/>
      <c r="G3904"/>
      <c r="H3904"/>
    </row>
    <row r="3905" spans="3:8" x14ac:dyDescent="0.3">
      <c r="C3905"/>
      <c r="D3905"/>
      <c r="E3905"/>
      <c r="F3905"/>
      <c r="G3905"/>
      <c r="H3905"/>
    </row>
    <row r="3906" spans="3:8" x14ac:dyDescent="0.3">
      <c r="C3906"/>
      <c r="D3906"/>
      <c r="E3906"/>
      <c r="F3906"/>
      <c r="G3906"/>
      <c r="H3906"/>
    </row>
    <row r="3907" spans="3:8" x14ac:dyDescent="0.3">
      <c r="C3907"/>
      <c r="D3907"/>
      <c r="E3907"/>
      <c r="F3907"/>
      <c r="G3907"/>
      <c r="H3907"/>
    </row>
    <row r="3908" spans="3:8" x14ac:dyDescent="0.3">
      <c r="C3908"/>
      <c r="D3908"/>
      <c r="E3908"/>
      <c r="F3908"/>
      <c r="G3908"/>
      <c r="H3908"/>
    </row>
    <row r="3909" spans="3:8" x14ac:dyDescent="0.3">
      <c r="C3909"/>
      <c r="D3909"/>
      <c r="E3909"/>
      <c r="F3909"/>
      <c r="G3909"/>
      <c r="H3909"/>
    </row>
    <row r="3910" spans="3:8" x14ac:dyDescent="0.3">
      <c r="C3910"/>
      <c r="D3910"/>
      <c r="E3910"/>
      <c r="F3910"/>
      <c r="G3910"/>
      <c r="H3910"/>
    </row>
    <row r="3911" spans="3:8" x14ac:dyDescent="0.3">
      <c r="C3911"/>
      <c r="D3911"/>
      <c r="E3911"/>
      <c r="F3911"/>
      <c r="G3911"/>
      <c r="H3911"/>
    </row>
    <row r="3912" spans="3:8" x14ac:dyDescent="0.3">
      <c r="C3912"/>
      <c r="D3912"/>
      <c r="E3912"/>
      <c r="F3912"/>
      <c r="G3912"/>
      <c r="H3912"/>
    </row>
    <row r="3913" spans="3:8" x14ac:dyDescent="0.3">
      <c r="C3913"/>
      <c r="D3913"/>
      <c r="E3913"/>
      <c r="F3913"/>
      <c r="G3913"/>
      <c r="H3913"/>
    </row>
    <row r="3914" spans="3:8" x14ac:dyDescent="0.3">
      <c r="C3914"/>
      <c r="D3914"/>
      <c r="E3914"/>
      <c r="F3914"/>
      <c r="G3914"/>
      <c r="H3914"/>
    </row>
    <row r="3915" spans="3:8" x14ac:dyDescent="0.3">
      <c r="C3915"/>
      <c r="D3915"/>
      <c r="E3915"/>
      <c r="F3915"/>
      <c r="G3915"/>
      <c r="H3915"/>
    </row>
    <row r="3916" spans="3:8" x14ac:dyDescent="0.3">
      <c r="C3916"/>
      <c r="D3916"/>
      <c r="E3916"/>
      <c r="F3916"/>
      <c r="G3916"/>
      <c r="H3916"/>
    </row>
    <row r="3917" spans="3:8" x14ac:dyDescent="0.3">
      <c r="C3917"/>
      <c r="D3917"/>
      <c r="E3917"/>
      <c r="F3917"/>
      <c r="G3917"/>
      <c r="H3917"/>
    </row>
    <row r="3918" spans="3:8" x14ac:dyDescent="0.3">
      <c r="C3918"/>
      <c r="D3918"/>
      <c r="E3918"/>
      <c r="F3918"/>
      <c r="G3918"/>
      <c r="H3918"/>
    </row>
    <row r="3919" spans="3:8" x14ac:dyDescent="0.3">
      <c r="C3919"/>
      <c r="D3919"/>
      <c r="E3919"/>
      <c r="F3919"/>
      <c r="G3919"/>
      <c r="H3919"/>
    </row>
    <row r="3920" spans="3:8" x14ac:dyDescent="0.3">
      <c r="C3920"/>
      <c r="D3920"/>
      <c r="E3920"/>
      <c r="F3920"/>
      <c r="G3920"/>
      <c r="H3920"/>
    </row>
    <row r="3921" spans="3:8" x14ac:dyDescent="0.3">
      <c r="C3921"/>
      <c r="D3921"/>
      <c r="E3921"/>
      <c r="F3921"/>
      <c r="G3921"/>
      <c r="H3921"/>
    </row>
    <row r="3922" spans="3:8" x14ac:dyDescent="0.3">
      <c r="C3922"/>
      <c r="D3922"/>
      <c r="E3922"/>
      <c r="F3922"/>
      <c r="G3922"/>
      <c r="H3922"/>
    </row>
    <row r="3923" spans="3:8" x14ac:dyDescent="0.3">
      <c r="C3923"/>
      <c r="D3923"/>
      <c r="E3923"/>
      <c r="F3923"/>
      <c r="G3923"/>
      <c r="H3923"/>
    </row>
    <row r="3924" spans="3:8" x14ac:dyDescent="0.3">
      <c r="C3924"/>
      <c r="D3924"/>
      <c r="E3924"/>
      <c r="F3924"/>
      <c r="G3924"/>
      <c r="H3924"/>
    </row>
    <row r="3925" spans="3:8" x14ac:dyDescent="0.3">
      <c r="C3925"/>
      <c r="D3925"/>
      <c r="E3925"/>
      <c r="F3925"/>
      <c r="G3925"/>
      <c r="H3925"/>
    </row>
    <row r="3926" spans="3:8" x14ac:dyDescent="0.3">
      <c r="C3926"/>
      <c r="D3926"/>
      <c r="E3926"/>
      <c r="F3926"/>
      <c r="G3926"/>
      <c r="H3926"/>
    </row>
    <row r="3927" spans="3:8" x14ac:dyDescent="0.3">
      <c r="C3927"/>
      <c r="D3927"/>
      <c r="E3927"/>
      <c r="F3927"/>
      <c r="G3927"/>
      <c r="H3927"/>
    </row>
    <row r="3928" spans="3:8" x14ac:dyDescent="0.3">
      <c r="C3928"/>
      <c r="D3928"/>
      <c r="E3928"/>
      <c r="F3928"/>
      <c r="G3928"/>
      <c r="H3928"/>
    </row>
    <row r="3929" spans="3:8" x14ac:dyDescent="0.3">
      <c r="C3929"/>
      <c r="D3929"/>
      <c r="E3929"/>
      <c r="F3929"/>
      <c r="G3929"/>
      <c r="H3929"/>
    </row>
    <row r="3930" spans="3:8" x14ac:dyDescent="0.3">
      <c r="C3930"/>
      <c r="D3930"/>
      <c r="E3930"/>
      <c r="F3930"/>
      <c r="G3930"/>
      <c r="H3930"/>
    </row>
    <row r="3931" spans="3:8" x14ac:dyDescent="0.3">
      <c r="C3931"/>
      <c r="D3931"/>
      <c r="E3931"/>
      <c r="F3931"/>
      <c r="G3931"/>
      <c r="H3931"/>
    </row>
    <row r="3932" spans="3:8" x14ac:dyDescent="0.3">
      <c r="C3932"/>
      <c r="D3932"/>
      <c r="E3932"/>
      <c r="F3932"/>
      <c r="G3932"/>
      <c r="H3932"/>
    </row>
    <row r="3933" spans="3:8" x14ac:dyDescent="0.3">
      <c r="C3933"/>
      <c r="D3933"/>
      <c r="E3933"/>
      <c r="F3933"/>
      <c r="G3933"/>
      <c r="H3933"/>
    </row>
    <row r="3934" spans="3:8" x14ac:dyDescent="0.3">
      <c r="C3934"/>
      <c r="D3934"/>
      <c r="E3934"/>
      <c r="F3934"/>
      <c r="G3934"/>
      <c r="H3934"/>
    </row>
    <row r="3935" spans="3:8" x14ac:dyDescent="0.3">
      <c r="C3935"/>
      <c r="D3935"/>
      <c r="E3935"/>
      <c r="F3935"/>
      <c r="G3935"/>
      <c r="H3935"/>
    </row>
    <row r="3936" spans="3:8" x14ac:dyDescent="0.3">
      <c r="C3936"/>
      <c r="D3936"/>
      <c r="E3936"/>
      <c r="F3936"/>
      <c r="G3936"/>
      <c r="H3936"/>
    </row>
    <row r="3937" spans="3:8" x14ac:dyDescent="0.3">
      <c r="C3937"/>
      <c r="D3937"/>
      <c r="E3937"/>
      <c r="F3937"/>
      <c r="G3937"/>
      <c r="H3937"/>
    </row>
    <row r="3938" spans="3:8" x14ac:dyDescent="0.3">
      <c r="C3938"/>
      <c r="D3938"/>
      <c r="E3938"/>
      <c r="F3938"/>
      <c r="G3938"/>
      <c r="H3938"/>
    </row>
    <row r="3939" spans="3:8" x14ac:dyDescent="0.3">
      <c r="C3939"/>
      <c r="D3939"/>
      <c r="E3939"/>
      <c r="F3939"/>
      <c r="G3939"/>
      <c r="H3939"/>
    </row>
    <row r="3940" spans="3:8" x14ac:dyDescent="0.3">
      <c r="C3940"/>
      <c r="D3940"/>
      <c r="E3940"/>
      <c r="F3940"/>
      <c r="G3940"/>
      <c r="H3940"/>
    </row>
    <row r="3941" spans="3:8" x14ac:dyDescent="0.3">
      <c r="C3941"/>
      <c r="D3941"/>
      <c r="E3941"/>
      <c r="F3941"/>
      <c r="G3941"/>
      <c r="H3941"/>
    </row>
    <row r="3942" spans="3:8" x14ac:dyDescent="0.3">
      <c r="C3942"/>
      <c r="D3942"/>
      <c r="E3942"/>
      <c r="F3942"/>
      <c r="G3942"/>
      <c r="H3942"/>
    </row>
    <row r="3943" spans="3:8" x14ac:dyDescent="0.3">
      <c r="C3943"/>
      <c r="D3943"/>
      <c r="E3943"/>
      <c r="F3943"/>
      <c r="G3943"/>
      <c r="H3943"/>
    </row>
    <row r="3944" spans="3:8" x14ac:dyDescent="0.3">
      <c r="C3944"/>
      <c r="D3944"/>
      <c r="E3944"/>
      <c r="F3944"/>
      <c r="G3944"/>
      <c r="H3944"/>
    </row>
    <row r="3945" spans="3:8" x14ac:dyDescent="0.3">
      <c r="C3945"/>
      <c r="D3945"/>
      <c r="E3945"/>
      <c r="F3945"/>
      <c r="G3945"/>
      <c r="H3945"/>
    </row>
    <row r="3946" spans="3:8" x14ac:dyDescent="0.3">
      <c r="C3946"/>
      <c r="D3946"/>
      <c r="E3946"/>
      <c r="F3946"/>
      <c r="G3946"/>
      <c r="H3946"/>
    </row>
    <row r="3947" spans="3:8" x14ac:dyDescent="0.3">
      <c r="C3947"/>
      <c r="D3947"/>
      <c r="E3947"/>
      <c r="F3947"/>
      <c r="G3947"/>
      <c r="H3947"/>
    </row>
    <row r="3948" spans="3:8" x14ac:dyDescent="0.3">
      <c r="C3948"/>
      <c r="D3948"/>
      <c r="E3948"/>
      <c r="F3948"/>
      <c r="G3948"/>
      <c r="H3948"/>
    </row>
    <row r="3949" spans="3:8" x14ac:dyDescent="0.3">
      <c r="C3949"/>
      <c r="D3949"/>
      <c r="E3949"/>
      <c r="F3949"/>
      <c r="G3949"/>
      <c r="H3949"/>
    </row>
    <row r="3950" spans="3:8" x14ac:dyDescent="0.3">
      <c r="C3950"/>
      <c r="D3950"/>
      <c r="E3950"/>
      <c r="F3950"/>
      <c r="G3950"/>
      <c r="H3950"/>
    </row>
    <row r="3951" spans="3:8" x14ac:dyDescent="0.3">
      <c r="C3951"/>
      <c r="D3951"/>
      <c r="E3951"/>
      <c r="F3951"/>
      <c r="G3951"/>
      <c r="H3951"/>
    </row>
    <row r="3952" spans="3:8" x14ac:dyDescent="0.3">
      <c r="C3952"/>
      <c r="D3952"/>
      <c r="E3952"/>
      <c r="F3952"/>
      <c r="G3952"/>
      <c r="H3952"/>
    </row>
    <row r="3953" spans="3:8" x14ac:dyDescent="0.3">
      <c r="C3953"/>
      <c r="D3953"/>
      <c r="E3953"/>
      <c r="F3953"/>
      <c r="G3953"/>
      <c r="H3953"/>
    </row>
    <row r="3954" spans="3:8" x14ac:dyDescent="0.3">
      <c r="C3954"/>
      <c r="D3954"/>
      <c r="E3954"/>
      <c r="F3954"/>
      <c r="G3954"/>
      <c r="H3954"/>
    </row>
    <row r="3955" spans="3:8" x14ac:dyDescent="0.3">
      <c r="C3955"/>
      <c r="D3955"/>
      <c r="E3955"/>
      <c r="F3955"/>
      <c r="G3955"/>
      <c r="H3955"/>
    </row>
    <row r="3956" spans="3:8" x14ac:dyDescent="0.3">
      <c r="C3956"/>
      <c r="D3956"/>
      <c r="E3956"/>
      <c r="F3956"/>
      <c r="G3956"/>
      <c r="H3956"/>
    </row>
    <row r="3957" spans="3:8" x14ac:dyDescent="0.3">
      <c r="C3957"/>
      <c r="D3957"/>
      <c r="E3957"/>
      <c r="F3957"/>
      <c r="G3957"/>
      <c r="H3957"/>
    </row>
    <row r="3958" spans="3:8" x14ac:dyDescent="0.3">
      <c r="C3958"/>
      <c r="D3958"/>
      <c r="E3958"/>
      <c r="F3958"/>
      <c r="G3958"/>
      <c r="H3958"/>
    </row>
    <row r="3959" spans="3:8" x14ac:dyDescent="0.3">
      <c r="C3959"/>
      <c r="D3959"/>
      <c r="E3959"/>
      <c r="F3959"/>
      <c r="G3959"/>
      <c r="H3959"/>
    </row>
    <row r="3960" spans="3:8" x14ac:dyDescent="0.3">
      <c r="C3960"/>
      <c r="D3960"/>
      <c r="E3960"/>
      <c r="F3960"/>
      <c r="G3960"/>
      <c r="H3960"/>
    </row>
    <row r="3961" spans="3:8" x14ac:dyDescent="0.3">
      <c r="C3961"/>
      <c r="D3961"/>
      <c r="E3961"/>
      <c r="F3961"/>
      <c r="G3961"/>
      <c r="H3961"/>
    </row>
    <row r="3962" spans="3:8" x14ac:dyDescent="0.3">
      <c r="C3962"/>
      <c r="D3962"/>
      <c r="E3962"/>
      <c r="F3962"/>
      <c r="G3962"/>
      <c r="H3962"/>
    </row>
    <row r="3963" spans="3:8" x14ac:dyDescent="0.3">
      <c r="C3963"/>
      <c r="D3963"/>
      <c r="E3963"/>
      <c r="F3963"/>
      <c r="G3963"/>
      <c r="H3963"/>
    </row>
    <row r="3964" spans="3:8" x14ac:dyDescent="0.3">
      <c r="C3964"/>
      <c r="D3964"/>
      <c r="E3964"/>
      <c r="F3964"/>
      <c r="G3964"/>
      <c r="H3964"/>
    </row>
    <row r="3965" spans="3:8" x14ac:dyDescent="0.3">
      <c r="C3965"/>
      <c r="D3965"/>
      <c r="E3965"/>
      <c r="F3965"/>
      <c r="G3965"/>
      <c r="H3965"/>
    </row>
    <row r="3966" spans="3:8" x14ac:dyDescent="0.3">
      <c r="C3966"/>
      <c r="D3966"/>
      <c r="E3966"/>
      <c r="F3966"/>
      <c r="G3966"/>
      <c r="H3966"/>
    </row>
    <row r="3967" spans="3:8" x14ac:dyDescent="0.3">
      <c r="C3967"/>
      <c r="D3967"/>
      <c r="E3967"/>
      <c r="F3967"/>
      <c r="G3967"/>
      <c r="H3967"/>
    </row>
    <row r="3968" spans="3:8" x14ac:dyDescent="0.3">
      <c r="C3968"/>
      <c r="D3968"/>
      <c r="E3968"/>
      <c r="F3968"/>
      <c r="G3968"/>
      <c r="H3968"/>
    </row>
    <row r="3969" spans="3:8" x14ac:dyDescent="0.3">
      <c r="C3969"/>
      <c r="D3969"/>
      <c r="E3969"/>
      <c r="F3969"/>
      <c r="G3969"/>
      <c r="H3969"/>
    </row>
    <row r="3970" spans="3:8" x14ac:dyDescent="0.3">
      <c r="C3970"/>
      <c r="D3970"/>
      <c r="E3970"/>
      <c r="F3970"/>
      <c r="G3970"/>
      <c r="H3970"/>
    </row>
    <row r="3971" spans="3:8" x14ac:dyDescent="0.3">
      <c r="C3971"/>
      <c r="D3971"/>
      <c r="E3971"/>
      <c r="F3971"/>
      <c r="G3971"/>
      <c r="H3971"/>
    </row>
    <row r="3972" spans="3:8" x14ac:dyDescent="0.3">
      <c r="C3972"/>
      <c r="D3972"/>
      <c r="E3972"/>
      <c r="F3972"/>
      <c r="G3972"/>
      <c r="H3972"/>
    </row>
    <row r="3973" spans="3:8" x14ac:dyDescent="0.3">
      <c r="C3973"/>
      <c r="D3973"/>
      <c r="E3973"/>
      <c r="F3973"/>
      <c r="G3973"/>
      <c r="H3973"/>
    </row>
    <row r="3974" spans="3:8" x14ac:dyDescent="0.3">
      <c r="C3974"/>
      <c r="D3974"/>
      <c r="E3974"/>
      <c r="F3974"/>
      <c r="G3974"/>
      <c r="H3974"/>
    </row>
    <row r="3975" spans="3:8" x14ac:dyDescent="0.3">
      <c r="C3975"/>
      <c r="D3975"/>
      <c r="E3975"/>
      <c r="F3975"/>
      <c r="G3975"/>
      <c r="H3975"/>
    </row>
    <row r="3976" spans="3:8" x14ac:dyDescent="0.3">
      <c r="C3976"/>
      <c r="D3976"/>
      <c r="E3976"/>
      <c r="F3976"/>
      <c r="G3976"/>
      <c r="H3976"/>
    </row>
    <row r="3977" spans="3:8" x14ac:dyDescent="0.3">
      <c r="C3977"/>
      <c r="D3977"/>
      <c r="E3977"/>
      <c r="F3977"/>
      <c r="G3977"/>
      <c r="H3977"/>
    </row>
    <row r="3978" spans="3:8" x14ac:dyDescent="0.3">
      <c r="C3978"/>
      <c r="D3978"/>
      <c r="E3978"/>
      <c r="F3978"/>
      <c r="G3978"/>
      <c r="H3978"/>
    </row>
    <row r="3979" spans="3:8" x14ac:dyDescent="0.3">
      <c r="C3979"/>
      <c r="D3979"/>
      <c r="E3979"/>
      <c r="F3979"/>
      <c r="G3979"/>
      <c r="H3979"/>
    </row>
    <row r="3980" spans="3:8" x14ac:dyDescent="0.3">
      <c r="C3980"/>
      <c r="D3980"/>
      <c r="E3980"/>
      <c r="F3980"/>
      <c r="G3980"/>
      <c r="H3980"/>
    </row>
    <row r="3981" spans="3:8" x14ac:dyDescent="0.3">
      <c r="C3981"/>
      <c r="D3981"/>
      <c r="E3981"/>
      <c r="F3981"/>
      <c r="G3981"/>
      <c r="H3981"/>
    </row>
    <row r="3982" spans="3:8" x14ac:dyDescent="0.3">
      <c r="C3982"/>
      <c r="D3982"/>
      <c r="E3982"/>
      <c r="F3982"/>
      <c r="G3982"/>
      <c r="H3982"/>
    </row>
    <row r="3983" spans="3:8" x14ac:dyDescent="0.3">
      <c r="C3983"/>
      <c r="D3983"/>
      <c r="E3983"/>
      <c r="F3983"/>
      <c r="G3983"/>
      <c r="H3983"/>
    </row>
    <row r="3984" spans="3:8" x14ac:dyDescent="0.3">
      <c r="C3984"/>
      <c r="D3984"/>
      <c r="E3984"/>
      <c r="F3984"/>
      <c r="G3984"/>
      <c r="H3984"/>
    </row>
    <row r="3985" spans="3:8" x14ac:dyDescent="0.3">
      <c r="C3985"/>
      <c r="D3985"/>
      <c r="E3985"/>
      <c r="F3985"/>
      <c r="G3985"/>
      <c r="H3985"/>
    </row>
    <row r="3986" spans="3:8" x14ac:dyDescent="0.3">
      <c r="C3986"/>
      <c r="D3986"/>
      <c r="E3986"/>
      <c r="F3986"/>
      <c r="G3986"/>
      <c r="H3986"/>
    </row>
    <row r="3987" spans="3:8" x14ac:dyDescent="0.3">
      <c r="C3987"/>
      <c r="D3987"/>
      <c r="E3987"/>
      <c r="F3987"/>
      <c r="G3987"/>
      <c r="H3987"/>
    </row>
    <row r="3988" spans="3:8" x14ac:dyDescent="0.3">
      <c r="C3988"/>
      <c r="D3988"/>
      <c r="E3988"/>
      <c r="F3988"/>
      <c r="G3988"/>
      <c r="H3988"/>
    </row>
    <row r="3989" spans="3:8" x14ac:dyDescent="0.3">
      <c r="C3989"/>
      <c r="D3989"/>
      <c r="E3989"/>
      <c r="F3989"/>
      <c r="G3989"/>
      <c r="H3989"/>
    </row>
    <row r="3990" spans="3:8" x14ac:dyDescent="0.3">
      <c r="C3990"/>
      <c r="D3990"/>
      <c r="E3990"/>
      <c r="F3990"/>
      <c r="G3990"/>
      <c r="H3990"/>
    </row>
    <row r="3991" spans="3:8" x14ac:dyDescent="0.3">
      <c r="C3991"/>
      <c r="D3991"/>
      <c r="E3991"/>
      <c r="F3991"/>
      <c r="G3991"/>
      <c r="H3991"/>
    </row>
    <row r="3992" spans="3:8" x14ac:dyDescent="0.3">
      <c r="C3992"/>
      <c r="D3992"/>
      <c r="E3992"/>
      <c r="F3992"/>
      <c r="G3992"/>
      <c r="H3992"/>
    </row>
    <row r="3993" spans="3:8" x14ac:dyDescent="0.3">
      <c r="C3993"/>
      <c r="D3993"/>
      <c r="E3993"/>
      <c r="F3993"/>
      <c r="G3993"/>
      <c r="H3993"/>
    </row>
    <row r="3994" spans="3:8" x14ac:dyDescent="0.3">
      <c r="C3994"/>
      <c r="D3994"/>
      <c r="E3994"/>
      <c r="F3994"/>
      <c r="G3994"/>
      <c r="H3994"/>
    </row>
    <row r="3995" spans="3:8" x14ac:dyDescent="0.3">
      <c r="C3995"/>
      <c r="D3995"/>
      <c r="E3995"/>
      <c r="F3995"/>
      <c r="G3995"/>
      <c r="H3995"/>
    </row>
    <row r="3996" spans="3:8" x14ac:dyDescent="0.3">
      <c r="C3996"/>
      <c r="D3996"/>
      <c r="E3996"/>
      <c r="F3996"/>
      <c r="G3996"/>
      <c r="H3996"/>
    </row>
    <row r="3997" spans="3:8" x14ac:dyDescent="0.3">
      <c r="C3997"/>
      <c r="D3997"/>
      <c r="E3997"/>
      <c r="F3997"/>
      <c r="G3997"/>
      <c r="H3997"/>
    </row>
    <row r="3998" spans="3:8" x14ac:dyDescent="0.3">
      <c r="C3998"/>
      <c r="D3998"/>
      <c r="E3998"/>
      <c r="F3998"/>
      <c r="G3998"/>
      <c r="H3998"/>
    </row>
    <row r="3999" spans="3:8" x14ac:dyDescent="0.3">
      <c r="C3999"/>
      <c r="D3999"/>
      <c r="E3999"/>
      <c r="F3999"/>
      <c r="G3999"/>
      <c r="H3999"/>
    </row>
    <row r="4000" spans="3:8" x14ac:dyDescent="0.3">
      <c r="C4000"/>
      <c r="D4000"/>
      <c r="E4000"/>
      <c r="F4000"/>
      <c r="G4000"/>
      <c r="H4000"/>
    </row>
    <row r="4001" spans="3:8" x14ac:dyDescent="0.3">
      <c r="C4001"/>
      <c r="D4001"/>
      <c r="E4001"/>
      <c r="F4001"/>
      <c r="G4001"/>
      <c r="H4001"/>
    </row>
    <row r="4002" spans="3:8" x14ac:dyDescent="0.3">
      <c r="C4002"/>
      <c r="D4002"/>
      <c r="E4002"/>
      <c r="F4002"/>
      <c r="G4002"/>
      <c r="H4002"/>
    </row>
    <row r="4003" spans="3:8" x14ac:dyDescent="0.3">
      <c r="C4003"/>
      <c r="D4003"/>
      <c r="E4003"/>
      <c r="F4003"/>
      <c r="G4003"/>
      <c r="H4003"/>
    </row>
    <row r="4004" spans="3:8" x14ac:dyDescent="0.3">
      <c r="C4004"/>
      <c r="D4004"/>
      <c r="E4004"/>
      <c r="F4004"/>
      <c r="G4004"/>
      <c r="H4004"/>
    </row>
    <row r="4005" spans="3:8" x14ac:dyDescent="0.3">
      <c r="C4005"/>
      <c r="D4005"/>
      <c r="E4005"/>
      <c r="F4005"/>
      <c r="G4005"/>
      <c r="H4005"/>
    </row>
    <row r="4006" spans="3:8" x14ac:dyDescent="0.3">
      <c r="C4006"/>
      <c r="D4006"/>
      <c r="E4006"/>
      <c r="F4006"/>
      <c r="G4006"/>
      <c r="H4006"/>
    </row>
    <row r="4007" spans="3:8" x14ac:dyDescent="0.3">
      <c r="C4007"/>
      <c r="D4007"/>
      <c r="E4007"/>
      <c r="F4007"/>
      <c r="G4007"/>
      <c r="H4007"/>
    </row>
    <row r="4008" spans="3:8" x14ac:dyDescent="0.3">
      <c r="C4008"/>
      <c r="D4008"/>
      <c r="E4008"/>
      <c r="F4008"/>
      <c r="G4008"/>
      <c r="H4008"/>
    </row>
    <row r="4009" spans="3:8" x14ac:dyDescent="0.3">
      <c r="C4009"/>
      <c r="D4009"/>
      <c r="E4009"/>
      <c r="F4009"/>
      <c r="G4009"/>
      <c r="H4009"/>
    </row>
    <row r="4010" spans="3:8" x14ac:dyDescent="0.3">
      <c r="C4010"/>
      <c r="D4010"/>
      <c r="E4010"/>
      <c r="F4010"/>
      <c r="G4010"/>
      <c r="H4010"/>
    </row>
    <row r="4011" spans="3:8" x14ac:dyDescent="0.3">
      <c r="C4011"/>
      <c r="D4011"/>
      <c r="E4011"/>
      <c r="F4011"/>
      <c r="G4011"/>
      <c r="H4011"/>
    </row>
    <row r="4012" spans="3:8" x14ac:dyDescent="0.3">
      <c r="C4012"/>
      <c r="D4012"/>
      <c r="E4012"/>
      <c r="F4012"/>
      <c r="G4012"/>
      <c r="H4012"/>
    </row>
    <row r="4013" spans="3:8" x14ac:dyDescent="0.3">
      <c r="C4013"/>
      <c r="D4013"/>
      <c r="E4013"/>
      <c r="F4013"/>
      <c r="G4013"/>
      <c r="H4013"/>
    </row>
    <row r="4014" spans="3:8" x14ac:dyDescent="0.3">
      <c r="C4014"/>
      <c r="D4014"/>
      <c r="E4014"/>
      <c r="F4014"/>
      <c r="G4014"/>
      <c r="H4014"/>
    </row>
    <row r="4015" spans="3:8" x14ac:dyDescent="0.3">
      <c r="C4015"/>
      <c r="D4015"/>
      <c r="E4015"/>
      <c r="F4015"/>
      <c r="G4015"/>
      <c r="H4015"/>
    </row>
    <row r="4016" spans="3:8" x14ac:dyDescent="0.3">
      <c r="C4016"/>
      <c r="D4016"/>
      <c r="E4016"/>
      <c r="F4016"/>
      <c r="G4016"/>
      <c r="H4016"/>
    </row>
    <row r="4017" spans="3:8" x14ac:dyDescent="0.3">
      <c r="C4017"/>
      <c r="D4017"/>
      <c r="E4017"/>
      <c r="F4017"/>
      <c r="G4017"/>
      <c r="H4017"/>
    </row>
    <row r="4018" spans="3:8" x14ac:dyDescent="0.3">
      <c r="C4018"/>
      <c r="D4018"/>
      <c r="E4018"/>
      <c r="F4018"/>
      <c r="G4018"/>
      <c r="H4018"/>
    </row>
    <row r="4019" spans="3:8" x14ac:dyDescent="0.3">
      <c r="C4019"/>
      <c r="D4019"/>
      <c r="E4019"/>
      <c r="F4019"/>
      <c r="G4019"/>
      <c r="H4019"/>
    </row>
    <row r="4020" spans="3:8" x14ac:dyDescent="0.3">
      <c r="C4020"/>
      <c r="D4020"/>
      <c r="E4020"/>
      <c r="F4020"/>
      <c r="G4020"/>
      <c r="H4020"/>
    </row>
    <row r="4021" spans="3:8" x14ac:dyDescent="0.3">
      <c r="C4021"/>
      <c r="D4021"/>
      <c r="E4021"/>
      <c r="F4021"/>
      <c r="G4021"/>
      <c r="H4021"/>
    </row>
    <row r="4022" spans="3:8" x14ac:dyDescent="0.3">
      <c r="C4022"/>
      <c r="D4022"/>
      <c r="E4022"/>
      <c r="F4022"/>
      <c r="G4022"/>
      <c r="H4022"/>
    </row>
    <row r="4023" spans="3:8" x14ac:dyDescent="0.3">
      <c r="C4023"/>
      <c r="D4023"/>
      <c r="E4023"/>
      <c r="F4023"/>
      <c r="G4023"/>
      <c r="H4023"/>
    </row>
    <row r="4024" spans="3:8" x14ac:dyDescent="0.3">
      <c r="C4024"/>
      <c r="D4024"/>
      <c r="E4024"/>
      <c r="F4024"/>
      <c r="G4024"/>
      <c r="H4024"/>
    </row>
    <row r="4025" spans="3:8" x14ac:dyDescent="0.3">
      <c r="C4025"/>
      <c r="D4025"/>
      <c r="E4025"/>
      <c r="F4025"/>
      <c r="G4025"/>
      <c r="H4025"/>
    </row>
    <row r="4026" spans="3:8" x14ac:dyDescent="0.3">
      <c r="C4026"/>
      <c r="D4026"/>
      <c r="E4026"/>
      <c r="F4026"/>
      <c r="G4026"/>
      <c r="H4026"/>
    </row>
    <row r="4027" spans="3:8" x14ac:dyDescent="0.3">
      <c r="C4027"/>
      <c r="D4027"/>
      <c r="E4027"/>
      <c r="F4027"/>
      <c r="G4027"/>
      <c r="H4027"/>
    </row>
    <row r="4028" spans="3:8" x14ac:dyDescent="0.3">
      <c r="C4028"/>
      <c r="D4028"/>
      <c r="E4028"/>
      <c r="F4028"/>
      <c r="G4028"/>
      <c r="H4028"/>
    </row>
    <row r="4029" spans="3:8" x14ac:dyDescent="0.3">
      <c r="C4029"/>
      <c r="D4029"/>
      <c r="E4029"/>
      <c r="F4029"/>
      <c r="G4029"/>
      <c r="H4029"/>
    </row>
    <row r="4030" spans="3:8" x14ac:dyDescent="0.3">
      <c r="C4030"/>
      <c r="D4030"/>
      <c r="E4030"/>
      <c r="F4030"/>
      <c r="G4030"/>
      <c r="H4030"/>
    </row>
    <row r="4031" spans="3:8" x14ac:dyDescent="0.3">
      <c r="C4031"/>
      <c r="D4031"/>
      <c r="E4031"/>
      <c r="F4031"/>
      <c r="G4031"/>
      <c r="H4031"/>
    </row>
    <row r="4032" spans="3:8" x14ac:dyDescent="0.3">
      <c r="C4032"/>
      <c r="D4032"/>
      <c r="E4032"/>
      <c r="F4032"/>
      <c r="G4032"/>
      <c r="H4032"/>
    </row>
    <row r="4033" spans="3:8" x14ac:dyDescent="0.3">
      <c r="C4033"/>
      <c r="D4033"/>
      <c r="E4033"/>
      <c r="F4033"/>
      <c r="G4033"/>
      <c r="H4033"/>
    </row>
    <row r="4034" spans="3:8" x14ac:dyDescent="0.3">
      <c r="C4034"/>
      <c r="D4034"/>
      <c r="E4034"/>
      <c r="F4034"/>
      <c r="G4034"/>
      <c r="H4034"/>
    </row>
    <row r="4035" spans="3:8" x14ac:dyDescent="0.3">
      <c r="C4035"/>
      <c r="D4035"/>
      <c r="E4035"/>
      <c r="F4035"/>
      <c r="G4035"/>
      <c r="H4035"/>
    </row>
    <row r="4036" spans="3:8" x14ac:dyDescent="0.3">
      <c r="C4036"/>
      <c r="D4036"/>
      <c r="E4036"/>
      <c r="F4036"/>
      <c r="G4036"/>
      <c r="H4036"/>
    </row>
    <row r="4037" spans="3:8" x14ac:dyDescent="0.3">
      <c r="C4037"/>
      <c r="D4037"/>
      <c r="E4037"/>
      <c r="F4037"/>
      <c r="G4037"/>
      <c r="H4037"/>
    </row>
    <row r="4038" spans="3:8" x14ac:dyDescent="0.3">
      <c r="C4038"/>
      <c r="D4038"/>
      <c r="E4038"/>
      <c r="F4038"/>
      <c r="G4038"/>
      <c r="H4038"/>
    </row>
    <row r="4039" spans="3:8" x14ac:dyDescent="0.3">
      <c r="C4039"/>
      <c r="D4039"/>
      <c r="E4039"/>
      <c r="F4039"/>
      <c r="G4039"/>
      <c r="H4039"/>
    </row>
    <row r="4040" spans="3:8" x14ac:dyDescent="0.3">
      <c r="C4040"/>
      <c r="D4040"/>
      <c r="E4040"/>
      <c r="F4040"/>
      <c r="G4040"/>
      <c r="H4040"/>
    </row>
    <row r="4041" spans="3:8" x14ac:dyDescent="0.3">
      <c r="C4041"/>
      <c r="D4041"/>
      <c r="E4041"/>
      <c r="F4041"/>
      <c r="G4041"/>
      <c r="H4041"/>
    </row>
    <row r="4042" spans="3:8" x14ac:dyDescent="0.3">
      <c r="C4042"/>
      <c r="D4042"/>
      <c r="E4042"/>
      <c r="F4042"/>
      <c r="G4042"/>
      <c r="H4042"/>
    </row>
    <row r="4043" spans="3:8" x14ac:dyDescent="0.3">
      <c r="C4043"/>
      <c r="D4043"/>
      <c r="E4043"/>
      <c r="F4043"/>
      <c r="G4043"/>
      <c r="H4043"/>
    </row>
    <row r="4044" spans="3:8" x14ac:dyDescent="0.3">
      <c r="C4044"/>
      <c r="D4044"/>
      <c r="E4044"/>
      <c r="F4044"/>
      <c r="G4044"/>
      <c r="H4044"/>
    </row>
    <row r="4045" spans="3:8" x14ac:dyDescent="0.3">
      <c r="C4045"/>
      <c r="D4045"/>
      <c r="E4045"/>
      <c r="F4045"/>
      <c r="G4045"/>
      <c r="H4045"/>
    </row>
    <row r="4046" spans="3:8" x14ac:dyDescent="0.3">
      <c r="C4046"/>
      <c r="D4046"/>
      <c r="E4046"/>
      <c r="F4046"/>
      <c r="G4046"/>
      <c r="H4046"/>
    </row>
    <row r="4047" spans="3:8" x14ac:dyDescent="0.3">
      <c r="C4047"/>
      <c r="D4047"/>
      <c r="E4047"/>
      <c r="F4047"/>
      <c r="G4047"/>
      <c r="H4047"/>
    </row>
    <row r="4048" spans="3:8" x14ac:dyDescent="0.3">
      <c r="C4048"/>
      <c r="D4048"/>
      <c r="E4048"/>
      <c r="F4048"/>
      <c r="G4048"/>
      <c r="H4048"/>
    </row>
    <row r="4049" spans="3:8" x14ac:dyDescent="0.3">
      <c r="C4049"/>
      <c r="D4049"/>
      <c r="E4049"/>
      <c r="F4049"/>
      <c r="G4049"/>
      <c r="H4049"/>
    </row>
    <row r="4050" spans="3:8" x14ac:dyDescent="0.3">
      <c r="C4050"/>
      <c r="D4050"/>
      <c r="E4050"/>
      <c r="F4050"/>
      <c r="G4050"/>
      <c r="H4050"/>
    </row>
    <row r="4051" spans="3:8" x14ac:dyDescent="0.3">
      <c r="C4051"/>
      <c r="D4051"/>
      <c r="E4051"/>
      <c r="F4051"/>
      <c r="G4051"/>
      <c r="H4051"/>
    </row>
    <row r="4052" spans="3:8" x14ac:dyDescent="0.3">
      <c r="C4052"/>
      <c r="D4052"/>
      <c r="E4052"/>
      <c r="F4052"/>
      <c r="G4052"/>
      <c r="H4052"/>
    </row>
    <row r="4053" spans="3:8" x14ac:dyDescent="0.3">
      <c r="C4053"/>
      <c r="D4053"/>
      <c r="E4053"/>
      <c r="F4053"/>
      <c r="G4053"/>
      <c r="H4053"/>
    </row>
    <row r="4054" spans="3:8" x14ac:dyDescent="0.3">
      <c r="C4054"/>
      <c r="D4054"/>
      <c r="E4054"/>
      <c r="F4054"/>
      <c r="G4054"/>
      <c r="H4054"/>
    </row>
    <row r="4055" spans="3:8" x14ac:dyDescent="0.3">
      <c r="C4055"/>
      <c r="D4055"/>
      <c r="E4055"/>
      <c r="F4055"/>
      <c r="G4055"/>
      <c r="H4055"/>
    </row>
    <row r="4056" spans="3:8" x14ac:dyDescent="0.3">
      <c r="C4056"/>
      <c r="D4056"/>
      <c r="E4056"/>
      <c r="F4056"/>
      <c r="G4056"/>
      <c r="H4056"/>
    </row>
    <row r="4057" spans="3:8" x14ac:dyDescent="0.3">
      <c r="C4057"/>
      <c r="D4057"/>
      <c r="E4057"/>
      <c r="F4057"/>
      <c r="G4057"/>
      <c r="H4057"/>
    </row>
    <row r="4058" spans="3:8" x14ac:dyDescent="0.3">
      <c r="C4058"/>
      <c r="D4058"/>
      <c r="E4058"/>
      <c r="F4058"/>
      <c r="G4058"/>
      <c r="H4058"/>
    </row>
    <row r="4059" spans="3:8" x14ac:dyDescent="0.3">
      <c r="C4059"/>
      <c r="D4059"/>
      <c r="E4059"/>
      <c r="F4059"/>
      <c r="G4059"/>
      <c r="H4059"/>
    </row>
    <row r="4060" spans="3:8" x14ac:dyDescent="0.3">
      <c r="C4060"/>
      <c r="D4060"/>
      <c r="E4060"/>
      <c r="F4060"/>
      <c r="G4060"/>
      <c r="H4060"/>
    </row>
    <row r="4061" spans="3:8" x14ac:dyDescent="0.3">
      <c r="C4061"/>
      <c r="D4061"/>
      <c r="E4061"/>
      <c r="F4061"/>
      <c r="G4061"/>
      <c r="H4061"/>
    </row>
    <row r="4062" spans="3:8" x14ac:dyDescent="0.3">
      <c r="C4062"/>
      <c r="D4062"/>
      <c r="E4062"/>
      <c r="F4062"/>
      <c r="G4062"/>
      <c r="H4062"/>
    </row>
    <row r="4063" spans="3:8" x14ac:dyDescent="0.3">
      <c r="C4063"/>
      <c r="D4063"/>
      <c r="E4063"/>
      <c r="F4063"/>
      <c r="G4063"/>
      <c r="H4063"/>
    </row>
    <row r="4064" spans="3:8" x14ac:dyDescent="0.3">
      <c r="C4064"/>
      <c r="D4064"/>
      <c r="E4064"/>
      <c r="F4064"/>
      <c r="G4064"/>
      <c r="H4064"/>
    </row>
    <row r="4065" spans="3:8" x14ac:dyDescent="0.3">
      <c r="C4065"/>
      <c r="D4065"/>
      <c r="E4065"/>
      <c r="F4065"/>
      <c r="G4065"/>
      <c r="H4065"/>
    </row>
    <row r="4066" spans="3:8" x14ac:dyDescent="0.3">
      <c r="C4066"/>
      <c r="D4066"/>
      <c r="E4066"/>
      <c r="F4066"/>
      <c r="G4066"/>
      <c r="H4066"/>
    </row>
    <row r="4067" spans="3:8" x14ac:dyDescent="0.3">
      <c r="C4067"/>
      <c r="D4067"/>
      <c r="E4067"/>
      <c r="F4067"/>
      <c r="G4067"/>
      <c r="H4067"/>
    </row>
    <row r="4068" spans="3:8" x14ac:dyDescent="0.3">
      <c r="C4068"/>
      <c r="D4068"/>
      <c r="E4068"/>
      <c r="F4068"/>
      <c r="G4068"/>
      <c r="H4068"/>
    </row>
    <row r="4069" spans="3:8" x14ac:dyDescent="0.3">
      <c r="C4069"/>
      <c r="D4069"/>
      <c r="E4069"/>
      <c r="F4069"/>
      <c r="G4069"/>
      <c r="H4069"/>
    </row>
    <row r="4070" spans="3:8" x14ac:dyDescent="0.3">
      <c r="C4070"/>
      <c r="D4070"/>
      <c r="E4070"/>
      <c r="F4070"/>
      <c r="G4070"/>
      <c r="H4070"/>
    </row>
    <row r="4071" spans="3:8" x14ac:dyDescent="0.3">
      <c r="C4071"/>
      <c r="D4071"/>
      <c r="E4071"/>
      <c r="F4071"/>
      <c r="G4071"/>
      <c r="H4071"/>
    </row>
    <row r="4072" spans="3:8" x14ac:dyDescent="0.3">
      <c r="C4072"/>
      <c r="D4072"/>
      <c r="E4072"/>
      <c r="F4072"/>
      <c r="G4072"/>
      <c r="H4072"/>
    </row>
    <row r="4073" spans="3:8" x14ac:dyDescent="0.3">
      <c r="C4073"/>
      <c r="D4073"/>
      <c r="E4073"/>
      <c r="F4073"/>
      <c r="G4073"/>
      <c r="H4073"/>
    </row>
    <row r="4074" spans="3:8" x14ac:dyDescent="0.3">
      <c r="C4074"/>
      <c r="D4074"/>
      <c r="E4074"/>
      <c r="F4074"/>
      <c r="G4074"/>
      <c r="H4074"/>
    </row>
    <row r="4075" spans="3:8" x14ac:dyDescent="0.3">
      <c r="C4075"/>
      <c r="D4075"/>
      <c r="E4075"/>
      <c r="F4075"/>
      <c r="G4075"/>
      <c r="H4075"/>
    </row>
    <row r="4076" spans="3:8" x14ac:dyDescent="0.3">
      <c r="C4076"/>
      <c r="D4076"/>
      <c r="E4076"/>
      <c r="F4076"/>
      <c r="G4076"/>
      <c r="H4076"/>
    </row>
    <row r="4077" spans="3:8" x14ac:dyDescent="0.3">
      <c r="C4077"/>
      <c r="D4077"/>
      <c r="E4077"/>
      <c r="F4077"/>
      <c r="G4077"/>
      <c r="H4077"/>
    </row>
    <row r="4078" spans="3:8" x14ac:dyDescent="0.3">
      <c r="C4078"/>
      <c r="D4078"/>
      <c r="E4078"/>
      <c r="F4078"/>
      <c r="G4078"/>
      <c r="H4078"/>
    </row>
    <row r="4079" spans="3:8" x14ac:dyDescent="0.3">
      <c r="C4079"/>
      <c r="D4079"/>
      <c r="E4079"/>
      <c r="F4079"/>
      <c r="G4079"/>
      <c r="H4079"/>
    </row>
    <row r="4080" spans="3:8" x14ac:dyDescent="0.3">
      <c r="C4080"/>
      <c r="D4080"/>
      <c r="E4080"/>
      <c r="F4080"/>
      <c r="G4080"/>
      <c r="H4080"/>
    </row>
    <row r="4081" spans="3:8" x14ac:dyDescent="0.3">
      <c r="C4081"/>
      <c r="D4081"/>
      <c r="E4081"/>
      <c r="F4081"/>
      <c r="G4081"/>
      <c r="H4081"/>
    </row>
    <row r="4082" spans="3:8" x14ac:dyDescent="0.3">
      <c r="C4082"/>
      <c r="D4082"/>
      <c r="E4082"/>
      <c r="F4082"/>
      <c r="G4082"/>
      <c r="H4082"/>
    </row>
    <row r="4083" spans="3:8" x14ac:dyDescent="0.3">
      <c r="C4083"/>
      <c r="D4083"/>
      <c r="E4083"/>
      <c r="F4083"/>
      <c r="G4083"/>
      <c r="H4083"/>
    </row>
    <row r="4084" spans="3:8" x14ac:dyDescent="0.3">
      <c r="C4084"/>
      <c r="D4084"/>
      <c r="E4084"/>
      <c r="F4084"/>
      <c r="G4084"/>
      <c r="H4084"/>
    </row>
    <row r="4085" spans="3:8" x14ac:dyDescent="0.3">
      <c r="C4085"/>
      <c r="D4085"/>
      <c r="E4085"/>
      <c r="F4085"/>
      <c r="G4085"/>
      <c r="H4085"/>
    </row>
    <row r="4086" spans="3:8" x14ac:dyDescent="0.3">
      <c r="C4086"/>
      <c r="D4086"/>
      <c r="E4086"/>
      <c r="F4086"/>
      <c r="G4086"/>
      <c r="H4086"/>
    </row>
    <row r="4087" spans="3:8" x14ac:dyDescent="0.3">
      <c r="C4087"/>
      <c r="D4087"/>
      <c r="E4087"/>
      <c r="F4087"/>
      <c r="G4087"/>
      <c r="H4087"/>
    </row>
    <row r="4088" spans="3:8" x14ac:dyDescent="0.3">
      <c r="C4088"/>
      <c r="D4088"/>
      <c r="E4088"/>
      <c r="F4088"/>
      <c r="G4088"/>
      <c r="H4088"/>
    </row>
    <row r="4089" spans="3:8" x14ac:dyDescent="0.3">
      <c r="C4089"/>
      <c r="D4089"/>
      <c r="E4089"/>
      <c r="F4089"/>
      <c r="G4089"/>
      <c r="H4089"/>
    </row>
    <row r="4090" spans="3:8" x14ac:dyDescent="0.3">
      <c r="C4090"/>
      <c r="D4090"/>
      <c r="E4090"/>
      <c r="F4090"/>
      <c r="G4090"/>
      <c r="H4090"/>
    </row>
    <row r="4091" spans="3:8" x14ac:dyDescent="0.3">
      <c r="C4091"/>
      <c r="D4091"/>
      <c r="E4091"/>
      <c r="F4091"/>
      <c r="G4091"/>
      <c r="H4091"/>
    </row>
    <row r="4092" spans="3:8" x14ac:dyDescent="0.3">
      <c r="C4092"/>
      <c r="D4092"/>
      <c r="E4092"/>
      <c r="F4092"/>
      <c r="G4092"/>
      <c r="H4092"/>
    </row>
    <row r="4093" spans="3:8" x14ac:dyDescent="0.3">
      <c r="C4093"/>
      <c r="D4093"/>
      <c r="E4093"/>
      <c r="F4093"/>
      <c r="G4093"/>
      <c r="H4093"/>
    </row>
    <row r="4094" spans="3:8" x14ac:dyDescent="0.3">
      <c r="C4094"/>
      <c r="D4094"/>
      <c r="E4094"/>
      <c r="F4094"/>
      <c r="G4094"/>
      <c r="H4094"/>
    </row>
    <row r="4095" spans="3:8" x14ac:dyDescent="0.3">
      <c r="C4095"/>
      <c r="D4095"/>
      <c r="E4095"/>
      <c r="F4095"/>
      <c r="G4095"/>
      <c r="H4095"/>
    </row>
    <row r="4096" spans="3:8" x14ac:dyDescent="0.3">
      <c r="C4096"/>
      <c r="D4096"/>
      <c r="E4096"/>
      <c r="F4096"/>
      <c r="G4096"/>
      <c r="H4096"/>
    </row>
    <row r="4097" spans="3:8" x14ac:dyDescent="0.3">
      <c r="C4097"/>
      <c r="D4097"/>
      <c r="E4097"/>
      <c r="F4097"/>
      <c r="G4097"/>
      <c r="H4097"/>
    </row>
    <row r="4098" spans="3:8" x14ac:dyDescent="0.3">
      <c r="C4098"/>
      <c r="D4098"/>
      <c r="E4098"/>
      <c r="F4098"/>
      <c r="G4098"/>
      <c r="H4098"/>
    </row>
    <row r="4099" spans="3:8" x14ac:dyDescent="0.3">
      <c r="C4099"/>
      <c r="D4099"/>
      <c r="E4099"/>
      <c r="F4099"/>
      <c r="G4099"/>
      <c r="H4099"/>
    </row>
    <row r="4100" spans="3:8" x14ac:dyDescent="0.3">
      <c r="C4100"/>
      <c r="D4100"/>
      <c r="E4100"/>
      <c r="F4100"/>
      <c r="G4100"/>
      <c r="H4100"/>
    </row>
    <row r="4101" spans="3:8" x14ac:dyDescent="0.3">
      <c r="C4101"/>
      <c r="D4101"/>
      <c r="E4101"/>
      <c r="F4101"/>
      <c r="G4101"/>
      <c r="H4101"/>
    </row>
    <row r="4102" spans="3:8" x14ac:dyDescent="0.3">
      <c r="C4102"/>
      <c r="D4102"/>
      <c r="E4102"/>
      <c r="F4102"/>
      <c r="G4102"/>
      <c r="H4102"/>
    </row>
    <row r="4103" spans="3:8" x14ac:dyDescent="0.3">
      <c r="C4103"/>
      <c r="D4103"/>
      <c r="E4103"/>
      <c r="F4103"/>
      <c r="G4103"/>
      <c r="H4103"/>
    </row>
    <row r="4104" spans="3:8" x14ac:dyDescent="0.3">
      <c r="C4104"/>
      <c r="D4104"/>
      <c r="E4104"/>
      <c r="F4104"/>
      <c r="G4104"/>
      <c r="H4104"/>
    </row>
    <row r="4105" spans="3:8" x14ac:dyDescent="0.3">
      <c r="C4105"/>
      <c r="D4105"/>
      <c r="E4105"/>
      <c r="F4105"/>
      <c r="G4105"/>
      <c r="H4105"/>
    </row>
    <row r="4106" spans="3:8" x14ac:dyDescent="0.3">
      <c r="C4106"/>
      <c r="D4106"/>
      <c r="E4106"/>
      <c r="F4106"/>
      <c r="G4106"/>
      <c r="H4106"/>
    </row>
    <row r="4107" spans="3:8" x14ac:dyDescent="0.3">
      <c r="C4107"/>
      <c r="D4107"/>
      <c r="E4107"/>
      <c r="F4107"/>
      <c r="G4107"/>
      <c r="H4107"/>
    </row>
    <row r="4108" spans="3:8" x14ac:dyDescent="0.3">
      <c r="C4108"/>
      <c r="D4108"/>
      <c r="E4108"/>
      <c r="F4108"/>
      <c r="G4108"/>
      <c r="H4108"/>
    </row>
    <row r="4109" spans="3:8" x14ac:dyDescent="0.3">
      <c r="C4109"/>
      <c r="D4109"/>
      <c r="E4109"/>
      <c r="F4109"/>
      <c r="G4109"/>
      <c r="H4109"/>
    </row>
    <row r="4110" spans="3:8" x14ac:dyDescent="0.3">
      <c r="C4110"/>
      <c r="D4110"/>
      <c r="E4110"/>
      <c r="F4110"/>
      <c r="G4110"/>
      <c r="H4110"/>
    </row>
    <row r="4111" spans="3:8" x14ac:dyDescent="0.3">
      <c r="C4111"/>
      <c r="D4111"/>
      <c r="E4111"/>
      <c r="F4111"/>
      <c r="G4111"/>
      <c r="H4111"/>
    </row>
    <row r="4112" spans="3:8" x14ac:dyDescent="0.3">
      <c r="C4112"/>
      <c r="D4112"/>
      <c r="E4112"/>
      <c r="F4112"/>
      <c r="G4112"/>
      <c r="H4112"/>
    </row>
    <row r="4113" spans="3:8" x14ac:dyDescent="0.3">
      <c r="C4113"/>
      <c r="D4113"/>
      <c r="E4113"/>
      <c r="F4113"/>
      <c r="G4113"/>
      <c r="H4113"/>
    </row>
    <row r="4114" spans="3:8" x14ac:dyDescent="0.3">
      <c r="C4114"/>
      <c r="D4114"/>
      <c r="E4114"/>
      <c r="F4114"/>
      <c r="G4114"/>
      <c r="H4114"/>
    </row>
    <row r="4115" spans="3:8" x14ac:dyDescent="0.3">
      <c r="C4115"/>
      <c r="D4115"/>
      <c r="E4115"/>
      <c r="F4115"/>
      <c r="G4115"/>
      <c r="H4115"/>
    </row>
    <row r="4116" spans="3:8" x14ac:dyDescent="0.3">
      <c r="C4116"/>
      <c r="D4116"/>
      <c r="E4116"/>
      <c r="F4116"/>
      <c r="G4116"/>
      <c r="H4116"/>
    </row>
    <row r="4117" spans="3:8" x14ac:dyDescent="0.3">
      <c r="C4117"/>
      <c r="D4117"/>
      <c r="E4117"/>
      <c r="F4117"/>
      <c r="G4117"/>
      <c r="H4117"/>
    </row>
    <row r="4118" spans="3:8" x14ac:dyDescent="0.3">
      <c r="C4118"/>
      <c r="D4118"/>
      <c r="E4118"/>
      <c r="F4118"/>
      <c r="G4118"/>
      <c r="H4118"/>
    </row>
    <row r="4119" spans="3:8" x14ac:dyDescent="0.3">
      <c r="C4119"/>
      <c r="D4119"/>
      <c r="E4119"/>
      <c r="F4119"/>
      <c r="G4119"/>
      <c r="H4119"/>
    </row>
    <row r="4120" spans="3:8" x14ac:dyDescent="0.3">
      <c r="C4120"/>
      <c r="D4120"/>
      <c r="E4120"/>
      <c r="F4120"/>
      <c r="G4120"/>
      <c r="H4120"/>
    </row>
    <row r="4121" spans="3:8" x14ac:dyDescent="0.3">
      <c r="C4121"/>
      <c r="D4121"/>
      <c r="E4121"/>
      <c r="F4121"/>
      <c r="G4121"/>
      <c r="H4121"/>
    </row>
    <row r="4122" spans="3:8" x14ac:dyDescent="0.3">
      <c r="C4122"/>
      <c r="D4122"/>
      <c r="E4122"/>
      <c r="F4122"/>
      <c r="G4122"/>
      <c r="H4122"/>
    </row>
    <row r="4123" spans="3:8" x14ac:dyDescent="0.3">
      <c r="C4123"/>
      <c r="D4123"/>
      <c r="E4123"/>
      <c r="F4123"/>
      <c r="G4123"/>
      <c r="H4123"/>
    </row>
    <row r="4124" spans="3:8" x14ac:dyDescent="0.3">
      <c r="C4124"/>
      <c r="D4124"/>
      <c r="E4124"/>
      <c r="F4124"/>
      <c r="G4124"/>
      <c r="H4124"/>
    </row>
    <row r="4125" spans="3:8" x14ac:dyDescent="0.3">
      <c r="C4125"/>
      <c r="D4125"/>
      <c r="E4125"/>
      <c r="F4125"/>
      <c r="G4125"/>
      <c r="H4125"/>
    </row>
    <row r="4126" spans="3:8" x14ac:dyDescent="0.3">
      <c r="C4126"/>
      <c r="D4126"/>
      <c r="E4126"/>
      <c r="F4126"/>
      <c r="G4126"/>
      <c r="H4126"/>
    </row>
    <row r="4127" spans="3:8" x14ac:dyDescent="0.3">
      <c r="C4127"/>
      <c r="D4127"/>
      <c r="E4127"/>
      <c r="F4127"/>
      <c r="G4127"/>
      <c r="H4127"/>
    </row>
    <row r="4128" spans="3:8" x14ac:dyDescent="0.3">
      <c r="C4128"/>
      <c r="D4128"/>
      <c r="E4128"/>
      <c r="F4128"/>
      <c r="G4128"/>
      <c r="H4128"/>
    </row>
    <row r="4129" spans="3:8" x14ac:dyDescent="0.3">
      <c r="C4129"/>
      <c r="D4129"/>
      <c r="E4129"/>
      <c r="F4129"/>
      <c r="G4129"/>
      <c r="H4129"/>
    </row>
    <row r="4130" spans="3:8" x14ac:dyDescent="0.3">
      <c r="C4130"/>
      <c r="D4130"/>
      <c r="E4130"/>
      <c r="F4130"/>
      <c r="G4130"/>
      <c r="H4130"/>
    </row>
    <row r="4131" spans="3:8" x14ac:dyDescent="0.3">
      <c r="C4131"/>
      <c r="D4131"/>
      <c r="E4131"/>
      <c r="F4131"/>
      <c r="G4131"/>
      <c r="H4131"/>
    </row>
    <row r="4132" spans="3:8" x14ac:dyDescent="0.3">
      <c r="C4132"/>
      <c r="D4132"/>
      <c r="E4132"/>
      <c r="F4132"/>
      <c r="G4132"/>
      <c r="H4132"/>
    </row>
    <row r="4133" spans="3:8" x14ac:dyDescent="0.3">
      <c r="C4133"/>
      <c r="D4133"/>
      <c r="E4133"/>
      <c r="F4133"/>
      <c r="G4133"/>
      <c r="H4133"/>
    </row>
    <row r="4134" spans="3:8" x14ac:dyDescent="0.3">
      <c r="C4134"/>
      <c r="D4134"/>
      <c r="E4134"/>
      <c r="F4134"/>
      <c r="G4134"/>
      <c r="H4134"/>
    </row>
    <row r="4135" spans="3:8" x14ac:dyDescent="0.3">
      <c r="C4135"/>
      <c r="D4135"/>
      <c r="E4135"/>
      <c r="F4135"/>
      <c r="G4135"/>
      <c r="H4135"/>
    </row>
    <row r="4136" spans="3:8" x14ac:dyDescent="0.3">
      <c r="C4136"/>
      <c r="D4136"/>
      <c r="E4136"/>
      <c r="F4136"/>
      <c r="G4136"/>
      <c r="H4136"/>
    </row>
    <row r="4137" spans="3:8" x14ac:dyDescent="0.3">
      <c r="C4137"/>
      <c r="D4137"/>
      <c r="E4137"/>
      <c r="F4137"/>
      <c r="G4137"/>
      <c r="H4137"/>
    </row>
    <row r="4138" spans="3:8" x14ac:dyDescent="0.3">
      <c r="C4138"/>
      <c r="D4138"/>
      <c r="E4138"/>
      <c r="F4138"/>
      <c r="G4138"/>
      <c r="H4138"/>
    </row>
    <row r="4139" spans="3:8" x14ac:dyDescent="0.3">
      <c r="C4139"/>
      <c r="D4139"/>
      <c r="E4139"/>
      <c r="F4139"/>
      <c r="G4139"/>
      <c r="H4139"/>
    </row>
    <row r="4140" spans="3:8" x14ac:dyDescent="0.3">
      <c r="C4140"/>
      <c r="D4140"/>
      <c r="E4140"/>
      <c r="F4140"/>
      <c r="G4140"/>
      <c r="H4140"/>
    </row>
    <row r="4141" spans="3:8" x14ac:dyDescent="0.3">
      <c r="C4141"/>
      <c r="D4141"/>
      <c r="E4141"/>
      <c r="F4141"/>
      <c r="G4141"/>
      <c r="H4141"/>
    </row>
    <row r="4142" spans="3:8" x14ac:dyDescent="0.3">
      <c r="C4142"/>
      <c r="D4142"/>
      <c r="E4142"/>
      <c r="F4142"/>
      <c r="G4142"/>
      <c r="H4142"/>
    </row>
    <row r="4143" spans="3:8" x14ac:dyDescent="0.3">
      <c r="C4143"/>
      <c r="D4143"/>
      <c r="E4143"/>
      <c r="F4143"/>
      <c r="G4143"/>
      <c r="H4143"/>
    </row>
    <row r="4144" spans="3:8" x14ac:dyDescent="0.3">
      <c r="C4144"/>
      <c r="D4144"/>
      <c r="E4144"/>
      <c r="F4144"/>
      <c r="G4144"/>
      <c r="H4144"/>
    </row>
    <row r="4145" spans="3:8" x14ac:dyDescent="0.3">
      <c r="C4145"/>
      <c r="D4145"/>
      <c r="E4145"/>
      <c r="F4145"/>
      <c r="G4145"/>
      <c r="H4145"/>
    </row>
    <row r="4146" spans="3:8" x14ac:dyDescent="0.3">
      <c r="C4146"/>
      <c r="D4146"/>
      <c r="E4146"/>
      <c r="F4146"/>
      <c r="G4146"/>
      <c r="H4146"/>
    </row>
    <row r="4147" spans="3:8" x14ac:dyDescent="0.3">
      <c r="C4147"/>
      <c r="D4147"/>
      <c r="E4147"/>
      <c r="F4147"/>
      <c r="G4147"/>
      <c r="H4147"/>
    </row>
    <row r="4148" spans="3:8" x14ac:dyDescent="0.3">
      <c r="C4148"/>
      <c r="D4148"/>
      <c r="E4148"/>
      <c r="F4148"/>
      <c r="G4148"/>
      <c r="H4148"/>
    </row>
    <row r="4149" spans="3:8" x14ac:dyDescent="0.3">
      <c r="C4149"/>
      <c r="D4149"/>
      <c r="E4149"/>
      <c r="F4149"/>
      <c r="G4149"/>
      <c r="H4149"/>
    </row>
    <row r="4150" spans="3:8" x14ac:dyDescent="0.3">
      <c r="C4150"/>
      <c r="D4150"/>
      <c r="E4150"/>
      <c r="F4150"/>
      <c r="G4150"/>
      <c r="H4150"/>
    </row>
    <row r="4151" spans="3:8" x14ac:dyDescent="0.3">
      <c r="C4151"/>
      <c r="D4151"/>
      <c r="E4151"/>
      <c r="F4151"/>
      <c r="G4151"/>
      <c r="H4151"/>
    </row>
    <row r="4152" spans="3:8" x14ac:dyDescent="0.3">
      <c r="C4152"/>
      <c r="D4152"/>
      <c r="E4152"/>
      <c r="F4152"/>
      <c r="G4152"/>
      <c r="H4152"/>
    </row>
    <row r="4153" spans="3:8" x14ac:dyDescent="0.3">
      <c r="C4153"/>
      <c r="D4153"/>
      <c r="E4153"/>
      <c r="F4153"/>
      <c r="G4153"/>
      <c r="H4153"/>
    </row>
    <row r="4154" spans="3:8" x14ac:dyDescent="0.3">
      <c r="C4154"/>
      <c r="D4154"/>
      <c r="E4154"/>
      <c r="F4154"/>
      <c r="G4154"/>
      <c r="H4154"/>
    </row>
    <row r="4155" spans="3:8" x14ac:dyDescent="0.3">
      <c r="C4155"/>
      <c r="D4155"/>
      <c r="E4155"/>
      <c r="F4155"/>
      <c r="G4155"/>
      <c r="H4155"/>
    </row>
    <row r="4156" spans="3:8" x14ac:dyDescent="0.3">
      <c r="C4156"/>
      <c r="D4156"/>
      <c r="E4156"/>
      <c r="F4156"/>
      <c r="G4156"/>
      <c r="H4156"/>
    </row>
    <row r="4157" spans="3:8" x14ac:dyDescent="0.3">
      <c r="C4157"/>
      <c r="D4157"/>
      <c r="E4157"/>
      <c r="F4157"/>
      <c r="G4157"/>
      <c r="H4157"/>
    </row>
    <row r="4158" spans="3:8" x14ac:dyDescent="0.3">
      <c r="C4158"/>
      <c r="D4158"/>
      <c r="E4158"/>
      <c r="F4158"/>
      <c r="G4158"/>
      <c r="H4158"/>
    </row>
    <row r="4159" spans="3:8" x14ac:dyDescent="0.3">
      <c r="C4159"/>
      <c r="D4159"/>
      <c r="E4159"/>
      <c r="F4159"/>
      <c r="G4159"/>
      <c r="H4159"/>
    </row>
    <row r="4160" spans="3:8" x14ac:dyDescent="0.3">
      <c r="C4160"/>
      <c r="D4160"/>
      <c r="E4160"/>
      <c r="F4160"/>
      <c r="G4160"/>
      <c r="H4160"/>
    </row>
    <row r="4161" spans="3:8" x14ac:dyDescent="0.3">
      <c r="C4161"/>
      <c r="D4161"/>
      <c r="E4161"/>
      <c r="F4161"/>
      <c r="G4161"/>
      <c r="H4161"/>
    </row>
    <row r="4162" spans="3:8" x14ac:dyDescent="0.3">
      <c r="C4162"/>
      <c r="D4162"/>
      <c r="E4162"/>
      <c r="F4162"/>
      <c r="G4162"/>
      <c r="H4162"/>
    </row>
    <row r="4163" spans="3:8" x14ac:dyDescent="0.3">
      <c r="C4163"/>
      <c r="D4163"/>
      <c r="E4163"/>
      <c r="F4163"/>
      <c r="G4163"/>
      <c r="H4163"/>
    </row>
    <row r="4164" spans="3:8" x14ac:dyDescent="0.3">
      <c r="C4164"/>
      <c r="D4164"/>
      <c r="E4164"/>
      <c r="F4164"/>
      <c r="G4164"/>
      <c r="H4164"/>
    </row>
    <row r="4165" spans="3:8" x14ac:dyDescent="0.3">
      <c r="C4165"/>
      <c r="D4165"/>
      <c r="E4165"/>
      <c r="F4165"/>
      <c r="G4165"/>
      <c r="H4165"/>
    </row>
    <row r="4166" spans="3:8" x14ac:dyDescent="0.3">
      <c r="C4166"/>
      <c r="D4166"/>
      <c r="E4166"/>
      <c r="F4166"/>
      <c r="G4166"/>
      <c r="H4166"/>
    </row>
    <row r="4167" spans="3:8" x14ac:dyDescent="0.3">
      <c r="C4167"/>
      <c r="D4167"/>
      <c r="E4167"/>
      <c r="F4167"/>
      <c r="G4167"/>
      <c r="H4167"/>
    </row>
    <row r="4168" spans="3:8" x14ac:dyDescent="0.3">
      <c r="C4168"/>
      <c r="D4168"/>
      <c r="E4168"/>
      <c r="F4168"/>
      <c r="G4168"/>
      <c r="H4168"/>
    </row>
    <row r="4169" spans="3:8" x14ac:dyDescent="0.3">
      <c r="C4169"/>
      <c r="D4169"/>
      <c r="E4169"/>
      <c r="F4169"/>
      <c r="G4169"/>
      <c r="H4169"/>
    </row>
    <row r="4170" spans="3:8" x14ac:dyDescent="0.3">
      <c r="C4170"/>
      <c r="D4170"/>
      <c r="E4170"/>
      <c r="F4170"/>
      <c r="G4170"/>
      <c r="H4170"/>
    </row>
    <row r="4171" spans="3:8" x14ac:dyDescent="0.3">
      <c r="C4171"/>
      <c r="D4171"/>
      <c r="E4171"/>
      <c r="F4171"/>
      <c r="G4171"/>
      <c r="H4171"/>
    </row>
    <row r="4172" spans="3:8" x14ac:dyDescent="0.3">
      <c r="C4172"/>
      <c r="D4172"/>
      <c r="E4172"/>
      <c r="F4172"/>
      <c r="G4172"/>
      <c r="H4172"/>
    </row>
    <row r="4173" spans="3:8" x14ac:dyDescent="0.3">
      <c r="C4173"/>
      <c r="D4173"/>
      <c r="E4173"/>
      <c r="F4173"/>
      <c r="G4173"/>
      <c r="H4173"/>
    </row>
    <row r="4174" spans="3:8" x14ac:dyDescent="0.3">
      <c r="C4174"/>
      <c r="D4174"/>
      <c r="E4174"/>
      <c r="F4174"/>
      <c r="G4174"/>
      <c r="H4174"/>
    </row>
    <row r="4175" spans="3:8" x14ac:dyDescent="0.3">
      <c r="C4175"/>
      <c r="D4175"/>
      <c r="E4175"/>
      <c r="F4175"/>
      <c r="G4175"/>
      <c r="H4175"/>
    </row>
    <row r="4176" spans="3:8" x14ac:dyDescent="0.3">
      <c r="C4176"/>
      <c r="D4176"/>
      <c r="E4176"/>
      <c r="F4176"/>
      <c r="G4176"/>
      <c r="H4176"/>
    </row>
    <row r="4177" spans="3:8" x14ac:dyDescent="0.3">
      <c r="C4177"/>
      <c r="D4177"/>
      <c r="E4177"/>
      <c r="F4177"/>
      <c r="G4177"/>
      <c r="H4177"/>
    </row>
    <row r="4178" spans="3:8" x14ac:dyDescent="0.3">
      <c r="C4178"/>
      <c r="D4178"/>
      <c r="E4178"/>
      <c r="F4178"/>
      <c r="G4178"/>
      <c r="H4178"/>
    </row>
    <row r="4179" spans="3:8" x14ac:dyDescent="0.3">
      <c r="C4179"/>
      <c r="D4179"/>
      <c r="E4179"/>
      <c r="F4179"/>
      <c r="G4179"/>
      <c r="H4179"/>
    </row>
    <row r="4180" spans="3:8" x14ac:dyDescent="0.3">
      <c r="C4180"/>
      <c r="D4180"/>
      <c r="E4180"/>
      <c r="F4180"/>
      <c r="G4180"/>
      <c r="H4180"/>
    </row>
    <row r="4181" spans="3:8" x14ac:dyDescent="0.3">
      <c r="C4181"/>
      <c r="D4181"/>
      <c r="E4181"/>
      <c r="F4181"/>
      <c r="G4181"/>
      <c r="H4181"/>
    </row>
    <row r="4182" spans="3:8" x14ac:dyDescent="0.3">
      <c r="C4182"/>
      <c r="D4182"/>
      <c r="E4182"/>
      <c r="F4182"/>
      <c r="G4182"/>
      <c r="H4182"/>
    </row>
    <row r="4183" spans="3:8" x14ac:dyDescent="0.3">
      <c r="C4183"/>
      <c r="D4183"/>
      <c r="E4183"/>
      <c r="F4183"/>
      <c r="G4183"/>
      <c r="H4183"/>
    </row>
    <row r="4184" spans="3:8" x14ac:dyDescent="0.3">
      <c r="C4184"/>
      <c r="D4184"/>
      <c r="E4184"/>
      <c r="F4184"/>
      <c r="G4184"/>
      <c r="H4184"/>
    </row>
    <row r="4185" spans="3:8" x14ac:dyDescent="0.3">
      <c r="C4185"/>
      <c r="D4185"/>
      <c r="E4185"/>
      <c r="F4185"/>
      <c r="G4185"/>
      <c r="H4185"/>
    </row>
    <row r="4186" spans="3:8" x14ac:dyDescent="0.3">
      <c r="C4186"/>
      <c r="D4186"/>
      <c r="E4186"/>
      <c r="F4186"/>
      <c r="G4186"/>
      <c r="H4186"/>
    </row>
    <row r="4187" spans="3:8" x14ac:dyDescent="0.3">
      <c r="C4187"/>
      <c r="D4187"/>
      <c r="E4187"/>
      <c r="F4187"/>
      <c r="G4187"/>
      <c r="H4187"/>
    </row>
    <row r="4188" spans="3:8" x14ac:dyDescent="0.3">
      <c r="C4188"/>
      <c r="D4188"/>
      <c r="E4188"/>
      <c r="F4188"/>
      <c r="G4188"/>
      <c r="H4188"/>
    </row>
    <row r="4189" spans="3:8" x14ac:dyDescent="0.3">
      <c r="C4189"/>
      <c r="D4189"/>
      <c r="E4189"/>
      <c r="F4189"/>
      <c r="G4189"/>
      <c r="H4189"/>
    </row>
    <row r="4190" spans="3:8" x14ac:dyDescent="0.3">
      <c r="C4190"/>
      <c r="D4190"/>
      <c r="E4190"/>
      <c r="F4190"/>
      <c r="G4190"/>
      <c r="H4190"/>
    </row>
    <row r="4191" spans="3:8" x14ac:dyDescent="0.3">
      <c r="C4191"/>
      <c r="D4191"/>
      <c r="E4191"/>
      <c r="F4191"/>
      <c r="G4191"/>
      <c r="H4191"/>
    </row>
    <row r="4192" spans="3:8" x14ac:dyDescent="0.3">
      <c r="C4192"/>
      <c r="D4192"/>
      <c r="E4192"/>
      <c r="F4192"/>
      <c r="G4192"/>
      <c r="H4192"/>
    </row>
    <row r="4193" spans="3:8" x14ac:dyDescent="0.3">
      <c r="C4193"/>
      <c r="D4193"/>
      <c r="E4193"/>
      <c r="F4193"/>
      <c r="G4193"/>
      <c r="H4193"/>
    </row>
    <row r="4194" spans="3:8" x14ac:dyDescent="0.3">
      <c r="C4194"/>
      <c r="D4194"/>
      <c r="E4194"/>
      <c r="F4194"/>
      <c r="G4194"/>
      <c r="H4194"/>
    </row>
    <row r="4195" spans="3:8" x14ac:dyDescent="0.3">
      <c r="C4195"/>
      <c r="D4195"/>
      <c r="E4195"/>
      <c r="F4195"/>
      <c r="G4195"/>
      <c r="H4195"/>
    </row>
    <row r="4196" spans="3:8" x14ac:dyDescent="0.3">
      <c r="C4196"/>
      <c r="D4196"/>
      <c r="E4196"/>
      <c r="F4196"/>
      <c r="G4196"/>
      <c r="H4196"/>
    </row>
    <row r="4197" spans="3:8" x14ac:dyDescent="0.3">
      <c r="C4197"/>
      <c r="D4197"/>
      <c r="E4197"/>
      <c r="F4197"/>
      <c r="G4197"/>
      <c r="H4197"/>
    </row>
    <row r="4198" spans="3:8" x14ac:dyDescent="0.3">
      <c r="C4198"/>
      <c r="D4198"/>
      <c r="E4198"/>
      <c r="F4198"/>
      <c r="G4198"/>
      <c r="H4198"/>
    </row>
    <row r="4199" spans="3:8" x14ac:dyDescent="0.3">
      <c r="C4199"/>
      <c r="D4199"/>
      <c r="E4199"/>
      <c r="F4199"/>
      <c r="G4199"/>
      <c r="H4199"/>
    </row>
    <row r="4200" spans="3:8" x14ac:dyDescent="0.3">
      <c r="C4200"/>
      <c r="D4200"/>
      <c r="E4200"/>
      <c r="F4200"/>
      <c r="G4200"/>
      <c r="H4200"/>
    </row>
    <row r="4201" spans="3:8" x14ac:dyDescent="0.3">
      <c r="C4201"/>
      <c r="D4201"/>
      <c r="E4201"/>
      <c r="F4201"/>
      <c r="G4201"/>
      <c r="H4201"/>
    </row>
    <row r="4202" spans="3:8" x14ac:dyDescent="0.3">
      <c r="C4202"/>
      <c r="D4202"/>
      <c r="E4202"/>
      <c r="F4202"/>
      <c r="G4202"/>
      <c r="H4202"/>
    </row>
    <row r="4203" spans="3:8" x14ac:dyDescent="0.3">
      <c r="C4203"/>
      <c r="D4203"/>
      <c r="E4203"/>
      <c r="F4203"/>
      <c r="G4203"/>
      <c r="H4203"/>
    </row>
    <row r="4204" spans="3:8" x14ac:dyDescent="0.3">
      <c r="C4204"/>
      <c r="D4204"/>
      <c r="E4204"/>
      <c r="F4204"/>
      <c r="G4204"/>
      <c r="H4204"/>
    </row>
    <row r="4205" spans="3:8" x14ac:dyDescent="0.3">
      <c r="C4205"/>
      <c r="D4205"/>
      <c r="E4205"/>
      <c r="F4205"/>
      <c r="G4205"/>
      <c r="H4205"/>
    </row>
    <row r="4206" spans="3:8" x14ac:dyDescent="0.3">
      <c r="C4206"/>
      <c r="D4206"/>
      <c r="E4206"/>
      <c r="F4206"/>
      <c r="G4206"/>
      <c r="H4206"/>
    </row>
    <row r="4207" spans="3:8" x14ac:dyDescent="0.3">
      <c r="C4207"/>
      <c r="D4207"/>
      <c r="E4207"/>
      <c r="F4207"/>
      <c r="G4207"/>
      <c r="H4207"/>
    </row>
    <row r="4208" spans="3:8" x14ac:dyDescent="0.3">
      <c r="C4208"/>
      <c r="D4208"/>
      <c r="E4208"/>
      <c r="F4208"/>
      <c r="G4208"/>
      <c r="H4208"/>
    </row>
    <row r="4209" spans="3:8" x14ac:dyDescent="0.3">
      <c r="C4209"/>
      <c r="D4209"/>
      <c r="E4209"/>
      <c r="F4209"/>
      <c r="G4209"/>
      <c r="H4209"/>
    </row>
    <row r="4210" spans="3:8" x14ac:dyDescent="0.3">
      <c r="C4210"/>
      <c r="D4210"/>
      <c r="E4210"/>
      <c r="F4210"/>
      <c r="G4210"/>
      <c r="H4210"/>
    </row>
    <row r="4211" spans="3:8" x14ac:dyDescent="0.3">
      <c r="C4211"/>
      <c r="D4211"/>
      <c r="E4211"/>
      <c r="F4211"/>
      <c r="G4211"/>
      <c r="H4211"/>
    </row>
    <row r="4212" spans="3:8" x14ac:dyDescent="0.3">
      <c r="C4212"/>
      <c r="D4212"/>
      <c r="E4212"/>
      <c r="F4212"/>
      <c r="G4212"/>
      <c r="H4212"/>
    </row>
    <row r="4213" spans="3:8" x14ac:dyDescent="0.3">
      <c r="C4213"/>
      <c r="D4213"/>
      <c r="E4213"/>
      <c r="F4213"/>
      <c r="G4213"/>
      <c r="H4213"/>
    </row>
    <row r="4214" spans="3:8" x14ac:dyDescent="0.3">
      <c r="C4214"/>
      <c r="D4214"/>
      <c r="E4214"/>
      <c r="F4214"/>
      <c r="G4214"/>
      <c r="H4214"/>
    </row>
    <row r="4215" spans="3:8" x14ac:dyDescent="0.3">
      <c r="C4215"/>
      <c r="D4215"/>
      <c r="E4215"/>
      <c r="F4215"/>
      <c r="G4215"/>
      <c r="H4215"/>
    </row>
    <row r="4216" spans="3:8" x14ac:dyDescent="0.3">
      <c r="C4216"/>
      <c r="D4216"/>
      <c r="E4216"/>
      <c r="F4216"/>
      <c r="G4216"/>
      <c r="H4216"/>
    </row>
    <row r="4217" spans="3:8" x14ac:dyDescent="0.3">
      <c r="C4217"/>
      <c r="D4217"/>
      <c r="E4217"/>
      <c r="F4217"/>
      <c r="G4217"/>
      <c r="H4217"/>
    </row>
    <row r="4218" spans="3:8" x14ac:dyDescent="0.3">
      <c r="C4218"/>
      <c r="D4218"/>
      <c r="E4218"/>
      <c r="F4218"/>
      <c r="G4218"/>
      <c r="H4218"/>
    </row>
    <row r="4219" spans="3:8" x14ac:dyDescent="0.3">
      <c r="C4219"/>
      <c r="D4219"/>
      <c r="E4219"/>
      <c r="F4219"/>
      <c r="G4219"/>
      <c r="H4219"/>
    </row>
    <row r="4220" spans="3:8" x14ac:dyDescent="0.3">
      <c r="C4220"/>
      <c r="D4220"/>
      <c r="E4220"/>
      <c r="F4220"/>
      <c r="G4220"/>
      <c r="H4220"/>
    </row>
    <row r="4221" spans="3:8" x14ac:dyDescent="0.3">
      <c r="C4221"/>
      <c r="D4221"/>
      <c r="E4221"/>
      <c r="F4221"/>
      <c r="G4221"/>
      <c r="H4221"/>
    </row>
    <row r="4222" spans="3:8" x14ac:dyDescent="0.3">
      <c r="C4222"/>
      <c r="D4222"/>
      <c r="E4222"/>
      <c r="F4222"/>
      <c r="G4222"/>
      <c r="H4222"/>
    </row>
    <row r="4223" spans="3:8" x14ac:dyDescent="0.3">
      <c r="C4223"/>
      <c r="D4223"/>
      <c r="E4223"/>
      <c r="F4223"/>
      <c r="G4223"/>
      <c r="H4223"/>
    </row>
    <row r="4224" spans="3:8" x14ac:dyDescent="0.3">
      <c r="C4224"/>
      <c r="D4224"/>
      <c r="E4224"/>
      <c r="F4224"/>
      <c r="G4224"/>
      <c r="H4224"/>
    </row>
    <row r="4225" spans="3:8" x14ac:dyDescent="0.3">
      <c r="C4225"/>
      <c r="D4225"/>
      <c r="E4225"/>
      <c r="F4225"/>
      <c r="G4225"/>
      <c r="H4225"/>
    </row>
    <row r="4226" spans="3:8" x14ac:dyDescent="0.3">
      <c r="C4226"/>
      <c r="D4226"/>
      <c r="E4226"/>
      <c r="F4226"/>
      <c r="G4226"/>
      <c r="H4226"/>
    </row>
    <row r="4227" spans="3:8" x14ac:dyDescent="0.3">
      <c r="C4227"/>
      <c r="D4227"/>
      <c r="E4227"/>
      <c r="F4227"/>
      <c r="G4227"/>
      <c r="H4227"/>
    </row>
    <row r="4228" spans="3:8" x14ac:dyDescent="0.3">
      <c r="C4228"/>
      <c r="D4228"/>
      <c r="E4228"/>
      <c r="F4228"/>
      <c r="G4228"/>
      <c r="H4228"/>
    </row>
    <row r="4229" spans="3:8" x14ac:dyDescent="0.3">
      <c r="C4229"/>
      <c r="D4229"/>
      <c r="E4229"/>
      <c r="F4229"/>
      <c r="G4229"/>
      <c r="H4229"/>
    </row>
    <row r="4230" spans="3:8" x14ac:dyDescent="0.3">
      <c r="C4230"/>
      <c r="D4230"/>
      <c r="E4230"/>
      <c r="F4230"/>
      <c r="G4230"/>
      <c r="H4230"/>
    </row>
    <row r="4231" spans="3:8" x14ac:dyDescent="0.3">
      <c r="C4231"/>
      <c r="D4231"/>
      <c r="E4231"/>
      <c r="F4231"/>
      <c r="G4231"/>
      <c r="H4231"/>
    </row>
    <row r="4232" spans="3:8" x14ac:dyDescent="0.3">
      <c r="C4232"/>
      <c r="D4232"/>
      <c r="E4232"/>
      <c r="F4232"/>
      <c r="G4232"/>
      <c r="H4232"/>
    </row>
    <row r="4233" spans="3:8" x14ac:dyDescent="0.3">
      <c r="C4233"/>
      <c r="D4233"/>
      <c r="E4233"/>
      <c r="F4233"/>
      <c r="G4233"/>
      <c r="H4233"/>
    </row>
    <row r="4234" spans="3:8" x14ac:dyDescent="0.3">
      <c r="C4234"/>
      <c r="D4234"/>
      <c r="E4234"/>
      <c r="F4234"/>
      <c r="G4234"/>
      <c r="H4234"/>
    </row>
    <row r="4235" spans="3:8" x14ac:dyDescent="0.3">
      <c r="C4235"/>
      <c r="D4235"/>
      <c r="E4235"/>
      <c r="F4235"/>
      <c r="G4235"/>
      <c r="H4235"/>
    </row>
    <row r="4236" spans="3:8" x14ac:dyDescent="0.3">
      <c r="C4236"/>
      <c r="D4236"/>
      <c r="E4236"/>
      <c r="F4236"/>
      <c r="G4236"/>
      <c r="H4236"/>
    </row>
    <row r="4237" spans="3:8" x14ac:dyDescent="0.3">
      <c r="C4237"/>
      <c r="D4237"/>
      <c r="E4237"/>
      <c r="F4237"/>
      <c r="G4237"/>
      <c r="H4237"/>
    </row>
    <row r="4238" spans="3:8" x14ac:dyDescent="0.3">
      <c r="C4238"/>
      <c r="D4238"/>
      <c r="E4238"/>
      <c r="F4238"/>
      <c r="G4238"/>
      <c r="H4238"/>
    </row>
    <row r="4239" spans="3:8" x14ac:dyDescent="0.3">
      <c r="C4239"/>
      <c r="D4239"/>
      <c r="E4239"/>
      <c r="F4239"/>
      <c r="G4239"/>
      <c r="H4239"/>
    </row>
    <row r="4240" spans="3:8" x14ac:dyDescent="0.3">
      <c r="C4240"/>
      <c r="D4240"/>
      <c r="E4240"/>
      <c r="F4240"/>
      <c r="G4240"/>
      <c r="H4240"/>
    </row>
    <row r="4241" spans="3:8" x14ac:dyDescent="0.3">
      <c r="C4241"/>
      <c r="D4241"/>
      <c r="E4241"/>
      <c r="F4241"/>
      <c r="G4241"/>
      <c r="H4241"/>
    </row>
    <row r="4242" spans="3:8" x14ac:dyDescent="0.3">
      <c r="C4242"/>
      <c r="D4242"/>
      <c r="E4242"/>
      <c r="F4242"/>
      <c r="G4242"/>
      <c r="H4242"/>
    </row>
    <row r="4243" spans="3:8" x14ac:dyDescent="0.3">
      <c r="C4243"/>
      <c r="D4243"/>
      <c r="E4243"/>
      <c r="F4243"/>
      <c r="G4243"/>
      <c r="H4243"/>
    </row>
    <row r="4244" spans="3:8" x14ac:dyDescent="0.3">
      <c r="C4244"/>
      <c r="D4244"/>
      <c r="E4244"/>
      <c r="F4244"/>
      <c r="G4244"/>
      <c r="H4244"/>
    </row>
    <row r="4245" spans="3:8" x14ac:dyDescent="0.3">
      <c r="C4245"/>
      <c r="D4245"/>
      <c r="E4245"/>
      <c r="F4245"/>
      <c r="G4245"/>
      <c r="H4245"/>
    </row>
    <row r="4246" spans="3:8" x14ac:dyDescent="0.3">
      <c r="C4246"/>
      <c r="D4246"/>
      <c r="E4246"/>
      <c r="F4246"/>
      <c r="G4246"/>
      <c r="H4246"/>
    </row>
    <row r="4247" spans="3:8" x14ac:dyDescent="0.3">
      <c r="C4247"/>
      <c r="D4247"/>
      <c r="E4247"/>
      <c r="F4247"/>
      <c r="G4247"/>
      <c r="H4247"/>
    </row>
    <row r="4248" spans="3:8" x14ac:dyDescent="0.3">
      <c r="C4248"/>
      <c r="D4248"/>
      <c r="E4248"/>
      <c r="F4248"/>
      <c r="G4248"/>
      <c r="H4248"/>
    </row>
    <row r="4249" spans="3:8" x14ac:dyDescent="0.3">
      <c r="C4249"/>
      <c r="D4249"/>
      <c r="E4249"/>
      <c r="F4249"/>
      <c r="G4249"/>
      <c r="H4249"/>
    </row>
    <row r="4250" spans="3:8" x14ac:dyDescent="0.3">
      <c r="C4250"/>
      <c r="D4250"/>
      <c r="E4250"/>
      <c r="F4250"/>
      <c r="G4250"/>
      <c r="H4250"/>
    </row>
    <row r="4251" spans="3:8" x14ac:dyDescent="0.3">
      <c r="C4251"/>
      <c r="D4251"/>
      <c r="E4251"/>
      <c r="F4251"/>
      <c r="G4251"/>
      <c r="H4251"/>
    </row>
    <row r="4252" spans="3:8" x14ac:dyDescent="0.3">
      <c r="C4252"/>
      <c r="D4252"/>
      <c r="E4252"/>
      <c r="F4252"/>
      <c r="G4252"/>
      <c r="H4252"/>
    </row>
    <row r="4253" spans="3:8" x14ac:dyDescent="0.3">
      <c r="C4253"/>
      <c r="D4253"/>
      <c r="E4253"/>
      <c r="F4253"/>
      <c r="G4253"/>
      <c r="H4253"/>
    </row>
    <row r="4254" spans="3:8" x14ac:dyDescent="0.3">
      <c r="C4254"/>
      <c r="D4254"/>
      <c r="E4254"/>
      <c r="F4254"/>
      <c r="G4254"/>
      <c r="H4254"/>
    </row>
    <row r="4255" spans="3:8" x14ac:dyDescent="0.3">
      <c r="C4255"/>
      <c r="D4255"/>
      <c r="E4255"/>
      <c r="F4255"/>
      <c r="G4255"/>
      <c r="H4255"/>
    </row>
    <row r="4256" spans="3:8" x14ac:dyDescent="0.3">
      <c r="C4256"/>
      <c r="D4256"/>
      <c r="E4256"/>
      <c r="F4256"/>
      <c r="G4256"/>
      <c r="H4256"/>
    </row>
    <row r="4257" spans="3:8" x14ac:dyDescent="0.3">
      <c r="C4257"/>
      <c r="D4257"/>
      <c r="E4257"/>
      <c r="F4257"/>
      <c r="G4257"/>
      <c r="H4257"/>
    </row>
    <row r="4258" spans="3:8" x14ac:dyDescent="0.3">
      <c r="C4258"/>
      <c r="D4258"/>
      <c r="E4258"/>
      <c r="F4258"/>
      <c r="G4258"/>
      <c r="H4258"/>
    </row>
    <row r="4259" spans="3:8" x14ac:dyDescent="0.3">
      <c r="C4259"/>
      <c r="D4259"/>
      <c r="E4259"/>
      <c r="F4259"/>
      <c r="G4259"/>
      <c r="H4259"/>
    </row>
    <row r="4260" spans="3:8" x14ac:dyDescent="0.3">
      <c r="C4260"/>
      <c r="D4260"/>
      <c r="E4260"/>
      <c r="F4260"/>
      <c r="G4260"/>
      <c r="H4260"/>
    </row>
    <row r="4261" spans="3:8" x14ac:dyDescent="0.3">
      <c r="C4261"/>
      <c r="D4261"/>
      <c r="E4261"/>
      <c r="F4261"/>
      <c r="G4261"/>
      <c r="H4261"/>
    </row>
    <row r="4262" spans="3:8" x14ac:dyDescent="0.3">
      <c r="C4262"/>
      <c r="D4262"/>
      <c r="E4262"/>
      <c r="F4262"/>
      <c r="G4262"/>
      <c r="H4262"/>
    </row>
    <row r="4263" spans="3:8" x14ac:dyDescent="0.3">
      <c r="C4263"/>
      <c r="D4263"/>
      <c r="E4263"/>
      <c r="F4263"/>
      <c r="G4263"/>
      <c r="H4263"/>
    </row>
    <row r="4264" spans="3:8" x14ac:dyDescent="0.3">
      <c r="C4264"/>
      <c r="D4264"/>
      <c r="E4264"/>
      <c r="F4264"/>
      <c r="G4264"/>
      <c r="H4264"/>
    </row>
    <row r="4265" spans="3:8" x14ac:dyDescent="0.3">
      <c r="C4265"/>
      <c r="D4265"/>
      <c r="E4265"/>
      <c r="F4265"/>
      <c r="G4265"/>
      <c r="H4265"/>
    </row>
    <row r="4266" spans="3:8" x14ac:dyDescent="0.3">
      <c r="C4266"/>
      <c r="D4266"/>
      <c r="E4266"/>
      <c r="F4266"/>
      <c r="G4266"/>
      <c r="H4266"/>
    </row>
    <row r="4267" spans="3:8" x14ac:dyDescent="0.3">
      <c r="C4267"/>
      <c r="D4267"/>
      <c r="E4267"/>
      <c r="F4267"/>
      <c r="G4267"/>
      <c r="H4267"/>
    </row>
    <row r="4268" spans="3:8" x14ac:dyDescent="0.3">
      <c r="C4268"/>
      <c r="D4268"/>
      <c r="E4268"/>
      <c r="F4268"/>
      <c r="G4268"/>
      <c r="H4268"/>
    </row>
    <row r="4269" spans="3:8" x14ac:dyDescent="0.3">
      <c r="C4269"/>
      <c r="D4269"/>
      <c r="E4269"/>
      <c r="F4269"/>
      <c r="G4269"/>
      <c r="H4269"/>
    </row>
    <row r="4270" spans="3:8" x14ac:dyDescent="0.3">
      <c r="C4270"/>
      <c r="D4270"/>
      <c r="E4270"/>
      <c r="F4270"/>
      <c r="G4270"/>
      <c r="H4270"/>
    </row>
    <row r="4271" spans="3:8" x14ac:dyDescent="0.3">
      <c r="C4271"/>
      <c r="D4271"/>
      <c r="E4271"/>
      <c r="F4271"/>
      <c r="G4271"/>
      <c r="H4271"/>
    </row>
    <row r="4272" spans="3:8" x14ac:dyDescent="0.3">
      <c r="C4272"/>
      <c r="D4272"/>
      <c r="E4272"/>
      <c r="F4272"/>
      <c r="G4272"/>
      <c r="H4272"/>
    </row>
    <row r="4273" spans="3:8" x14ac:dyDescent="0.3">
      <c r="C4273"/>
      <c r="D4273"/>
      <c r="E4273"/>
      <c r="F4273"/>
      <c r="G4273"/>
      <c r="H4273"/>
    </row>
    <row r="4274" spans="3:8" x14ac:dyDescent="0.3">
      <c r="C4274"/>
      <c r="D4274"/>
      <c r="E4274"/>
      <c r="F4274"/>
      <c r="G4274"/>
      <c r="H4274"/>
    </row>
    <row r="4275" spans="3:8" x14ac:dyDescent="0.3">
      <c r="C4275"/>
      <c r="D4275"/>
      <c r="E4275"/>
      <c r="F4275"/>
      <c r="G4275"/>
      <c r="H4275"/>
    </row>
    <row r="4276" spans="3:8" x14ac:dyDescent="0.3">
      <c r="C4276"/>
      <c r="D4276"/>
      <c r="E4276"/>
      <c r="F4276"/>
      <c r="G4276"/>
      <c r="H4276"/>
    </row>
    <row r="4277" spans="3:8" x14ac:dyDescent="0.3">
      <c r="C4277"/>
      <c r="D4277"/>
      <c r="E4277"/>
      <c r="F4277"/>
      <c r="G4277"/>
      <c r="H4277"/>
    </row>
    <row r="4278" spans="3:8" x14ac:dyDescent="0.3">
      <c r="C4278"/>
      <c r="D4278"/>
      <c r="E4278"/>
      <c r="F4278"/>
      <c r="G4278"/>
      <c r="H4278"/>
    </row>
    <row r="4279" spans="3:8" x14ac:dyDescent="0.3">
      <c r="C4279"/>
      <c r="D4279"/>
      <c r="E4279"/>
      <c r="F4279"/>
      <c r="G4279"/>
      <c r="H4279"/>
    </row>
    <row r="4280" spans="3:8" x14ac:dyDescent="0.3">
      <c r="C4280"/>
      <c r="D4280"/>
      <c r="E4280"/>
      <c r="F4280"/>
      <c r="G4280"/>
      <c r="H4280"/>
    </row>
    <row r="4281" spans="3:8" x14ac:dyDescent="0.3">
      <c r="C4281"/>
      <c r="D4281"/>
      <c r="E4281"/>
      <c r="F4281"/>
      <c r="G4281"/>
      <c r="H4281"/>
    </row>
    <row r="4282" spans="3:8" x14ac:dyDescent="0.3">
      <c r="C4282"/>
      <c r="D4282"/>
      <c r="E4282"/>
      <c r="F4282"/>
      <c r="G4282"/>
      <c r="H4282"/>
    </row>
    <row r="4283" spans="3:8" x14ac:dyDescent="0.3">
      <c r="C4283"/>
      <c r="D4283"/>
      <c r="E4283"/>
      <c r="F4283"/>
      <c r="G4283"/>
      <c r="H4283"/>
    </row>
    <row r="4284" spans="3:8" x14ac:dyDescent="0.3">
      <c r="C4284"/>
      <c r="D4284"/>
      <c r="E4284"/>
      <c r="F4284"/>
      <c r="G4284"/>
      <c r="H4284"/>
    </row>
    <row r="4285" spans="3:8" x14ac:dyDescent="0.3">
      <c r="C4285"/>
      <c r="D4285"/>
      <c r="E4285"/>
      <c r="F4285"/>
      <c r="G4285"/>
      <c r="H4285"/>
    </row>
    <row r="4286" spans="3:8" x14ac:dyDescent="0.3">
      <c r="C4286"/>
      <c r="D4286"/>
      <c r="E4286"/>
      <c r="F4286"/>
      <c r="G4286"/>
      <c r="H4286"/>
    </row>
    <row r="4287" spans="3:8" x14ac:dyDescent="0.3">
      <c r="C4287"/>
      <c r="D4287"/>
      <c r="E4287"/>
      <c r="F4287"/>
      <c r="G4287"/>
      <c r="H4287"/>
    </row>
    <row r="4288" spans="3:8" x14ac:dyDescent="0.3">
      <c r="C4288"/>
      <c r="D4288"/>
      <c r="E4288"/>
      <c r="F4288"/>
      <c r="G4288"/>
      <c r="H4288"/>
    </row>
    <row r="4289" spans="3:8" x14ac:dyDescent="0.3">
      <c r="C4289"/>
      <c r="D4289"/>
      <c r="E4289"/>
      <c r="F4289"/>
      <c r="G4289"/>
      <c r="H4289"/>
    </row>
    <row r="4290" spans="3:8" x14ac:dyDescent="0.3">
      <c r="C4290"/>
      <c r="D4290"/>
      <c r="E4290"/>
      <c r="F4290"/>
      <c r="G4290"/>
      <c r="H4290"/>
    </row>
    <row r="4291" spans="3:8" x14ac:dyDescent="0.3">
      <c r="C4291"/>
      <c r="D4291"/>
      <c r="E4291"/>
      <c r="F4291"/>
      <c r="G4291"/>
      <c r="H4291"/>
    </row>
    <row r="4292" spans="3:8" x14ac:dyDescent="0.3">
      <c r="C4292"/>
      <c r="D4292"/>
      <c r="E4292"/>
      <c r="F4292"/>
      <c r="G4292"/>
      <c r="H4292"/>
    </row>
    <row r="4293" spans="3:8" x14ac:dyDescent="0.3">
      <c r="C4293"/>
      <c r="D4293"/>
      <c r="E4293"/>
      <c r="F4293"/>
      <c r="G4293"/>
      <c r="H4293"/>
    </row>
    <row r="4294" spans="3:8" x14ac:dyDescent="0.3">
      <c r="C4294"/>
      <c r="D4294"/>
      <c r="E4294"/>
      <c r="F4294"/>
      <c r="G4294"/>
      <c r="H4294"/>
    </row>
    <row r="4295" spans="3:8" x14ac:dyDescent="0.3">
      <c r="C4295"/>
      <c r="D4295"/>
      <c r="E4295"/>
      <c r="F4295"/>
      <c r="G4295"/>
      <c r="H4295"/>
    </row>
    <row r="4296" spans="3:8" x14ac:dyDescent="0.3">
      <c r="C4296"/>
      <c r="D4296"/>
      <c r="E4296"/>
      <c r="F4296"/>
      <c r="G4296"/>
      <c r="H4296"/>
    </row>
    <row r="4297" spans="3:8" x14ac:dyDescent="0.3">
      <c r="C4297"/>
      <c r="D4297"/>
      <c r="E4297"/>
      <c r="F4297"/>
      <c r="G4297"/>
      <c r="H4297"/>
    </row>
    <row r="4298" spans="3:8" x14ac:dyDescent="0.3">
      <c r="C4298"/>
      <c r="D4298"/>
      <c r="E4298"/>
      <c r="F4298"/>
      <c r="G4298"/>
      <c r="H4298"/>
    </row>
    <row r="4299" spans="3:8" x14ac:dyDescent="0.3">
      <c r="C4299"/>
      <c r="D4299"/>
      <c r="E4299"/>
      <c r="F4299"/>
      <c r="G4299"/>
      <c r="H4299"/>
    </row>
    <row r="4300" spans="3:8" x14ac:dyDescent="0.3">
      <c r="C4300"/>
      <c r="D4300"/>
      <c r="E4300"/>
      <c r="F4300"/>
      <c r="G4300"/>
      <c r="H4300"/>
    </row>
    <row r="4301" spans="3:8" x14ac:dyDescent="0.3">
      <c r="C4301"/>
      <c r="D4301"/>
      <c r="E4301"/>
      <c r="F4301"/>
      <c r="G4301"/>
      <c r="H4301"/>
    </row>
    <row r="4302" spans="3:8" x14ac:dyDescent="0.3">
      <c r="C4302"/>
      <c r="D4302"/>
      <c r="E4302"/>
      <c r="F4302"/>
      <c r="G4302"/>
      <c r="H4302"/>
    </row>
    <row r="4303" spans="3:8" x14ac:dyDescent="0.3">
      <c r="C4303"/>
      <c r="D4303"/>
      <c r="E4303"/>
      <c r="F4303"/>
      <c r="G4303"/>
      <c r="H4303"/>
    </row>
    <row r="4304" spans="3:8" x14ac:dyDescent="0.3">
      <c r="C4304"/>
      <c r="D4304"/>
      <c r="E4304"/>
      <c r="F4304"/>
      <c r="G4304"/>
      <c r="H4304"/>
    </row>
    <row r="4305" spans="3:8" x14ac:dyDescent="0.3">
      <c r="C4305"/>
      <c r="D4305"/>
      <c r="E4305"/>
      <c r="F4305"/>
      <c r="G4305"/>
      <c r="H4305"/>
    </row>
    <row r="4306" spans="3:8" x14ac:dyDescent="0.3">
      <c r="C4306"/>
      <c r="D4306"/>
      <c r="E4306"/>
      <c r="F4306"/>
      <c r="G4306"/>
      <c r="H4306"/>
    </row>
    <row r="4307" spans="3:8" x14ac:dyDescent="0.3">
      <c r="C4307"/>
      <c r="D4307"/>
      <c r="E4307"/>
      <c r="F4307"/>
      <c r="G4307"/>
      <c r="H4307"/>
    </row>
    <row r="4308" spans="3:8" x14ac:dyDescent="0.3">
      <c r="C4308"/>
      <c r="D4308"/>
      <c r="E4308"/>
      <c r="F4308"/>
      <c r="G4308"/>
      <c r="H4308"/>
    </row>
    <row r="4309" spans="3:8" x14ac:dyDescent="0.3">
      <c r="C4309"/>
      <c r="D4309"/>
      <c r="E4309"/>
      <c r="F4309"/>
      <c r="G4309"/>
      <c r="H4309"/>
    </row>
    <row r="4310" spans="3:8" x14ac:dyDescent="0.3">
      <c r="C4310"/>
      <c r="D4310"/>
      <c r="E4310"/>
      <c r="F4310"/>
      <c r="G4310"/>
      <c r="H4310"/>
    </row>
    <row r="4311" spans="3:8" x14ac:dyDescent="0.3">
      <c r="C4311"/>
      <c r="D4311"/>
      <c r="E4311"/>
      <c r="F4311"/>
      <c r="G4311"/>
      <c r="H4311"/>
    </row>
    <row r="4312" spans="3:8" x14ac:dyDescent="0.3">
      <c r="C4312"/>
      <c r="D4312"/>
      <c r="E4312"/>
      <c r="F4312"/>
      <c r="G4312"/>
      <c r="H4312"/>
    </row>
    <row r="4313" spans="3:8" x14ac:dyDescent="0.3">
      <c r="C4313"/>
      <c r="D4313"/>
      <c r="E4313"/>
      <c r="F4313"/>
      <c r="G4313"/>
      <c r="H4313"/>
    </row>
    <row r="4314" spans="3:8" x14ac:dyDescent="0.3">
      <c r="C4314"/>
      <c r="D4314"/>
      <c r="E4314"/>
      <c r="F4314"/>
      <c r="G4314"/>
      <c r="H4314"/>
    </row>
    <row r="4315" spans="3:8" x14ac:dyDescent="0.3">
      <c r="C4315"/>
      <c r="D4315"/>
      <c r="E4315"/>
      <c r="F4315"/>
      <c r="G4315"/>
      <c r="H4315"/>
    </row>
    <row r="4316" spans="3:8" x14ac:dyDescent="0.3">
      <c r="C4316"/>
      <c r="D4316"/>
      <c r="E4316"/>
      <c r="F4316"/>
      <c r="G4316"/>
      <c r="H4316"/>
    </row>
    <row r="4317" spans="3:8" x14ac:dyDescent="0.3">
      <c r="C4317"/>
      <c r="D4317"/>
      <c r="E4317"/>
      <c r="F4317"/>
      <c r="G4317"/>
      <c r="H4317"/>
    </row>
    <row r="4318" spans="3:8" x14ac:dyDescent="0.3">
      <c r="C4318"/>
      <c r="D4318"/>
      <c r="E4318"/>
      <c r="F4318"/>
      <c r="G4318"/>
      <c r="H4318"/>
    </row>
    <row r="4319" spans="3:8" x14ac:dyDescent="0.3">
      <c r="C4319"/>
      <c r="D4319"/>
      <c r="E4319"/>
      <c r="F4319"/>
      <c r="G4319"/>
      <c r="H4319"/>
    </row>
    <row r="4320" spans="3:8" x14ac:dyDescent="0.3">
      <c r="C4320"/>
      <c r="D4320"/>
      <c r="E4320"/>
      <c r="F4320"/>
      <c r="G4320"/>
      <c r="H4320"/>
    </row>
    <row r="4321" spans="3:8" x14ac:dyDescent="0.3">
      <c r="C4321"/>
      <c r="D4321"/>
      <c r="E4321"/>
      <c r="F4321"/>
      <c r="G4321"/>
      <c r="H4321"/>
    </row>
    <row r="4322" spans="3:8" x14ac:dyDescent="0.3">
      <c r="C4322"/>
      <c r="D4322"/>
      <c r="E4322"/>
      <c r="F4322"/>
      <c r="G4322"/>
      <c r="H4322"/>
    </row>
    <row r="4323" spans="3:8" x14ac:dyDescent="0.3">
      <c r="C4323"/>
      <c r="D4323"/>
      <c r="E4323"/>
      <c r="F4323"/>
      <c r="G4323"/>
      <c r="H4323"/>
    </row>
    <row r="4324" spans="3:8" x14ac:dyDescent="0.3">
      <c r="C4324"/>
      <c r="D4324"/>
      <c r="E4324"/>
      <c r="F4324"/>
      <c r="G4324"/>
      <c r="H4324"/>
    </row>
    <row r="4325" spans="3:8" x14ac:dyDescent="0.3">
      <c r="C4325"/>
      <c r="D4325"/>
      <c r="E4325"/>
      <c r="F4325"/>
      <c r="G4325"/>
      <c r="H4325"/>
    </row>
    <row r="4326" spans="3:8" x14ac:dyDescent="0.3">
      <c r="C4326"/>
      <c r="D4326"/>
      <c r="E4326"/>
      <c r="F4326"/>
      <c r="G4326"/>
      <c r="H4326"/>
    </row>
    <row r="4327" spans="3:8" x14ac:dyDescent="0.3">
      <c r="C4327"/>
      <c r="D4327"/>
      <c r="E4327"/>
      <c r="F4327"/>
      <c r="G4327"/>
      <c r="H4327"/>
    </row>
    <row r="4328" spans="3:8" x14ac:dyDescent="0.3">
      <c r="C4328"/>
      <c r="D4328"/>
      <c r="E4328"/>
      <c r="F4328"/>
      <c r="G4328"/>
      <c r="H4328"/>
    </row>
    <row r="4329" spans="3:8" x14ac:dyDescent="0.3">
      <c r="C4329"/>
      <c r="D4329"/>
      <c r="E4329"/>
      <c r="F4329"/>
      <c r="G4329"/>
      <c r="H4329"/>
    </row>
    <row r="4330" spans="3:8" x14ac:dyDescent="0.3">
      <c r="C4330"/>
      <c r="D4330"/>
      <c r="E4330"/>
      <c r="F4330"/>
      <c r="G4330"/>
      <c r="H4330"/>
    </row>
    <row r="4331" spans="3:8" x14ac:dyDescent="0.3">
      <c r="C4331"/>
      <c r="D4331"/>
      <c r="E4331"/>
      <c r="F4331"/>
      <c r="G4331"/>
      <c r="H4331"/>
    </row>
    <row r="4332" spans="3:8" x14ac:dyDescent="0.3">
      <c r="C4332"/>
      <c r="D4332"/>
      <c r="E4332"/>
      <c r="F4332"/>
      <c r="G4332"/>
      <c r="H4332"/>
    </row>
    <row r="4333" spans="3:8" x14ac:dyDescent="0.3">
      <c r="C4333"/>
      <c r="D4333"/>
      <c r="E4333"/>
      <c r="F4333"/>
      <c r="G4333"/>
      <c r="H4333"/>
    </row>
    <row r="4334" spans="3:8" x14ac:dyDescent="0.3">
      <c r="C4334"/>
      <c r="D4334"/>
      <c r="E4334"/>
      <c r="F4334"/>
      <c r="G4334"/>
      <c r="H4334"/>
    </row>
    <row r="4335" spans="3:8" x14ac:dyDescent="0.3">
      <c r="C4335"/>
      <c r="D4335"/>
      <c r="E4335"/>
      <c r="F4335"/>
      <c r="G4335"/>
      <c r="H4335"/>
    </row>
    <row r="4336" spans="3:8" x14ac:dyDescent="0.3">
      <c r="C4336"/>
      <c r="D4336"/>
      <c r="E4336"/>
      <c r="F4336"/>
      <c r="G4336"/>
      <c r="H4336"/>
    </row>
    <row r="4337" spans="3:8" x14ac:dyDescent="0.3">
      <c r="C4337"/>
      <c r="D4337"/>
      <c r="E4337"/>
      <c r="F4337"/>
      <c r="G4337"/>
      <c r="H4337"/>
    </row>
    <row r="4338" spans="3:8" x14ac:dyDescent="0.3">
      <c r="C4338"/>
      <c r="D4338"/>
      <c r="E4338"/>
      <c r="F4338"/>
      <c r="G4338"/>
      <c r="H4338"/>
    </row>
    <row r="4339" spans="3:8" x14ac:dyDescent="0.3">
      <c r="C4339"/>
      <c r="D4339"/>
      <c r="E4339"/>
      <c r="F4339"/>
      <c r="G4339"/>
      <c r="H4339"/>
    </row>
    <row r="4340" spans="3:8" x14ac:dyDescent="0.3">
      <c r="C4340"/>
      <c r="D4340"/>
      <c r="E4340"/>
      <c r="F4340"/>
      <c r="G4340"/>
      <c r="H4340"/>
    </row>
    <row r="4341" spans="3:8" x14ac:dyDescent="0.3">
      <c r="C4341"/>
      <c r="D4341"/>
      <c r="E4341"/>
      <c r="F4341"/>
      <c r="G4341"/>
      <c r="H4341"/>
    </row>
    <row r="4342" spans="3:8" x14ac:dyDescent="0.3">
      <c r="C4342"/>
      <c r="D4342"/>
      <c r="E4342"/>
      <c r="F4342"/>
      <c r="G4342"/>
      <c r="H4342"/>
    </row>
    <row r="4343" spans="3:8" x14ac:dyDescent="0.3">
      <c r="C4343"/>
      <c r="D4343"/>
      <c r="E4343"/>
      <c r="F4343"/>
      <c r="G4343"/>
      <c r="H4343"/>
    </row>
    <row r="4344" spans="3:8" x14ac:dyDescent="0.3">
      <c r="C4344"/>
      <c r="D4344"/>
      <c r="E4344"/>
      <c r="F4344"/>
      <c r="G4344"/>
      <c r="H4344"/>
    </row>
    <row r="4345" spans="3:8" x14ac:dyDescent="0.3">
      <c r="C4345"/>
      <c r="D4345"/>
      <c r="E4345"/>
      <c r="F4345"/>
      <c r="G4345"/>
      <c r="H4345"/>
    </row>
    <row r="4346" spans="3:8" x14ac:dyDescent="0.3">
      <c r="C4346"/>
      <c r="D4346"/>
      <c r="E4346"/>
      <c r="F4346"/>
      <c r="G4346"/>
      <c r="H4346"/>
    </row>
    <row r="4347" spans="3:8" x14ac:dyDescent="0.3">
      <c r="C4347"/>
      <c r="D4347"/>
      <c r="E4347"/>
      <c r="F4347"/>
      <c r="G4347"/>
      <c r="H4347"/>
    </row>
    <row r="4348" spans="3:8" x14ac:dyDescent="0.3">
      <c r="C4348"/>
      <c r="D4348"/>
      <c r="E4348"/>
      <c r="F4348"/>
      <c r="G4348"/>
      <c r="H4348"/>
    </row>
    <row r="4349" spans="3:8" x14ac:dyDescent="0.3">
      <c r="C4349"/>
      <c r="D4349"/>
      <c r="E4349"/>
      <c r="F4349"/>
      <c r="G4349"/>
      <c r="H4349"/>
    </row>
    <row r="4350" spans="3:8" x14ac:dyDescent="0.3">
      <c r="C4350"/>
      <c r="D4350"/>
      <c r="E4350"/>
      <c r="F4350"/>
      <c r="G4350"/>
      <c r="H4350"/>
    </row>
    <row r="4351" spans="3:8" x14ac:dyDescent="0.3">
      <c r="C4351"/>
      <c r="D4351"/>
      <c r="E4351"/>
      <c r="F4351"/>
      <c r="G4351"/>
      <c r="H4351"/>
    </row>
    <row r="4352" spans="3:8" x14ac:dyDescent="0.3">
      <c r="C4352"/>
      <c r="D4352"/>
      <c r="E4352"/>
      <c r="F4352"/>
      <c r="G4352"/>
      <c r="H4352"/>
    </row>
    <row r="4353" spans="3:8" x14ac:dyDescent="0.3">
      <c r="C4353"/>
      <c r="D4353"/>
      <c r="E4353"/>
      <c r="F4353"/>
      <c r="G4353"/>
      <c r="H4353"/>
    </row>
    <row r="4354" spans="3:8" x14ac:dyDescent="0.3">
      <c r="C4354"/>
      <c r="D4354"/>
      <c r="E4354"/>
      <c r="F4354"/>
      <c r="G4354"/>
      <c r="H4354"/>
    </row>
    <row r="4355" spans="3:8" x14ac:dyDescent="0.3">
      <c r="C4355"/>
      <c r="D4355"/>
      <c r="E4355"/>
      <c r="F4355"/>
      <c r="G4355"/>
      <c r="H4355"/>
    </row>
    <row r="4356" spans="3:8" x14ac:dyDescent="0.3">
      <c r="C4356"/>
      <c r="D4356"/>
      <c r="E4356"/>
      <c r="F4356"/>
      <c r="G4356"/>
      <c r="H4356"/>
    </row>
    <row r="4357" spans="3:8" x14ac:dyDescent="0.3">
      <c r="C4357"/>
      <c r="D4357"/>
      <c r="E4357"/>
      <c r="F4357"/>
      <c r="G4357"/>
      <c r="H4357"/>
    </row>
    <row r="4358" spans="3:8" x14ac:dyDescent="0.3">
      <c r="C4358"/>
      <c r="D4358"/>
      <c r="E4358"/>
      <c r="F4358"/>
      <c r="G4358"/>
      <c r="H4358"/>
    </row>
    <row r="4359" spans="3:8" x14ac:dyDescent="0.3">
      <c r="C4359"/>
      <c r="D4359"/>
      <c r="E4359"/>
      <c r="F4359"/>
      <c r="G4359"/>
      <c r="H4359"/>
    </row>
    <row r="4360" spans="3:8" x14ac:dyDescent="0.3">
      <c r="C4360"/>
      <c r="D4360"/>
      <c r="E4360"/>
      <c r="F4360"/>
      <c r="G4360"/>
      <c r="H4360"/>
    </row>
    <row r="4361" spans="3:8" x14ac:dyDescent="0.3">
      <c r="C4361"/>
      <c r="D4361"/>
      <c r="E4361"/>
      <c r="F4361"/>
      <c r="G4361"/>
      <c r="H4361"/>
    </row>
    <row r="4362" spans="3:8" x14ac:dyDescent="0.3">
      <c r="C4362"/>
      <c r="D4362"/>
      <c r="E4362"/>
      <c r="F4362"/>
      <c r="G4362"/>
      <c r="H4362"/>
    </row>
    <row r="4363" spans="3:8" x14ac:dyDescent="0.3">
      <c r="C4363"/>
      <c r="D4363"/>
      <c r="E4363"/>
      <c r="F4363"/>
      <c r="G4363"/>
      <c r="H4363"/>
    </row>
    <row r="4364" spans="3:8" x14ac:dyDescent="0.3">
      <c r="C4364"/>
      <c r="D4364"/>
      <c r="E4364"/>
      <c r="F4364"/>
      <c r="G4364"/>
      <c r="H4364"/>
    </row>
    <row r="4365" spans="3:8" x14ac:dyDescent="0.3">
      <c r="C4365"/>
      <c r="D4365"/>
      <c r="E4365"/>
      <c r="F4365"/>
      <c r="G4365"/>
      <c r="H4365"/>
    </row>
    <row r="4366" spans="3:8" x14ac:dyDescent="0.3">
      <c r="C4366"/>
      <c r="D4366"/>
      <c r="E4366"/>
      <c r="F4366"/>
      <c r="G4366"/>
      <c r="H4366"/>
    </row>
    <row r="4367" spans="3:8" x14ac:dyDescent="0.3">
      <c r="C4367"/>
      <c r="D4367"/>
      <c r="E4367"/>
      <c r="F4367"/>
      <c r="G4367"/>
      <c r="H4367"/>
    </row>
    <row r="4368" spans="3:8" x14ac:dyDescent="0.3">
      <c r="C4368"/>
      <c r="D4368"/>
      <c r="E4368"/>
      <c r="F4368"/>
      <c r="G4368"/>
      <c r="H4368"/>
    </row>
    <row r="4369" spans="3:8" x14ac:dyDescent="0.3">
      <c r="C4369"/>
      <c r="D4369"/>
      <c r="E4369"/>
      <c r="F4369"/>
      <c r="G4369"/>
      <c r="H4369"/>
    </row>
    <row r="4370" spans="3:8" x14ac:dyDescent="0.3">
      <c r="C4370"/>
      <c r="D4370"/>
      <c r="E4370"/>
      <c r="F4370"/>
      <c r="G4370"/>
      <c r="H4370"/>
    </row>
    <row r="4371" spans="3:8" x14ac:dyDescent="0.3">
      <c r="C4371"/>
      <c r="D4371"/>
      <c r="E4371"/>
      <c r="F4371"/>
      <c r="G4371"/>
      <c r="H4371"/>
    </row>
    <row r="4372" spans="3:8" x14ac:dyDescent="0.3">
      <c r="C4372"/>
      <c r="D4372"/>
      <c r="E4372"/>
      <c r="F4372"/>
      <c r="G4372"/>
      <c r="H4372"/>
    </row>
    <row r="4373" spans="3:8" x14ac:dyDescent="0.3">
      <c r="C4373"/>
      <c r="D4373"/>
      <c r="E4373"/>
      <c r="F4373"/>
      <c r="G4373"/>
      <c r="H4373"/>
    </row>
    <row r="4374" spans="3:8" x14ac:dyDescent="0.3">
      <c r="C4374"/>
      <c r="D4374"/>
      <c r="E4374"/>
      <c r="F4374"/>
      <c r="G4374"/>
      <c r="H4374"/>
    </row>
    <row r="4375" spans="3:8" x14ac:dyDescent="0.3">
      <c r="C4375"/>
      <c r="D4375"/>
      <c r="E4375"/>
      <c r="F4375"/>
      <c r="G4375"/>
      <c r="H4375"/>
    </row>
    <row r="4376" spans="3:8" x14ac:dyDescent="0.3">
      <c r="C4376"/>
      <c r="D4376"/>
      <c r="E4376"/>
      <c r="F4376"/>
      <c r="G4376"/>
      <c r="H4376"/>
    </row>
    <row r="4377" spans="3:8" x14ac:dyDescent="0.3">
      <c r="C4377"/>
      <c r="D4377"/>
      <c r="E4377"/>
      <c r="F4377"/>
      <c r="G4377"/>
      <c r="H4377"/>
    </row>
    <row r="4378" spans="3:8" x14ac:dyDescent="0.3">
      <c r="C4378"/>
      <c r="D4378"/>
      <c r="E4378"/>
      <c r="F4378"/>
      <c r="G4378"/>
      <c r="H4378"/>
    </row>
    <row r="4379" spans="3:8" x14ac:dyDescent="0.3">
      <c r="C4379"/>
      <c r="D4379"/>
      <c r="E4379"/>
      <c r="F4379"/>
      <c r="G4379"/>
      <c r="H4379"/>
    </row>
    <row r="4380" spans="3:8" x14ac:dyDescent="0.3">
      <c r="C4380"/>
      <c r="D4380"/>
      <c r="E4380"/>
      <c r="F4380"/>
      <c r="G4380"/>
      <c r="H4380"/>
    </row>
    <row r="4381" spans="3:8" x14ac:dyDescent="0.3">
      <c r="C4381"/>
      <c r="D4381"/>
      <c r="E4381"/>
      <c r="F4381"/>
      <c r="G4381"/>
      <c r="H4381"/>
    </row>
    <row r="4382" spans="3:8" x14ac:dyDescent="0.3">
      <c r="C4382"/>
      <c r="D4382"/>
      <c r="E4382"/>
      <c r="F4382"/>
      <c r="G4382"/>
      <c r="H4382"/>
    </row>
    <row r="4383" spans="3:8" x14ac:dyDescent="0.3">
      <c r="C4383"/>
      <c r="D4383"/>
      <c r="E4383"/>
      <c r="F4383"/>
      <c r="G4383"/>
      <c r="H4383"/>
    </row>
    <row r="4384" spans="3:8" x14ac:dyDescent="0.3">
      <c r="C4384"/>
      <c r="D4384"/>
      <c r="E4384"/>
      <c r="F4384"/>
      <c r="G4384"/>
      <c r="H4384"/>
    </row>
    <row r="4385" spans="3:8" x14ac:dyDescent="0.3">
      <c r="C4385"/>
      <c r="D4385"/>
      <c r="E4385"/>
      <c r="F4385"/>
      <c r="G4385"/>
      <c r="H4385"/>
    </row>
    <row r="4386" spans="3:8" x14ac:dyDescent="0.3">
      <c r="C4386"/>
      <c r="D4386"/>
      <c r="E4386"/>
      <c r="F4386"/>
      <c r="G4386"/>
      <c r="H4386"/>
    </row>
    <row r="4387" spans="3:8" x14ac:dyDescent="0.3">
      <c r="C4387"/>
      <c r="D4387"/>
      <c r="E4387"/>
      <c r="F4387"/>
      <c r="G4387"/>
      <c r="H4387"/>
    </row>
    <row r="4388" spans="3:8" x14ac:dyDescent="0.3">
      <c r="C4388"/>
      <c r="D4388"/>
      <c r="E4388"/>
      <c r="F4388"/>
      <c r="G4388"/>
      <c r="H4388"/>
    </row>
    <row r="4389" spans="3:8" x14ac:dyDescent="0.3">
      <c r="C4389"/>
      <c r="D4389"/>
      <c r="E4389"/>
      <c r="F4389"/>
      <c r="G4389"/>
      <c r="H4389"/>
    </row>
    <row r="4390" spans="3:8" x14ac:dyDescent="0.3">
      <c r="C4390"/>
      <c r="D4390"/>
      <c r="E4390"/>
      <c r="F4390"/>
      <c r="G4390"/>
      <c r="H4390"/>
    </row>
    <row r="4391" spans="3:8" x14ac:dyDescent="0.3">
      <c r="C4391"/>
      <c r="D4391"/>
      <c r="E4391"/>
      <c r="F4391"/>
      <c r="G4391"/>
      <c r="H4391"/>
    </row>
    <row r="4392" spans="3:8" x14ac:dyDescent="0.3">
      <c r="C4392"/>
      <c r="D4392"/>
      <c r="E4392"/>
      <c r="F4392"/>
      <c r="G4392"/>
      <c r="H4392"/>
    </row>
    <row r="4393" spans="3:8" x14ac:dyDescent="0.3">
      <c r="C4393"/>
      <c r="D4393"/>
      <c r="E4393"/>
      <c r="F4393"/>
      <c r="G4393"/>
      <c r="H4393"/>
    </row>
    <row r="4394" spans="3:8" x14ac:dyDescent="0.3">
      <c r="C4394"/>
      <c r="D4394"/>
      <c r="E4394"/>
      <c r="F4394"/>
      <c r="G4394"/>
      <c r="H4394"/>
    </row>
    <row r="4395" spans="3:8" x14ac:dyDescent="0.3">
      <c r="C4395"/>
      <c r="D4395"/>
      <c r="E4395"/>
      <c r="F4395"/>
      <c r="G4395"/>
      <c r="H4395"/>
    </row>
    <row r="4396" spans="3:8" x14ac:dyDescent="0.3">
      <c r="C4396"/>
      <c r="D4396"/>
      <c r="E4396"/>
      <c r="F4396"/>
      <c r="G4396"/>
      <c r="H4396"/>
    </row>
    <row r="4397" spans="3:8" x14ac:dyDescent="0.3">
      <c r="C4397"/>
      <c r="D4397"/>
      <c r="E4397"/>
      <c r="F4397"/>
      <c r="G4397"/>
      <c r="H4397"/>
    </row>
    <row r="4398" spans="3:8" x14ac:dyDescent="0.3">
      <c r="C4398"/>
      <c r="D4398"/>
      <c r="E4398"/>
      <c r="F4398"/>
      <c r="G4398"/>
      <c r="H4398"/>
    </row>
    <row r="4399" spans="3:8" x14ac:dyDescent="0.3">
      <c r="C4399"/>
      <c r="D4399"/>
      <c r="E4399"/>
      <c r="F4399"/>
      <c r="G4399"/>
      <c r="H4399"/>
    </row>
    <row r="4400" spans="3:8" x14ac:dyDescent="0.3">
      <c r="C4400"/>
      <c r="D4400"/>
      <c r="E4400"/>
      <c r="F4400"/>
      <c r="G4400"/>
      <c r="H4400"/>
    </row>
    <row r="4401" spans="3:8" x14ac:dyDescent="0.3">
      <c r="C4401"/>
      <c r="D4401"/>
      <c r="E4401"/>
      <c r="F4401"/>
      <c r="G4401"/>
      <c r="H4401"/>
    </row>
    <row r="4402" spans="3:8" x14ac:dyDescent="0.3">
      <c r="C4402"/>
      <c r="D4402"/>
      <c r="E4402"/>
      <c r="F4402"/>
      <c r="G4402"/>
      <c r="H4402"/>
    </row>
    <row r="4403" spans="3:8" x14ac:dyDescent="0.3">
      <c r="C4403"/>
      <c r="D4403"/>
      <c r="E4403"/>
      <c r="F4403"/>
      <c r="G4403"/>
      <c r="H4403"/>
    </row>
    <row r="4404" spans="3:8" x14ac:dyDescent="0.3">
      <c r="C4404"/>
      <c r="D4404"/>
      <c r="E4404"/>
      <c r="F4404"/>
      <c r="G4404"/>
      <c r="H4404"/>
    </row>
    <row r="4405" spans="3:8" x14ac:dyDescent="0.3">
      <c r="C4405"/>
      <c r="D4405"/>
      <c r="E4405"/>
      <c r="F4405"/>
      <c r="G4405"/>
      <c r="H4405"/>
    </row>
    <row r="4406" spans="3:8" x14ac:dyDescent="0.3">
      <c r="C4406"/>
      <c r="D4406"/>
      <c r="E4406"/>
      <c r="F4406"/>
      <c r="G4406"/>
      <c r="H4406"/>
    </row>
    <row r="4407" spans="3:8" x14ac:dyDescent="0.3">
      <c r="C4407"/>
      <c r="D4407"/>
      <c r="E4407"/>
      <c r="F4407"/>
      <c r="G4407"/>
      <c r="H4407"/>
    </row>
    <row r="4408" spans="3:8" x14ac:dyDescent="0.3">
      <c r="C4408"/>
      <c r="D4408"/>
      <c r="E4408"/>
      <c r="F4408"/>
      <c r="G4408"/>
      <c r="H4408"/>
    </row>
    <row r="4409" spans="3:8" x14ac:dyDescent="0.3">
      <c r="C4409"/>
      <c r="D4409"/>
      <c r="E4409"/>
      <c r="F4409"/>
      <c r="G4409"/>
      <c r="H4409"/>
    </row>
    <row r="4410" spans="3:8" x14ac:dyDescent="0.3">
      <c r="C4410"/>
      <c r="D4410"/>
      <c r="E4410"/>
      <c r="F4410"/>
      <c r="G4410"/>
      <c r="H4410"/>
    </row>
    <row r="4411" spans="3:8" x14ac:dyDescent="0.3">
      <c r="C4411"/>
      <c r="D4411"/>
      <c r="E4411"/>
      <c r="F4411"/>
      <c r="G4411"/>
      <c r="H4411"/>
    </row>
    <row r="4412" spans="3:8" x14ac:dyDescent="0.3">
      <c r="C4412"/>
      <c r="D4412"/>
      <c r="E4412"/>
      <c r="F4412"/>
      <c r="G4412"/>
      <c r="H4412"/>
    </row>
    <row r="4413" spans="3:8" x14ac:dyDescent="0.3">
      <c r="C4413"/>
      <c r="D4413"/>
      <c r="E4413"/>
      <c r="F4413"/>
      <c r="G4413"/>
      <c r="H4413"/>
    </row>
    <row r="4414" spans="3:8" x14ac:dyDescent="0.3">
      <c r="C4414"/>
      <c r="D4414"/>
      <c r="E4414"/>
      <c r="F4414"/>
      <c r="G4414"/>
      <c r="H4414"/>
    </row>
    <row r="4415" spans="3:8" x14ac:dyDescent="0.3">
      <c r="C4415"/>
      <c r="D4415"/>
      <c r="E4415"/>
      <c r="F4415"/>
      <c r="G4415"/>
      <c r="H4415"/>
    </row>
    <row r="4416" spans="3:8" x14ac:dyDescent="0.3">
      <c r="C4416"/>
      <c r="D4416"/>
      <c r="E4416"/>
      <c r="F4416"/>
      <c r="G4416"/>
      <c r="H4416"/>
    </row>
    <row r="4417" spans="3:8" x14ac:dyDescent="0.3">
      <c r="C4417"/>
      <c r="D4417"/>
      <c r="E4417"/>
      <c r="F4417"/>
      <c r="G4417"/>
      <c r="H4417"/>
    </row>
    <row r="4418" spans="3:8" x14ac:dyDescent="0.3">
      <c r="C4418"/>
      <c r="D4418"/>
      <c r="E4418"/>
      <c r="F4418"/>
      <c r="G4418"/>
      <c r="H4418"/>
    </row>
    <row r="4419" spans="3:8" x14ac:dyDescent="0.3">
      <c r="C4419"/>
      <c r="D4419"/>
      <c r="E4419"/>
      <c r="F4419"/>
      <c r="G4419"/>
      <c r="H4419"/>
    </row>
    <row r="4420" spans="3:8" x14ac:dyDescent="0.3">
      <c r="C4420"/>
      <c r="D4420"/>
      <c r="E4420"/>
      <c r="F4420"/>
      <c r="G4420"/>
      <c r="H4420"/>
    </row>
    <row r="4421" spans="3:8" x14ac:dyDescent="0.3">
      <c r="C4421"/>
      <c r="D4421"/>
      <c r="E4421"/>
      <c r="F4421"/>
      <c r="G4421"/>
      <c r="H4421"/>
    </row>
    <row r="4422" spans="3:8" x14ac:dyDescent="0.3">
      <c r="C4422"/>
      <c r="D4422"/>
      <c r="E4422"/>
      <c r="F4422"/>
      <c r="G4422"/>
      <c r="H4422"/>
    </row>
    <row r="4423" spans="3:8" x14ac:dyDescent="0.3">
      <c r="C4423"/>
      <c r="D4423"/>
      <c r="E4423"/>
      <c r="F4423"/>
      <c r="G4423"/>
      <c r="H4423"/>
    </row>
    <row r="4424" spans="3:8" x14ac:dyDescent="0.3">
      <c r="C4424"/>
      <c r="D4424"/>
      <c r="E4424"/>
      <c r="F4424"/>
      <c r="G4424"/>
      <c r="H4424"/>
    </row>
    <row r="4425" spans="3:8" x14ac:dyDescent="0.3">
      <c r="C4425"/>
      <c r="D4425"/>
      <c r="E4425"/>
      <c r="F4425"/>
      <c r="G4425"/>
      <c r="H4425"/>
    </row>
    <row r="4426" spans="3:8" x14ac:dyDescent="0.3">
      <c r="C4426"/>
      <c r="D4426"/>
      <c r="E4426"/>
      <c r="F4426"/>
      <c r="G4426"/>
      <c r="H4426"/>
    </row>
    <row r="4427" spans="3:8" x14ac:dyDescent="0.3">
      <c r="C4427"/>
      <c r="D4427"/>
      <c r="E4427"/>
      <c r="F4427"/>
      <c r="G4427"/>
      <c r="H4427"/>
    </row>
    <row r="4428" spans="3:8" x14ac:dyDescent="0.3">
      <c r="C4428"/>
      <c r="D4428"/>
      <c r="E4428"/>
      <c r="F4428"/>
      <c r="G4428"/>
      <c r="H4428"/>
    </row>
    <row r="4429" spans="3:8" x14ac:dyDescent="0.3">
      <c r="C4429"/>
      <c r="D4429"/>
      <c r="E4429"/>
      <c r="F4429"/>
      <c r="G4429"/>
      <c r="H4429"/>
    </row>
    <row r="4430" spans="3:8" x14ac:dyDescent="0.3">
      <c r="C4430"/>
      <c r="D4430"/>
      <c r="E4430"/>
      <c r="F4430"/>
      <c r="G4430"/>
      <c r="H4430"/>
    </row>
    <row r="4431" spans="3:8" x14ac:dyDescent="0.3">
      <c r="C4431"/>
      <c r="D4431"/>
      <c r="E4431"/>
      <c r="F4431"/>
      <c r="G4431"/>
      <c r="H4431"/>
    </row>
    <row r="4432" spans="3:8" x14ac:dyDescent="0.3">
      <c r="C4432"/>
      <c r="D4432"/>
      <c r="E4432"/>
      <c r="F4432"/>
      <c r="G4432"/>
      <c r="H4432"/>
    </row>
    <row r="4433" spans="3:8" x14ac:dyDescent="0.3">
      <c r="C4433"/>
      <c r="D4433"/>
      <c r="E4433"/>
      <c r="F4433"/>
      <c r="G4433"/>
      <c r="H4433"/>
    </row>
    <row r="4434" spans="3:8" x14ac:dyDescent="0.3">
      <c r="C4434"/>
      <c r="D4434"/>
      <c r="E4434"/>
      <c r="F4434"/>
      <c r="G4434"/>
      <c r="H4434"/>
    </row>
    <row r="4435" spans="3:8" x14ac:dyDescent="0.3">
      <c r="C4435"/>
      <c r="D4435"/>
      <c r="E4435"/>
      <c r="F4435"/>
      <c r="G4435"/>
      <c r="H4435"/>
    </row>
    <row r="4436" spans="3:8" x14ac:dyDescent="0.3">
      <c r="C4436"/>
      <c r="D4436"/>
      <c r="E4436"/>
      <c r="F4436"/>
      <c r="G4436"/>
      <c r="H4436"/>
    </row>
    <row r="4437" spans="3:8" x14ac:dyDescent="0.3">
      <c r="C4437"/>
      <c r="D4437"/>
      <c r="E4437"/>
      <c r="F4437"/>
      <c r="G4437"/>
      <c r="H4437"/>
    </row>
    <row r="4438" spans="3:8" x14ac:dyDescent="0.3">
      <c r="C4438"/>
      <c r="D4438"/>
      <c r="E4438"/>
      <c r="F4438"/>
      <c r="G4438"/>
      <c r="H4438"/>
    </row>
    <row r="4439" spans="3:8" x14ac:dyDescent="0.3">
      <c r="C4439"/>
      <c r="D4439"/>
      <c r="E4439"/>
      <c r="F4439"/>
      <c r="G4439"/>
      <c r="H4439"/>
    </row>
    <row r="4440" spans="3:8" x14ac:dyDescent="0.3">
      <c r="C4440"/>
      <c r="D4440"/>
      <c r="E4440"/>
      <c r="F4440"/>
      <c r="G4440"/>
      <c r="H4440"/>
    </row>
    <row r="4441" spans="3:8" x14ac:dyDescent="0.3">
      <c r="C4441"/>
      <c r="D4441"/>
      <c r="E4441"/>
      <c r="F4441"/>
      <c r="G4441"/>
      <c r="H4441"/>
    </row>
    <row r="4442" spans="3:8" x14ac:dyDescent="0.3">
      <c r="C4442"/>
      <c r="D4442"/>
      <c r="E4442"/>
      <c r="F4442"/>
      <c r="G4442"/>
      <c r="H4442"/>
    </row>
    <row r="4443" spans="3:8" x14ac:dyDescent="0.3">
      <c r="C4443"/>
      <c r="D4443"/>
      <c r="E4443"/>
      <c r="F4443"/>
      <c r="G4443"/>
      <c r="H4443"/>
    </row>
    <row r="4444" spans="3:8" x14ac:dyDescent="0.3">
      <c r="C4444"/>
      <c r="D4444"/>
      <c r="E4444"/>
      <c r="F4444"/>
      <c r="G4444"/>
      <c r="H4444"/>
    </row>
    <row r="4445" spans="3:8" x14ac:dyDescent="0.3">
      <c r="C4445"/>
      <c r="D4445"/>
      <c r="E4445"/>
      <c r="F4445"/>
      <c r="G4445"/>
      <c r="H4445"/>
    </row>
    <row r="4446" spans="3:8" x14ac:dyDescent="0.3">
      <c r="C4446"/>
      <c r="D4446"/>
      <c r="E4446"/>
      <c r="F4446"/>
      <c r="G4446"/>
      <c r="H4446"/>
    </row>
    <row r="4447" spans="3:8" x14ac:dyDescent="0.3">
      <c r="C4447"/>
      <c r="D4447"/>
      <c r="E4447"/>
      <c r="F4447"/>
      <c r="G4447"/>
      <c r="H4447"/>
    </row>
    <row r="4448" spans="3:8" x14ac:dyDescent="0.3">
      <c r="C4448"/>
      <c r="D4448"/>
      <c r="E4448"/>
      <c r="F4448"/>
      <c r="G4448"/>
      <c r="H4448"/>
    </row>
    <row r="4449" spans="3:8" x14ac:dyDescent="0.3">
      <c r="C4449"/>
      <c r="D4449"/>
      <c r="E4449"/>
      <c r="F4449"/>
      <c r="G4449"/>
      <c r="H4449"/>
    </row>
    <row r="4450" spans="3:8" x14ac:dyDescent="0.3">
      <c r="C4450"/>
      <c r="D4450"/>
      <c r="E4450"/>
      <c r="F4450"/>
      <c r="G4450"/>
      <c r="H4450"/>
    </row>
    <row r="4451" spans="3:8" x14ac:dyDescent="0.3">
      <c r="C4451"/>
      <c r="D4451"/>
      <c r="E4451"/>
      <c r="F4451"/>
      <c r="G4451"/>
      <c r="H4451"/>
    </row>
    <row r="4452" spans="3:8" x14ac:dyDescent="0.3">
      <c r="C4452"/>
      <c r="D4452"/>
      <c r="E4452"/>
      <c r="F4452"/>
      <c r="G4452"/>
      <c r="H4452"/>
    </row>
    <row r="4453" spans="3:8" x14ac:dyDescent="0.3">
      <c r="C4453"/>
      <c r="D4453"/>
      <c r="E4453"/>
      <c r="F4453"/>
      <c r="G4453"/>
      <c r="H4453"/>
    </row>
    <row r="4454" spans="3:8" x14ac:dyDescent="0.3">
      <c r="C4454"/>
      <c r="D4454"/>
      <c r="E4454"/>
      <c r="F4454"/>
      <c r="G4454"/>
      <c r="H4454"/>
    </row>
    <row r="4455" spans="3:8" x14ac:dyDescent="0.3">
      <c r="C4455"/>
      <c r="D4455"/>
      <c r="E4455"/>
      <c r="F4455"/>
      <c r="G4455"/>
      <c r="H4455"/>
    </row>
    <row r="4456" spans="3:8" x14ac:dyDescent="0.3">
      <c r="C4456"/>
      <c r="D4456"/>
      <c r="E4456"/>
      <c r="F4456"/>
      <c r="G4456"/>
      <c r="H4456"/>
    </row>
    <row r="4457" spans="3:8" x14ac:dyDescent="0.3">
      <c r="C4457"/>
      <c r="D4457"/>
      <c r="E4457"/>
      <c r="F4457"/>
      <c r="G4457"/>
      <c r="H4457"/>
    </row>
    <row r="4458" spans="3:8" x14ac:dyDescent="0.3">
      <c r="C4458"/>
      <c r="D4458"/>
      <c r="E4458"/>
      <c r="F4458"/>
      <c r="G4458"/>
      <c r="H4458"/>
    </row>
    <row r="4459" spans="3:8" x14ac:dyDescent="0.3">
      <c r="C4459"/>
      <c r="D4459"/>
      <c r="E4459"/>
      <c r="F4459"/>
      <c r="G4459"/>
      <c r="H4459"/>
    </row>
    <row r="4460" spans="3:8" x14ac:dyDescent="0.3">
      <c r="C4460"/>
      <c r="D4460"/>
      <c r="E4460"/>
      <c r="F4460"/>
      <c r="G4460"/>
      <c r="H4460"/>
    </row>
    <row r="4461" spans="3:8" x14ac:dyDescent="0.3">
      <c r="C4461"/>
      <c r="D4461"/>
      <c r="E4461"/>
      <c r="F4461"/>
      <c r="G4461"/>
      <c r="H4461"/>
    </row>
    <row r="4462" spans="3:8" x14ac:dyDescent="0.3">
      <c r="C4462"/>
      <c r="D4462"/>
      <c r="E4462"/>
      <c r="F4462"/>
      <c r="G4462"/>
      <c r="H4462"/>
    </row>
    <row r="4463" spans="3:8" x14ac:dyDescent="0.3">
      <c r="C4463"/>
      <c r="D4463"/>
      <c r="E4463"/>
      <c r="F4463"/>
      <c r="G4463"/>
      <c r="H4463"/>
    </row>
    <row r="4464" spans="3:8" x14ac:dyDescent="0.3">
      <c r="C4464"/>
      <c r="D4464"/>
      <c r="E4464"/>
      <c r="F4464"/>
      <c r="G4464"/>
      <c r="H4464"/>
    </row>
    <row r="4465" spans="3:8" x14ac:dyDescent="0.3">
      <c r="C4465"/>
      <c r="D4465"/>
      <c r="E4465"/>
      <c r="F4465"/>
      <c r="G4465"/>
      <c r="H4465"/>
    </row>
    <row r="4466" spans="3:8" x14ac:dyDescent="0.3">
      <c r="C4466"/>
      <c r="D4466"/>
      <c r="E4466"/>
      <c r="F4466"/>
      <c r="G4466"/>
      <c r="H4466"/>
    </row>
    <row r="4467" spans="3:8" x14ac:dyDescent="0.3">
      <c r="C4467"/>
      <c r="D4467"/>
      <c r="E4467"/>
      <c r="F4467"/>
      <c r="G4467"/>
      <c r="H4467"/>
    </row>
    <row r="4468" spans="3:8" x14ac:dyDescent="0.3">
      <c r="C4468"/>
      <c r="D4468"/>
      <c r="E4468"/>
      <c r="F4468"/>
      <c r="G4468"/>
      <c r="H4468"/>
    </row>
    <row r="4469" spans="3:8" x14ac:dyDescent="0.3">
      <c r="C4469"/>
      <c r="D4469"/>
      <c r="E4469"/>
      <c r="F4469"/>
      <c r="G4469"/>
      <c r="H4469"/>
    </row>
    <row r="4470" spans="3:8" x14ac:dyDescent="0.3">
      <c r="C4470"/>
      <c r="D4470"/>
      <c r="E4470"/>
      <c r="F4470"/>
      <c r="G4470"/>
      <c r="H4470"/>
    </row>
    <row r="4471" spans="3:8" x14ac:dyDescent="0.3">
      <c r="C4471"/>
      <c r="D4471"/>
      <c r="E4471"/>
      <c r="F4471"/>
      <c r="G4471"/>
      <c r="H4471"/>
    </row>
    <row r="4472" spans="3:8" x14ac:dyDescent="0.3">
      <c r="C4472"/>
      <c r="D4472"/>
      <c r="E4472"/>
      <c r="F4472"/>
      <c r="G4472"/>
      <c r="H4472"/>
    </row>
    <row r="4473" spans="3:8" x14ac:dyDescent="0.3">
      <c r="C4473"/>
      <c r="D4473"/>
      <c r="E4473"/>
      <c r="F4473"/>
      <c r="G4473"/>
      <c r="H4473"/>
    </row>
    <row r="4474" spans="3:8" x14ac:dyDescent="0.3">
      <c r="C4474"/>
      <c r="D4474"/>
      <c r="E4474"/>
      <c r="F4474"/>
      <c r="G4474"/>
      <c r="H4474"/>
    </row>
    <row r="4475" spans="3:8" x14ac:dyDescent="0.3">
      <c r="C4475"/>
      <c r="D4475"/>
      <c r="E4475"/>
      <c r="F4475"/>
      <c r="G4475"/>
      <c r="H4475"/>
    </row>
    <row r="4476" spans="3:8" x14ac:dyDescent="0.3">
      <c r="C4476"/>
      <c r="D4476"/>
      <c r="E4476"/>
      <c r="F4476"/>
      <c r="G4476"/>
      <c r="H4476"/>
    </row>
    <row r="4477" spans="3:8" x14ac:dyDescent="0.3">
      <c r="C4477"/>
      <c r="D4477"/>
      <c r="E4477"/>
      <c r="F4477"/>
      <c r="G4477"/>
      <c r="H4477"/>
    </row>
    <row r="4478" spans="3:8" x14ac:dyDescent="0.3">
      <c r="C4478"/>
      <c r="D4478"/>
      <c r="E4478"/>
      <c r="F4478"/>
      <c r="G4478"/>
      <c r="H4478"/>
    </row>
    <row r="4479" spans="3:8" x14ac:dyDescent="0.3">
      <c r="C4479"/>
      <c r="D4479"/>
      <c r="E4479"/>
      <c r="F4479"/>
      <c r="G4479"/>
      <c r="H4479"/>
    </row>
    <row r="4480" spans="3:8" x14ac:dyDescent="0.3">
      <c r="C4480"/>
      <c r="D4480"/>
      <c r="E4480"/>
      <c r="F4480"/>
      <c r="G4480"/>
      <c r="H4480"/>
    </row>
    <row r="4481" spans="3:8" x14ac:dyDescent="0.3">
      <c r="C4481"/>
      <c r="D4481"/>
      <c r="E4481"/>
      <c r="F4481"/>
      <c r="G4481"/>
      <c r="H4481"/>
    </row>
    <row r="4482" spans="3:8" x14ac:dyDescent="0.3">
      <c r="C4482"/>
      <c r="D4482"/>
      <c r="E4482"/>
      <c r="F4482"/>
      <c r="G4482"/>
      <c r="H4482"/>
    </row>
    <row r="4483" spans="3:8" x14ac:dyDescent="0.3">
      <c r="C4483"/>
      <c r="D4483"/>
      <c r="E4483"/>
      <c r="F4483"/>
      <c r="G4483"/>
      <c r="H4483"/>
    </row>
    <row r="4484" spans="3:8" x14ac:dyDescent="0.3">
      <c r="C4484"/>
      <c r="D4484"/>
      <c r="E4484"/>
      <c r="F4484"/>
      <c r="G4484"/>
      <c r="H4484"/>
    </row>
    <row r="4485" spans="3:8" x14ac:dyDescent="0.3">
      <c r="C4485"/>
      <c r="D4485"/>
      <c r="E4485"/>
      <c r="F4485"/>
      <c r="G4485"/>
      <c r="H4485"/>
    </row>
    <row r="4486" spans="3:8" x14ac:dyDescent="0.3">
      <c r="C4486"/>
      <c r="D4486"/>
      <c r="E4486"/>
      <c r="F4486"/>
      <c r="G4486"/>
      <c r="H4486"/>
    </row>
    <row r="4487" spans="3:8" x14ac:dyDescent="0.3">
      <c r="C4487"/>
      <c r="D4487"/>
      <c r="E4487"/>
      <c r="F4487"/>
      <c r="G4487"/>
      <c r="H4487"/>
    </row>
    <row r="4488" spans="3:8" x14ac:dyDescent="0.3">
      <c r="C4488"/>
      <c r="D4488"/>
      <c r="E4488"/>
      <c r="F4488"/>
      <c r="G4488"/>
      <c r="H4488"/>
    </row>
    <row r="4489" spans="3:8" x14ac:dyDescent="0.3">
      <c r="C4489"/>
      <c r="D4489"/>
      <c r="E4489"/>
      <c r="F4489"/>
      <c r="G4489"/>
      <c r="H4489"/>
    </row>
    <row r="4490" spans="3:8" x14ac:dyDescent="0.3">
      <c r="C4490"/>
      <c r="D4490"/>
      <c r="E4490"/>
      <c r="F4490"/>
      <c r="G4490"/>
      <c r="H4490"/>
    </row>
    <row r="4491" spans="3:8" x14ac:dyDescent="0.3">
      <c r="C4491"/>
      <c r="D4491"/>
      <c r="E4491"/>
      <c r="F4491"/>
      <c r="G4491"/>
      <c r="H4491"/>
    </row>
    <row r="4492" spans="3:8" x14ac:dyDescent="0.3">
      <c r="C4492"/>
      <c r="D4492"/>
      <c r="E4492"/>
      <c r="F4492"/>
      <c r="G4492"/>
      <c r="H4492"/>
    </row>
    <row r="4493" spans="3:8" x14ac:dyDescent="0.3">
      <c r="C4493"/>
      <c r="D4493"/>
      <c r="E4493"/>
      <c r="F4493"/>
      <c r="G4493"/>
      <c r="H4493"/>
    </row>
    <row r="4494" spans="3:8" x14ac:dyDescent="0.3">
      <c r="C4494"/>
      <c r="D4494"/>
      <c r="E4494"/>
      <c r="F4494"/>
      <c r="G4494"/>
      <c r="H4494"/>
    </row>
    <row r="4495" spans="3:8" x14ac:dyDescent="0.3">
      <c r="C4495"/>
      <c r="D4495"/>
      <c r="E4495"/>
      <c r="F4495"/>
      <c r="G4495"/>
      <c r="H4495"/>
    </row>
    <row r="4496" spans="3:8" x14ac:dyDescent="0.3">
      <c r="C4496"/>
      <c r="D4496"/>
      <c r="E4496"/>
      <c r="F4496"/>
      <c r="G4496"/>
      <c r="H4496"/>
    </row>
    <row r="4497" spans="3:8" x14ac:dyDescent="0.3">
      <c r="C4497"/>
      <c r="D4497"/>
      <c r="E4497"/>
      <c r="F4497"/>
      <c r="G4497"/>
      <c r="H4497"/>
    </row>
    <row r="4498" spans="3:8" x14ac:dyDescent="0.3">
      <c r="C4498"/>
      <c r="D4498"/>
      <c r="E4498"/>
      <c r="F4498"/>
      <c r="G4498"/>
      <c r="H4498"/>
    </row>
    <row r="4499" spans="3:8" x14ac:dyDescent="0.3">
      <c r="C4499"/>
      <c r="D4499"/>
      <c r="E4499"/>
      <c r="F4499"/>
      <c r="G4499"/>
      <c r="H4499"/>
    </row>
    <row r="4500" spans="3:8" x14ac:dyDescent="0.3">
      <c r="C4500"/>
      <c r="D4500"/>
      <c r="E4500"/>
      <c r="F4500"/>
      <c r="G4500"/>
      <c r="H4500"/>
    </row>
    <row r="4501" spans="3:8" x14ac:dyDescent="0.3">
      <c r="C4501"/>
      <c r="D4501"/>
      <c r="E4501"/>
      <c r="F4501"/>
      <c r="G4501"/>
      <c r="H4501"/>
    </row>
    <row r="4502" spans="3:8" x14ac:dyDescent="0.3">
      <c r="C4502"/>
      <c r="D4502"/>
      <c r="E4502"/>
      <c r="F4502"/>
      <c r="G4502"/>
      <c r="H4502"/>
    </row>
    <row r="4503" spans="3:8" x14ac:dyDescent="0.3">
      <c r="C4503"/>
      <c r="D4503"/>
      <c r="E4503"/>
      <c r="F4503"/>
      <c r="G4503"/>
      <c r="H4503"/>
    </row>
    <row r="4504" spans="3:8" x14ac:dyDescent="0.3">
      <c r="C4504"/>
      <c r="D4504"/>
      <c r="E4504"/>
      <c r="F4504"/>
      <c r="G4504"/>
      <c r="H4504"/>
    </row>
    <row r="4505" spans="3:8" x14ac:dyDescent="0.3">
      <c r="C4505"/>
      <c r="D4505"/>
      <c r="E4505"/>
      <c r="F4505"/>
      <c r="G4505"/>
      <c r="H4505"/>
    </row>
    <row r="4506" spans="3:8" x14ac:dyDescent="0.3">
      <c r="C4506"/>
      <c r="D4506"/>
      <c r="E4506"/>
      <c r="F4506"/>
      <c r="G4506"/>
      <c r="H4506"/>
    </row>
    <row r="4507" spans="3:8" x14ac:dyDescent="0.3">
      <c r="C4507"/>
      <c r="D4507"/>
      <c r="E4507"/>
      <c r="F4507"/>
      <c r="G4507"/>
      <c r="H4507"/>
    </row>
    <row r="4508" spans="3:8" x14ac:dyDescent="0.3">
      <c r="C4508"/>
      <c r="D4508"/>
      <c r="E4508"/>
      <c r="F4508"/>
      <c r="G4508"/>
      <c r="H4508"/>
    </row>
    <row r="4509" spans="3:8" x14ac:dyDescent="0.3">
      <c r="C4509"/>
      <c r="D4509"/>
      <c r="E4509"/>
      <c r="F4509"/>
      <c r="G4509"/>
      <c r="H4509"/>
    </row>
    <row r="4510" spans="3:8" x14ac:dyDescent="0.3">
      <c r="C4510"/>
      <c r="D4510"/>
      <c r="E4510"/>
      <c r="F4510"/>
      <c r="G4510"/>
      <c r="H4510"/>
    </row>
    <row r="4511" spans="3:8" x14ac:dyDescent="0.3">
      <c r="C4511"/>
      <c r="D4511"/>
      <c r="E4511"/>
      <c r="F4511"/>
      <c r="G4511"/>
      <c r="H4511"/>
    </row>
    <row r="4512" spans="3:8" x14ac:dyDescent="0.3">
      <c r="C4512"/>
      <c r="D4512"/>
      <c r="E4512"/>
      <c r="F4512"/>
      <c r="G4512"/>
      <c r="H4512"/>
    </row>
    <row r="4513" spans="3:8" x14ac:dyDescent="0.3">
      <c r="C4513"/>
      <c r="D4513"/>
      <c r="E4513"/>
      <c r="F4513"/>
      <c r="G4513"/>
      <c r="H4513"/>
    </row>
    <row r="4514" spans="3:8" x14ac:dyDescent="0.3">
      <c r="C4514"/>
      <c r="D4514"/>
      <c r="E4514"/>
      <c r="F4514"/>
      <c r="G4514"/>
      <c r="H4514"/>
    </row>
    <row r="4515" spans="3:8" x14ac:dyDescent="0.3">
      <c r="C4515"/>
      <c r="D4515"/>
      <c r="E4515"/>
      <c r="F4515"/>
      <c r="G4515"/>
      <c r="H4515"/>
    </row>
    <row r="4516" spans="3:8" x14ac:dyDescent="0.3">
      <c r="C4516"/>
      <c r="D4516"/>
      <c r="E4516"/>
      <c r="F4516"/>
      <c r="G4516"/>
      <c r="H4516"/>
    </row>
    <row r="4517" spans="3:8" x14ac:dyDescent="0.3">
      <c r="C4517"/>
      <c r="D4517"/>
      <c r="E4517"/>
      <c r="F4517"/>
      <c r="G4517"/>
      <c r="H4517"/>
    </row>
    <row r="4518" spans="3:8" x14ac:dyDescent="0.3">
      <c r="C4518"/>
      <c r="D4518"/>
      <c r="E4518"/>
      <c r="F4518"/>
      <c r="G4518"/>
      <c r="H4518"/>
    </row>
    <row r="4519" spans="3:8" x14ac:dyDescent="0.3">
      <c r="C4519"/>
      <c r="D4519"/>
      <c r="E4519"/>
      <c r="F4519"/>
      <c r="G4519"/>
      <c r="H4519"/>
    </row>
    <row r="4520" spans="3:8" x14ac:dyDescent="0.3">
      <c r="C4520"/>
      <c r="D4520"/>
      <c r="E4520"/>
      <c r="F4520"/>
      <c r="G4520"/>
      <c r="H4520"/>
    </row>
    <row r="4521" spans="3:8" x14ac:dyDescent="0.3">
      <c r="C4521"/>
      <c r="D4521"/>
      <c r="E4521"/>
      <c r="F4521"/>
      <c r="G4521"/>
      <c r="H4521"/>
    </row>
    <row r="4522" spans="3:8" x14ac:dyDescent="0.3">
      <c r="C4522"/>
      <c r="D4522"/>
      <c r="E4522"/>
      <c r="F4522"/>
      <c r="G4522"/>
      <c r="H4522"/>
    </row>
    <row r="4523" spans="3:8" x14ac:dyDescent="0.3">
      <c r="C4523"/>
      <c r="D4523"/>
      <c r="E4523"/>
      <c r="F4523"/>
      <c r="G4523"/>
      <c r="H4523"/>
    </row>
    <row r="4524" spans="3:8" x14ac:dyDescent="0.3">
      <c r="C4524"/>
      <c r="D4524"/>
      <c r="E4524"/>
      <c r="F4524"/>
      <c r="G4524"/>
      <c r="H4524"/>
    </row>
    <row r="4525" spans="3:8" x14ac:dyDescent="0.3">
      <c r="C4525"/>
      <c r="D4525"/>
      <c r="E4525"/>
      <c r="F4525"/>
      <c r="G4525"/>
      <c r="H4525"/>
    </row>
    <row r="4526" spans="3:8" x14ac:dyDescent="0.3">
      <c r="C4526"/>
      <c r="D4526"/>
      <c r="E4526"/>
      <c r="F4526"/>
      <c r="G4526"/>
      <c r="H4526"/>
    </row>
    <row r="4527" spans="3:8" x14ac:dyDescent="0.3">
      <c r="C4527"/>
      <c r="D4527"/>
      <c r="E4527"/>
      <c r="F4527"/>
      <c r="G4527"/>
      <c r="H4527"/>
    </row>
    <row r="4528" spans="3:8" x14ac:dyDescent="0.3">
      <c r="C4528"/>
      <c r="D4528"/>
      <c r="E4528"/>
      <c r="F4528"/>
      <c r="G4528"/>
      <c r="H4528"/>
    </row>
    <row r="4529" spans="3:8" x14ac:dyDescent="0.3">
      <c r="C4529"/>
      <c r="D4529"/>
      <c r="E4529"/>
      <c r="F4529"/>
      <c r="G4529"/>
      <c r="H4529"/>
    </row>
    <row r="4530" spans="3:8" x14ac:dyDescent="0.3">
      <c r="C4530"/>
      <c r="D4530"/>
      <c r="E4530"/>
      <c r="F4530"/>
      <c r="G4530"/>
      <c r="H4530"/>
    </row>
    <row r="4531" spans="3:8" x14ac:dyDescent="0.3">
      <c r="C4531"/>
      <c r="D4531"/>
      <c r="E4531"/>
      <c r="F4531"/>
      <c r="G4531"/>
      <c r="H4531"/>
    </row>
    <row r="4532" spans="3:8" x14ac:dyDescent="0.3">
      <c r="C4532"/>
      <c r="D4532"/>
      <c r="E4532"/>
      <c r="F4532"/>
      <c r="G4532"/>
      <c r="H4532"/>
    </row>
    <row r="4533" spans="3:8" x14ac:dyDescent="0.3">
      <c r="C4533"/>
      <c r="D4533"/>
      <c r="E4533"/>
      <c r="F4533"/>
      <c r="G4533"/>
      <c r="H4533"/>
    </row>
    <row r="4534" spans="3:8" x14ac:dyDescent="0.3">
      <c r="C4534"/>
      <c r="D4534"/>
      <c r="E4534"/>
      <c r="F4534"/>
      <c r="G4534"/>
      <c r="H4534"/>
    </row>
    <row r="4535" spans="3:8" x14ac:dyDescent="0.3">
      <c r="C4535"/>
      <c r="D4535"/>
      <c r="E4535"/>
      <c r="F4535"/>
      <c r="G4535"/>
      <c r="H4535"/>
    </row>
    <row r="4536" spans="3:8" x14ac:dyDescent="0.3">
      <c r="C4536"/>
      <c r="D4536"/>
      <c r="E4536"/>
      <c r="F4536"/>
      <c r="G4536"/>
      <c r="H4536"/>
    </row>
    <row r="4537" spans="3:8" x14ac:dyDescent="0.3">
      <c r="C4537"/>
      <c r="D4537"/>
      <c r="E4537"/>
      <c r="F4537"/>
      <c r="G4537"/>
      <c r="H4537"/>
    </row>
    <row r="4538" spans="3:8" x14ac:dyDescent="0.3">
      <c r="C4538"/>
      <c r="D4538"/>
      <c r="E4538"/>
      <c r="F4538"/>
      <c r="G4538"/>
      <c r="H4538"/>
    </row>
    <row r="4539" spans="3:8" x14ac:dyDescent="0.3">
      <c r="C4539"/>
      <c r="D4539"/>
      <c r="E4539"/>
      <c r="F4539"/>
      <c r="G4539"/>
      <c r="H4539"/>
    </row>
    <row r="4540" spans="3:8" x14ac:dyDescent="0.3">
      <c r="C4540"/>
      <c r="D4540"/>
      <c r="E4540"/>
      <c r="F4540"/>
      <c r="G4540"/>
      <c r="H4540"/>
    </row>
    <row r="4541" spans="3:8" x14ac:dyDescent="0.3">
      <c r="C4541"/>
      <c r="D4541"/>
      <c r="E4541"/>
      <c r="F4541"/>
      <c r="G4541"/>
      <c r="H4541"/>
    </row>
    <row r="4542" spans="3:8" x14ac:dyDescent="0.3">
      <c r="C4542"/>
      <c r="D4542"/>
      <c r="E4542"/>
      <c r="F4542"/>
      <c r="G4542"/>
      <c r="H4542"/>
    </row>
    <row r="4543" spans="3:8" x14ac:dyDescent="0.3">
      <c r="C4543"/>
      <c r="D4543"/>
      <c r="E4543"/>
      <c r="F4543"/>
      <c r="G4543"/>
      <c r="H4543"/>
    </row>
    <row r="4544" spans="3:8" x14ac:dyDescent="0.3">
      <c r="C4544"/>
      <c r="D4544"/>
      <c r="E4544"/>
      <c r="F4544"/>
      <c r="G4544"/>
      <c r="H4544"/>
    </row>
    <row r="4545" spans="3:8" x14ac:dyDescent="0.3">
      <c r="C4545"/>
      <c r="D4545"/>
      <c r="E4545"/>
      <c r="F4545"/>
      <c r="G4545"/>
      <c r="H4545"/>
    </row>
    <row r="4546" spans="3:8" x14ac:dyDescent="0.3">
      <c r="C4546"/>
      <c r="D4546"/>
      <c r="E4546"/>
      <c r="F4546"/>
      <c r="G4546"/>
      <c r="H4546"/>
    </row>
    <row r="4547" spans="3:8" x14ac:dyDescent="0.3">
      <c r="C4547"/>
      <c r="D4547"/>
      <c r="E4547"/>
      <c r="F4547"/>
      <c r="G4547"/>
      <c r="H4547"/>
    </row>
    <row r="4548" spans="3:8" x14ac:dyDescent="0.3">
      <c r="C4548"/>
      <c r="D4548"/>
      <c r="E4548"/>
      <c r="F4548"/>
      <c r="G4548"/>
      <c r="H4548"/>
    </row>
    <row r="4549" spans="3:8" x14ac:dyDescent="0.3">
      <c r="C4549"/>
      <c r="D4549"/>
      <c r="E4549"/>
      <c r="F4549"/>
      <c r="G4549"/>
      <c r="H4549"/>
    </row>
    <row r="4550" spans="3:8" x14ac:dyDescent="0.3">
      <c r="C4550"/>
      <c r="D4550"/>
      <c r="E4550"/>
      <c r="F4550"/>
      <c r="G4550"/>
      <c r="H4550"/>
    </row>
    <row r="4551" spans="3:8" x14ac:dyDescent="0.3">
      <c r="C4551"/>
      <c r="D4551"/>
      <c r="E4551"/>
      <c r="F4551"/>
      <c r="G4551"/>
      <c r="H4551"/>
    </row>
    <row r="4552" spans="3:8" x14ac:dyDescent="0.3">
      <c r="C4552"/>
      <c r="D4552"/>
      <c r="E4552"/>
      <c r="F4552"/>
      <c r="G4552"/>
      <c r="H4552"/>
    </row>
    <row r="4553" spans="3:8" x14ac:dyDescent="0.3">
      <c r="C4553"/>
      <c r="D4553"/>
      <c r="E4553"/>
      <c r="F4553"/>
      <c r="G4553"/>
      <c r="H4553"/>
    </row>
    <row r="4554" spans="3:8" x14ac:dyDescent="0.3">
      <c r="C4554"/>
      <c r="D4554"/>
      <c r="E4554"/>
      <c r="F4554"/>
      <c r="G4554"/>
      <c r="H4554"/>
    </row>
    <row r="4555" spans="3:8" x14ac:dyDescent="0.3">
      <c r="C4555"/>
      <c r="D4555"/>
      <c r="E4555"/>
      <c r="F4555"/>
      <c r="G4555"/>
      <c r="H4555"/>
    </row>
    <row r="4556" spans="3:8" x14ac:dyDescent="0.3">
      <c r="C4556"/>
      <c r="D4556"/>
      <c r="E4556"/>
      <c r="F4556"/>
      <c r="G4556"/>
      <c r="H4556"/>
    </row>
    <row r="4557" spans="3:8" x14ac:dyDescent="0.3">
      <c r="C4557"/>
      <c r="D4557"/>
      <c r="E4557"/>
      <c r="F4557"/>
      <c r="G4557"/>
      <c r="H4557"/>
    </row>
    <row r="4558" spans="3:8" x14ac:dyDescent="0.3">
      <c r="C4558"/>
      <c r="D4558"/>
      <c r="E4558"/>
      <c r="F4558"/>
      <c r="G4558"/>
      <c r="H4558"/>
    </row>
    <row r="4559" spans="3:8" x14ac:dyDescent="0.3">
      <c r="C4559"/>
      <c r="D4559"/>
      <c r="E4559"/>
      <c r="F4559"/>
      <c r="G4559"/>
      <c r="H4559"/>
    </row>
    <row r="4560" spans="3:8" x14ac:dyDescent="0.3">
      <c r="C4560"/>
      <c r="D4560"/>
      <c r="E4560"/>
      <c r="F4560"/>
      <c r="G4560"/>
      <c r="H4560"/>
    </row>
    <row r="4561" spans="3:8" x14ac:dyDescent="0.3">
      <c r="C4561"/>
      <c r="D4561"/>
      <c r="E4561"/>
      <c r="F4561"/>
      <c r="G4561"/>
      <c r="H4561"/>
    </row>
    <row r="4562" spans="3:8" x14ac:dyDescent="0.3">
      <c r="C4562"/>
      <c r="D4562"/>
      <c r="E4562"/>
      <c r="F4562"/>
      <c r="G4562"/>
      <c r="H4562"/>
    </row>
    <row r="4563" spans="3:8" x14ac:dyDescent="0.3">
      <c r="C4563"/>
      <c r="D4563"/>
      <c r="E4563"/>
      <c r="F4563"/>
      <c r="G4563"/>
      <c r="H4563"/>
    </row>
    <row r="4564" spans="3:8" x14ac:dyDescent="0.3">
      <c r="C4564"/>
      <c r="D4564"/>
      <c r="E4564"/>
      <c r="F4564"/>
      <c r="G4564"/>
      <c r="H4564"/>
    </row>
    <row r="4565" spans="3:8" x14ac:dyDescent="0.3">
      <c r="C4565"/>
      <c r="D4565"/>
      <c r="E4565"/>
      <c r="F4565"/>
      <c r="G4565"/>
      <c r="H4565"/>
    </row>
    <row r="4566" spans="3:8" x14ac:dyDescent="0.3">
      <c r="C4566"/>
      <c r="D4566"/>
      <c r="E4566"/>
      <c r="F4566"/>
      <c r="G4566"/>
      <c r="H4566"/>
    </row>
    <row r="4567" spans="3:8" x14ac:dyDescent="0.3">
      <c r="C4567"/>
      <c r="D4567"/>
      <c r="E4567"/>
      <c r="F4567"/>
      <c r="G4567"/>
      <c r="H4567"/>
    </row>
    <row r="4568" spans="3:8" x14ac:dyDescent="0.3">
      <c r="C4568"/>
      <c r="D4568"/>
      <c r="E4568"/>
      <c r="F4568"/>
      <c r="G4568"/>
      <c r="H4568"/>
    </row>
    <row r="4569" spans="3:8" x14ac:dyDescent="0.3">
      <c r="C4569"/>
      <c r="D4569"/>
      <c r="E4569"/>
      <c r="F4569"/>
      <c r="G4569"/>
      <c r="H4569"/>
    </row>
    <row r="4570" spans="3:8" x14ac:dyDescent="0.3">
      <c r="C4570"/>
      <c r="D4570"/>
      <c r="E4570"/>
      <c r="F4570"/>
      <c r="G4570"/>
      <c r="H4570"/>
    </row>
    <row r="4571" spans="3:8" x14ac:dyDescent="0.3">
      <c r="C4571"/>
      <c r="D4571"/>
      <c r="E4571"/>
      <c r="F4571"/>
      <c r="G4571"/>
      <c r="H4571"/>
    </row>
    <row r="4572" spans="3:8" x14ac:dyDescent="0.3">
      <c r="C4572"/>
      <c r="D4572"/>
      <c r="E4572"/>
      <c r="F4572"/>
      <c r="G4572"/>
      <c r="H4572"/>
    </row>
    <row r="4573" spans="3:8" x14ac:dyDescent="0.3">
      <c r="C4573"/>
      <c r="D4573"/>
      <c r="E4573"/>
      <c r="F4573"/>
      <c r="G4573"/>
      <c r="H4573"/>
    </row>
    <row r="4574" spans="3:8" x14ac:dyDescent="0.3">
      <c r="C4574"/>
      <c r="D4574"/>
      <c r="E4574"/>
      <c r="F4574"/>
      <c r="G4574"/>
      <c r="H4574"/>
    </row>
    <row r="4575" spans="3:8" x14ac:dyDescent="0.3">
      <c r="C4575"/>
      <c r="D4575"/>
      <c r="E4575"/>
      <c r="F4575"/>
      <c r="G4575"/>
      <c r="H4575"/>
    </row>
    <row r="4576" spans="3:8" x14ac:dyDescent="0.3">
      <c r="C4576"/>
      <c r="D4576"/>
      <c r="E4576"/>
      <c r="F4576"/>
      <c r="G4576"/>
      <c r="H4576"/>
    </row>
    <row r="4577" spans="3:8" x14ac:dyDescent="0.3">
      <c r="C4577"/>
      <c r="D4577"/>
      <c r="E4577"/>
      <c r="F4577"/>
      <c r="G4577"/>
      <c r="H4577"/>
    </row>
    <row r="4578" spans="3:8" x14ac:dyDescent="0.3">
      <c r="C4578"/>
      <c r="D4578"/>
      <c r="E4578"/>
      <c r="F4578"/>
      <c r="G4578"/>
      <c r="H4578"/>
    </row>
    <row r="4579" spans="3:8" x14ac:dyDescent="0.3">
      <c r="C4579"/>
      <c r="D4579"/>
      <c r="E4579"/>
      <c r="F4579"/>
      <c r="G4579"/>
      <c r="H4579"/>
    </row>
    <row r="4580" spans="3:8" x14ac:dyDescent="0.3">
      <c r="C4580"/>
      <c r="D4580"/>
      <c r="E4580"/>
      <c r="F4580"/>
      <c r="G4580"/>
      <c r="H4580"/>
    </row>
    <row r="4581" spans="3:8" x14ac:dyDescent="0.3">
      <c r="C4581"/>
      <c r="D4581"/>
      <c r="E4581"/>
      <c r="F4581"/>
      <c r="G4581"/>
      <c r="H4581"/>
    </row>
    <row r="4582" spans="3:8" x14ac:dyDescent="0.3">
      <c r="C4582"/>
      <c r="D4582"/>
      <c r="E4582"/>
      <c r="F4582"/>
      <c r="G4582"/>
      <c r="H4582"/>
    </row>
    <row r="4583" spans="3:8" x14ac:dyDescent="0.3">
      <c r="C4583"/>
      <c r="D4583"/>
      <c r="E4583"/>
      <c r="F4583"/>
      <c r="G4583"/>
      <c r="H4583"/>
    </row>
    <row r="4584" spans="3:8" x14ac:dyDescent="0.3">
      <c r="C4584"/>
      <c r="D4584"/>
      <c r="E4584"/>
      <c r="F4584"/>
      <c r="G4584"/>
      <c r="H4584"/>
    </row>
    <row r="4585" spans="3:8" x14ac:dyDescent="0.3">
      <c r="C4585"/>
      <c r="D4585"/>
      <c r="E4585"/>
      <c r="F4585"/>
      <c r="G4585"/>
      <c r="H4585"/>
    </row>
    <row r="4586" spans="3:8" x14ac:dyDescent="0.3">
      <c r="C4586"/>
      <c r="D4586"/>
      <c r="E4586"/>
      <c r="F4586"/>
      <c r="G4586"/>
      <c r="H4586"/>
    </row>
    <row r="4587" spans="3:8" x14ac:dyDescent="0.3">
      <c r="C4587"/>
      <c r="D4587"/>
      <c r="E4587"/>
      <c r="F4587"/>
      <c r="G4587"/>
      <c r="H4587"/>
    </row>
    <row r="4588" spans="3:8" x14ac:dyDescent="0.3">
      <c r="C4588"/>
      <c r="D4588"/>
      <c r="E4588"/>
      <c r="F4588"/>
      <c r="G4588"/>
      <c r="H4588"/>
    </row>
    <row r="4589" spans="3:8" x14ac:dyDescent="0.3">
      <c r="C4589"/>
      <c r="D4589"/>
      <c r="E4589"/>
      <c r="F4589"/>
      <c r="G4589"/>
      <c r="H4589"/>
    </row>
    <row r="4590" spans="3:8" x14ac:dyDescent="0.3">
      <c r="C4590"/>
      <c r="D4590"/>
      <c r="E4590"/>
      <c r="F4590"/>
      <c r="G4590"/>
      <c r="H4590"/>
    </row>
    <row r="4591" spans="3:8" x14ac:dyDescent="0.3">
      <c r="C4591"/>
      <c r="D4591"/>
      <c r="E4591"/>
      <c r="F4591"/>
      <c r="G4591"/>
      <c r="H4591"/>
    </row>
    <row r="4592" spans="3:8" x14ac:dyDescent="0.3">
      <c r="C4592"/>
      <c r="D4592"/>
      <c r="E4592"/>
      <c r="F4592"/>
      <c r="G4592"/>
      <c r="H4592"/>
    </row>
    <row r="4593" spans="3:8" x14ac:dyDescent="0.3">
      <c r="C4593"/>
      <c r="D4593"/>
      <c r="E4593"/>
      <c r="F4593"/>
      <c r="G4593"/>
      <c r="H4593"/>
    </row>
    <row r="4594" spans="3:8" x14ac:dyDescent="0.3">
      <c r="C4594"/>
      <c r="D4594"/>
      <c r="E4594"/>
      <c r="F4594"/>
      <c r="G4594"/>
      <c r="H4594"/>
    </row>
    <row r="4595" spans="3:8" x14ac:dyDescent="0.3">
      <c r="C4595"/>
      <c r="D4595"/>
      <c r="E4595"/>
      <c r="F4595"/>
      <c r="G4595"/>
      <c r="H4595"/>
    </row>
    <row r="4596" spans="3:8" x14ac:dyDescent="0.3">
      <c r="C4596"/>
      <c r="D4596"/>
      <c r="E4596"/>
      <c r="F4596"/>
      <c r="G4596"/>
      <c r="H4596"/>
    </row>
    <row r="4597" spans="3:8" x14ac:dyDescent="0.3">
      <c r="C4597"/>
      <c r="D4597"/>
      <c r="E4597"/>
      <c r="F4597"/>
      <c r="G4597"/>
      <c r="H4597"/>
    </row>
    <row r="4598" spans="3:8" x14ac:dyDescent="0.3">
      <c r="C4598"/>
      <c r="D4598"/>
      <c r="E4598"/>
      <c r="F4598"/>
      <c r="G4598"/>
      <c r="H4598"/>
    </row>
    <row r="4599" spans="3:8" x14ac:dyDescent="0.3">
      <c r="C4599"/>
      <c r="D4599"/>
      <c r="E4599"/>
      <c r="F4599"/>
      <c r="G4599"/>
      <c r="H4599"/>
    </row>
    <row r="4600" spans="3:8" x14ac:dyDescent="0.3">
      <c r="C4600"/>
      <c r="D4600"/>
      <c r="E4600"/>
      <c r="F4600"/>
      <c r="G4600"/>
      <c r="H4600"/>
    </row>
    <row r="4601" spans="3:8" x14ac:dyDescent="0.3">
      <c r="C4601"/>
      <c r="D4601"/>
      <c r="E4601"/>
      <c r="F4601"/>
      <c r="G4601"/>
      <c r="H4601"/>
    </row>
    <row r="4602" spans="3:8" x14ac:dyDescent="0.3">
      <c r="C4602"/>
      <c r="D4602"/>
      <c r="E4602"/>
      <c r="F4602"/>
      <c r="G4602"/>
      <c r="H4602"/>
    </row>
    <row r="4603" spans="3:8" x14ac:dyDescent="0.3">
      <c r="C4603"/>
      <c r="D4603"/>
      <c r="E4603"/>
      <c r="F4603"/>
      <c r="G4603"/>
      <c r="H4603"/>
    </row>
    <row r="4604" spans="3:8" x14ac:dyDescent="0.3">
      <c r="C4604"/>
      <c r="D4604"/>
      <c r="E4604"/>
      <c r="F4604"/>
      <c r="G4604"/>
      <c r="H4604"/>
    </row>
    <row r="4605" spans="3:8" x14ac:dyDescent="0.3">
      <c r="C4605"/>
      <c r="D4605"/>
      <c r="E4605"/>
      <c r="F4605"/>
      <c r="G4605"/>
      <c r="H4605"/>
    </row>
    <row r="4606" spans="3:8" x14ac:dyDescent="0.3">
      <c r="C4606"/>
      <c r="D4606"/>
      <c r="E4606"/>
      <c r="F4606"/>
      <c r="G4606"/>
      <c r="H4606"/>
    </row>
    <row r="4607" spans="3:8" x14ac:dyDescent="0.3">
      <c r="C4607"/>
      <c r="D4607"/>
      <c r="E4607"/>
      <c r="F4607"/>
      <c r="G4607"/>
      <c r="H4607"/>
    </row>
    <row r="4608" spans="3:8" x14ac:dyDescent="0.3">
      <c r="C4608"/>
      <c r="D4608"/>
      <c r="E4608"/>
      <c r="F4608"/>
      <c r="G4608"/>
      <c r="H4608"/>
    </row>
    <row r="4609" spans="3:8" x14ac:dyDescent="0.3">
      <c r="C4609"/>
      <c r="D4609"/>
      <c r="E4609"/>
      <c r="F4609"/>
      <c r="G4609"/>
      <c r="H4609"/>
    </row>
    <row r="4610" spans="3:8" x14ac:dyDescent="0.3">
      <c r="C4610"/>
      <c r="D4610"/>
      <c r="E4610"/>
      <c r="F4610"/>
      <c r="G4610"/>
      <c r="H4610"/>
    </row>
    <row r="4611" spans="3:8" x14ac:dyDescent="0.3">
      <c r="C4611"/>
      <c r="D4611"/>
      <c r="E4611"/>
      <c r="F4611"/>
      <c r="G4611"/>
      <c r="H4611"/>
    </row>
    <row r="4612" spans="3:8" x14ac:dyDescent="0.3">
      <c r="C4612"/>
      <c r="D4612"/>
      <c r="E4612"/>
      <c r="F4612"/>
      <c r="G4612"/>
      <c r="H4612"/>
    </row>
    <row r="4613" spans="3:8" x14ac:dyDescent="0.3">
      <c r="C4613"/>
      <c r="D4613"/>
      <c r="E4613"/>
      <c r="F4613"/>
      <c r="G4613"/>
      <c r="H4613"/>
    </row>
    <row r="4614" spans="3:8" x14ac:dyDescent="0.3">
      <c r="C4614"/>
      <c r="D4614"/>
      <c r="E4614"/>
      <c r="F4614"/>
      <c r="G4614"/>
      <c r="H4614"/>
    </row>
    <row r="4615" spans="3:8" x14ac:dyDescent="0.3">
      <c r="C4615"/>
      <c r="D4615"/>
      <c r="E4615"/>
      <c r="F4615"/>
      <c r="G4615"/>
      <c r="H4615"/>
    </row>
    <row r="4616" spans="3:8" x14ac:dyDescent="0.3">
      <c r="C4616"/>
      <c r="D4616"/>
      <c r="E4616"/>
      <c r="F4616"/>
      <c r="G4616"/>
      <c r="H4616"/>
    </row>
    <row r="4617" spans="3:8" x14ac:dyDescent="0.3">
      <c r="C4617"/>
      <c r="D4617"/>
      <c r="E4617"/>
      <c r="F4617"/>
      <c r="G4617"/>
      <c r="H4617"/>
    </row>
    <row r="4618" spans="3:8" x14ac:dyDescent="0.3">
      <c r="C4618"/>
      <c r="D4618"/>
      <c r="E4618"/>
      <c r="F4618"/>
      <c r="G4618"/>
      <c r="H4618"/>
    </row>
    <row r="4619" spans="3:8" x14ac:dyDescent="0.3">
      <c r="C4619"/>
      <c r="D4619"/>
      <c r="E4619"/>
      <c r="F4619"/>
      <c r="G4619"/>
      <c r="H4619"/>
    </row>
    <row r="4620" spans="3:8" x14ac:dyDescent="0.3">
      <c r="C4620"/>
      <c r="D4620"/>
      <c r="E4620"/>
      <c r="F4620"/>
      <c r="G4620"/>
      <c r="H4620"/>
    </row>
    <row r="4621" spans="3:8" x14ac:dyDescent="0.3">
      <c r="C4621"/>
      <c r="D4621"/>
      <c r="E4621"/>
      <c r="F4621"/>
      <c r="G4621"/>
      <c r="H4621"/>
    </row>
    <row r="4622" spans="3:8" x14ac:dyDescent="0.3">
      <c r="C4622"/>
      <c r="D4622"/>
      <c r="E4622"/>
      <c r="F4622"/>
      <c r="G4622"/>
      <c r="H4622"/>
    </row>
    <row r="4623" spans="3:8" x14ac:dyDescent="0.3">
      <c r="C4623"/>
      <c r="D4623"/>
      <c r="E4623"/>
      <c r="F4623"/>
      <c r="G4623"/>
      <c r="H4623"/>
    </row>
    <row r="4624" spans="3:8" x14ac:dyDescent="0.3">
      <c r="C4624"/>
      <c r="D4624"/>
      <c r="E4624"/>
      <c r="F4624"/>
      <c r="G4624"/>
      <c r="H4624"/>
    </row>
    <row r="4625" spans="3:8" x14ac:dyDescent="0.3">
      <c r="C4625"/>
      <c r="D4625"/>
      <c r="E4625"/>
      <c r="F4625"/>
      <c r="G4625"/>
      <c r="H4625"/>
    </row>
    <row r="4626" spans="3:8" x14ac:dyDescent="0.3">
      <c r="C4626"/>
      <c r="D4626"/>
      <c r="E4626"/>
      <c r="F4626"/>
      <c r="G4626"/>
      <c r="H4626"/>
    </row>
    <row r="4627" spans="3:8" x14ac:dyDescent="0.3">
      <c r="C4627"/>
      <c r="D4627"/>
      <c r="E4627"/>
      <c r="F4627"/>
      <c r="G4627"/>
      <c r="H4627"/>
    </row>
    <row r="4628" spans="3:8" x14ac:dyDescent="0.3">
      <c r="C4628"/>
      <c r="D4628"/>
      <c r="E4628"/>
      <c r="F4628"/>
      <c r="G4628"/>
      <c r="H4628"/>
    </row>
    <row r="4629" spans="3:8" x14ac:dyDescent="0.3">
      <c r="C4629"/>
      <c r="D4629"/>
      <c r="E4629"/>
      <c r="F4629"/>
      <c r="G4629"/>
      <c r="H4629"/>
    </row>
    <row r="4630" spans="3:8" x14ac:dyDescent="0.3">
      <c r="C4630"/>
      <c r="D4630"/>
      <c r="E4630"/>
      <c r="F4630"/>
      <c r="G4630"/>
      <c r="H4630"/>
    </row>
    <row r="4631" spans="3:8" x14ac:dyDescent="0.3">
      <c r="C4631"/>
      <c r="D4631"/>
      <c r="E4631"/>
      <c r="F4631"/>
      <c r="G4631"/>
      <c r="H4631"/>
    </row>
    <row r="4632" spans="3:8" x14ac:dyDescent="0.3">
      <c r="C4632"/>
      <c r="D4632"/>
      <c r="E4632"/>
      <c r="F4632"/>
      <c r="G4632"/>
      <c r="H4632"/>
    </row>
    <row r="4633" spans="3:8" x14ac:dyDescent="0.3">
      <c r="C4633"/>
      <c r="D4633"/>
      <c r="E4633"/>
      <c r="F4633"/>
      <c r="G4633"/>
      <c r="H4633"/>
    </row>
    <row r="4634" spans="3:8" x14ac:dyDescent="0.3">
      <c r="C4634"/>
      <c r="D4634"/>
      <c r="E4634"/>
      <c r="F4634"/>
      <c r="G4634"/>
      <c r="H4634"/>
    </row>
    <row r="4635" spans="3:8" x14ac:dyDescent="0.3">
      <c r="C4635"/>
      <c r="D4635"/>
      <c r="E4635"/>
      <c r="F4635"/>
      <c r="G4635"/>
      <c r="H4635"/>
    </row>
    <row r="4636" spans="3:8" x14ac:dyDescent="0.3">
      <c r="C4636"/>
      <c r="D4636"/>
      <c r="E4636"/>
      <c r="F4636"/>
      <c r="G4636"/>
      <c r="H4636"/>
    </row>
    <row r="4637" spans="3:8" x14ac:dyDescent="0.3">
      <c r="C4637"/>
      <c r="D4637"/>
      <c r="E4637"/>
      <c r="F4637"/>
      <c r="G4637"/>
      <c r="H4637"/>
    </row>
    <row r="4638" spans="3:8" x14ac:dyDescent="0.3">
      <c r="C4638"/>
      <c r="D4638"/>
      <c r="E4638"/>
      <c r="F4638"/>
      <c r="G4638"/>
      <c r="H4638"/>
    </row>
    <row r="4639" spans="3:8" x14ac:dyDescent="0.3">
      <c r="C4639"/>
      <c r="D4639"/>
      <c r="E4639"/>
      <c r="F4639"/>
      <c r="G4639"/>
      <c r="H4639"/>
    </row>
    <row r="4640" spans="3:8" x14ac:dyDescent="0.3">
      <c r="C4640"/>
      <c r="D4640"/>
      <c r="E4640"/>
      <c r="F4640"/>
      <c r="G4640"/>
      <c r="H4640"/>
    </row>
    <row r="4641" spans="3:8" x14ac:dyDescent="0.3">
      <c r="C4641"/>
      <c r="D4641"/>
      <c r="E4641"/>
      <c r="F4641"/>
      <c r="G4641"/>
      <c r="H4641"/>
    </row>
    <row r="4642" spans="3:8" x14ac:dyDescent="0.3">
      <c r="C4642"/>
      <c r="D4642"/>
      <c r="E4642"/>
      <c r="F4642"/>
      <c r="G4642"/>
      <c r="H4642"/>
    </row>
    <row r="4643" spans="3:8" x14ac:dyDescent="0.3">
      <c r="C4643"/>
      <c r="D4643"/>
      <c r="E4643"/>
      <c r="F4643"/>
      <c r="G4643"/>
      <c r="H4643"/>
    </row>
    <row r="4644" spans="3:8" x14ac:dyDescent="0.3">
      <c r="C4644"/>
      <c r="D4644"/>
      <c r="E4644"/>
      <c r="F4644"/>
      <c r="G4644"/>
      <c r="H4644"/>
    </row>
    <row r="4645" spans="3:8" x14ac:dyDescent="0.3">
      <c r="C4645"/>
      <c r="D4645"/>
      <c r="E4645"/>
      <c r="F4645"/>
      <c r="G4645"/>
      <c r="H4645"/>
    </row>
    <row r="4646" spans="3:8" x14ac:dyDescent="0.3">
      <c r="C4646"/>
      <c r="D4646"/>
      <c r="E4646"/>
      <c r="F4646"/>
      <c r="G4646"/>
      <c r="H4646"/>
    </row>
    <row r="4647" spans="3:8" x14ac:dyDescent="0.3">
      <c r="C4647"/>
      <c r="D4647"/>
      <c r="E4647"/>
      <c r="F4647"/>
      <c r="G4647"/>
      <c r="H4647"/>
    </row>
    <row r="4648" spans="3:8" x14ac:dyDescent="0.3">
      <c r="C4648"/>
      <c r="D4648"/>
      <c r="E4648"/>
      <c r="F4648"/>
      <c r="G4648"/>
      <c r="H4648"/>
    </row>
    <row r="4649" spans="3:8" x14ac:dyDescent="0.3">
      <c r="C4649"/>
      <c r="D4649"/>
      <c r="E4649"/>
      <c r="F4649"/>
      <c r="G4649"/>
      <c r="H4649"/>
    </row>
    <row r="4650" spans="3:8" x14ac:dyDescent="0.3">
      <c r="C4650"/>
      <c r="D4650"/>
      <c r="E4650"/>
      <c r="F4650"/>
      <c r="G4650"/>
      <c r="H4650"/>
    </row>
    <row r="4651" spans="3:8" x14ac:dyDescent="0.3">
      <c r="C4651"/>
      <c r="D4651"/>
      <c r="E4651"/>
      <c r="F4651"/>
      <c r="G4651"/>
      <c r="H4651"/>
    </row>
    <row r="4652" spans="3:8" x14ac:dyDescent="0.3">
      <c r="C4652"/>
      <c r="D4652"/>
      <c r="E4652"/>
      <c r="F4652"/>
      <c r="G4652"/>
      <c r="H4652"/>
    </row>
    <row r="4653" spans="3:8" x14ac:dyDescent="0.3">
      <c r="C4653"/>
      <c r="D4653"/>
      <c r="E4653"/>
      <c r="F4653"/>
      <c r="G4653"/>
      <c r="H4653"/>
    </row>
    <row r="4654" spans="3:8" x14ac:dyDescent="0.3">
      <c r="C4654"/>
      <c r="D4654"/>
      <c r="E4654"/>
      <c r="F4654"/>
      <c r="G4654"/>
      <c r="H4654"/>
    </row>
    <row r="4655" spans="3:8" x14ac:dyDescent="0.3">
      <c r="C4655"/>
      <c r="D4655"/>
      <c r="E4655"/>
      <c r="F4655"/>
      <c r="G4655"/>
      <c r="H4655"/>
    </row>
    <row r="4656" spans="3:8" x14ac:dyDescent="0.3">
      <c r="C4656"/>
      <c r="D4656"/>
      <c r="E4656"/>
      <c r="F4656"/>
      <c r="G4656"/>
      <c r="H4656"/>
    </row>
    <row r="4657" spans="3:8" x14ac:dyDescent="0.3">
      <c r="C4657"/>
      <c r="D4657"/>
      <c r="E4657"/>
      <c r="F4657"/>
      <c r="G4657"/>
      <c r="H4657"/>
    </row>
    <row r="4658" spans="3:8" x14ac:dyDescent="0.3">
      <c r="C4658"/>
      <c r="D4658"/>
      <c r="E4658"/>
      <c r="F4658"/>
      <c r="G4658"/>
      <c r="H4658"/>
    </row>
    <row r="4659" spans="3:8" x14ac:dyDescent="0.3">
      <c r="C4659"/>
      <c r="D4659"/>
      <c r="E4659"/>
      <c r="F4659"/>
      <c r="G4659"/>
      <c r="H4659"/>
    </row>
    <row r="4660" spans="3:8" x14ac:dyDescent="0.3">
      <c r="C4660"/>
      <c r="D4660"/>
      <c r="E4660"/>
      <c r="F4660"/>
      <c r="G4660"/>
      <c r="H4660"/>
    </row>
    <row r="4661" spans="3:8" x14ac:dyDescent="0.3">
      <c r="C4661"/>
      <c r="D4661"/>
      <c r="E4661"/>
      <c r="F4661"/>
      <c r="G4661"/>
      <c r="H4661"/>
    </row>
    <row r="4662" spans="3:8" x14ac:dyDescent="0.3">
      <c r="C4662"/>
      <c r="D4662"/>
      <c r="E4662"/>
      <c r="F4662"/>
      <c r="G4662"/>
      <c r="H4662"/>
    </row>
    <row r="4663" spans="3:8" x14ac:dyDescent="0.3">
      <c r="C4663"/>
      <c r="D4663"/>
      <c r="E4663"/>
      <c r="F4663"/>
      <c r="G4663"/>
      <c r="H4663"/>
    </row>
    <row r="4664" spans="3:8" x14ac:dyDescent="0.3">
      <c r="C4664"/>
      <c r="D4664"/>
      <c r="E4664"/>
      <c r="F4664"/>
      <c r="G4664"/>
      <c r="H4664"/>
    </row>
    <row r="4665" spans="3:8" x14ac:dyDescent="0.3">
      <c r="C4665"/>
      <c r="D4665"/>
      <c r="E4665"/>
      <c r="F4665"/>
      <c r="G4665"/>
      <c r="H4665"/>
    </row>
    <row r="4666" spans="3:8" x14ac:dyDescent="0.3">
      <c r="C4666"/>
      <c r="D4666"/>
      <c r="E4666"/>
      <c r="F4666"/>
      <c r="G4666"/>
      <c r="H4666"/>
    </row>
    <row r="4667" spans="3:8" x14ac:dyDescent="0.3">
      <c r="C4667"/>
      <c r="D4667"/>
      <c r="E4667"/>
      <c r="F4667"/>
      <c r="G4667"/>
      <c r="H4667"/>
    </row>
    <row r="4668" spans="3:8" x14ac:dyDescent="0.3">
      <c r="C4668"/>
      <c r="D4668"/>
      <c r="E4668"/>
      <c r="F4668"/>
      <c r="G4668"/>
      <c r="H4668"/>
    </row>
    <row r="4669" spans="3:8" x14ac:dyDescent="0.3">
      <c r="C4669"/>
      <c r="D4669"/>
      <c r="E4669"/>
      <c r="F4669"/>
      <c r="G4669"/>
      <c r="H4669"/>
    </row>
    <row r="4670" spans="3:8" x14ac:dyDescent="0.3">
      <c r="C4670"/>
      <c r="D4670"/>
      <c r="E4670"/>
      <c r="F4670"/>
      <c r="G4670"/>
      <c r="H4670"/>
    </row>
    <row r="4671" spans="3:8" x14ac:dyDescent="0.3">
      <c r="C4671"/>
      <c r="D4671"/>
      <c r="E4671"/>
      <c r="F4671"/>
      <c r="G4671"/>
      <c r="H4671"/>
    </row>
    <row r="4672" spans="3:8" x14ac:dyDescent="0.3">
      <c r="C4672"/>
      <c r="D4672"/>
      <c r="E4672"/>
      <c r="F4672"/>
      <c r="G4672"/>
      <c r="H4672"/>
    </row>
    <row r="4673" spans="3:8" x14ac:dyDescent="0.3">
      <c r="C4673"/>
      <c r="D4673"/>
      <c r="E4673"/>
      <c r="F4673"/>
      <c r="G4673"/>
      <c r="H4673"/>
    </row>
    <row r="4674" spans="3:8" x14ac:dyDescent="0.3">
      <c r="C4674"/>
      <c r="D4674"/>
      <c r="E4674"/>
      <c r="F4674"/>
      <c r="G4674"/>
      <c r="H4674"/>
    </row>
    <row r="4675" spans="3:8" x14ac:dyDescent="0.3">
      <c r="C4675"/>
      <c r="D4675"/>
      <c r="E4675"/>
      <c r="F4675"/>
      <c r="G4675"/>
      <c r="H4675"/>
    </row>
    <row r="4676" spans="3:8" x14ac:dyDescent="0.3">
      <c r="C4676"/>
      <c r="D4676"/>
      <c r="E4676"/>
      <c r="F4676"/>
      <c r="G4676"/>
      <c r="H4676"/>
    </row>
    <row r="4677" spans="3:8" x14ac:dyDescent="0.3">
      <c r="C4677"/>
      <c r="D4677"/>
      <c r="E4677"/>
      <c r="F4677"/>
      <c r="G4677"/>
      <c r="H4677"/>
    </row>
    <row r="4678" spans="3:8" x14ac:dyDescent="0.3">
      <c r="C4678"/>
      <c r="D4678"/>
      <c r="E4678"/>
      <c r="F4678"/>
      <c r="G4678"/>
      <c r="H4678"/>
    </row>
    <row r="4679" spans="3:8" x14ac:dyDescent="0.3">
      <c r="C4679"/>
      <c r="D4679"/>
      <c r="E4679"/>
      <c r="F4679"/>
      <c r="G4679"/>
      <c r="H4679"/>
    </row>
    <row r="4680" spans="3:8" x14ac:dyDescent="0.3">
      <c r="C4680"/>
      <c r="D4680"/>
      <c r="E4680"/>
      <c r="F4680"/>
      <c r="G4680"/>
      <c r="H4680"/>
    </row>
    <row r="4681" spans="3:8" x14ac:dyDescent="0.3">
      <c r="C4681"/>
      <c r="D4681"/>
      <c r="E4681"/>
      <c r="F4681"/>
      <c r="G4681"/>
      <c r="H4681"/>
    </row>
    <row r="4682" spans="3:8" x14ac:dyDescent="0.3">
      <c r="C4682"/>
      <c r="D4682"/>
      <c r="E4682"/>
      <c r="F4682"/>
      <c r="G4682"/>
      <c r="H4682"/>
    </row>
    <row r="4683" spans="3:8" x14ac:dyDescent="0.3">
      <c r="C4683"/>
      <c r="D4683"/>
      <c r="E4683"/>
      <c r="F4683"/>
      <c r="G4683"/>
      <c r="H4683"/>
    </row>
    <row r="4684" spans="3:8" x14ac:dyDescent="0.3">
      <c r="C4684"/>
      <c r="D4684"/>
      <c r="E4684"/>
      <c r="F4684"/>
      <c r="G4684"/>
      <c r="H4684"/>
    </row>
    <row r="4685" spans="3:8" x14ac:dyDescent="0.3">
      <c r="C4685"/>
      <c r="D4685"/>
      <c r="E4685"/>
      <c r="F4685"/>
      <c r="G4685"/>
      <c r="H4685"/>
    </row>
    <row r="4686" spans="3:8" x14ac:dyDescent="0.3">
      <c r="C4686"/>
      <c r="D4686"/>
      <c r="E4686"/>
      <c r="F4686"/>
      <c r="G4686"/>
      <c r="H4686"/>
    </row>
    <row r="4687" spans="3:8" x14ac:dyDescent="0.3">
      <c r="C4687"/>
      <c r="D4687"/>
      <c r="E4687"/>
      <c r="F4687"/>
      <c r="G4687"/>
      <c r="H4687"/>
    </row>
    <row r="4688" spans="3:8" x14ac:dyDescent="0.3">
      <c r="C4688"/>
      <c r="D4688"/>
      <c r="E4688"/>
      <c r="F4688"/>
      <c r="G4688"/>
      <c r="H4688"/>
    </row>
    <row r="4689" spans="3:8" x14ac:dyDescent="0.3">
      <c r="C4689"/>
      <c r="D4689"/>
      <c r="E4689"/>
      <c r="F4689"/>
      <c r="G4689"/>
      <c r="H4689"/>
    </row>
    <row r="4690" spans="3:8" x14ac:dyDescent="0.3">
      <c r="C4690"/>
      <c r="D4690"/>
      <c r="E4690"/>
      <c r="F4690"/>
      <c r="G4690"/>
      <c r="H4690"/>
    </row>
    <row r="4691" spans="3:8" x14ac:dyDescent="0.3">
      <c r="C4691"/>
      <c r="D4691"/>
      <c r="E4691"/>
      <c r="F4691"/>
      <c r="G4691"/>
      <c r="H4691"/>
    </row>
    <row r="4692" spans="3:8" x14ac:dyDescent="0.3">
      <c r="C4692"/>
      <c r="D4692"/>
      <c r="E4692"/>
      <c r="F4692"/>
      <c r="G4692"/>
      <c r="H4692"/>
    </row>
    <row r="4693" spans="3:8" x14ac:dyDescent="0.3">
      <c r="C4693"/>
      <c r="D4693"/>
      <c r="E4693"/>
      <c r="F4693"/>
      <c r="G4693"/>
      <c r="H4693"/>
    </row>
    <row r="4694" spans="3:8" x14ac:dyDescent="0.3">
      <c r="C4694"/>
      <c r="D4694"/>
      <c r="E4694"/>
      <c r="F4694"/>
      <c r="G4694"/>
      <c r="H4694"/>
    </row>
    <row r="4695" spans="3:8" x14ac:dyDescent="0.3">
      <c r="C4695"/>
      <c r="D4695"/>
      <c r="E4695"/>
      <c r="F4695"/>
      <c r="G4695"/>
      <c r="H4695"/>
    </row>
    <row r="4696" spans="3:8" x14ac:dyDescent="0.3">
      <c r="C4696"/>
      <c r="D4696"/>
      <c r="E4696"/>
      <c r="F4696"/>
      <c r="G4696"/>
      <c r="H4696"/>
    </row>
    <row r="4697" spans="3:8" x14ac:dyDescent="0.3">
      <c r="C4697"/>
      <c r="D4697"/>
      <c r="E4697"/>
      <c r="F4697"/>
      <c r="G4697"/>
      <c r="H4697"/>
    </row>
    <row r="4698" spans="3:8" x14ac:dyDescent="0.3">
      <c r="C4698"/>
      <c r="D4698"/>
      <c r="E4698"/>
      <c r="F4698"/>
      <c r="G4698"/>
      <c r="H4698"/>
    </row>
    <row r="4699" spans="3:8" x14ac:dyDescent="0.3">
      <c r="C4699"/>
      <c r="D4699"/>
      <c r="E4699"/>
      <c r="F4699"/>
      <c r="G4699"/>
      <c r="H4699"/>
    </row>
    <row r="4700" spans="3:8" x14ac:dyDescent="0.3">
      <c r="C4700"/>
      <c r="D4700"/>
      <c r="E4700"/>
      <c r="F4700"/>
      <c r="G4700"/>
      <c r="H4700"/>
    </row>
    <row r="4701" spans="3:8" x14ac:dyDescent="0.3">
      <c r="C4701"/>
      <c r="D4701"/>
      <c r="E4701"/>
      <c r="F4701"/>
      <c r="G4701"/>
      <c r="H4701"/>
    </row>
    <row r="4702" spans="3:8" x14ac:dyDescent="0.3">
      <c r="C4702"/>
      <c r="D4702"/>
      <c r="E4702"/>
      <c r="F4702"/>
      <c r="G4702"/>
      <c r="H4702"/>
    </row>
    <row r="4703" spans="3:8" x14ac:dyDescent="0.3">
      <c r="C4703"/>
      <c r="D4703"/>
      <c r="E4703"/>
      <c r="F4703"/>
      <c r="G4703"/>
      <c r="H4703"/>
    </row>
    <row r="4704" spans="3:8" x14ac:dyDescent="0.3">
      <c r="C4704"/>
      <c r="D4704"/>
      <c r="E4704"/>
      <c r="F4704"/>
      <c r="G4704"/>
      <c r="H4704"/>
    </row>
    <row r="4705" spans="3:8" x14ac:dyDescent="0.3">
      <c r="C4705"/>
      <c r="D4705"/>
      <c r="E4705"/>
      <c r="F4705"/>
      <c r="G4705"/>
      <c r="H4705"/>
    </row>
    <row r="4706" spans="3:8" x14ac:dyDescent="0.3">
      <c r="C4706"/>
      <c r="D4706"/>
      <c r="E4706"/>
      <c r="F4706"/>
      <c r="G4706"/>
      <c r="H4706"/>
    </row>
    <row r="4707" spans="3:8" x14ac:dyDescent="0.3">
      <c r="C4707"/>
      <c r="D4707"/>
      <c r="E4707"/>
      <c r="F4707"/>
      <c r="G4707"/>
      <c r="H4707"/>
    </row>
    <row r="4708" spans="3:8" x14ac:dyDescent="0.3">
      <c r="C4708"/>
      <c r="D4708"/>
      <c r="E4708"/>
      <c r="F4708"/>
      <c r="G4708"/>
      <c r="H4708"/>
    </row>
    <row r="4709" spans="3:8" x14ac:dyDescent="0.3">
      <c r="C4709"/>
      <c r="D4709"/>
      <c r="E4709"/>
      <c r="F4709"/>
      <c r="G4709"/>
      <c r="H4709"/>
    </row>
    <row r="4710" spans="3:8" x14ac:dyDescent="0.3">
      <c r="C4710"/>
      <c r="D4710"/>
      <c r="E4710"/>
      <c r="F4710"/>
      <c r="G4710"/>
      <c r="H4710"/>
    </row>
    <row r="4711" spans="3:8" x14ac:dyDescent="0.3">
      <c r="C4711"/>
      <c r="D4711"/>
      <c r="E4711"/>
      <c r="F4711"/>
      <c r="G4711"/>
      <c r="H4711"/>
    </row>
    <row r="4712" spans="3:8" x14ac:dyDescent="0.3">
      <c r="C4712"/>
      <c r="D4712"/>
      <c r="E4712"/>
      <c r="F4712"/>
      <c r="G4712"/>
      <c r="H4712"/>
    </row>
    <row r="4713" spans="3:8" x14ac:dyDescent="0.3">
      <c r="C4713"/>
      <c r="D4713"/>
      <c r="E4713"/>
      <c r="F4713"/>
      <c r="G4713"/>
      <c r="H4713"/>
    </row>
    <row r="4714" spans="3:8" x14ac:dyDescent="0.3">
      <c r="C4714"/>
      <c r="D4714"/>
      <c r="E4714"/>
      <c r="F4714"/>
      <c r="G4714"/>
      <c r="H4714"/>
    </row>
    <row r="4715" spans="3:8" x14ac:dyDescent="0.3">
      <c r="C4715"/>
      <c r="D4715"/>
      <c r="E4715"/>
      <c r="F4715"/>
      <c r="G4715"/>
      <c r="H4715"/>
    </row>
    <row r="4716" spans="3:8" x14ac:dyDescent="0.3">
      <c r="C4716"/>
      <c r="D4716"/>
      <c r="E4716"/>
      <c r="F4716"/>
      <c r="G4716"/>
      <c r="H4716"/>
    </row>
    <row r="4717" spans="3:8" x14ac:dyDescent="0.3">
      <c r="C4717"/>
      <c r="D4717"/>
      <c r="E4717"/>
      <c r="F4717"/>
      <c r="G4717"/>
      <c r="H4717"/>
    </row>
    <row r="4718" spans="3:8" x14ac:dyDescent="0.3">
      <c r="C4718"/>
      <c r="D4718"/>
      <c r="E4718"/>
      <c r="F4718"/>
      <c r="G4718"/>
      <c r="H4718"/>
    </row>
    <row r="4719" spans="3:8" x14ac:dyDescent="0.3">
      <c r="C4719"/>
      <c r="D4719"/>
      <c r="E4719"/>
      <c r="F4719"/>
      <c r="G4719"/>
      <c r="H4719"/>
    </row>
    <row r="4720" spans="3:8" x14ac:dyDescent="0.3">
      <c r="C4720"/>
      <c r="D4720"/>
      <c r="E4720"/>
      <c r="F4720"/>
      <c r="G4720"/>
      <c r="H4720"/>
    </row>
    <row r="4721" spans="3:8" x14ac:dyDescent="0.3">
      <c r="C4721"/>
      <c r="D4721"/>
      <c r="E4721"/>
      <c r="F4721"/>
      <c r="G4721"/>
      <c r="H4721"/>
    </row>
    <row r="4722" spans="3:8" x14ac:dyDescent="0.3">
      <c r="C4722"/>
      <c r="D4722"/>
      <c r="E4722"/>
      <c r="F4722"/>
      <c r="G4722"/>
      <c r="H4722"/>
    </row>
    <row r="4723" spans="3:8" x14ac:dyDescent="0.3">
      <c r="C4723"/>
      <c r="D4723"/>
      <c r="E4723"/>
      <c r="F4723"/>
      <c r="G4723"/>
      <c r="H4723"/>
    </row>
    <row r="4724" spans="3:8" x14ac:dyDescent="0.3">
      <c r="C4724"/>
      <c r="D4724"/>
      <c r="E4724"/>
      <c r="F4724"/>
      <c r="G4724"/>
      <c r="H4724"/>
    </row>
    <row r="4725" spans="3:8" x14ac:dyDescent="0.3">
      <c r="C4725"/>
      <c r="D4725"/>
      <c r="E4725"/>
      <c r="F4725"/>
      <c r="G4725"/>
      <c r="H4725"/>
    </row>
    <row r="4726" spans="3:8" x14ac:dyDescent="0.3">
      <c r="C4726"/>
      <c r="D4726"/>
      <c r="E4726"/>
      <c r="F4726"/>
      <c r="G4726"/>
      <c r="H4726"/>
    </row>
    <row r="4727" spans="3:8" x14ac:dyDescent="0.3">
      <c r="C4727"/>
      <c r="D4727"/>
      <c r="E4727"/>
      <c r="F4727"/>
      <c r="G4727"/>
      <c r="H4727"/>
    </row>
    <row r="4728" spans="3:8" x14ac:dyDescent="0.3">
      <c r="C4728"/>
      <c r="D4728"/>
      <c r="E4728"/>
      <c r="F4728"/>
      <c r="G4728"/>
      <c r="H4728"/>
    </row>
    <row r="4729" spans="3:8" x14ac:dyDescent="0.3">
      <c r="C4729"/>
      <c r="D4729"/>
      <c r="E4729"/>
      <c r="F4729"/>
      <c r="G4729"/>
      <c r="H4729"/>
    </row>
    <row r="4730" spans="3:8" x14ac:dyDescent="0.3">
      <c r="C4730"/>
      <c r="D4730"/>
      <c r="E4730"/>
      <c r="F4730"/>
      <c r="G4730"/>
      <c r="H4730"/>
    </row>
    <row r="4731" spans="3:8" x14ac:dyDescent="0.3">
      <c r="C4731"/>
      <c r="D4731"/>
      <c r="E4731"/>
      <c r="F4731"/>
      <c r="G4731"/>
      <c r="H4731"/>
    </row>
    <row r="4732" spans="3:8" x14ac:dyDescent="0.3">
      <c r="C4732"/>
      <c r="D4732"/>
      <c r="E4732"/>
      <c r="F4732"/>
      <c r="G4732"/>
      <c r="H4732"/>
    </row>
    <row r="4733" spans="3:8" x14ac:dyDescent="0.3">
      <c r="C4733"/>
      <c r="D4733"/>
      <c r="E4733"/>
      <c r="F4733"/>
      <c r="G4733"/>
      <c r="H4733"/>
    </row>
    <row r="4734" spans="3:8" x14ac:dyDescent="0.3">
      <c r="C4734"/>
      <c r="D4734"/>
      <c r="E4734"/>
      <c r="F4734"/>
      <c r="G4734"/>
      <c r="H4734"/>
    </row>
    <row r="4735" spans="3:8" x14ac:dyDescent="0.3">
      <c r="C4735"/>
      <c r="D4735"/>
      <c r="E4735"/>
      <c r="F4735"/>
      <c r="G4735"/>
      <c r="H4735"/>
    </row>
    <row r="4736" spans="3:8" x14ac:dyDescent="0.3">
      <c r="C4736"/>
      <c r="D4736"/>
      <c r="E4736"/>
      <c r="F4736"/>
      <c r="G4736"/>
      <c r="H4736"/>
    </row>
    <row r="4737" spans="3:8" x14ac:dyDescent="0.3">
      <c r="C4737"/>
      <c r="D4737"/>
      <c r="E4737"/>
      <c r="F4737"/>
      <c r="G4737"/>
      <c r="H4737"/>
    </row>
    <row r="4738" spans="3:8" x14ac:dyDescent="0.3">
      <c r="C4738"/>
      <c r="D4738"/>
      <c r="E4738"/>
      <c r="F4738"/>
      <c r="G4738"/>
      <c r="H4738"/>
    </row>
    <row r="4739" spans="3:8" x14ac:dyDescent="0.3">
      <c r="C4739"/>
      <c r="D4739"/>
      <c r="E4739"/>
      <c r="F4739"/>
      <c r="G4739"/>
      <c r="H4739"/>
    </row>
    <row r="4740" spans="3:8" x14ac:dyDescent="0.3">
      <c r="C4740"/>
      <c r="D4740"/>
      <c r="E4740"/>
      <c r="F4740"/>
      <c r="G4740"/>
      <c r="H4740"/>
    </row>
    <row r="4741" spans="3:8" x14ac:dyDescent="0.3">
      <c r="C4741"/>
      <c r="D4741"/>
      <c r="E4741"/>
      <c r="F4741"/>
      <c r="G4741"/>
      <c r="H4741"/>
    </row>
    <row r="4742" spans="3:8" x14ac:dyDescent="0.3">
      <c r="C4742"/>
      <c r="D4742"/>
      <c r="E4742"/>
      <c r="F4742"/>
      <c r="G4742"/>
      <c r="H4742"/>
    </row>
    <row r="4743" spans="3:8" x14ac:dyDescent="0.3">
      <c r="C4743"/>
      <c r="D4743"/>
      <c r="E4743"/>
      <c r="F4743"/>
      <c r="G4743"/>
      <c r="H4743"/>
    </row>
    <row r="4744" spans="3:8" x14ac:dyDescent="0.3">
      <c r="C4744"/>
      <c r="D4744"/>
      <c r="E4744"/>
      <c r="F4744"/>
      <c r="G4744"/>
      <c r="H4744"/>
    </row>
    <row r="4745" spans="3:8" x14ac:dyDescent="0.3">
      <c r="C4745"/>
      <c r="D4745"/>
      <c r="E4745"/>
      <c r="F4745"/>
      <c r="G4745"/>
      <c r="H4745"/>
    </row>
    <row r="4746" spans="3:8" x14ac:dyDescent="0.3">
      <c r="C4746"/>
      <c r="D4746"/>
      <c r="E4746"/>
      <c r="F4746"/>
      <c r="G4746"/>
      <c r="H4746"/>
    </row>
    <row r="4747" spans="3:8" x14ac:dyDescent="0.3">
      <c r="C4747"/>
      <c r="D4747"/>
      <c r="E4747"/>
      <c r="F4747"/>
      <c r="G4747"/>
      <c r="H4747"/>
    </row>
    <row r="4748" spans="3:8" x14ac:dyDescent="0.3">
      <c r="C4748"/>
      <c r="D4748"/>
      <c r="E4748"/>
      <c r="F4748"/>
      <c r="G4748"/>
      <c r="H4748"/>
    </row>
    <row r="4749" spans="3:8" x14ac:dyDescent="0.3">
      <c r="C4749"/>
      <c r="D4749"/>
      <c r="E4749"/>
      <c r="F4749"/>
      <c r="G4749"/>
      <c r="H4749"/>
    </row>
    <row r="4750" spans="3:8" x14ac:dyDescent="0.3">
      <c r="C4750"/>
      <c r="D4750"/>
      <c r="E4750"/>
      <c r="F4750"/>
      <c r="G4750"/>
      <c r="H4750"/>
    </row>
    <row r="4751" spans="3:8" x14ac:dyDescent="0.3">
      <c r="C4751"/>
      <c r="D4751"/>
      <c r="E4751"/>
      <c r="F4751"/>
      <c r="G4751"/>
      <c r="H4751"/>
    </row>
    <row r="4752" spans="3:8" x14ac:dyDescent="0.3">
      <c r="C4752"/>
      <c r="D4752"/>
      <c r="E4752"/>
      <c r="F4752"/>
      <c r="G4752"/>
      <c r="H4752"/>
    </row>
    <row r="4753" spans="3:8" x14ac:dyDescent="0.3">
      <c r="C4753"/>
      <c r="D4753"/>
      <c r="E4753"/>
      <c r="F4753"/>
      <c r="G4753"/>
      <c r="H4753"/>
    </row>
    <row r="4754" spans="3:8" x14ac:dyDescent="0.3">
      <c r="C4754"/>
      <c r="D4754"/>
      <c r="E4754"/>
      <c r="F4754"/>
      <c r="G4754"/>
      <c r="H4754"/>
    </row>
    <row r="4755" spans="3:8" x14ac:dyDescent="0.3">
      <c r="C4755"/>
      <c r="D4755"/>
      <c r="E4755"/>
      <c r="F4755"/>
      <c r="G4755"/>
      <c r="H4755"/>
    </row>
    <row r="4756" spans="3:8" x14ac:dyDescent="0.3">
      <c r="C4756"/>
      <c r="D4756"/>
      <c r="E4756"/>
      <c r="F4756"/>
      <c r="G4756"/>
      <c r="H4756"/>
    </row>
    <row r="4757" spans="3:8" x14ac:dyDescent="0.3">
      <c r="C4757"/>
      <c r="D4757"/>
      <c r="E4757"/>
      <c r="F4757"/>
      <c r="G4757"/>
      <c r="H4757"/>
    </row>
    <row r="4758" spans="3:8" x14ac:dyDescent="0.3">
      <c r="C4758"/>
      <c r="D4758"/>
      <c r="E4758"/>
      <c r="F4758"/>
      <c r="G4758"/>
      <c r="H4758"/>
    </row>
    <row r="4759" spans="3:8" x14ac:dyDescent="0.3">
      <c r="C4759"/>
      <c r="D4759"/>
      <c r="E4759"/>
      <c r="F4759"/>
      <c r="G4759"/>
      <c r="H4759"/>
    </row>
    <row r="4760" spans="3:8" x14ac:dyDescent="0.3">
      <c r="C4760"/>
      <c r="D4760"/>
      <c r="E4760"/>
      <c r="F4760"/>
      <c r="G4760"/>
      <c r="H4760"/>
    </row>
    <row r="4761" spans="3:8" x14ac:dyDescent="0.3">
      <c r="C4761"/>
      <c r="D4761"/>
      <c r="E4761"/>
      <c r="F4761"/>
      <c r="G4761"/>
      <c r="H4761"/>
    </row>
    <row r="4762" spans="3:8" x14ac:dyDescent="0.3">
      <c r="C4762"/>
      <c r="D4762"/>
      <c r="E4762"/>
      <c r="F4762"/>
      <c r="G4762"/>
      <c r="H4762"/>
    </row>
    <row r="4763" spans="3:8" x14ac:dyDescent="0.3">
      <c r="C4763"/>
      <c r="D4763"/>
      <c r="E4763"/>
      <c r="F4763"/>
      <c r="G4763"/>
      <c r="H4763"/>
    </row>
    <row r="4764" spans="3:8" x14ac:dyDescent="0.3">
      <c r="C4764"/>
      <c r="D4764"/>
      <c r="E4764"/>
      <c r="F4764"/>
      <c r="G4764"/>
      <c r="H4764"/>
    </row>
    <row r="4765" spans="3:8" x14ac:dyDescent="0.3">
      <c r="C4765"/>
      <c r="D4765"/>
      <c r="E4765"/>
      <c r="F4765"/>
      <c r="G4765"/>
      <c r="H4765"/>
    </row>
    <row r="4766" spans="3:8" x14ac:dyDescent="0.3">
      <c r="C4766"/>
      <c r="D4766"/>
      <c r="E4766"/>
      <c r="F4766"/>
      <c r="G4766"/>
      <c r="H4766"/>
    </row>
    <row r="4767" spans="3:8" x14ac:dyDescent="0.3">
      <c r="C4767"/>
      <c r="D4767"/>
      <c r="E4767"/>
      <c r="F4767"/>
      <c r="G4767"/>
      <c r="H4767"/>
    </row>
    <row r="4768" spans="3:8" x14ac:dyDescent="0.3">
      <c r="C4768"/>
      <c r="D4768"/>
      <c r="E4768"/>
      <c r="F4768"/>
      <c r="G4768"/>
      <c r="H4768"/>
    </row>
    <row r="4769" spans="3:8" x14ac:dyDescent="0.3">
      <c r="C4769"/>
      <c r="D4769"/>
      <c r="E4769"/>
      <c r="F4769"/>
      <c r="G4769"/>
      <c r="H4769"/>
    </row>
    <row r="4770" spans="3:8" x14ac:dyDescent="0.3">
      <c r="C4770"/>
      <c r="D4770"/>
      <c r="E4770"/>
      <c r="F4770"/>
      <c r="G4770"/>
      <c r="H4770"/>
    </row>
    <row r="4771" spans="3:8" x14ac:dyDescent="0.3">
      <c r="C4771"/>
      <c r="D4771"/>
      <c r="E4771"/>
      <c r="F4771"/>
      <c r="G4771"/>
      <c r="H4771"/>
    </row>
    <row r="4772" spans="3:8" x14ac:dyDescent="0.3">
      <c r="C4772"/>
      <c r="D4772"/>
      <c r="E4772"/>
      <c r="F4772"/>
      <c r="G4772"/>
      <c r="H4772"/>
    </row>
    <row r="4773" spans="3:8" x14ac:dyDescent="0.3">
      <c r="C4773"/>
      <c r="D4773"/>
      <c r="E4773"/>
      <c r="F4773"/>
      <c r="G4773"/>
      <c r="H4773"/>
    </row>
    <row r="4774" spans="3:8" x14ac:dyDescent="0.3">
      <c r="C4774"/>
      <c r="D4774"/>
      <c r="E4774"/>
      <c r="F4774"/>
      <c r="G4774"/>
      <c r="H4774"/>
    </row>
    <row r="4775" spans="3:8" x14ac:dyDescent="0.3">
      <c r="C4775"/>
      <c r="D4775"/>
      <c r="E4775"/>
      <c r="F4775"/>
      <c r="G4775"/>
      <c r="H4775"/>
    </row>
    <row r="4776" spans="3:8" x14ac:dyDescent="0.3">
      <c r="C4776"/>
      <c r="D4776"/>
      <c r="E4776"/>
      <c r="F4776"/>
      <c r="G4776"/>
      <c r="H4776"/>
    </row>
    <row r="4777" spans="3:8" x14ac:dyDescent="0.3">
      <c r="C4777"/>
      <c r="D4777"/>
      <c r="E4777"/>
      <c r="F4777"/>
      <c r="G4777"/>
      <c r="H4777"/>
    </row>
    <row r="4778" spans="3:8" x14ac:dyDescent="0.3">
      <c r="C4778"/>
      <c r="D4778"/>
      <c r="E4778"/>
      <c r="F4778"/>
      <c r="G4778"/>
      <c r="H4778"/>
    </row>
    <row r="4779" spans="3:8" x14ac:dyDescent="0.3">
      <c r="C4779"/>
      <c r="D4779"/>
      <c r="E4779"/>
      <c r="F4779"/>
      <c r="G4779"/>
      <c r="H4779"/>
    </row>
    <row r="4780" spans="3:8" x14ac:dyDescent="0.3">
      <c r="C4780"/>
      <c r="D4780"/>
      <c r="E4780"/>
      <c r="F4780"/>
      <c r="G4780"/>
      <c r="H4780"/>
    </row>
    <row r="4781" spans="3:8" x14ac:dyDescent="0.3">
      <c r="C4781"/>
      <c r="D4781"/>
      <c r="E4781"/>
      <c r="F4781"/>
      <c r="G4781"/>
      <c r="H4781"/>
    </row>
    <row r="4782" spans="3:8" x14ac:dyDescent="0.3">
      <c r="C4782"/>
      <c r="D4782"/>
      <c r="E4782"/>
      <c r="F4782"/>
      <c r="G4782"/>
      <c r="H4782"/>
    </row>
    <row r="4783" spans="3:8" x14ac:dyDescent="0.3">
      <c r="C4783"/>
      <c r="D4783"/>
      <c r="E4783"/>
      <c r="F4783"/>
      <c r="G4783"/>
      <c r="H4783"/>
    </row>
    <row r="4784" spans="3:8" x14ac:dyDescent="0.3">
      <c r="C4784"/>
      <c r="D4784"/>
      <c r="E4784"/>
      <c r="F4784"/>
      <c r="G4784"/>
      <c r="H4784"/>
    </row>
    <row r="4785" spans="3:8" x14ac:dyDescent="0.3">
      <c r="C4785"/>
      <c r="D4785"/>
      <c r="E4785"/>
      <c r="F4785"/>
      <c r="G4785"/>
      <c r="H4785"/>
    </row>
    <row r="4786" spans="3:8" x14ac:dyDescent="0.3">
      <c r="C4786"/>
      <c r="D4786"/>
      <c r="E4786"/>
      <c r="F4786"/>
      <c r="G4786"/>
      <c r="H4786"/>
    </row>
    <row r="4787" spans="3:8" x14ac:dyDescent="0.3">
      <c r="C4787"/>
      <c r="D4787"/>
      <c r="E4787"/>
      <c r="F4787"/>
      <c r="G4787"/>
      <c r="H4787"/>
    </row>
    <row r="4788" spans="3:8" x14ac:dyDescent="0.3">
      <c r="C4788"/>
      <c r="D4788"/>
      <c r="E4788"/>
      <c r="F4788"/>
      <c r="G4788"/>
      <c r="H4788"/>
    </row>
    <row r="4789" spans="3:8" x14ac:dyDescent="0.3">
      <c r="C4789"/>
      <c r="D4789"/>
      <c r="E4789"/>
      <c r="F4789"/>
      <c r="G4789"/>
      <c r="H4789"/>
    </row>
    <row r="4790" spans="3:8" x14ac:dyDescent="0.3">
      <c r="C4790"/>
      <c r="D4790"/>
      <c r="E4790"/>
      <c r="F4790"/>
      <c r="G4790"/>
      <c r="H4790"/>
    </row>
    <row r="4791" spans="3:8" x14ac:dyDescent="0.3">
      <c r="C4791"/>
      <c r="D4791"/>
      <c r="E4791"/>
      <c r="F4791"/>
      <c r="G4791"/>
      <c r="H4791"/>
    </row>
    <row r="4792" spans="3:8" x14ac:dyDescent="0.3">
      <c r="C4792"/>
      <c r="D4792"/>
      <c r="E4792"/>
      <c r="F4792"/>
      <c r="G4792"/>
      <c r="H4792"/>
    </row>
    <row r="4793" spans="3:8" x14ac:dyDescent="0.3">
      <c r="C4793"/>
      <c r="D4793"/>
      <c r="E4793"/>
      <c r="F4793"/>
      <c r="G4793"/>
      <c r="H4793"/>
    </row>
    <row r="4794" spans="3:8" x14ac:dyDescent="0.3">
      <c r="C4794"/>
      <c r="D4794"/>
      <c r="E4794"/>
      <c r="F4794"/>
      <c r="G4794"/>
      <c r="H4794"/>
    </row>
    <row r="4795" spans="3:8" x14ac:dyDescent="0.3">
      <c r="C4795"/>
      <c r="D4795"/>
      <c r="E4795"/>
      <c r="F4795"/>
      <c r="G4795"/>
      <c r="H4795"/>
    </row>
    <row r="4796" spans="3:8" x14ac:dyDescent="0.3">
      <c r="C4796"/>
      <c r="D4796"/>
      <c r="E4796"/>
      <c r="F4796"/>
      <c r="G4796"/>
      <c r="H4796"/>
    </row>
    <row r="4797" spans="3:8" x14ac:dyDescent="0.3">
      <c r="C4797"/>
      <c r="D4797"/>
      <c r="E4797"/>
      <c r="F4797"/>
      <c r="G4797"/>
      <c r="H4797"/>
    </row>
    <row r="4798" spans="3:8" x14ac:dyDescent="0.3">
      <c r="C4798"/>
      <c r="D4798"/>
      <c r="E4798"/>
      <c r="F4798"/>
      <c r="G4798"/>
      <c r="H4798"/>
    </row>
    <row r="4799" spans="3:8" x14ac:dyDescent="0.3">
      <c r="C4799"/>
      <c r="D4799"/>
      <c r="E4799"/>
      <c r="F4799"/>
      <c r="G4799"/>
      <c r="H4799"/>
    </row>
    <row r="4800" spans="3:8" x14ac:dyDescent="0.3">
      <c r="C4800"/>
      <c r="D4800"/>
      <c r="E4800"/>
      <c r="F4800"/>
      <c r="G4800"/>
      <c r="H4800"/>
    </row>
    <row r="4801" spans="3:8" x14ac:dyDescent="0.3">
      <c r="C4801"/>
      <c r="D4801"/>
      <c r="E4801"/>
      <c r="F4801"/>
      <c r="G4801"/>
      <c r="H4801"/>
    </row>
    <row r="4802" spans="3:8" x14ac:dyDescent="0.3">
      <c r="C4802"/>
      <c r="D4802"/>
      <c r="E4802"/>
      <c r="F4802"/>
      <c r="G4802"/>
      <c r="H4802"/>
    </row>
    <row r="4803" spans="3:8" x14ac:dyDescent="0.3">
      <c r="C4803"/>
      <c r="D4803"/>
      <c r="E4803"/>
      <c r="F4803"/>
      <c r="G4803"/>
      <c r="H4803"/>
    </row>
    <row r="4804" spans="3:8" x14ac:dyDescent="0.3">
      <c r="C4804"/>
      <c r="D4804"/>
      <c r="E4804"/>
      <c r="F4804"/>
      <c r="G4804"/>
      <c r="H4804"/>
    </row>
    <row r="4805" spans="3:8" x14ac:dyDescent="0.3">
      <c r="C4805"/>
      <c r="D4805"/>
      <c r="E4805"/>
      <c r="F4805"/>
      <c r="G4805"/>
      <c r="H4805"/>
    </row>
    <row r="4806" spans="3:8" x14ac:dyDescent="0.3">
      <c r="C4806"/>
      <c r="D4806"/>
      <c r="E4806"/>
      <c r="F4806"/>
      <c r="G4806"/>
      <c r="H4806"/>
    </row>
    <row r="4807" spans="3:8" x14ac:dyDescent="0.3">
      <c r="C4807"/>
      <c r="D4807"/>
      <c r="E4807"/>
      <c r="F4807"/>
      <c r="G4807"/>
      <c r="H4807"/>
    </row>
    <row r="4808" spans="3:8" x14ac:dyDescent="0.3">
      <c r="C4808"/>
      <c r="D4808"/>
      <c r="E4808"/>
      <c r="F4808"/>
      <c r="G4808"/>
      <c r="H4808"/>
    </row>
    <row r="4809" spans="3:8" x14ac:dyDescent="0.3">
      <c r="C4809"/>
      <c r="D4809"/>
      <c r="E4809"/>
      <c r="F4809"/>
      <c r="G4809"/>
      <c r="H4809"/>
    </row>
    <row r="4810" spans="3:8" x14ac:dyDescent="0.3">
      <c r="C4810"/>
      <c r="D4810"/>
      <c r="E4810"/>
      <c r="F4810"/>
      <c r="G4810"/>
      <c r="H4810"/>
    </row>
    <row r="4811" spans="3:8" x14ac:dyDescent="0.3">
      <c r="C4811"/>
      <c r="D4811"/>
      <c r="E4811"/>
      <c r="F4811"/>
      <c r="G4811"/>
      <c r="H4811"/>
    </row>
    <row r="4812" spans="3:8" x14ac:dyDescent="0.3">
      <c r="C4812"/>
      <c r="D4812"/>
      <c r="E4812"/>
      <c r="F4812"/>
      <c r="G4812"/>
      <c r="H4812"/>
    </row>
    <row r="4813" spans="3:8" x14ac:dyDescent="0.3">
      <c r="C4813"/>
      <c r="D4813"/>
      <c r="E4813"/>
      <c r="F4813"/>
      <c r="G4813"/>
      <c r="H4813"/>
    </row>
    <row r="4814" spans="3:8" x14ac:dyDescent="0.3">
      <c r="C4814"/>
      <c r="D4814"/>
      <c r="E4814"/>
      <c r="F4814"/>
      <c r="G4814"/>
      <c r="H4814"/>
    </row>
    <row r="4815" spans="3:8" x14ac:dyDescent="0.3">
      <c r="C4815"/>
      <c r="D4815"/>
      <c r="E4815"/>
      <c r="F4815"/>
      <c r="G4815"/>
      <c r="H4815"/>
    </row>
    <row r="4816" spans="3:8" x14ac:dyDescent="0.3">
      <c r="C4816"/>
      <c r="D4816"/>
      <c r="E4816"/>
      <c r="F4816"/>
      <c r="G4816"/>
      <c r="H4816"/>
    </row>
    <row r="4817" spans="3:8" x14ac:dyDescent="0.3">
      <c r="C4817"/>
      <c r="D4817"/>
      <c r="E4817"/>
      <c r="F4817"/>
      <c r="G4817"/>
      <c r="H4817"/>
    </row>
    <row r="4818" spans="3:8" x14ac:dyDescent="0.3">
      <c r="C4818"/>
      <c r="D4818"/>
      <c r="E4818"/>
      <c r="F4818"/>
      <c r="G4818"/>
      <c r="H4818"/>
    </row>
    <row r="4819" spans="3:8" x14ac:dyDescent="0.3">
      <c r="C4819"/>
      <c r="D4819"/>
      <c r="E4819"/>
      <c r="F4819"/>
      <c r="G4819"/>
      <c r="H4819"/>
    </row>
    <row r="4820" spans="3:8" x14ac:dyDescent="0.3">
      <c r="C4820"/>
      <c r="D4820"/>
      <c r="E4820"/>
      <c r="F4820"/>
      <c r="G4820"/>
      <c r="H4820"/>
    </row>
    <row r="4821" spans="3:8" x14ac:dyDescent="0.3">
      <c r="C4821"/>
      <c r="D4821"/>
      <c r="E4821"/>
      <c r="F4821"/>
      <c r="G4821"/>
      <c r="H4821"/>
    </row>
    <row r="4822" spans="3:8" x14ac:dyDescent="0.3">
      <c r="C4822"/>
      <c r="D4822"/>
      <c r="E4822"/>
      <c r="F4822"/>
      <c r="G4822"/>
      <c r="H4822"/>
    </row>
    <row r="4823" spans="3:8" x14ac:dyDescent="0.3">
      <c r="C4823"/>
      <c r="D4823"/>
      <c r="E4823"/>
      <c r="F4823"/>
      <c r="G4823"/>
      <c r="H4823"/>
    </row>
    <row r="4824" spans="3:8" x14ac:dyDescent="0.3">
      <c r="C4824"/>
      <c r="D4824"/>
      <c r="E4824"/>
      <c r="F4824"/>
      <c r="G4824"/>
      <c r="H4824"/>
    </row>
    <row r="4825" spans="3:8" x14ac:dyDescent="0.3">
      <c r="C4825"/>
      <c r="D4825"/>
      <c r="E4825"/>
      <c r="F4825"/>
      <c r="G4825"/>
      <c r="H4825"/>
    </row>
    <row r="4826" spans="3:8" x14ac:dyDescent="0.3">
      <c r="C4826"/>
      <c r="D4826"/>
      <c r="E4826"/>
      <c r="F4826"/>
      <c r="G4826"/>
      <c r="H4826"/>
    </row>
    <row r="4827" spans="3:8" x14ac:dyDescent="0.3">
      <c r="C4827"/>
      <c r="D4827"/>
      <c r="E4827"/>
      <c r="F4827"/>
      <c r="G4827"/>
      <c r="H4827"/>
    </row>
    <row r="4828" spans="3:8" x14ac:dyDescent="0.3">
      <c r="C4828"/>
      <c r="D4828"/>
      <c r="E4828"/>
      <c r="F4828"/>
      <c r="G4828"/>
      <c r="H4828"/>
    </row>
    <row r="4829" spans="3:8" x14ac:dyDescent="0.3">
      <c r="C4829"/>
      <c r="D4829"/>
      <c r="E4829"/>
      <c r="F4829"/>
      <c r="G4829"/>
      <c r="H4829"/>
    </row>
    <row r="4830" spans="3:8" x14ac:dyDescent="0.3">
      <c r="C4830"/>
      <c r="D4830"/>
      <c r="E4830"/>
      <c r="F4830"/>
      <c r="G4830"/>
      <c r="H4830"/>
    </row>
    <row r="4831" spans="3:8" x14ac:dyDescent="0.3">
      <c r="C4831"/>
      <c r="D4831"/>
      <c r="E4831"/>
      <c r="F4831"/>
      <c r="G4831"/>
      <c r="H4831"/>
    </row>
    <row r="4832" spans="3:8" x14ac:dyDescent="0.3">
      <c r="C4832"/>
      <c r="D4832"/>
      <c r="E4832"/>
      <c r="F4832"/>
      <c r="G4832"/>
      <c r="H4832"/>
    </row>
    <row r="4833" spans="3:8" x14ac:dyDescent="0.3">
      <c r="C4833"/>
      <c r="D4833"/>
      <c r="E4833"/>
      <c r="F4833"/>
      <c r="G4833"/>
      <c r="H4833"/>
    </row>
    <row r="4834" spans="3:8" x14ac:dyDescent="0.3">
      <c r="C4834"/>
      <c r="D4834"/>
      <c r="E4834"/>
      <c r="F4834"/>
      <c r="G4834"/>
      <c r="H4834"/>
    </row>
    <row r="4835" spans="3:8" x14ac:dyDescent="0.3">
      <c r="C4835"/>
      <c r="D4835"/>
      <c r="E4835"/>
      <c r="F4835"/>
      <c r="G4835"/>
      <c r="H4835"/>
    </row>
    <row r="4836" spans="3:8" x14ac:dyDescent="0.3">
      <c r="C4836"/>
      <c r="D4836"/>
      <c r="E4836"/>
      <c r="F4836"/>
      <c r="G4836"/>
      <c r="H4836"/>
    </row>
    <row r="4837" spans="3:8" x14ac:dyDescent="0.3">
      <c r="C4837"/>
      <c r="D4837"/>
      <c r="E4837"/>
      <c r="F4837"/>
      <c r="G4837"/>
      <c r="H4837"/>
    </row>
    <row r="4838" spans="3:8" x14ac:dyDescent="0.3">
      <c r="C4838"/>
      <c r="D4838"/>
      <c r="E4838"/>
      <c r="F4838"/>
      <c r="G4838"/>
      <c r="H4838"/>
    </row>
    <row r="4839" spans="3:8" x14ac:dyDescent="0.3">
      <c r="C4839"/>
      <c r="D4839"/>
      <c r="E4839"/>
      <c r="F4839"/>
      <c r="G4839"/>
      <c r="H4839"/>
    </row>
    <row r="4840" spans="3:8" x14ac:dyDescent="0.3">
      <c r="C4840"/>
      <c r="D4840"/>
      <c r="E4840"/>
      <c r="F4840"/>
      <c r="G4840"/>
      <c r="H4840"/>
    </row>
    <row r="4841" spans="3:8" x14ac:dyDescent="0.3">
      <c r="C4841"/>
      <c r="D4841"/>
      <c r="E4841"/>
      <c r="F4841"/>
      <c r="G4841"/>
      <c r="H4841"/>
    </row>
    <row r="4842" spans="3:8" x14ac:dyDescent="0.3">
      <c r="C4842"/>
      <c r="D4842"/>
      <c r="E4842"/>
      <c r="F4842"/>
      <c r="G4842"/>
      <c r="H4842"/>
    </row>
    <row r="4843" spans="3:8" x14ac:dyDescent="0.3">
      <c r="C4843"/>
      <c r="D4843"/>
      <c r="E4843"/>
      <c r="F4843"/>
      <c r="G4843"/>
      <c r="H4843"/>
    </row>
    <row r="4844" spans="3:8" x14ac:dyDescent="0.3">
      <c r="C4844"/>
      <c r="D4844"/>
      <c r="E4844"/>
      <c r="F4844"/>
      <c r="G4844"/>
      <c r="H4844"/>
    </row>
    <row r="4845" spans="3:8" x14ac:dyDescent="0.3">
      <c r="C4845"/>
      <c r="D4845"/>
      <c r="E4845"/>
      <c r="F4845"/>
      <c r="G4845"/>
      <c r="H4845"/>
    </row>
    <row r="4846" spans="3:8" x14ac:dyDescent="0.3">
      <c r="C4846"/>
      <c r="D4846"/>
      <c r="E4846"/>
      <c r="F4846"/>
      <c r="G4846"/>
      <c r="H4846"/>
    </row>
    <row r="4847" spans="3:8" x14ac:dyDescent="0.3">
      <c r="C4847"/>
      <c r="D4847"/>
      <c r="E4847"/>
      <c r="F4847"/>
      <c r="G4847"/>
      <c r="H4847"/>
    </row>
    <row r="4848" spans="3:8" x14ac:dyDescent="0.3">
      <c r="C4848"/>
      <c r="D4848"/>
      <c r="E4848"/>
      <c r="F4848"/>
      <c r="G4848"/>
      <c r="H4848"/>
    </row>
    <row r="4849" spans="3:8" x14ac:dyDescent="0.3">
      <c r="C4849"/>
      <c r="D4849"/>
      <c r="E4849"/>
      <c r="F4849"/>
      <c r="G4849"/>
      <c r="H4849"/>
    </row>
    <row r="4850" spans="3:8" x14ac:dyDescent="0.3">
      <c r="C4850"/>
      <c r="D4850"/>
      <c r="E4850"/>
      <c r="F4850"/>
      <c r="G4850"/>
      <c r="H4850"/>
    </row>
    <row r="4851" spans="3:8" x14ac:dyDescent="0.3">
      <c r="C4851"/>
      <c r="D4851"/>
      <c r="E4851"/>
      <c r="F4851"/>
      <c r="G4851"/>
      <c r="H4851"/>
    </row>
    <row r="4852" spans="3:8" x14ac:dyDescent="0.3">
      <c r="C4852"/>
      <c r="D4852"/>
      <c r="E4852"/>
      <c r="F4852"/>
      <c r="G4852"/>
      <c r="H4852"/>
    </row>
    <row r="4853" spans="3:8" x14ac:dyDescent="0.3">
      <c r="C4853"/>
      <c r="D4853"/>
      <c r="E4853"/>
      <c r="F4853"/>
      <c r="G4853"/>
      <c r="H4853"/>
    </row>
    <row r="4854" spans="3:8" x14ac:dyDescent="0.3">
      <c r="C4854"/>
      <c r="D4854"/>
      <c r="E4854"/>
      <c r="F4854"/>
      <c r="G4854"/>
      <c r="H4854"/>
    </row>
    <row r="4855" spans="3:8" x14ac:dyDescent="0.3">
      <c r="C4855"/>
      <c r="D4855"/>
      <c r="E4855"/>
      <c r="F4855"/>
      <c r="G4855"/>
      <c r="H4855"/>
    </row>
    <row r="4856" spans="3:8" x14ac:dyDescent="0.3">
      <c r="C4856"/>
      <c r="D4856"/>
      <c r="E4856"/>
      <c r="F4856"/>
      <c r="G4856"/>
      <c r="H4856"/>
    </row>
    <row r="4857" spans="3:8" x14ac:dyDescent="0.3">
      <c r="C4857"/>
      <c r="D4857"/>
      <c r="E4857"/>
      <c r="F4857"/>
      <c r="G4857"/>
      <c r="H4857"/>
    </row>
    <row r="4858" spans="3:8" x14ac:dyDescent="0.3">
      <c r="C4858"/>
      <c r="D4858"/>
      <c r="E4858"/>
      <c r="F4858"/>
      <c r="G4858"/>
      <c r="H4858"/>
    </row>
    <row r="4859" spans="3:8" x14ac:dyDescent="0.3">
      <c r="C4859"/>
      <c r="D4859"/>
      <c r="E4859"/>
      <c r="F4859"/>
      <c r="G4859"/>
      <c r="H4859"/>
    </row>
    <row r="4860" spans="3:8" x14ac:dyDescent="0.3">
      <c r="C4860"/>
      <c r="D4860"/>
      <c r="E4860"/>
      <c r="F4860"/>
      <c r="G4860"/>
      <c r="H4860"/>
    </row>
    <row r="4861" spans="3:8" x14ac:dyDescent="0.3">
      <c r="C4861"/>
      <c r="D4861"/>
      <c r="E4861"/>
      <c r="F4861"/>
      <c r="G4861"/>
      <c r="H4861"/>
    </row>
    <row r="4862" spans="3:8" x14ac:dyDescent="0.3">
      <c r="C4862"/>
      <c r="D4862"/>
      <c r="E4862"/>
      <c r="F4862"/>
      <c r="G4862"/>
      <c r="H4862"/>
    </row>
    <row r="4863" spans="3:8" x14ac:dyDescent="0.3">
      <c r="C4863"/>
      <c r="D4863"/>
      <c r="E4863"/>
      <c r="F4863"/>
      <c r="G4863"/>
      <c r="H4863"/>
    </row>
    <row r="4864" spans="3:8" x14ac:dyDescent="0.3">
      <c r="C4864"/>
      <c r="D4864"/>
      <c r="E4864"/>
      <c r="F4864"/>
      <c r="G4864"/>
      <c r="H4864"/>
    </row>
    <row r="4865" spans="3:8" x14ac:dyDescent="0.3">
      <c r="C4865"/>
      <c r="D4865"/>
      <c r="E4865"/>
      <c r="F4865"/>
      <c r="G4865"/>
      <c r="H4865"/>
    </row>
    <row r="4866" spans="3:8" x14ac:dyDescent="0.3">
      <c r="C4866"/>
      <c r="D4866"/>
      <c r="E4866"/>
      <c r="F4866"/>
      <c r="G4866"/>
      <c r="H4866"/>
    </row>
    <row r="4867" spans="3:8" x14ac:dyDescent="0.3">
      <c r="C4867"/>
      <c r="D4867"/>
      <c r="E4867"/>
      <c r="F4867"/>
      <c r="G4867"/>
      <c r="H4867"/>
    </row>
    <row r="4868" spans="3:8" x14ac:dyDescent="0.3">
      <c r="C4868"/>
      <c r="D4868"/>
      <c r="E4868"/>
      <c r="F4868"/>
      <c r="G4868"/>
      <c r="H4868"/>
    </row>
    <row r="4869" spans="3:8" x14ac:dyDescent="0.3">
      <c r="C4869"/>
      <c r="D4869"/>
      <c r="E4869"/>
      <c r="F4869"/>
      <c r="G4869"/>
      <c r="H4869"/>
    </row>
    <row r="4870" spans="3:8" x14ac:dyDescent="0.3">
      <c r="C4870"/>
      <c r="D4870"/>
      <c r="E4870"/>
      <c r="F4870"/>
      <c r="G4870"/>
      <c r="H4870"/>
    </row>
    <row r="4871" spans="3:8" x14ac:dyDescent="0.3">
      <c r="C4871"/>
      <c r="D4871"/>
      <c r="E4871"/>
      <c r="F4871"/>
      <c r="G4871"/>
      <c r="H4871"/>
    </row>
    <row r="4872" spans="3:8" x14ac:dyDescent="0.3">
      <c r="C4872"/>
      <c r="D4872"/>
      <c r="E4872"/>
      <c r="F4872"/>
      <c r="G4872"/>
      <c r="H4872"/>
    </row>
    <row r="4873" spans="3:8" x14ac:dyDescent="0.3">
      <c r="C4873"/>
      <c r="D4873"/>
      <c r="E4873"/>
      <c r="F4873"/>
      <c r="G4873"/>
      <c r="H4873"/>
    </row>
    <row r="4874" spans="3:8" x14ac:dyDescent="0.3">
      <c r="C4874"/>
      <c r="D4874"/>
      <c r="E4874"/>
      <c r="F4874"/>
      <c r="G4874"/>
      <c r="H4874"/>
    </row>
    <row r="4875" spans="3:8" x14ac:dyDescent="0.3">
      <c r="C4875"/>
      <c r="D4875"/>
      <c r="E4875"/>
      <c r="F4875"/>
      <c r="G4875"/>
      <c r="H4875"/>
    </row>
    <row r="4876" spans="3:8" x14ac:dyDescent="0.3">
      <c r="C4876"/>
      <c r="D4876"/>
      <c r="E4876"/>
      <c r="F4876"/>
      <c r="G4876"/>
      <c r="H4876"/>
    </row>
    <row r="4877" spans="3:8" x14ac:dyDescent="0.3">
      <c r="C4877"/>
      <c r="D4877"/>
      <c r="E4877"/>
      <c r="F4877"/>
      <c r="G4877"/>
      <c r="H4877"/>
    </row>
    <row r="4878" spans="3:8" x14ac:dyDescent="0.3">
      <c r="C4878"/>
      <c r="D4878"/>
      <c r="E4878"/>
      <c r="F4878"/>
      <c r="G4878"/>
      <c r="H4878"/>
    </row>
    <row r="4879" spans="3:8" x14ac:dyDescent="0.3">
      <c r="C4879"/>
      <c r="D4879"/>
      <c r="E4879"/>
      <c r="F4879"/>
      <c r="G4879"/>
      <c r="H4879"/>
    </row>
    <row r="4880" spans="3:8" x14ac:dyDescent="0.3">
      <c r="C4880"/>
      <c r="D4880"/>
      <c r="E4880"/>
      <c r="F4880"/>
      <c r="G4880"/>
      <c r="H4880"/>
    </row>
    <row r="4881" spans="3:8" x14ac:dyDescent="0.3">
      <c r="C4881"/>
      <c r="D4881"/>
      <c r="E4881"/>
      <c r="F4881"/>
      <c r="G4881"/>
      <c r="H4881"/>
    </row>
    <row r="4882" spans="3:8" x14ac:dyDescent="0.3">
      <c r="C4882"/>
      <c r="D4882"/>
      <c r="E4882"/>
      <c r="F4882"/>
      <c r="G4882"/>
      <c r="H4882"/>
    </row>
    <row r="4883" spans="3:8" x14ac:dyDescent="0.3">
      <c r="C4883"/>
      <c r="D4883"/>
      <c r="E4883"/>
      <c r="F4883"/>
      <c r="G4883"/>
      <c r="H4883"/>
    </row>
    <row r="4884" spans="3:8" x14ac:dyDescent="0.3">
      <c r="C4884"/>
      <c r="D4884"/>
      <c r="E4884"/>
      <c r="F4884"/>
      <c r="G4884"/>
      <c r="H4884"/>
    </row>
    <row r="4885" spans="3:8" x14ac:dyDescent="0.3">
      <c r="C4885"/>
      <c r="D4885"/>
      <c r="E4885"/>
      <c r="F4885"/>
      <c r="G4885"/>
      <c r="H4885"/>
    </row>
    <row r="4886" spans="3:8" x14ac:dyDescent="0.3">
      <c r="C4886"/>
      <c r="D4886"/>
      <c r="E4886"/>
      <c r="F4886"/>
      <c r="G4886"/>
      <c r="H4886"/>
    </row>
    <row r="4887" spans="3:8" x14ac:dyDescent="0.3">
      <c r="C4887"/>
      <c r="D4887"/>
      <c r="E4887"/>
      <c r="F4887"/>
      <c r="G4887"/>
      <c r="H4887"/>
    </row>
    <row r="4888" spans="3:8" x14ac:dyDescent="0.3">
      <c r="C4888"/>
      <c r="D4888"/>
      <c r="E4888"/>
      <c r="F4888"/>
      <c r="G4888"/>
      <c r="H4888"/>
    </row>
    <row r="4889" spans="3:8" x14ac:dyDescent="0.3">
      <c r="C4889"/>
      <c r="D4889"/>
      <c r="E4889"/>
      <c r="F4889"/>
      <c r="G4889"/>
      <c r="H4889"/>
    </row>
    <row r="4890" spans="3:8" x14ac:dyDescent="0.3">
      <c r="C4890"/>
      <c r="D4890"/>
      <c r="E4890"/>
      <c r="F4890"/>
      <c r="G4890"/>
      <c r="H4890"/>
    </row>
    <row r="4891" spans="3:8" x14ac:dyDescent="0.3">
      <c r="C4891"/>
      <c r="D4891"/>
      <c r="E4891"/>
      <c r="F4891"/>
      <c r="G4891"/>
      <c r="H4891"/>
    </row>
    <row r="4892" spans="3:8" x14ac:dyDescent="0.3">
      <c r="C4892"/>
      <c r="D4892"/>
      <c r="E4892"/>
      <c r="F4892"/>
      <c r="G4892"/>
      <c r="H4892"/>
    </row>
    <row r="4893" spans="3:8" x14ac:dyDescent="0.3">
      <c r="C4893"/>
      <c r="D4893"/>
      <c r="E4893"/>
      <c r="F4893"/>
      <c r="G4893"/>
      <c r="H4893"/>
    </row>
    <row r="4894" spans="3:8" x14ac:dyDescent="0.3">
      <c r="C4894"/>
      <c r="D4894"/>
      <c r="E4894"/>
      <c r="F4894"/>
      <c r="G4894"/>
      <c r="H4894"/>
    </row>
    <row r="4895" spans="3:8" x14ac:dyDescent="0.3">
      <c r="C4895"/>
      <c r="D4895"/>
      <c r="E4895"/>
      <c r="F4895"/>
      <c r="G4895"/>
      <c r="H4895"/>
    </row>
    <row r="4896" spans="3:8" x14ac:dyDescent="0.3">
      <c r="C4896"/>
      <c r="D4896"/>
      <c r="E4896"/>
      <c r="F4896"/>
      <c r="G4896"/>
      <c r="H4896"/>
    </row>
    <row r="4897" spans="3:8" x14ac:dyDescent="0.3">
      <c r="C4897"/>
      <c r="D4897"/>
      <c r="E4897"/>
      <c r="F4897"/>
      <c r="G4897"/>
      <c r="H4897"/>
    </row>
    <row r="4898" spans="3:8" x14ac:dyDescent="0.3">
      <c r="C4898"/>
      <c r="D4898"/>
      <c r="E4898"/>
      <c r="F4898"/>
      <c r="G4898"/>
      <c r="H4898"/>
    </row>
    <row r="4899" spans="3:8" x14ac:dyDescent="0.3">
      <c r="C4899"/>
      <c r="D4899"/>
      <c r="E4899"/>
      <c r="F4899"/>
      <c r="G4899"/>
      <c r="H4899"/>
    </row>
    <row r="4900" spans="3:8" x14ac:dyDescent="0.3">
      <c r="C4900"/>
      <c r="D4900"/>
      <c r="E4900"/>
      <c r="F4900"/>
      <c r="G4900"/>
      <c r="H4900"/>
    </row>
    <row r="4901" spans="3:8" x14ac:dyDescent="0.3">
      <c r="C4901"/>
      <c r="D4901"/>
      <c r="E4901"/>
      <c r="F4901"/>
      <c r="G4901"/>
      <c r="H4901"/>
    </row>
    <row r="4902" spans="3:8" x14ac:dyDescent="0.3">
      <c r="C4902"/>
      <c r="D4902"/>
      <c r="E4902"/>
      <c r="F4902"/>
      <c r="G4902"/>
      <c r="H4902"/>
    </row>
    <row r="4903" spans="3:8" x14ac:dyDescent="0.3">
      <c r="C4903"/>
      <c r="D4903"/>
      <c r="E4903"/>
      <c r="F4903"/>
      <c r="G4903"/>
      <c r="H4903"/>
    </row>
    <row r="4904" spans="3:8" x14ac:dyDescent="0.3">
      <c r="C4904"/>
      <c r="D4904"/>
      <c r="E4904"/>
      <c r="F4904"/>
      <c r="G4904"/>
      <c r="H4904"/>
    </row>
    <row r="4905" spans="3:8" x14ac:dyDescent="0.3">
      <c r="C4905"/>
      <c r="D4905"/>
      <c r="E4905"/>
      <c r="F4905"/>
      <c r="G4905"/>
      <c r="H4905"/>
    </row>
    <row r="4906" spans="3:8" x14ac:dyDescent="0.3">
      <c r="C4906"/>
      <c r="D4906"/>
      <c r="E4906"/>
      <c r="F4906"/>
      <c r="G4906"/>
      <c r="H4906"/>
    </row>
    <row r="4907" spans="3:8" x14ac:dyDescent="0.3">
      <c r="C4907"/>
      <c r="D4907"/>
      <c r="E4907"/>
      <c r="F4907"/>
      <c r="G4907"/>
      <c r="H4907"/>
    </row>
    <row r="4908" spans="3:8" x14ac:dyDescent="0.3">
      <c r="C4908"/>
      <c r="D4908"/>
      <c r="E4908"/>
      <c r="F4908"/>
      <c r="G4908"/>
      <c r="H4908"/>
    </row>
    <row r="4909" spans="3:8" x14ac:dyDescent="0.3">
      <c r="C4909"/>
      <c r="D4909"/>
      <c r="E4909"/>
      <c r="F4909"/>
      <c r="G4909"/>
      <c r="H4909"/>
    </row>
    <row r="4910" spans="3:8" x14ac:dyDescent="0.3">
      <c r="C4910"/>
      <c r="D4910"/>
      <c r="E4910"/>
      <c r="F4910"/>
      <c r="G4910"/>
      <c r="H4910"/>
    </row>
    <row r="4911" spans="3:8" x14ac:dyDescent="0.3">
      <c r="C4911"/>
      <c r="D4911"/>
      <c r="E4911"/>
      <c r="F4911"/>
      <c r="G4911"/>
      <c r="H4911"/>
    </row>
    <row r="4912" spans="3:8" x14ac:dyDescent="0.3">
      <c r="C4912"/>
      <c r="D4912"/>
      <c r="E4912"/>
      <c r="F4912"/>
      <c r="G4912"/>
      <c r="H4912"/>
    </row>
    <row r="4913" spans="3:8" x14ac:dyDescent="0.3">
      <c r="C4913"/>
      <c r="D4913"/>
      <c r="E4913"/>
      <c r="F4913"/>
      <c r="G4913"/>
      <c r="H4913"/>
    </row>
    <row r="4914" spans="3:8" x14ac:dyDescent="0.3">
      <c r="C4914"/>
      <c r="D4914"/>
      <c r="E4914"/>
      <c r="F4914"/>
      <c r="G4914"/>
      <c r="H4914"/>
    </row>
    <row r="4915" spans="3:8" x14ac:dyDescent="0.3">
      <c r="C4915"/>
      <c r="D4915"/>
      <c r="E4915"/>
      <c r="F4915"/>
      <c r="G4915"/>
      <c r="H4915"/>
    </row>
    <row r="4916" spans="3:8" x14ac:dyDescent="0.3">
      <c r="C4916"/>
      <c r="D4916"/>
      <c r="E4916"/>
      <c r="F4916"/>
      <c r="G4916"/>
      <c r="H4916"/>
    </row>
    <row r="4917" spans="3:8" x14ac:dyDescent="0.3">
      <c r="C4917"/>
      <c r="D4917"/>
      <c r="E4917"/>
      <c r="F4917"/>
      <c r="G4917"/>
      <c r="H4917"/>
    </row>
    <row r="4918" spans="3:8" x14ac:dyDescent="0.3">
      <c r="C4918"/>
      <c r="D4918"/>
      <c r="E4918"/>
      <c r="F4918"/>
      <c r="G4918"/>
      <c r="H4918"/>
    </row>
    <row r="4919" spans="3:8" x14ac:dyDescent="0.3">
      <c r="C4919"/>
      <c r="D4919"/>
      <c r="E4919"/>
      <c r="F4919"/>
      <c r="G4919"/>
      <c r="H4919"/>
    </row>
    <row r="4920" spans="3:8" x14ac:dyDescent="0.3">
      <c r="C4920"/>
      <c r="D4920"/>
      <c r="E4920"/>
      <c r="F4920"/>
      <c r="G4920"/>
      <c r="H4920"/>
    </row>
    <row r="4921" spans="3:8" x14ac:dyDescent="0.3">
      <c r="C4921"/>
      <c r="D4921"/>
      <c r="E4921"/>
      <c r="F4921"/>
      <c r="G4921"/>
      <c r="H4921"/>
    </row>
    <row r="4922" spans="3:8" x14ac:dyDescent="0.3">
      <c r="C4922"/>
      <c r="D4922"/>
      <c r="E4922"/>
      <c r="F4922"/>
      <c r="G4922"/>
      <c r="H4922"/>
    </row>
    <row r="4923" spans="3:8" x14ac:dyDescent="0.3">
      <c r="C4923"/>
      <c r="D4923"/>
      <c r="E4923"/>
      <c r="F4923"/>
      <c r="G4923"/>
      <c r="H4923"/>
    </row>
    <row r="4924" spans="3:8" x14ac:dyDescent="0.3">
      <c r="C4924"/>
      <c r="D4924"/>
      <c r="E4924"/>
      <c r="F4924"/>
      <c r="G4924"/>
      <c r="H4924"/>
    </row>
    <row r="4925" spans="3:8" x14ac:dyDescent="0.3">
      <c r="C4925"/>
      <c r="D4925"/>
      <c r="E4925"/>
      <c r="F4925"/>
      <c r="G4925"/>
      <c r="H4925"/>
    </row>
    <row r="4926" spans="3:8" x14ac:dyDescent="0.3">
      <c r="C4926"/>
      <c r="D4926"/>
      <c r="E4926"/>
      <c r="F4926"/>
      <c r="G4926"/>
      <c r="H4926"/>
    </row>
    <row r="4927" spans="3:8" x14ac:dyDescent="0.3">
      <c r="C4927"/>
      <c r="D4927"/>
      <c r="E4927"/>
      <c r="F4927"/>
      <c r="G4927"/>
      <c r="H4927"/>
    </row>
    <row r="4928" spans="3:8" x14ac:dyDescent="0.3">
      <c r="C4928"/>
      <c r="D4928"/>
      <c r="E4928"/>
      <c r="F4928"/>
      <c r="G4928"/>
      <c r="H4928"/>
    </row>
    <row r="4929" spans="3:8" x14ac:dyDescent="0.3">
      <c r="C4929"/>
      <c r="D4929"/>
      <c r="E4929"/>
      <c r="F4929"/>
      <c r="G4929"/>
      <c r="H4929"/>
    </row>
    <row r="4930" spans="3:8" x14ac:dyDescent="0.3">
      <c r="C4930"/>
      <c r="D4930"/>
      <c r="E4930"/>
      <c r="F4930"/>
      <c r="G4930"/>
      <c r="H4930"/>
    </row>
    <row r="4931" spans="3:8" x14ac:dyDescent="0.3">
      <c r="C4931"/>
      <c r="D4931"/>
      <c r="E4931"/>
      <c r="F4931"/>
      <c r="G4931"/>
      <c r="H4931"/>
    </row>
    <row r="4932" spans="3:8" x14ac:dyDescent="0.3">
      <c r="C4932"/>
      <c r="D4932"/>
      <c r="E4932"/>
      <c r="F4932"/>
      <c r="G4932"/>
      <c r="H4932"/>
    </row>
    <row r="4933" spans="3:8" x14ac:dyDescent="0.3">
      <c r="C4933"/>
      <c r="D4933"/>
      <c r="E4933"/>
      <c r="F4933"/>
      <c r="G4933"/>
      <c r="H4933"/>
    </row>
    <row r="4934" spans="3:8" x14ac:dyDescent="0.3">
      <c r="C4934"/>
      <c r="D4934"/>
      <c r="E4934"/>
      <c r="F4934"/>
      <c r="G4934"/>
      <c r="H4934"/>
    </row>
    <row r="4935" spans="3:8" x14ac:dyDescent="0.3">
      <c r="C4935"/>
      <c r="D4935"/>
      <c r="E4935"/>
      <c r="F4935"/>
      <c r="G4935"/>
      <c r="H4935"/>
    </row>
    <row r="4936" spans="3:8" x14ac:dyDescent="0.3">
      <c r="C4936"/>
      <c r="D4936"/>
      <c r="E4936"/>
      <c r="F4936"/>
      <c r="G4936"/>
      <c r="H4936"/>
    </row>
    <row r="4937" spans="3:8" x14ac:dyDescent="0.3">
      <c r="C4937"/>
      <c r="D4937"/>
      <c r="E4937"/>
      <c r="F4937"/>
      <c r="G4937"/>
      <c r="H4937"/>
    </row>
    <row r="4938" spans="3:8" x14ac:dyDescent="0.3">
      <c r="C4938"/>
      <c r="D4938"/>
      <c r="E4938"/>
      <c r="F4938"/>
      <c r="G4938"/>
      <c r="H4938"/>
    </row>
    <row r="4939" spans="3:8" x14ac:dyDescent="0.3">
      <c r="C4939"/>
      <c r="D4939"/>
      <c r="E4939"/>
      <c r="F4939"/>
      <c r="G4939"/>
      <c r="H4939"/>
    </row>
    <row r="4940" spans="3:8" x14ac:dyDescent="0.3">
      <c r="C4940"/>
      <c r="D4940"/>
      <c r="E4940"/>
      <c r="F4940"/>
      <c r="G4940"/>
      <c r="H4940"/>
    </row>
    <row r="4941" spans="3:8" x14ac:dyDescent="0.3">
      <c r="C4941"/>
      <c r="D4941"/>
      <c r="E4941"/>
      <c r="F4941"/>
      <c r="G4941"/>
      <c r="H4941"/>
    </row>
    <row r="4942" spans="3:8" x14ac:dyDescent="0.3">
      <c r="C4942"/>
      <c r="D4942"/>
      <c r="E4942"/>
      <c r="F4942"/>
      <c r="G4942"/>
      <c r="H4942"/>
    </row>
    <row r="4943" spans="3:8" x14ac:dyDescent="0.3">
      <c r="C4943"/>
      <c r="D4943"/>
      <c r="E4943"/>
      <c r="F4943"/>
      <c r="G4943"/>
      <c r="H4943"/>
    </row>
    <row r="4944" spans="3:8" x14ac:dyDescent="0.3">
      <c r="C4944"/>
      <c r="D4944"/>
      <c r="E4944"/>
      <c r="F4944"/>
      <c r="G4944"/>
      <c r="H4944"/>
    </row>
    <row r="4945" spans="3:8" x14ac:dyDescent="0.3">
      <c r="C4945"/>
      <c r="D4945"/>
      <c r="E4945"/>
      <c r="F4945"/>
      <c r="G4945"/>
      <c r="H4945"/>
    </row>
    <row r="4946" spans="3:8" x14ac:dyDescent="0.3">
      <c r="C4946"/>
      <c r="D4946"/>
      <c r="E4946"/>
      <c r="F4946"/>
      <c r="G4946"/>
      <c r="H4946"/>
    </row>
    <row r="4947" spans="3:8" x14ac:dyDescent="0.3">
      <c r="C4947"/>
      <c r="D4947"/>
      <c r="E4947"/>
      <c r="F4947"/>
      <c r="G4947"/>
      <c r="H4947"/>
    </row>
    <row r="4948" spans="3:8" x14ac:dyDescent="0.3">
      <c r="C4948"/>
      <c r="D4948"/>
      <c r="E4948"/>
      <c r="F4948"/>
      <c r="G4948"/>
      <c r="H4948"/>
    </row>
    <row r="4949" spans="3:8" x14ac:dyDescent="0.3">
      <c r="C4949"/>
      <c r="D4949"/>
      <c r="E4949"/>
      <c r="F4949"/>
      <c r="G4949"/>
      <c r="H4949"/>
    </row>
    <row r="4950" spans="3:8" x14ac:dyDescent="0.3">
      <c r="C4950"/>
      <c r="D4950"/>
      <c r="E4950"/>
      <c r="F4950"/>
      <c r="G4950"/>
      <c r="H4950"/>
    </row>
    <row r="4951" spans="3:8" x14ac:dyDescent="0.3">
      <c r="C4951"/>
      <c r="D4951"/>
      <c r="E4951"/>
      <c r="F4951"/>
      <c r="G4951"/>
      <c r="H4951"/>
    </row>
    <row r="4952" spans="3:8" x14ac:dyDescent="0.3">
      <c r="C4952"/>
      <c r="D4952"/>
      <c r="E4952"/>
      <c r="F4952"/>
      <c r="G4952"/>
      <c r="H4952"/>
    </row>
    <row r="4953" spans="3:8" x14ac:dyDescent="0.3">
      <c r="C4953"/>
      <c r="D4953"/>
      <c r="E4953"/>
      <c r="F4953"/>
      <c r="G4953"/>
      <c r="H4953"/>
    </row>
    <row r="4954" spans="3:8" x14ac:dyDescent="0.3">
      <c r="C4954"/>
      <c r="D4954"/>
      <c r="E4954"/>
      <c r="F4954"/>
      <c r="G4954"/>
      <c r="H4954"/>
    </row>
    <row r="4955" spans="3:8" x14ac:dyDescent="0.3">
      <c r="C4955"/>
      <c r="D4955"/>
      <c r="E4955"/>
      <c r="F4955"/>
      <c r="G4955"/>
      <c r="H4955"/>
    </row>
    <row r="4956" spans="3:8" x14ac:dyDescent="0.3">
      <c r="C4956"/>
      <c r="D4956"/>
      <c r="E4956"/>
      <c r="F4956"/>
      <c r="G4956"/>
      <c r="H4956"/>
    </row>
    <row r="4957" spans="3:8" x14ac:dyDescent="0.3">
      <c r="C4957"/>
      <c r="D4957"/>
      <c r="E4957"/>
      <c r="F4957"/>
      <c r="G4957"/>
      <c r="H4957"/>
    </row>
    <row r="4958" spans="3:8" x14ac:dyDescent="0.3">
      <c r="C4958"/>
      <c r="D4958"/>
      <c r="E4958"/>
      <c r="F4958"/>
      <c r="G4958"/>
      <c r="H4958"/>
    </row>
    <row r="4959" spans="3:8" x14ac:dyDescent="0.3">
      <c r="C4959"/>
      <c r="D4959"/>
      <c r="E4959"/>
      <c r="F4959"/>
      <c r="G4959"/>
      <c r="H4959"/>
    </row>
    <row r="4960" spans="3:8" x14ac:dyDescent="0.3">
      <c r="C4960"/>
      <c r="D4960"/>
      <c r="E4960"/>
      <c r="F4960"/>
      <c r="G4960"/>
      <c r="H4960"/>
    </row>
    <row r="4961" spans="3:8" x14ac:dyDescent="0.3">
      <c r="C4961"/>
      <c r="D4961"/>
      <c r="E4961"/>
      <c r="F4961"/>
      <c r="G4961"/>
      <c r="H4961"/>
    </row>
    <row r="4962" spans="3:8" x14ac:dyDescent="0.3">
      <c r="C4962"/>
      <c r="D4962"/>
      <c r="E4962"/>
      <c r="F4962"/>
      <c r="G4962"/>
      <c r="H4962"/>
    </row>
    <row r="4963" spans="3:8" x14ac:dyDescent="0.3">
      <c r="C4963"/>
      <c r="D4963"/>
      <c r="E4963"/>
      <c r="F4963"/>
      <c r="G4963"/>
      <c r="H4963"/>
    </row>
    <row r="4964" spans="3:8" x14ac:dyDescent="0.3">
      <c r="C4964"/>
      <c r="D4964"/>
      <c r="E4964"/>
      <c r="F4964"/>
      <c r="G4964"/>
      <c r="H4964"/>
    </row>
    <row r="4965" spans="3:8" x14ac:dyDescent="0.3">
      <c r="C4965"/>
      <c r="D4965"/>
      <c r="E4965"/>
      <c r="F4965"/>
      <c r="G4965"/>
      <c r="H4965"/>
    </row>
    <row r="4966" spans="3:8" x14ac:dyDescent="0.3">
      <c r="C4966"/>
      <c r="D4966"/>
      <c r="E4966"/>
      <c r="F4966"/>
      <c r="G4966"/>
      <c r="H4966"/>
    </row>
    <row r="4967" spans="3:8" x14ac:dyDescent="0.3">
      <c r="C4967"/>
      <c r="D4967"/>
      <c r="E4967"/>
      <c r="F4967"/>
      <c r="G4967"/>
      <c r="H4967"/>
    </row>
    <row r="4968" spans="3:8" x14ac:dyDescent="0.3">
      <c r="C4968"/>
      <c r="D4968"/>
      <c r="E4968"/>
      <c r="F4968"/>
      <c r="G4968"/>
      <c r="H4968"/>
    </row>
    <row r="4969" spans="3:8" x14ac:dyDescent="0.3">
      <c r="C4969"/>
      <c r="D4969"/>
      <c r="E4969"/>
      <c r="F4969"/>
      <c r="G4969"/>
      <c r="H4969"/>
    </row>
    <row r="4970" spans="3:8" x14ac:dyDescent="0.3">
      <c r="C4970"/>
      <c r="D4970"/>
      <c r="E4970"/>
      <c r="F4970"/>
      <c r="G4970"/>
      <c r="H4970"/>
    </row>
    <row r="4971" spans="3:8" x14ac:dyDescent="0.3">
      <c r="C4971"/>
      <c r="D4971"/>
      <c r="E4971"/>
      <c r="F4971"/>
      <c r="G4971"/>
      <c r="H4971"/>
    </row>
    <row r="4972" spans="3:8" x14ac:dyDescent="0.3">
      <c r="C4972"/>
      <c r="D4972"/>
      <c r="E4972"/>
      <c r="F4972"/>
      <c r="G4972"/>
      <c r="H4972"/>
    </row>
    <row r="4973" spans="3:8" x14ac:dyDescent="0.3">
      <c r="C4973"/>
      <c r="D4973"/>
      <c r="E4973"/>
      <c r="F4973"/>
      <c r="G4973"/>
      <c r="H4973"/>
    </row>
    <row r="4974" spans="3:8" x14ac:dyDescent="0.3">
      <c r="C4974"/>
      <c r="D4974"/>
      <c r="E4974"/>
      <c r="F4974"/>
      <c r="G4974"/>
      <c r="H4974"/>
    </row>
    <row r="4975" spans="3:8" x14ac:dyDescent="0.3">
      <c r="C4975"/>
      <c r="D4975"/>
      <c r="E4975"/>
      <c r="F4975"/>
      <c r="G4975"/>
      <c r="H4975"/>
    </row>
    <row r="4976" spans="3:8" x14ac:dyDescent="0.3">
      <c r="C4976"/>
      <c r="D4976"/>
      <c r="E4976"/>
      <c r="F4976"/>
      <c r="G4976"/>
      <c r="H4976"/>
    </row>
    <row r="4977" spans="3:8" x14ac:dyDescent="0.3">
      <c r="C4977"/>
      <c r="D4977"/>
      <c r="E4977"/>
      <c r="F4977"/>
      <c r="G4977"/>
      <c r="H4977"/>
    </row>
    <row r="4978" spans="3:8" x14ac:dyDescent="0.3">
      <c r="C4978"/>
      <c r="D4978"/>
      <c r="E4978"/>
      <c r="F4978"/>
      <c r="G4978"/>
      <c r="H4978"/>
    </row>
    <row r="4979" spans="3:8" x14ac:dyDescent="0.3">
      <c r="C4979"/>
      <c r="D4979"/>
      <c r="E4979"/>
      <c r="F4979"/>
      <c r="G4979"/>
      <c r="H4979"/>
    </row>
    <row r="4980" spans="3:8" x14ac:dyDescent="0.3">
      <c r="C4980"/>
      <c r="D4980"/>
      <c r="E4980"/>
      <c r="F4980"/>
      <c r="G4980"/>
      <c r="H4980"/>
    </row>
    <row r="4981" spans="3:8" x14ac:dyDescent="0.3">
      <c r="C4981"/>
      <c r="D4981"/>
      <c r="E4981"/>
      <c r="F4981"/>
      <c r="G4981"/>
      <c r="H4981"/>
    </row>
    <row r="4982" spans="3:8" x14ac:dyDescent="0.3">
      <c r="C4982"/>
      <c r="D4982"/>
      <c r="E4982"/>
      <c r="F4982"/>
      <c r="G4982"/>
      <c r="H4982"/>
    </row>
    <row r="4983" spans="3:8" x14ac:dyDescent="0.3">
      <c r="C4983"/>
      <c r="D4983"/>
      <c r="E4983"/>
      <c r="F4983"/>
      <c r="G4983"/>
      <c r="H4983"/>
    </row>
    <row r="4984" spans="3:8" x14ac:dyDescent="0.3">
      <c r="C4984"/>
      <c r="D4984"/>
      <c r="E4984"/>
      <c r="F4984"/>
      <c r="G4984"/>
      <c r="H4984"/>
    </row>
    <row r="4985" spans="3:8" x14ac:dyDescent="0.3">
      <c r="C4985"/>
      <c r="D4985"/>
      <c r="E4985"/>
      <c r="F4985"/>
      <c r="G4985"/>
      <c r="H4985"/>
    </row>
    <row r="4986" spans="3:8" x14ac:dyDescent="0.3">
      <c r="C4986"/>
      <c r="D4986"/>
      <c r="E4986"/>
      <c r="F4986"/>
      <c r="G4986"/>
      <c r="H4986"/>
    </row>
    <row r="4987" spans="3:8" x14ac:dyDescent="0.3">
      <c r="C4987"/>
      <c r="D4987"/>
      <c r="E4987"/>
      <c r="F4987"/>
      <c r="G4987"/>
      <c r="H4987"/>
    </row>
    <row r="4988" spans="3:8" x14ac:dyDescent="0.3">
      <c r="C4988"/>
      <c r="D4988"/>
      <c r="E4988"/>
      <c r="F4988"/>
      <c r="G4988"/>
      <c r="H4988"/>
    </row>
    <row r="4989" spans="3:8" x14ac:dyDescent="0.3">
      <c r="C4989"/>
      <c r="D4989"/>
      <c r="E4989"/>
      <c r="F4989"/>
      <c r="G4989"/>
      <c r="H4989"/>
    </row>
    <row r="4990" spans="3:8" x14ac:dyDescent="0.3">
      <c r="C4990"/>
      <c r="D4990"/>
      <c r="E4990"/>
      <c r="F4990"/>
      <c r="G4990"/>
      <c r="H4990"/>
    </row>
    <row r="4991" spans="3:8" x14ac:dyDescent="0.3">
      <c r="C4991"/>
      <c r="D4991"/>
      <c r="E4991"/>
      <c r="F4991"/>
      <c r="G4991"/>
      <c r="H4991"/>
    </row>
    <row r="4992" spans="3:8" x14ac:dyDescent="0.3">
      <c r="C4992"/>
      <c r="D4992"/>
      <c r="E4992"/>
      <c r="F4992"/>
      <c r="G4992"/>
      <c r="H4992"/>
    </row>
    <row r="4993" spans="3:8" x14ac:dyDescent="0.3">
      <c r="C4993"/>
      <c r="D4993"/>
      <c r="E4993"/>
      <c r="F4993"/>
      <c r="G4993"/>
      <c r="H4993"/>
    </row>
    <row r="4994" spans="3:8" x14ac:dyDescent="0.3">
      <c r="C4994"/>
      <c r="D4994"/>
      <c r="E4994"/>
      <c r="F4994"/>
      <c r="G4994"/>
      <c r="H4994"/>
    </row>
    <row r="4995" spans="3:8" x14ac:dyDescent="0.3">
      <c r="C4995"/>
      <c r="D4995"/>
      <c r="E4995"/>
      <c r="F4995"/>
      <c r="G4995"/>
      <c r="H4995"/>
    </row>
    <row r="4996" spans="3:8" x14ac:dyDescent="0.3">
      <c r="C4996"/>
      <c r="D4996"/>
      <c r="E4996"/>
      <c r="F4996"/>
      <c r="G4996"/>
      <c r="H4996"/>
    </row>
    <row r="4997" spans="3:8" x14ac:dyDescent="0.3">
      <c r="C4997"/>
      <c r="D4997"/>
      <c r="E4997"/>
      <c r="F4997"/>
      <c r="G4997"/>
      <c r="H4997"/>
    </row>
    <row r="4998" spans="3:8" x14ac:dyDescent="0.3">
      <c r="C4998"/>
      <c r="D4998"/>
      <c r="E4998"/>
      <c r="F4998"/>
      <c r="G4998"/>
      <c r="H4998"/>
    </row>
    <row r="4999" spans="3:8" x14ac:dyDescent="0.3">
      <c r="C4999"/>
      <c r="D4999"/>
      <c r="E4999"/>
      <c r="F4999"/>
      <c r="G4999"/>
      <c r="H4999"/>
    </row>
    <row r="5000" spans="3:8" x14ac:dyDescent="0.3">
      <c r="C5000"/>
      <c r="D5000"/>
      <c r="E5000"/>
      <c r="F5000"/>
      <c r="G5000"/>
      <c r="H5000"/>
    </row>
    <row r="5001" spans="3:8" x14ac:dyDescent="0.3">
      <c r="C5001"/>
      <c r="D5001"/>
      <c r="E5001"/>
      <c r="F5001"/>
      <c r="G5001"/>
      <c r="H5001"/>
    </row>
    <row r="5002" spans="3:8" x14ac:dyDescent="0.3">
      <c r="C5002"/>
      <c r="D5002"/>
      <c r="E5002"/>
      <c r="F5002"/>
      <c r="G5002"/>
      <c r="H5002"/>
    </row>
    <row r="5003" spans="3:8" x14ac:dyDescent="0.3">
      <c r="C5003"/>
      <c r="D5003"/>
      <c r="E5003"/>
      <c r="F5003"/>
      <c r="G5003"/>
      <c r="H5003"/>
    </row>
    <row r="5004" spans="3:8" x14ac:dyDescent="0.3">
      <c r="C5004"/>
      <c r="D5004"/>
      <c r="E5004"/>
      <c r="F5004"/>
      <c r="G5004"/>
      <c r="H5004"/>
    </row>
    <row r="5005" spans="3:8" x14ac:dyDescent="0.3">
      <c r="C5005"/>
      <c r="D5005"/>
      <c r="E5005"/>
      <c r="F5005"/>
      <c r="G5005"/>
      <c r="H5005"/>
    </row>
    <row r="5006" spans="3:8" x14ac:dyDescent="0.3">
      <c r="C5006"/>
      <c r="D5006"/>
      <c r="E5006"/>
      <c r="F5006"/>
      <c r="G5006"/>
      <c r="H5006"/>
    </row>
    <row r="5007" spans="3:8" x14ac:dyDescent="0.3">
      <c r="C5007"/>
      <c r="D5007"/>
      <c r="E5007"/>
      <c r="F5007"/>
      <c r="G5007"/>
      <c r="H5007"/>
    </row>
    <row r="5008" spans="3:8" x14ac:dyDescent="0.3">
      <c r="C5008"/>
      <c r="D5008"/>
      <c r="E5008"/>
      <c r="F5008"/>
      <c r="G5008"/>
      <c r="H5008"/>
    </row>
    <row r="5009" spans="3:8" x14ac:dyDescent="0.3">
      <c r="C5009"/>
      <c r="D5009"/>
      <c r="E5009"/>
      <c r="F5009"/>
      <c r="G5009"/>
      <c r="H5009"/>
    </row>
    <row r="5010" spans="3:8" x14ac:dyDescent="0.3">
      <c r="C5010"/>
      <c r="D5010"/>
      <c r="E5010"/>
      <c r="F5010"/>
      <c r="G5010"/>
      <c r="H5010"/>
    </row>
    <row r="5011" spans="3:8" x14ac:dyDescent="0.3">
      <c r="C5011"/>
      <c r="D5011"/>
      <c r="E5011"/>
      <c r="F5011"/>
      <c r="G5011"/>
      <c r="H5011"/>
    </row>
    <row r="5012" spans="3:8" x14ac:dyDescent="0.3">
      <c r="C5012"/>
      <c r="D5012"/>
      <c r="E5012"/>
      <c r="F5012"/>
      <c r="G5012"/>
      <c r="H5012"/>
    </row>
    <row r="5013" spans="3:8" x14ac:dyDescent="0.3">
      <c r="C5013"/>
      <c r="D5013"/>
      <c r="E5013"/>
      <c r="F5013"/>
      <c r="G5013"/>
      <c r="H5013"/>
    </row>
    <row r="5014" spans="3:8" x14ac:dyDescent="0.3">
      <c r="C5014"/>
      <c r="D5014"/>
      <c r="E5014"/>
      <c r="F5014"/>
      <c r="G5014"/>
      <c r="H5014"/>
    </row>
    <row r="5015" spans="3:8" x14ac:dyDescent="0.3">
      <c r="C5015"/>
      <c r="D5015"/>
      <c r="E5015"/>
      <c r="F5015"/>
      <c r="G5015"/>
      <c r="H5015"/>
    </row>
    <row r="5016" spans="3:8" x14ac:dyDescent="0.3">
      <c r="C5016"/>
      <c r="D5016"/>
      <c r="E5016"/>
      <c r="F5016"/>
      <c r="G5016"/>
      <c r="H5016"/>
    </row>
    <row r="5017" spans="3:8" x14ac:dyDescent="0.3">
      <c r="C5017"/>
      <c r="D5017"/>
      <c r="E5017"/>
      <c r="F5017"/>
      <c r="G5017"/>
      <c r="H5017"/>
    </row>
    <row r="5018" spans="3:8" x14ac:dyDescent="0.3">
      <c r="C5018"/>
      <c r="D5018"/>
      <c r="E5018"/>
      <c r="F5018"/>
      <c r="G5018"/>
      <c r="H5018"/>
    </row>
    <row r="5019" spans="3:8" x14ac:dyDescent="0.3">
      <c r="C5019"/>
      <c r="D5019"/>
      <c r="E5019"/>
      <c r="F5019"/>
      <c r="G5019"/>
      <c r="H5019"/>
    </row>
    <row r="5020" spans="3:8" x14ac:dyDescent="0.3">
      <c r="C5020"/>
      <c r="D5020"/>
      <c r="E5020"/>
      <c r="F5020"/>
      <c r="G5020"/>
      <c r="H5020"/>
    </row>
    <row r="5021" spans="3:8" x14ac:dyDescent="0.3">
      <c r="C5021"/>
      <c r="D5021"/>
      <c r="E5021"/>
      <c r="F5021"/>
      <c r="G5021"/>
      <c r="H5021"/>
    </row>
    <row r="5022" spans="3:8" x14ac:dyDescent="0.3">
      <c r="C5022"/>
      <c r="D5022"/>
      <c r="E5022"/>
      <c r="F5022"/>
      <c r="G5022"/>
      <c r="H5022"/>
    </row>
    <row r="5023" spans="3:8" x14ac:dyDescent="0.3">
      <c r="C5023"/>
      <c r="D5023"/>
      <c r="E5023"/>
      <c r="F5023"/>
      <c r="G5023"/>
      <c r="H5023"/>
    </row>
    <row r="5024" spans="3:8" x14ac:dyDescent="0.3">
      <c r="C5024"/>
      <c r="D5024"/>
      <c r="E5024"/>
      <c r="F5024"/>
      <c r="G5024"/>
      <c r="H5024"/>
    </row>
    <row r="5025" spans="3:8" x14ac:dyDescent="0.3">
      <c r="C5025"/>
      <c r="D5025"/>
      <c r="E5025"/>
      <c r="F5025"/>
      <c r="G5025"/>
      <c r="H5025"/>
    </row>
    <row r="5026" spans="3:8" x14ac:dyDescent="0.3">
      <c r="C5026"/>
      <c r="D5026"/>
      <c r="E5026"/>
      <c r="F5026"/>
      <c r="G5026"/>
      <c r="H5026"/>
    </row>
    <row r="5027" spans="3:8" x14ac:dyDescent="0.3">
      <c r="C5027"/>
      <c r="D5027"/>
      <c r="E5027"/>
      <c r="F5027"/>
      <c r="G5027"/>
      <c r="H5027"/>
    </row>
    <row r="5028" spans="3:8" x14ac:dyDescent="0.3">
      <c r="C5028"/>
      <c r="D5028"/>
      <c r="E5028"/>
      <c r="F5028"/>
      <c r="G5028"/>
      <c r="H5028"/>
    </row>
    <row r="5029" spans="3:8" x14ac:dyDescent="0.3">
      <c r="C5029"/>
      <c r="D5029"/>
      <c r="E5029"/>
      <c r="F5029"/>
      <c r="G5029"/>
      <c r="H5029"/>
    </row>
    <row r="5030" spans="3:8" x14ac:dyDescent="0.3">
      <c r="C5030"/>
      <c r="D5030"/>
      <c r="E5030"/>
      <c r="F5030"/>
      <c r="G5030"/>
      <c r="H5030"/>
    </row>
    <row r="5031" spans="3:8" x14ac:dyDescent="0.3">
      <c r="C5031"/>
      <c r="D5031"/>
      <c r="E5031"/>
      <c r="F5031"/>
      <c r="G5031"/>
      <c r="H5031"/>
    </row>
    <row r="5032" spans="3:8" x14ac:dyDescent="0.3">
      <c r="C5032"/>
      <c r="D5032"/>
      <c r="E5032"/>
      <c r="F5032"/>
      <c r="G5032"/>
      <c r="H5032"/>
    </row>
    <row r="5033" spans="3:8" x14ac:dyDescent="0.3">
      <c r="C5033"/>
      <c r="D5033"/>
      <c r="E5033"/>
      <c r="F5033"/>
      <c r="G5033"/>
      <c r="H5033"/>
    </row>
    <row r="5034" spans="3:8" x14ac:dyDescent="0.3">
      <c r="C5034"/>
      <c r="D5034"/>
      <c r="E5034"/>
      <c r="F5034"/>
      <c r="G5034"/>
      <c r="H5034"/>
    </row>
    <row r="5035" spans="3:8" x14ac:dyDescent="0.3">
      <c r="C5035"/>
      <c r="D5035"/>
      <c r="E5035"/>
      <c r="F5035"/>
      <c r="G5035"/>
      <c r="H5035"/>
    </row>
    <row r="5036" spans="3:8" x14ac:dyDescent="0.3">
      <c r="C5036"/>
      <c r="D5036"/>
      <c r="E5036"/>
      <c r="F5036"/>
      <c r="G5036"/>
      <c r="H5036"/>
    </row>
    <row r="5037" spans="3:8" x14ac:dyDescent="0.3">
      <c r="C5037"/>
      <c r="D5037"/>
      <c r="E5037"/>
      <c r="F5037"/>
      <c r="G5037"/>
      <c r="H5037"/>
    </row>
    <row r="5038" spans="3:8" x14ac:dyDescent="0.3">
      <c r="C5038"/>
      <c r="D5038"/>
      <c r="E5038"/>
      <c r="F5038"/>
      <c r="G5038"/>
      <c r="H5038"/>
    </row>
    <row r="5039" spans="3:8" x14ac:dyDescent="0.3">
      <c r="C5039"/>
      <c r="D5039"/>
      <c r="E5039"/>
      <c r="F5039"/>
      <c r="G5039"/>
      <c r="H5039"/>
    </row>
    <row r="5040" spans="3:8" x14ac:dyDescent="0.3">
      <c r="C5040"/>
      <c r="D5040"/>
      <c r="E5040"/>
      <c r="F5040"/>
      <c r="G5040"/>
      <c r="H5040"/>
    </row>
    <row r="5041" spans="3:8" x14ac:dyDescent="0.3">
      <c r="C5041"/>
      <c r="D5041"/>
      <c r="E5041"/>
      <c r="F5041"/>
      <c r="G5041"/>
      <c r="H5041"/>
    </row>
    <row r="5042" spans="3:8" x14ac:dyDescent="0.3">
      <c r="C5042"/>
      <c r="D5042"/>
      <c r="E5042"/>
      <c r="F5042"/>
      <c r="G5042"/>
      <c r="H5042"/>
    </row>
    <row r="5043" spans="3:8" x14ac:dyDescent="0.3">
      <c r="C5043"/>
      <c r="D5043"/>
      <c r="E5043"/>
      <c r="F5043"/>
      <c r="G5043"/>
      <c r="H5043"/>
    </row>
    <row r="5044" spans="3:8" x14ac:dyDescent="0.3">
      <c r="C5044"/>
      <c r="D5044"/>
      <c r="E5044"/>
      <c r="F5044"/>
      <c r="G5044"/>
      <c r="H5044"/>
    </row>
    <row r="5045" spans="3:8" x14ac:dyDescent="0.3">
      <c r="C5045"/>
      <c r="D5045"/>
      <c r="E5045"/>
      <c r="F5045"/>
      <c r="G5045"/>
      <c r="H5045"/>
    </row>
    <row r="5046" spans="3:8" x14ac:dyDescent="0.3">
      <c r="C5046"/>
      <c r="D5046"/>
      <c r="E5046"/>
      <c r="F5046"/>
      <c r="G5046"/>
      <c r="H5046"/>
    </row>
    <row r="5047" spans="3:8" x14ac:dyDescent="0.3">
      <c r="C5047"/>
      <c r="D5047"/>
      <c r="E5047"/>
      <c r="F5047"/>
      <c r="G5047"/>
      <c r="H5047"/>
    </row>
    <row r="5048" spans="3:8" x14ac:dyDescent="0.3">
      <c r="C5048"/>
      <c r="D5048"/>
      <c r="E5048"/>
      <c r="F5048"/>
      <c r="G5048"/>
      <c r="H5048"/>
    </row>
    <row r="5049" spans="3:8" x14ac:dyDescent="0.3">
      <c r="C5049"/>
      <c r="D5049"/>
      <c r="E5049"/>
      <c r="F5049"/>
      <c r="G5049"/>
      <c r="H5049"/>
    </row>
    <row r="5050" spans="3:8" x14ac:dyDescent="0.3">
      <c r="C5050"/>
      <c r="D5050"/>
      <c r="E5050"/>
      <c r="F5050"/>
      <c r="G5050"/>
      <c r="H5050"/>
    </row>
    <row r="5051" spans="3:8" x14ac:dyDescent="0.3">
      <c r="C5051"/>
      <c r="D5051"/>
      <c r="E5051"/>
      <c r="F5051"/>
      <c r="G5051"/>
      <c r="H5051"/>
    </row>
    <row r="5052" spans="3:8" x14ac:dyDescent="0.3">
      <c r="C5052"/>
      <c r="D5052"/>
      <c r="E5052"/>
      <c r="F5052"/>
      <c r="G5052"/>
      <c r="H5052"/>
    </row>
    <row r="5053" spans="3:8" x14ac:dyDescent="0.3">
      <c r="C5053"/>
      <c r="D5053"/>
      <c r="E5053"/>
      <c r="F5053"/>
      <c r="G5053"/>
      <c r="H5053"/>
    </row>
    <row r="5054" spans="3:8" x14ac:dyDescent="0.3">
      <c r="C5054"/>
      <c r="D5054"/>
      <c r="E5054"/>
      <c r="F5054"/>
      <c r="G5054"/>
      <c r="H5054"/>
    </row>
    <row r="5055" spans="3:8" x14ac:dyDescent="0.3">
      <c r="C5055"/>
      <c r="D5055"/>
      <c r="E5055"/>
      <c r="F5055"/>
      <c r="G5055"/>
      <c r="H5055"/>
    </row>
    <row r="5056" spans="3:8" x14ac:dyDescent="0.3">
      <c r="C5056"/>
      <c r="D5056"/>
      <c r="E5056"/>
      <c r="F5056"/>
      <c r="G5056"/>
      <c r="H5056"/>
    </row>
    <row r="5057" spans="3:8" x14ac:dyDescent="0.3">
      <c r="C5057"/>
      <c r="D5057"/>
      <c r="E5057"/>
      <c r="F5057"/>
      <c r="G5057"/>
      <c r="H5057"/>
    </row>
    <row r="5058" spans="3:8" x14ac:dyDescent="0.3">
      <c r="C5058"/>
      <c r="D5058"/>
      <c r="E5058"/>
      <c r="F5058"/>
      <c r="G5058"/>
      <c r="H5058"/>
    </row>
    <row r="5059" spans="3:8" x14ac:dyDescent="0.3">
      <c r="C5059"/>
      <c r="D5059"/>
      <c r="E5059"/>
      <c r="F5059"/>
      <c r="G5059"/>
      <c r="H5059"/>
    </row>
    <row r="5060" spans="3:8" x14ac:dyDescent="0.3">
      <c r="C5060"/>
      <c r="D5060"/>
      <c r="E5060"/>
      <c r="F5060"/>
      <c r="G5060"/>
      <c r="H5060"/>
    </row>
    <row r="5061" spans="3:8" x14ac:dyDescent="0.3">
      <c r="C5061"/>
      <c r="D5061"/>
      <c r="E5061"/>
      <c r="F5061"/>
      <c r="G5061"/>
      <c r="H5061"/>
    </row>
    <row r="5062" spans="3:8" x14ac:dyDescent="0.3">
      <c r="C5062"/>
      <c r="D5062"/>
      <c r="E5062"/>
      <c r="F5062"/>
      <c r="G5062"/>
      <c r="H5062"/>
    </row>
    <row r="5063" spans="3:8" x14ac:dyDescent="0.3">
      <c r="C5063"/>
      <c r="D5063"/>
      <c r="E5063"/>
      <c r="F5063"/>
      <c r="G5063"/>
      <c r="H5063"/>
    </row>
    <row r="5064" spans="3:8" x14ac:dyDescent="0.3">
      <c r="C5064"/>
      <c r="D5064"/>
      <c r="E5064"/>
      <c r="F5064"/>
      <c r="G5064"/>
      <c r="H5064"/>
    </row>
    <row r="5065" spans="3:8" x14ac:dyDescent="0.3">
      <c r="C5065"/>
      <c r="D5065"/>
      <c r="E5065"/>
      <c r="F5065"/>
      <c r="G5065"/>
      <c r="H5065"/>
    </row>
    <row r="5066" spans="3:8" x14ac:dyDescent="0.3">
      <c r="C5066"/>
      <c r="D5066"/>
      <c r="E5066"/>
      <c r="F5066"/>
      <c r="G5066"/>
      <c r="H5066"/>
    </row>
    <row r="5067" spans="3:8" x14ac:dyDescent="0.3">
      <c r="C5067"/>
      <c r="D5067"/>
      <c r="E5067"/>
      <c r="F5067"/>
      <c r="G5067"/>
      <c r="H5067"/>
    </row>
    <row r="5068" spans="3:8" x14ac:dyDescent="0.3">
      <c r="C5068"/>
      <c r="D5068"/>
      <c r="E5068"/>
      <c r="F5068"/>
      <c r="G5068"/>
      <c r="H5068"/>
    </row>
    <row r="5069" spans="3:8" x14ac:dyDescent="0.3">
      <c r="C5069"/>
      <c r="D5069"/>
      <c r="E5069"/>
      <c r="F5069"/>
      <c r="G5069"/>
      <c r="H5069"/>
    </row>
    <row r="5070" spans="3:8" x14ac:dyDescent="0.3">
      <c r="C5070"/>
      <c r="D5070"/>
      <c r="E5070"/>
      <c r="F5070"/>
      <c r="G5070"/>
      <c r="H5070"/>
    </row>
    <row r="5071" spans="3:8" x14ac:dyDescent="0.3">
      <c r="C5071"/>
      <c r="D5071"/>
      <c r="E5071"/>
      <c r="F5071"/>
      <c r="G5071"/>
      <c r="H5071"/>
    </row>
    <row r="5072" spans="3:8" x14ac:dyDescent="0.3">
      <c r="C5072"/>
      <c r="D5072"/>
      <c r="E5072"/>
      <c r="F5072"/>
      <c r="G5072"/>
      <c r="H5072"/>
    </row>
    <row r="5073" spans="3:8" x14ac:dyDescent="0.3">
      <c r="C5073"/>
      <c r="D5073"/>
      <c r="E5073"/>
      <c r="F5073"/>
      <c r="G5073"/>
      <c r="H5073"/>
    </row>
    <row r="5074" spans="3:8" x14ac:dyDescent="0.3">
      <c r="C5074"/>
      <c r="D5074"/>
      <c r="E5074"/>
      <c r="F5074"/>
      <c r="G5074"/>
      <c r="H5074"/>
    </row>
    <row r="5075" spans="3:8" x14ac:dyDescent="0.3">
      <c r="C5075"/>
      <c r="D5075"/>
      <c r="E5075"/>
      <c r="F5075"/>
      <c r="G5075"/>
      <c r="H5075"/>
    </row>
    <row r="5076" spans="3:8" x14ac:dyDescent="0.3">
      <c r="C5076"/>
      <c r="D5076"/>
      <c r="E5076"/>
      <c r="F5076"/>
      <c r="G5076"/>
      <c r="H5076"/>
    </row>
    <row r="5077" spans="3:8" x14ac:dyDescent="0.3">
      <c r="C5077"/>
      <c r="D5077"/>
      <c r="E5077"/>
      <c r="F5077"/>
      <c r="G5077"/>
      <c r="H5077"/>
    </row>
    <row r="5078" spans="3:8" x14ac:dyDescent="0.3">
      <c r="C5078"/>
      <c r="D5078"/>
      <c r="E5078"/>
      <c r="F5078"/>
      <c r="G5078"/>
      <c r="H5078"/>
    </row>
    <row r="5079" spans="3:8" x14ac:dyDescent="0.3">
      <c r="C5079"/>
      <c r="D5079"/>
      <c r="E5079"/>
      <c r="F5079"/>
      <c r="G5079"/>
      <c r="H5079"/>
    </row>
    <row r="5080" spans="3:8" x14ac:dyDescent="0.3">
      <c r="C5080"/>
      <c r="D5080"/>
      <c r="E5080"/>
      <c r="F5080"/>
      <c r="G5080"/>
      <c r="H5080"/>
    </row>
    <row r="5081" spans="3:8" x14ac:dyDescent="0.3">
      <c r="C5081"/>
      <c r="D5081"/>
      <c r="E5081"/>
      <c r="F5081"/>
      <c r="G5081"/>
      <c r="H5081"/>
    </row>
    <row r="5082" spans="3:8" x14ac:dyDescent="0.3">
      <c r="C5082"/>
      <c r="D5082"/>
      <c r="E5082"/>
      <c r="F5082"/>
      <c r="G5082"/>
      <c r="H5082"/>
    </row>
    <row r="5083" spans="3:8" x14ac:dyDescent="0.3">
      <c r="C5083"/>
      <c r="D5083"/>
      <c r="E5083"/>
      <c r="F5083"/>
      <c r="G5083"/>
      <c r="H5083"/>
    </row>
    <row r="5084" spans="3:8" x14ac:dyDescent="0.3">
      <c r="C5084"/>
      <c r="D5084"/>
      <c r="E5084"/>
      <c r="F5084"/>
      <c r="G5084"/>
      <c r="H5084"/>
    </row>
    <row r="5085" spans="3:8" x14ac:dyDescent="0.3">
      <c r="C5085"/>
      <c r="D5085"/>
      <c r="E5085"/>
      <c r="F5085"/>
      <c r="G5085"/>
      <c r="H5085"/>
    </row>
    <row r="5086" spans="3:8" x14ac:dyDescent="0.3">
      <c r="C5086"/>
      <c r="D5086"/>
      <c r="E5086"/>
      <c r="F5086"/>
      <c r="G5086"/>
      <c r="H5086"/>
    </row>
    <row r="5087" spans="3:8" x14ac:dyDescent="0.3">
      <c r="C5087"/>
      <c r="D5087"/>
      <c r="E5087"/>
      <c r="F5087"/>
      <c r="G5087"/>
      <c r="H5087"/>
    </row>
    <row r="5088" spans="3:8" x14ac:dyDescent="0.3">
      <c r="C5088"/>
      <c r="D5088"/>
      <c r="E5088"/>
      <c r="F5088"/>
      <c r="G5088"/>
      <c r="H5088"/>
    </row>
    <row r="5089" spans="3:8" x14ac:dyDescent="0.3">
      <c r="C5089"/>
      <c r="D5089"/>
      <c r="E5089"/>
      <c r="F5089"/>
      <c r="G5089"/>
      <c r="H5089"/>
    </row>
    <row r="5090" spans="3:8" x14ac:dyDescent="0.3">
      <c r="C5090"/>
      <c r="D5090"/>
      <c r="E5090"/>
      <c r="F5090"/>
      <c r="G5090"/>
      <c r="H5090"/>
    </row>
    <row r="5091" spans="3:8" x14ac:dyDescent="0.3">
      <c r="C5091"/>
      <c r="D5091"/>
      <c r="E5091"/>
      <c r="F5091"/>
      <c r="G5091"/>
      <c r="H5091"/>
    </row>
    <row r="5092" spans="3:8" x14ac:dyDescent="0.3">
      <c r="C5092"/>
      <c r="D5092"/>
      <c r="E5092"/>
      <c r="F5092"/>
      <c r="G5092"/>
      <c r="H5092"/>
    </row>
    <row r="5093" spans="3:8" x14ac:dyDescent="0.3">
      <c r="C5093"/>
      <c r="D5093"/>
      <c r="E5093"/>
      <c r="F5093"/>
      <c r="G5093"/>
      <c r="H5093"/>
    </row>
    <row r="5094" spans="3:8" x14ac:dyDescent="0.3">
      <c r="C5094"/>
      <c r="D5094"/>
      <c r="E5094"/>
      <c r="F5094"/>
      <c r="G5094"/>
      <c r="H5094"/>
    </row>
    <row r="5095" spans="3:8" x14ac:dyDescent="0.3">
      <c r="C5095"/>
      <c r="D5095"/>
      <c r="E5095"/>
      <c r="F5095"/>
      <c r="G5095"/>
      <c r="H5095"/>
    </row>
    <row r="5096" spans="3:8" x14ac:dyDescent="0.3">
      <c r="C5096"/>
      <c r="D5096"/>
      <c r="E5096"/>
      <c r="F5096"/>
      <c r="G5096"/>
      <c r="H5096"/>
    </row>
    <row r="5097" spans="3:8" x14ac:dyDescent="0.3">
      <c r="C5097"/>
      <c r="D5097"/>
      <c r="E5097"/>
      <c r="F5097"/>
      <c r="G5097"/>
      <c r="H5097"/>
    </row>
    <row r="5098" spans="3:8" x14ac:dyDescent="0.3">
      <c r="C5098"/>
      <c r="D5098"/>
      <c r="E5098"/>
      <c r="F5098"/>
      <c r="G5098"/>
      <c r="H5098"/>
    </row>
    <row r="5099" spans="3:8" x14ac:dyDescent="0.3">
      <c r="C5099"/>
      <c r="D5099"/>
      <c r="E5099"/>
      <c r="F5099"/>
      <c r="G5099"/>
      <c r="H5099"/>
    </row>
    <row r="5100" spans="3:8" x14ac:dyDescent="0.3">
      <c r="C5100"/>
      <c r="D5100"/>
      <c r="E5100"/>
      <c r="F5100"/>
      <c r="G5100"/>
      <c r="H5100"/>
    </row>
    <row r="5101" spans="3:8" x14ac:dyDescent="0.3">
      <c r="C5101"/>
      <c r="D5101"/>
      <c r="E5101"/>
      <c r="F5101"/>
      <c r="G5101"/>
      <c r="H5101"/>
    </row>
    <row r="5102" spans="3:8" x14ac:dyDescent="0.3">
      <c r="C5102"/>
      <c r="D5102"/>
      <c r="E5102"/>
      <c r="F5102"/>
      <c r="G5102"/>
      <c r="H5102"/>
    </row>
    <row r="5103" spans="3:8" x14ac:dyDescent="0.3">
      <c r="C5103"/>
      <c r="D5103"/>
      <c r="E5103"/>
      <c r="F5103"/>
      <c r="G5103"/>
      <c r="H5103"/>
    </row>
    <row r="5104" spans="3:8" x14ac:dyDescent="0.3">
      <c r="C5104"/>
      <c r="D5104"/>
      <c r="E5104"/>
      <c r="F5104"/>
      <c r="G5104"/>
      <c r="H5104"/>
    </row>
    <row r="5105" spans="3:8" x14ac:dyDescent="0.3">
      <c r="C5105"/>
      <c r="D5105"/>
      <c r="E5105"/>
      <c r="F5105"/>
      <c r="G5105"/>
      <c r="H5105"/>
    </row>
    <row r="5106" spans="3:8" x14ac:dyDescent="0.3">
      <c r="C5106"/>
      <c r="D5106"/>
      <c r="E5106"/>
      <c r="F5106"/>
      <c r="G5106"/>
      <c r="H5106"/>
    </row>
    <row r="5107" spans="3:8" x14ac:dyDescent="0.3">
      <c r="C5107"/>
      <c r="D5107"/>
      <c r="E5107"/>
      <c r="F5107"/>
      <c r="G5107"/>
      <c r="H5107"/>
    </row>
    <row r="5108" spans="3:8" x14ac:dyDescent="0.3">
      <c r="C5108"/>
      <c r="D5108"/>
      <c r="E5108"/>
      <c r="F5108"/>
      <c r="G5108"/>
      <c r="H5108"/>
    </row>
    <row r="5109" spans="3:8" x14ac:dyDescent="0.3">
      <c r="C5109"/>
      <c r="D5109"/>
      <c r="E5109"/>
      <c r="F5109"/>
      <c r="G5109"/>
      <c r="H5109"/>
    </row>
    <row r="5110" spans="3:8" x14ac:dyDescent="0.3">
      <c r="C5110"/>
      <c r="D5110"/>
      <c r="E5110"/>
      <c r="F5110"/>
      <c r="G5110"/>
      <c r="H5110"/>
    </row>
    <row r="5111" spans="3:8" x14ac:dyDescent="0.3">
      <c r="C5111"/>
      <c r="D5111"/>
      <c r="E5111"/>
      <c r="F5111"/>
      <c r="G5111"/>
      <c r="H5111"/>
    </row>
    <row r="5112" spans="3:8" x14ac:dyDescent="0.3">
      <c r="C5112"/>
      <c r="D5112"/>
      <c r="E5112"/>
      <c r="F5112"/>
      <c r="G5112"/>
      <c r="H5112"/>
    </row>
    <row r="5113" spans="3:8" x14ac:dyDescent="0.3">
      <c r="C5113"/>
      <c r="D5113"/>
      <c r="E5113"/>
      <c r="F5113"/>
      <c r="G5113"/>
      <c r="H5113"/>
    </row>
    <row r="5114" spans="3:8" x14ac:dyDescent="0.3">
      <c r="C5114"/>
      <c r="D5114"/>
      <c r="E5114"/>
      <c r="F5114"/>
      <c r="G5114"/>
      <c r="H5114"/>
    </row>
    <row r="5115" spans="3:8" x14ac:dyDescent="0.3">
      <c r="C5115"/>
      <c r="D5115"/>
      <c r="E5115"/>
      <c r="F5115"/>
      <c r="G5115"/>
      <c r="H5115"/>
    </row>
    <row r="5116" spans="3:8" x14ac:dyDescent="0.3">
      <c r="C5116"/>
      <c r="D5116"/>
      <c r="E5116"/>
      <c r="F5116"/>
      <c r="G5116"/>
      <c r="H5116"/>
    </row>
    <row r="5117" spans="3:8" x14ac:dyDescent="0.3">
      <c r="C5117"/>
      <c r="D5117"/>
      <c r="E5117"/>
      <c r="F5117"/>
      <c r="G5117"/>
      <c r="H5117"/>
    </row>
    <row r="5118" spans="3:8" x14ac:dyDescent="0.3">
      <c r="C5118"/>
      <c r="D5118"/>
      <c r="E5118"/>
      <c r="F5118"/>
      <c r="G5118"/>
      <c r="H5118"/>
    </row>
    <row r="5119" spans="3:8" x14ac:dyDescent="0.3">
      <c r="C5119"/>
      <c r="D5119"/>
      <c r="E5119"/>
      <c r="F5119"/>
      <c r="G5119"/>
      <c r="H5119"/>
    </row>
    <row r="5120" spans="3:8" x14ac:dyDescent="0.3">
      <c r="C5120"/>
      <c r="D5120"/>
      <c r="E5120"/>
      <c r="F5120"/>
      <c r="G5120"/>
      <c r="H5120"/>
    </row>
    <row r="5121" spans="3:8" x14ac:dyDescent="0.3">
      <c r="C5121"/>
      <c r="D5121"/>
      <c r="E5121"/>
      <c r="F5121"/>
      <c r="G5121"/>
      <c r="H5121"/>
    </row>
    <row r="5122" spans="3:8" x14ac:dyDescent="0.3">
      <c r="C5122"/>
      <c r="D5122"/>
      <c r="E5122"/>
      <c r="F5122"/>
      <c r="G5122"/>
      <c r="H5122"/>
    </row>
    <row r="5123" spans="3:8" x14ac:dyDescent="0.3">
      <c r="C5123"/>
      <c r="D5123"/>
      <c r="E5123"/>
      <c r="F5123"/>
      <c r="G5123"/>
      <c r="H5123"/>
    </row>
    <row r="5124" spans="3:8" x14ac:dyDescent="0.3">
      <c r="C5124"/>
      <c r="D5124"/>
      <c r="E5124"/>
      <c r="F5124"/>
      <c r="G5124"/>
      <c r="H5124"/>
    </row>
    <row r="5125" spans="3:8" x14ac:dyDescent="0.3">
      <c r="C5125"/>
      <c r="D5125"/>
      <c r="E5125"/>
      <c r="F5125"/>
      <c r="G5125"/>
      <c r="H5125"/>
    </row>
    <row r="5126" spans="3:8" x14ac:dyDescent="0.3">
      <c r="C5126"/>
      <c r="D5126"/>
      <c r="E5126"/>
      <c r="F5126"/>
      <c r="G5126"/>
      <c r="H5126"/>
    </row>
    <row r="5127" spans="3:8" x14ac:dyDescent="0.3">
      <c r="C5127"/>
      <c r="D5127"/>
      <c r="E5127"/>
      <c r="F5127"/>
      <c r="G5127"/>
      <c r="H5127"/>
    </row>
    <row r="5128" spans="3:8" x14ac:dyDescent="0.3">
      <c r="C5128"/>
      <c r="D5128"/>
      <c r="E5128"/>
      <c r="F5128"/>
      <c r="G5128"/>
      <c r="H5128"/>
    </row>
    <row r="5129" spans="3:8" x14ac:dyDescent="0.3">
      <c r="C5129"/>
      <c r="D5129"/>
      <c r="E5129"/>
      <c r="F5129"/>
      <c r="G5129"/>
      <c r="H5129"/>
    </row>
    <row r="5130" spans="3:8" x14ac:dyDescent="0.3">
      <c r="C5130"/>
      <c r="D5130"/>
      <c r="E5130"/>
      <c r="F5130"/>
      <c r="G5130"/>
      <c r="H5130"/>
    </row>
    <row r="5131" spans="3:8" x14ac:dyDescent="0.3">
      <c r="C5131"/>
      <c r="D5131"/>
      <c r="E5131"/>
      <c r="F5131"/>
      <c r="G5131"/>
      <c r="H5131"/>
    </row>
    <row r="5132" spans="3:8" x14ac:dyDescent="0.3">
      <c r="C5132"/>
      <c r="D5132"/>
      <c r="E5132"/>
      <c r="F5132"/>
      <c r="G5132"/>
      <c r="H5132"/>
    </row>
    <row r="5133" spans="3:8" x14ac:dyDescent="0.3">
      <c r="C5133"/>
      <c r="D5133"/>
      <c r="E5133"/>
      <c r="F5133"/>
      <c r="G5133"/>
      <c r="H5133"/>
    </row>
    <row r="5134" spans="3:8" x14ac:dyDescent="0.3">
      <c r="C5134"/>
      <c r="D5134"/>
      <c r="E5134"/>
      <c r="F5134"/>
      <c r="G5134"/>
      <c r="H5134"/>
    </row>
    <row r="5135" spans="3:8" x14ac:dyDescent="0.3">
      <c r="C5135"/>
      <c r="D5135"/>
      <c r="E5135"/>
      <c r="F5135"/>
      <c r="G5135"/>
      <c r="H5135"/>
    </row>
    <row r="5136" spans="3:8" x14ac:dyDescent="0.3">
      <c r="C5136"/>
      <c r="D5136"/>
      <c r="E5136"/>
      <c r="F5136"/>
      <c r="G5136"/>
      <c r="H5136"/>
    </row>
    <row r="5137" spans="3:8" x14ac:dyDescent="0.3">
      <c r="C5137"/>
      <c r="D5137"/>
      <c r="E5137"/>
      <c r="F5137"/>
      <c r="G5137"/>
      <c r="H5137"/>
    </row>
    <row r="5138" spans="3:8" x14ac:dyDescent="0.3">
      <c r="C5138"/>
      <c r="D5138"/>
      <c r="E5138"/>
      <c r="F5138"/>
      <c r="G5138"/>
      <c r="H5138"/>
    </row>
    <row r="5139" spans="3:8" x14ac:dyDescent="0.3">
      <c r="C5139"/>
      <c r="D5139"/>
      <c r="E5139"/>
      <c r="F5139"/>
      <c r="G5139"/>
      <c r="H5139"/>
    </row>
    <row r="5140" spans="3:8" x14ac:dyDescent="0.3">
      <c r="C5140"/>
      <c r="D5140"/>
      <c r="E5140"/>
      <c r="F5140"/>
      <c r="G5140"/>
      <c r="H5140"/>
    </row>
    <row r="5141" spans="3:8" x14ac:dyDescent="0.3">
      <c r="C5141"/>
      <c r="D5141"/>
      <c r="E5141"/>
      <c r="F5141"/>
      <c r="G5141"/>
      <c r="H5141"/>
    </row>
    <row r="5142" spans="3:8" x14ac:dyDescent="0.3">
      <c r="C5142"/>
      <c r="D5142"/>
      <c r="E5142"/>
      <c r="F5142"/>
      <c r="G5142"/>
      <c r="H5142"/>
    </row>
    <row r="5143" spans="3:8" x14ac:dyDescent="0.3">
      <c r="C5143"/>
      <c r="D5143"/>
      <c r="E5143"/>
      <c r="F5143"/>
      <c r="G5143"/>
      <c r="H5143"/>
    </row>
    <row r="5144" spans="3:8" x14ac:dyDescent="0.3">
      <c r="C5144"/>
      <c r="D5144"/>
      <c r="E5144"/>
      <c r="F5144"/>
      <c r="G5144"/>
      <c r="H5144"/>
    </row>
    <row r="5145" spans="3:8" x14ac:dyDescent="0.3">
      <c r="C5145"/>
      <c r="D5145"/>
      <c r="E5145"/>
      <c r="F5145"/>
      <c r="G5145"/>
      <c r="H5145"/>
    </row>
    <row r="5146" spans="3:8" x14ac:dyDescent="0.3">
      <c r="C5146"/>
      <c r="D5146"/>
      <c r="E5146"/>
      <c r="F5146"/>
      <c r="G5146"/>
      <c r="H5146"/>
    </row>
    <row r="5147" spans="3:8" x14ac:dyDescent="0.3">
      <c r="C5147"/>
      <c r="D5147"/>
      <c r="E5147"/>
      <c r="F5147"/>
      <c r="G5147"/>
      <c r="H5147"/>
    </row>
    <row r="5148" spans="3:8" x14ac:dyDescent="0.3">
      <c r="C5148"/>
      <c r="D5148"/>
      <c r="E5148"/>
      <c r="F5148"/>
      <c r="G5148"/>
      <c r="H5148"/>
    </row>
    <row r="5149" spans="3:8" x14ac:dyDescent="0.3">
      <c r="C5149"/>
      <c r="D5149"/>
      <c r="E5149"/>
      <c r="F5149"/>
      <c r="G5149"/>
      <c r="H5149"/>
    </row>
    <row r="5150" spans="3:8" x14ac:dyDescent="0.3">
      <c r="C5150"/>
      <c r="D5150"/>
      <c r="E5150"/>
      <c r="F5150"/>
      <c r="G5150"/>
      <c r="H5150"/>
    </row>
    <row r="5151" spans="3:8" x14ac:dyDescent="0.3">
      <c r="C5151"/>
      <c r="D5151"/>
      <c r="E5151"/>
      <c r="F5151"/>
      <c r="G5151"/>
      <c r="H5151"/>
    </row>
    <row r="5152" spans="3:8" x14ac:dyDescent="0.3">
      <c r="C5152"/>
      <c r="D5152"/>
      <c r="E5152"/>
      <c r="F5152"/>
      <c r="G5152"/>
      <c r="H5152"/>
    </row>
    <row r="5153" spans="3:8" x14ac:dyDescent="0.3">
      <c r="C5153"/>
      <c r="D5153"/>
      <c r="E5153"/>
      <c r="F5153"/>
      <c r="G5153"/>
      <c r="H5153"/>
    </row>
    <row r="5154" spans="3:8" x14ac:dyDescent="0.3">
      <c r="C5154"/>
      <c r="D5154"/>
      <c r="E5154"/>
      <c r="F5154"/>
      <c r="G5154"/>
      <c r="H5154"/>
    </row>
    <row r="5155" spans="3:8" x14ac:dyDescent="0.3">
      <c r="C5155"/>
      <c r="D5155"/>
      <c r="E5155"/>
      <c r="F5155"/>
      <c r="G5155"/>
      <c r="H5155"/>
    </row>
    <row r="5156" spans="3:8" x14ac:dyDescent="0.3">
      <c r="C5156"/>
      <c r="D5156"/>
      <c r="E5156"/>
      <c r="F5156"/>
      <c r="G5156"/>
      <c r="H5156"/>
    </row>
    <row r="5157" spans="3:8" x14ac:dyDescent="0.3">
      <c r="C5157"/>
      <c r="D5157"/>
      <c r="E5157"/>
      <c r="F5157"/>
      <c r="G5157"/>
      <c r="H5157"/>
    </row>
    <row r="5158" spans="3:8" x14ac:dyDescent="0.3">
      <c r="C5158"/>
      <c r="D5158"/>
      <c r="E5158"/>
      <c r="F5158"/>
      <c r="G5158"/>
      <c r="H5158"/>
    </row>
    <row r="5159" spans="3:8" x14ac:dyDescent="0.3">
      <c r="C5159"/>
      <c r="D5159"/>
      <c r="E5159"/>
      <c r="F5159"/>
      <c r="G5159"/>
      <c r="H5159"/>
    </row>
    <row r="5160" spans="3:8" x14ac:dyDescent="0.3">
      <c r="C5160"/>
      <c r="D5160"/>
      <c r="E5160"/>
      <c r="F5160"/>
      <c r="G5160"/>
      <c r="H5160"/>
    </row>
    <row r="5161" spans="3:8" x14ac:dyDescent="0.3">
      <c r="C5161"/>
      <c r="D5161"/>
      <c r="E5161"/>
      <c r="F5161"/>
      <c r="G5161"/>
      <c r="H5161"/>
    </row>
    <row r="5162" spans="3:8" x14ac:dyDescent="0.3">
      <c r="C5162"/>
      <c r="D5162"/>
      <c r="E5162"/>
      <c r="F5162"/>
      <c r="G5162"/>
      <c r="H5162"/>
    </row>
    <row r="5163" spans="3:8" x14ac:dyDescent="0.3">
      <c r="C5163"/>
      <c r="D5163"/>
      <c r="E5163"/>
      <c r="F5163"/>
      <c r="G5163"/>
      <c r="H5163"/>
    </row>
    <row r="5164" spans="3:8" x14ac:dyDescent="0.3">
      <c r="C5164"/>
      <c r="D5164"/>
      <c r="E5164"/>
      <c r="F5164"/>
      <c r="G5164"/>
      <c r="H5164"/>
    </row>
    <row r="5165" spans="3:8" x14ac:dyDescent="0.3">
      <c r="C5165"/>
      <c r="D5165"/>
      <c r="E5165"/>
      <c r="F5165"/>
      <c r="G5165"/>
      <c r="H5165"/>
    </row>
    <row r="5166" spans="3:8" x14ac:dyDescent="0.3">
      <c r="C5166"/>
      <c r="D5166"/>
      <c r="E5166"/>
      <c r="F5166"/>
      <c r="G5166"/>
      <c r="H5166"/>
    </row>
    <row r="5167" spans="3:8" x14ac:dyDescent="0.3">
      <c r="C5167"/>
      <c r="D5167"/>
      <c r="E5167"/>
      <c r="F5167"/>
      <c r="G5167"/>
      <c r="H5167"/>
    </row>
    <row r="5168" spans="3:8" x14ac:dyDescent="0.3">
      <c r="C5168"/>
      <c r="D5168"/>
      <c r="E5168"/>
      <c r="F5168"/>
      <c r="G5168"/>
      <c r="H5168"/>
    </row>
    <row r="5169" spans="3:8" x14ac:dyDescent="0.3">
      <c r="C5169"/>
      <c r="D5169"/>
      <c r="E5169"/>
      <c r="F5169"/>
      <c r="G5169"/>
      <c r="H5169"/>
    </row>
    <row r="5170" spans="3:8" x14ac:dyDescent="0.3">
      <c r="C5170"/>
      <c r="D5170"/>
      <c r="E5170"/>
      <c r="F5170"/>
      <c r="G5170"/>
      <c r="H5170"/>
    </row>
    <row r="5171" spans="3:8" x14ac:dyDescent="0.3">
      <c r="C5171"/>
      <c r="D5171"/>
      <c r="E5171"/>
      <c r="F5171"/>
      <c r="G5171"/>
      <c r="H5171"/>
    </row>
    <row r="5172" spans="3:8" x14ac:dyDescent="0.3">
      <c r="C5172"/>
      <c r="D5172"/>
      <c r="E5172"/>
      <c r="F5172"/>
      <c r="G5172"/>
      <c r="H5172"/>
    </row>
    <row r="5173" spans="3:8" x14ac:dyDescent="0.3">
      <c r="C5173"/>
      <c r="D5173"/>
      <c r="E5173"/>
      <c r="F5173"/>
      <c r="G5173"/>
      <c r="H5173"/>
    </row>
    <row r="5174" spans="3:8" x14ac:dyDescent="0.3">
      <c r="C5174"/>
      <c r="D5174"/>
      <c r="E5174"/>
      <c r="F5174"/>
      <c r="G5174"/>
      <c r="H5174"/>
    </row>
    <row r="5175" spans="3:8" x14ac:dyDescent="0.3">
      <c r="C5175"/>
      <c r="D5175"/>
      <c r="E5175"/>
      <c r="F5175"/>
      <c r="G5175"/>
      <c r="H5175"/>
    </row>
    <row r="5176" spans="3:8" x14ac:dyDescent="0.3">
      <c r="C5176"/>
      <c r="D5176"/>
      <c r="E5176"/>
      <c r="F5176"/>
      <c r="G5176"/>
      <c r="H5176"/>
    </row>
    <row r="5177" spans="3:8" x14ac:dyDescent="0.3">
      <c r="C5177"/>
      <c r="D5177"/>
      <c r="E5177"/>
      <c r="F5177"/>
      <c r="G5177"/>
      <c r="H5177"/>
    </row>
    <row r="5178" spans="3:8" x14ac:dyDescent="0.3">
      <c r="C5178"/>
      <c r="D5178"/>
      <c r="E5178"/>
      <c r="F5178"/>
      <c r="G5178"/>
      <c r="H5178"/>
    </row>
    <row r="5179" spans="3:8" x14ac:dyDescent="0.3">
      <c r="C5179"/>
      <c r="D5179"/>
      <c r="E5179"/>
      <c r="F5179"/>
      <c r="G5179"/>
      <c r="H5179"/>
    </row>
    <row r="5180" spans="3:8" x14ac:dyDescent="0.3">
      <c r="C5180"/>
      <c r="D5180"/>
      <c r="E5180"/>
      <c r="F5180"/>
      <c r="G5180"/>
      <c r="H5180"/>
    </row>
    <row r="5181" spans="3:8" x14ac:dyDescent="0.3">
      <c r="C5181"/>
      <c r="D5181"/>
      <c r="E5181"/>
      <c r="F5181"/>
      <c r="G5181"/>
      <c r="H5181"/>
    </row>
    <row r="5182" spans="3:8" x14ac:dyDescent="0.3">
      <c r="C5182"/>
      <c r="D5182"/>
      <c r="E5182"/>
      <c r="F5182"/>
      <c r="G5182"/>
      <c r="H5182"/>
    </row>
    <row r="5183" spans="3:8" x14ac:dyDescent="0.3">
      <c r="C5183"/>
      <c r="D5183"/>
      <c r="E5183"/>
      <c r="F5183"/>
      <c r="G5183"/>
      <c r="H5183"/>
    </row>
    <row r="5184" spans="3:8" x14ac:dyDescent="0.3">
      <c r="C5184"/>
      <c r="D5184"/>
      <c r="E5184"/>
      <c r="F5184"/>
      <c r="G5184"/>
      <c r="H5184"/>
    </row>
    <row r="5185" spans="3:8" x14ac:dyDescent="0.3">
      <c r="C5185"/>
      <c r="D5185"/>
      <c r="E5185"/>
      <c r="F5185"/>
      <c r="G5185"/>
      <c r="H5185"/>
    </row>
    <row r="5186" spans="3:8" x14ac:dyDescent="0.3">
      <c r="C5186"/>
      <c r="D5186"/>
      <c r="E5186"/>
      <c r="F5186"/>
      <c r="G5186"/>
      <c r="H5186"/>
    </row>
    <row r="5187" spans="3:8" x14ac:dyDescent="0.3">
      <c r="C5187"/>
      <c r="D5187"/>
      <c r="E5187"/>
      <c r="F5187"/>
      <c r="G5187"/>
      <c r="H5187"/>
    </row>
    <row r="5188" spans="3:8" x14ac:dyDescent="0.3">
      <c r="C5188"/>
      <c r="D5188"/>
      <c r="E5188"/>
      <c r="F5188"/>
      <c r="G5188"/>
      <c r="H5188"/>
    </row>
    <row r="5189" spans="3:8" x14ac:dyDescent="0.3">
      <c r="C5189"/>
      <c r="D5189"/>
      <c r="E5189"/>
      <c r="F5189"/>
      <c r="G5189"/>
      <c r="H5189"/>
    </row>
    <row r="5190" spans="3:8" x14ac:dyDescent="0.3">
      <c r="C5190"/>
      <c r="D5190"/>
      <c r="E5190"/>
      <c r="F5190"/>
      <c r="G5190"/>
      <c r="H5190"/>
    </row>
    <row r="5191" spans="3:8" x14ac:dyDescent="0.3">
      <c r="C5191"/>
      <c r="D5191"/>
      <c r="E5191"/>
      <c r="F5191"/>
      <c r="G5191"/>
      <c r="H5191"/>
    </row>
    <row r="5192" spans="3:8" x14ac:dyDescent="0.3">
      <c r="C5192"/>
      <c r="D5192"/>
      <c r="E5192"/>
      <c r="F5192"/>
      <c r="G5192"/>
      <c r="H5192"/>
    </row>
    <row r="5193" spans="3:8" x14ac:dyDescent="0.3">
      <c r="C5193"/>
      <c r="D5193"/>
      <c r="E5193"/>
      <c r="F5193"/>
      <c r="G5193"/>
      <c r="H5193"/>
    </row>
    <row r="5194" spans="3:8" x14ac:dyDescent="0.3">
      <c r="C5194"/>
      <c r="D5194"/>
      <c r="E5194"/>
      <c r="F5194"/>
      <c r="G5194"/>
      <c r="H5194"/>
    </row>
    <row r="5195" spans="3:8" x14ac:dyDescent="0.3">
      <c r="C5195"/>
      <c r="D5195"/>
      <c r="E5195"/>
      <c r="F5195"/>
      <c r="G5195"/>
      <c r="H5195"/>
    </row>
    <row r="5196" spans="3:8" x14ac:dyDescent="0.3">
      <c r="C5196"/>
      <c r="D5196"/>
      <c r="E5196"/>
      <c r="F5196"/>
      <c r="G5196"/>
      <c r="H5196"/>
    </row>
    <row r="5197" spans="3:8" x14ac:dyDescent="0.3">
      <c r="C5197"/>
      <c r="D5197"/>
      <c r="E5197"/>
      <c r="F5197"/>
      <c r="G5197"/>
      <c r="H5197"/>
    </row>
    <row r="5198" spans="3:8" x14ac:dyDescent="0.3">
      <c r="C5198"/>
      <c r="D5198"/>
      <c r="E5198"/>
      <c r="F5198"/>
      <c r="G5198"/>
      <c r="H5198"/>
    </row>
    <row r="5199" spans="3:8" x14ac:dyDescent="0.3">
      <c r="C5199"/>
      <c r="D5199"/>
      <c r="E5199"/>
      <c r="F5199"/>
      <c r="G5199"/>
      <c r="H5199"/>
    </row>
    <row r="5200" spans="3:8" x14ac:dyDescent="0.3">
      <c r="C5200"/>
      <c r="D5200"/>
      <c r="E5200"/>
      <c r="F5200"/>
      <c r="G5200"/>
      <c r="H5200"/>
    </row>
    <row r="5201" spans="3:8" x14ac:dyDescent="0.3">
      <c r="C5201"/>
      <c r="D5201"/>
      <c r="E5201"/>
      <c r="F5201"/>
      <c r="G5201"/>
      <c r="H5201"/>
    </row>
    <row r="5202" spans="3:8" x14ac:dyDescent="0.3">
      <c r="C5202"/>
      <c r="D5202"/>
      <c r="E5202"/>
      <c r="F5202"/>
      <c r="G5202"/>
      <c r="H5202"/>
    </row>
    <row r="5203" spans="3:8" x14ac:dyDescent="0.3">
      <c r="C5203"/>
      <c r="D5203"/>
      <c r="E5203"/>
      <c r="F5203"/>
      <c r="G5203"/>
      <c r="H5203"/>
    </row>
    <row r="5204" spans="3:8" x14ac:dyDescent="0.3">
      <c r="C5204"/>
      <c r="D5204"/>
      <c r="E5204"/>
      <c r="F5204"/>
      <c r="G5204"/>
      <c r="H5204"/>
    </row>
    <row r="5205" spans="3:8" x14ac:dyDescent="0.3">
      <c r="C5205"/>
      <c r="D5205"/>
      <c r="E5205"/>
      <c r="F5205"/>
      <c r="G5205"/>
      <c r="H5205"/>
    </row>
    <row r="5206" spans="3:8" x14ac:dyDescent="0.3">
      <c r="C5206"/>
      <c r="D5206"/>
      <c r="E5206"/>
      <c r="F5206"/>
      <c r="G5206"/>
      <c r="H5206"/>
    </row>
    <row r="5207" spans="3:8" x14ac:dyDescent="0.3">
      <c r="C5207"/>
      <c r="D5207"/>
      <c r="E5207"/>
      <c r="F5207"/>
      <c r="G5207"/>
      <c r="H5207"/>
    </row>
    <row r="5208" spans="3:8" x14ac:dyDescent="0.3">
      <c r="C5208"/>
      <c r="D5208"/>
      <c r="E5208"/>
      <c r="F5208"/>
      <c r="G5208"/>
      <c r="H5208"/>
    </row>
    <row r="5209" spans="3:8" x14ac:dyDescent="0.3">
      <c r="C5209"/>
      <c r="D5209"/>
      <c r="E5209"/>
      <c r="F5209"/>
      <c r="G5209"/>
      <c r="H5209"/>
    </row>
    <row r="5210" spans="3:8" x14ac:dyDescent="0.3">
      <c r="C5210"/>
      <c r="D5210"/>
      <c r="E5210"/>
      <c r="F5210"/>
      <c r="G5210"/>
      <c r="H5210"/>
    </row>
    <row r="5211" spans="3:8" x14ac:dyDescent="0.3">
      <c r="C5211"/>
      <c r="D5211"/>
      <c r="E5211"/>
      <c r="F5211"/>
      <c r="G5211"/>
      <c r="H5211"/>
    </row>
    <row r="5212" spans="3:8" x14ac:dyDescent="0.3">
      <c r="C5212"/>
      <c r="D5212"/>
      <c r="E5212"/>
      <c r="F5212"/>
      <c r="G5212"/>
      <c r="H5212"/>
    </row>
    <row r="5213" spans="3:8" x14ac:dyDescent="0.3">
      <c r="C5213"/>
      <c r="D5213"/>
      <c r="E5213"/>
      <c r="F5213"/>
      <c r="G5213"/>
      <c r="H5213"/>
    </row>
    <row r="5214" spans="3:8" x14ac:dyDescent="0.3">
      <c r="C5214"/>
      <c r="D5214"/>
      <c r="E5214"/>
      <c r="F5214"/>
      <c r="G5214"/>
      <c r="H5214"/>
    </row>
    <row r="5215" spans="3:8" x14ac:dyDescent="0.3">
      <c r="C5215"/>
      <c r="D5215"/>
      <c r="E5215"/>
      <c r="F5215"/>
      <c r="G5215"/>
      <c r="H5215"/>
    </row>
    <row r="5216" spans="3:8" x14ac:dyDescent="0.3">
      <c r="C5216"/>
      <c r="D5216"/>
      <c r="E5216"/>
      <c r="F5216"/>
      <c r="G5216"/>
      <c r="H5216"/>
    </row>
    <row r="5217" spans="3:8" x14ac:dyDescent="0.3">
      <c r="C5217"/>
      <c r="D5217"/>
      <c r="E5217"/>
      <c r="F5217"/>
      <c r="G5217"/>
      <c r="H5217"/>
    </row>
    <row r="5218" spans="3:8" x14ac:dyDescent="0.3">
      <c r="C5218"/>
      <c r="D5218"/>
      <c r="E5218"/>
      <c r="F5218"/>
      <c r="G5218"/>
      <c r="H5218"/>
    </row>
    <row r="5219" spans="3:8" x14ac:dyDescent="0.3">
      <c r="C5219"/>
      <c r="D5219"/>
      <c r="E5219"/>
      <c r="F5219"/>
      <c r="G5219"/>
      <c r="H5219"/>
    </row>
    <row r="5220" spans="3:8" x14ac:dyDescent="0.3">
      <c r="C5220"/>
      <c r="D5220"/>
      <c r="E5220"/>
      <c r="F5220"/>
      <c r="G5220"/>
      <c r="H5220"/>
    </row>
    <row r="5221" spans="3:8" x14ac:dyDescent="0.3">
      <c r="C5221"/>
      <c r="D5221"/>
      <c r="E5221"/>
      <c r="F5221"/>
      <c r="G5221"/>
      <c r="H5221"/>
    </row>
    <row r="5222" spans="3:8" x14ac:dyDescent="0.3">
      <c r="C5222"/>
      <c r="D5222"/>
      <c r="E5222"/>
      <c r="F5222"/>
      <c r="G5222"/>
      <c r="H5222"/>
    </row>
    <row r="5223" spans="3:8" x14ac:dyDescent="0.3">
      <c r="C5223"/>
      <c r="D5223"/>
      <c r="E5223"/>
      <c r="F5223"/>
      <c r="G5223"/>
      <c r="H5223"/>
    </row>
    <row r="5224" spans="3:8" x14ac:dyDescent="0.3">
      <c r="C5224"/>
      <c r="D5224"/>
      <c r="E5224"/>
      <c r="F5224"/>
      <c r="G5224"/>
      <c r="H5224"/>
    </row>
    <row r="5225" spans="3:8" x14ac:dyDescent="0.3">
      <c r="C5225"/>
      <c r="D5225"/>
      <c r="E5225"/>
      <c r="F5225"/>
      <c r="G5225"/>
      <c r="H5225"/>
    </row>
    <row r="5226" spans="3:8" x14ac:dyDescent="0.3">
      <c r="C5226"/>
      <c r="D5226"/>
      <c r="E5226"/>
      <c r="F5226"/>
      <c r="G5226"/>
      <c r="H5226"/>
    </row>
    <row r="5227" spans="3:8" x14ac:dyDescent="0.3">
      <c r="C5227"/>
      <c r="D5227"/>
      <c r="E5227"/>
      <c r="F5227"/>
      <c r="G5227"/>
      <c r="H5227"/>
    </row>
    <row r="5228" spans="3:8" x14ac:dyDescent="0.3">
      <c r="C5228"/>
      <c r="D5228"/>
      <c r="E5228"/>
      <c r="F5228"/>
      <c r="G5228"/>
      <c r="H5228"/>
    </row>
    <row r="5229" spans="3:8" x14ac:dyDescent="0.3">
      <c r="C5229"/>
      <c r="D5229"/>
      <c r="E5229"/>
      <c r="F5229"/>
      <c r="G5229"/>
      <c r="H5229"/>
    </row>
    <row r="5230" spans="3:8" x14ac:dyDescent="0.3">
      <c r="C5230"/>
      <c r="D5230"/>
      <c r="E5230"/>
      <c r="F5230"/>
      <c r="G5230"/>
      <c r="H5230"/>
    </row>
    <row r="5231" spans="3:8" x14ac:dyDescent="0.3">
      <c r="C5231"/>
      <c r="D5231"/>
      <c r="E5231"/>
      <c r="F5231"/>
      <c r="G5231"/>
      <c r="H5231"/>
    </row>
    <row r="5232" spans="3:8" x14ac:dyDescent="0.3">
      <c r="C5232"/>
      <c r="D5232"/>
      <c r="E5232"/>
      <c r="F5232"/>
      <c r="G5232"/>
      <c r="H5232"/>
    </row>
    <row r="5233" spans="3:8" x14ac:dyDescent="0.3">
      <c r="C5233"/>
      <c r="D5233"/>
      <c r="E5233"/>
      <c r="F5233"/>
      <c r="G5233"/>
      <c r="H5233"/>
    </row>
    <row r="5234" spans="3:8" x14ac:dyDescent="0.3">
      <c r="C5234"/>
      <c r="D5234"/>
      <c r="E5234"/>
      <c r="F5234"/>
      <c r="G5234"/>
      <c r="H5234"/>
    </row>
    <row r="5235" spans="3:8" x14ac:dyDescent="0.3">
      <c r="C5235"/>
      <c r="D5235"/>
      <c r="E5235"/>
      <c r="F5235"/>
      <c r="G5235"/>
      <c r="H5235"/>
    </row>
    <row r="5236" spans="3:8" x14ac:dyDescent="0.3">
      <c r="C5236"/>
      <c r="D5236"/>
      <c r="E5236"/>
      <c r="F5236"/>
      <c r="G5236"/>
      <c r="H5236"/>
    </row>
    <row r="5237" spans="3:8" x14ac:dyDescent="0.3">
      <c r="C5237"/>
      <c r="D5237"/>
      <c r="E5237"/>
      <c r="F5237"/>
      <c r="G5237"/>
      <c r="H5237"/>
    </row>
    <row r="5238" spans="3:8" x14ac:dyDescent="0.3">
      <c r="C5238"/>
      <c r="D5238"/>
      <c r="E5238"/>
      <c r="F5238"/>
      <c r="G5238"/>
      <c r="H5238"/>
    </row>
    <row r="5239" spans="3:8" x14ac:dyDescent="0.3">
      <c r="C5239"/>
      <c r="D5239"/>
      <c r="E5239"/>
      <c r="F5239"/>
      <c r="G5239"/>
      <c r="H5239"/>
    </row>
    <row r="5240" spans="3:8" x14ac:dyDescent="0.3">
      <c r="C5240"/>
      <c r="D5240"/>
      <c r="E5240"/>
      <c r="F5240"/>
      <c r="G5240"/>
      <c r="H5240"/>
    </row>
    <row r="5241" spans="3:8" x14ac:dyDescent="0.3">
      <c r="C5241"/>
      <c r="D5241"/>
      <c r="E5241"/>
      <c r="F5241"/>
      <c r="G5241"/>
      <c r="H5241"/>
    </row>
    <row r="5242" spans="3:8" x14ac:dyDescent="0.3">
      <c r="C5242"/>
      <c r="D5242"/>
      <c r="E5242"/>
      <c r="F5242"/>
      <c r="G5242"/>
      <c r="H5242"/>
    </row>
    <row r="5243" spans="3:8" x14ac:dyDescent="0.3">
      <c r="C5243"/>
      <c r="D5243"/>
      <c r="E5243"/>
      <c r="F5243"/>
      <c r="G5243"/>
      <c r="H5243"/>
    </row>
    <row r="5244" spans="3:8" x14ac:dyDescent="0.3">
      <c r="C5244"/>
      <c r="D5244"/>
      <c r="E5244"/>
      <c r="F5244"/>
      <c r="G5244"/>
      <c r="H5244"/>
    </row>
    <row r="5245" spans="3:8" x14ac:dyDescent="0.3">
      <c r="C5245"/>
      <c r="D5245"/>
      <c r="E5245"/>
      <c r="F5245"/>
      <c r="G5245"/>
      <c r="H5245"/>
    </row>
    <row r="5246" spans="3:8" x14ac:dyDescent="0.3">
      <c r="C5246"/>
      <c r="D5246"/>
      <c r="E5246"/>
      <c r="F5246"/>
      <c r="G5246"/>
      <c r="H5246"/>
    </row>
    <row r="5247" spans="3:8" x14ac:dyDescent="0.3">
      <c r="C5247"/>
      <c r="D5247"/>
      <c r="E5247"/>
      <c r="F5247"/>
      <c r="G5247"/>
      <c r="H5247"/>
    </row>
    <row r="5248" spans="3:8" x14ac:dyDescent="0.3">
      <c r="C5248"/>
      <c r="D5248"/>
      <c r="E5248"/>
      <c r="F5248"/>
      <c r="G5248"/>
      <c r="H5248"/>
    </row>
    <row r="5249" spans="3:8" x14ac:dyDescent="0.3">
      <c r="C5249"/>
      <c r="D5249"/>
      <c r="E5249"/>
      <c r="F5249"/>
      <c r="G5249"/>
      <c r="H5249"/>
    </row>
    <row r="5250" spans="3:8" x14ac:dyDescent="0.3">
      <c r="C5250"/>
      <c r="D5250"/>
      <c r="E5250"/>
      <c r="F5250"/>
      <c r="G5250"/>
      <c r="H5250"/>
    </row>
    <row r="5251" spans="3:8" x14ac:dyDescent="0.3">
      <c r="C5251"/>
      <c r="D5251"/>
      <c r="E5251"/>
      <c r="F5251"/>
      <c r="G5251"/>
      <c r="H5251"/>
    </row>
    <row r="5252" spans="3:8" x14ac:dyDescent="0.3">
      <c r="C5252"/>
      <c r="D5252"/>
      <c r="E5252"/>
      <c r="F5252"/>
      <c r="G5252"/>
      <c r="H5252"/>
    </row>
    <row r="5253" spans="3:8" x14ac:dyDescent="0.3">
      <c r="C5253"/>
      <c r="D5253"/>
      <c r="E5253"/>
      <c r="F5253"/>
      <c r="G5253"/>
      <c r="H5253"/>
    </row>
    <row r="5254" spans="3:8" x14ac:dyDescent="0.3">
      <c r="C5254"/>
      <c r="D5254"/>
      <c r="E5254"/>
      <c r="F5254"/>
      <c r="G5254"/>
      <c r="H5254"/>
    </row>
    <row r="5255" spans="3:8" x14ac:dyDescent="0.3">
      <c r="C5255"/>
      <c r="D5255"/>
      <c r="E5255"/>
      <c r="F5255"/>
      <c r="G5255"/>
      <c r="H5255"/>
    </row>
    <row r="5256" spans="3:8" x14ac:dyDescent="0.3">
      <c r="C5256"/>
      <c r="D5256"/>
      <c r="E5256"/>
      <c r="F5256"/>
      <c r="G5256"/>
      <c r="H5256"/>
    </row>
    <row r="5257" spans="3:8" x14ac:dyDescent="0.3">
      <c r="C5257"/>
      <c r="D5257"/>
      <c r="E5257"/>
      <c r="F5257"/>
      <c r="G5257"/>
      <c r="H5257"/>
    </row>
    <row r="5258" spans="3:8" x14ac:dyDescent="0.3">
      <c r="C5258"/>
      <c r="D5258"/>
      <c r="E5258"/>
      <c r="F5258"/>
      <c r="G5258"/>
      <c r="H5258"/>
    </row>
    <row r="5259" spans="3:8" x14ac:dyDescent="0.3">
      <c r="C5259"/>
      <c r="D5259"/>
      <c r="E5259"/>
      <c r="F5259"/>
      <c r="G5259"/>
      <c r="H5259"/>
    </row>
    <row r="5260" spans="3:8" x14ac:dyDescent="0.3">
      <c r="C5260"/>
      <c r="D5260"/>
      <c r="E5260"/>
      <c r="F5260"/>
      <c r="G5260"/>
      <c r="H5260"/>
    </row>
    <row r="5261" spans="3:8" x14ac:dyDescent="0.3">
      <c r="C5261"/>
      <c r="D5261"/>
      <c r="E5261"/>
      <c r="F5261"/>
      <c r="G5261"/>
      <c r="H5261"/>
    </row>
    <row r="5262" spans="3:8" x14ac:dyDescent="0.3">
      <c r="C5262"/>
      <c r="D5262"/>
      <c r="E5262"/>
      <c r="F5262"/>
      <c r="G5262"/>
      <c r="H5262"/>
    </row>
    <row r="5263" spans="3:8" x14ac:dyDescent="0.3">
      <c r="C5263"/>
      <c r="D5263"/>
      <c r="E5263"/>
      <c r="F5263"/>
      <c r="G5263"/>
      <c r="H5263"/>
    </row>
    <row r="5264" spans="3:8" x14ac:dyDescent="0.3">
      <c r="C5264"/>
      <c r="D5264"/>
      <c r="E5264"/>
      <c r="F5264"/>
      <c r="G5264"/>
      <c r="H5264"/>
    </row>
    <row r="5265" spans="3:8" x14ac:dyDescent="0.3">
      <c r="C5265"/>
      <c r="D5265"/>
      <c r="E5265"/>
      <c r="F5265"/>
      <c r="G5265"/>
      <c r="H5265"/>
    </row>
    <row r="5266" spans="3:8" x14ac:dyDescent="0.3">
      <c r="C5266"/>
      <c r="D5266"/>
      <c r="E5266"/>
      <c r="F5266"/>
      <c r="G5266"/>
      <c r="H5266"/>
    </row>
    <row r="5267" spans="3:8" x14ac:dyDescent="0.3">
      <c r="C5267"/>
      <c r="D5267"/>
      <c r="E5267"/>
      <c r="F5267"/>
      <c r="G5267"/>
      <c r="H5267"/>
    </row>
    <row r="5268" spans="3:8" x14ac:dyDescent="0.3">
      <c r="C5268"/>
      <c r="D5268"/>
      <c r="E5268"/>
      <c r="F5268"/>
      <c r="G5268"/>
      <c r="H5268"/>
    </row>
    <row r="5269" spans="3:8" x14ac:dyDescent="0.3">
      <c r="C5269"/>
      <c r="D5269"/>
      <c r="E5269"/>
      <c r="F5269"/>
      <c r="G5269"/>
      <c r="H5269"/>
    </row>
    <row r="5270" spans="3:8" x14ac:dyDescent="0.3">
      <c r="C5270"/>
      <c r="D5270"/>
      <c r="E5270"/>
      <c r="F5270"/>
      <c r="G5270"/>
      <c r="H5270"/>
    </row>
    <row r="5271" spans="3:8" x14ac:dyDescent="0.3">
      <c r="C5271"/>
      <c r="D5271"/>
      <c r="E5271"/>
      <c r="F5271"/>
      <c r="G5271"/>
      <c r="H5271"/>
    </row>
    <row r="5272" spans="3:8" x14ac:dyDescent="0.3">
      <c r="C5272"/>
      <c r="D5272"/>
      <c r="E5272"/>
      <c r="F5272"/>
      <c r="G5272"/>
      <c r="H5272"/>
    </row>
    <row r="5273" spans="3:8" x14ac:dyDescent="0.3">
      <c r="C5273"/>
      <c r="D5273"/>
      <c r="E5273"/>
      <c r="F5273"/>
      <c r="G5273"/>
      <c r="H5273"/>
    </row>
    <row r="5274" spans="3:8" x14ac:dyDescent="0.3">
      <c r="C5274"/>
      <c r="D5274"/>
      <c r="E5274"/>
      <c r="F5274"/>
      <c r="G5274"/>
      <c r="H5274"/>
    </row>
    <row r="5275" spans="3:8" x14ac:dyDescent="0.3">
      <c r="C5275"/>
      <c r="D5275"/>
      <c r="E5275"/>
      <c r="F5275"/>
      <c r="G5275"/>
      <c r="H5275"/>
    </row>
    <row r="5276" spans="3:8" x14ac:dyDescent="0.3">
      <c r="C5276"/>
      <c r="D5276"/>
      <c r="E5276"/>
      <c r="F5276"/>
      <c r="G5276"/>
      <c r="H5276"/>
    </row>
    <row r="5277" spans="3:8" x14ac:dyDescent="0.3">
      <c r="C5277"/>
      <c r="D5277"/>
      <c r="E5277"/>
      <c r="F5277"/>
      <c r="G5277"/>
      <c r="H5277"/>
    </row>
    <row r="5278" spans="3:8" x14ac:dyDescent="0.3">
      <c r="C5278"/>
      <c r="D5278"/>
      <c r="E5278"/>
      <c r="F5278"/>
      <c r="G5278"/>
      <c r="H5278"/>
    </row>
    <row r="5279" spans="3:8" x14ac:dyDescent="0.3">
      <c r="C5279"/>
      <c r="D5279"/>
      <c r="E5279"/>
      <c r="F5279"/>
      <c r="G5279"/>
      <c r="H5279"/>
    </row>
    <row r="5280" spans="3:8" x14ac:dyDescent="0.3">
      <c r="C5280"/>
      <c r="D5280"/>
      <c r="E5280"/>
      <c r="F5280"/>
      <c r="G5280"/>
      <c r="H5280"/>
    </row>
    <row r="5281" spans="3:8" x14ac:dyDescent="0.3">
      <c r="C5281"/>
      <c r="D5281"/>
      <c r="E5281"/>
      <c r="F5281"/>
      <c r="G5281"/>
      <c r="H5281"/>
    </row>
    <row r="5282" spans="3:8" x14ac:dyDescent="0.3">
      <c r="C5282"/>
      <c r="D5282"/>
      <c r="E5282"/>
      <c r="F5282"/>
      <c r="G5282"/>
      <c r="H5282"/>
    </row>
    <row r="5283" spans="3:8" x14ac:dyDescent="0.3">
      <c r="C5283"/>
      <c r="D5283"/>
      <c r="E5283"/>
      <c r="F5283"/>
      <c r="G5283"/>
      <c r="H5283"/>
    </row>
    <row r="5284" spans="3:8" x14ac:dyDescent="0.3">
      <c r="C5284"/>
      <c r="D5284"/>
      <c r="E5284"/>
      <c r="F5284"/>
      <c r="G5284"/>
      <c r="H5284"/>
    </row>
    <row r="5285" spans="3:8" x14ac:dyDescent="0.3">
      <c r="C5285"/>
      <c r="D5285"/>
      <c r="E5285"/>
      <c r="F5285"/>
      <c r="G5285"/>
      <c r="H5285"/>
    </row>
    <row r="5286" spans="3:8" x14ac:dyDescent="0.3">
      <c r="C5286"/>
      <c r="D5286"/>
      <c r="E5286"/>
      <c r="F5286"/>
      <c r="G5286"/>
      <c r="H5286"/>
    </row>
    <row r="5287" spans="3:8" x14ac:dyDescent="0.3">
      <c r="C5287"/>
      <c r="D5287"/>
      <c r="E5287"/>
      <c r="F5287"/>
      <c r="G5287"/>
      <c r="H5287"/>
    </row>
    <row r="5288" spans="3:8" x14ac:dyDescent="0.3">
      <c r="C5288"/>
      <c r="D5288"/>
      <c r="E5288"/>
      <c r="F5288"/>
      <c r="G5288"/>
      <c r="H5288"/>
    </row>
    <row r="5289" spans="3:8" x14ac:dyDescent="0.3">
      <c r="C5289"/>
      <c r="D5289"/>
      <c r="E5289"/>
      <c r="F5289"/>
      <c r="G5289"/>
      <c r="H5289"/>
    </row>
    <row r="5290" spans="3:8" x14ac:dyDescent="0.3">
      <c r="C5290"/>
      <c r="D5290"/>
      <c r="E5290"/>
      <c r="F5290"/>
      <c r="G5290"/>
      <c r="H5290"/>
    </row>
    <row r="5291" spans="3:8" x14ac:dyDescent="0.3">
      <c r="C5291"/>
      <c r="D5291"/>
      <c r="E5291"/>
      <c r="F5291"/>
      <c r="G5291"/>
      <c r="H5291"/>
    </row>
    <row r="5292" spans="3:8" x14ac:dyDescent="0.3">
      <c r="C5292"/>
      <c r="D5292"/>
      <c r="E5292"/>
      <c r="F5292"/>
      <c r="G5292"/>
      <c r="H5292"/>
    </row>
    <row r="5293" spans="3:8" x14ac:dyDescent="0.3">
      <c r="C5293"/>
      <c r="D5293"/>
      <c r="E5293"/>
      <c r="F5293"/>
      <c r="G5293"/>
      <c r="H5293"/>
    </row>
    <row r="5294" spans="3:8" x14ac:dyDescent="0.3">
      <c r="C5294"/>
      <c r="D5294"/>
      <c r="E5294"/>
      <c r="F5294"/>
      <c r="G5294"/>
      <c r="H5294"/>
    </row>
    <row r="5295" spans="3:8" x14ac:dyDescent="0.3">
      <c r="C5295"/>
      <c r="D5295"/>
      <c r="E5295"/>
      <c r="F5295"/>
      <c r="G5295"/>
      <c r="H5295"/>
    </row>
    <row r="5296" spans="3:8" x14ac:dyDescent="0.3">
      <c r="C5296"/>
      <c r="D5296"/>
      <c r="E5296"/>
      <c r="F5296"/>
      <c r="G5296"/>
      <c r="H5296"/>
    </row>
    <row r="5297" spans="3:8" x14ac:dyDescent="0.3">
      <c r="C5297"/>
      <c r="D5297"/>
      <c r="E5297"/>
      <c r="F5297"/>
      <c r="G5297"/>
      <c r="H5297"/>
    </row>
    <row r="5298" spans="3:8" x14ac:dyDescent="0.3">
      <c r="C5298"/>
      <c r="D5298"/>
      <c r="E5298"/>
      <c r="F5298"/>
      <c r="G5298"/>
      <c r="H5298"/>
    </row>
    <row r="5299" spans="3:8" x14ac:dyDescent="0.3">
      <c r="C5299"/>
      <c r="D5299"/>
      <c r="E5299"/>
      <c r="F5299"/>
      <c r="G5299"/>
      <c r="H5299"/>
    </row>
    <row r="5300" spans="3:8" x14ac:dyDescent="0.3">
      <c r="C5300"/>
      <c r="D5300"/>
      <c r="E5300"/>
      <c r="F5300"/>
      <c r="G5300"/>
      <c r="H5300"/>
    </row>
    <row r="5301" spans="3:8" x14ac:dyDescent="0.3">
      <c r="C5301"/>
      <c r="D5301"/>
      <c r="E5301"/>
      <c r="F5301"/>
      <c r="G5301"/>
      <c r="H5301"/>
    </row>
    <row r="5302" spans="3:8" x14ac:dyDescent="0.3">
      <c r="C5302"/>
      <c r="D5302"/>
      <c r="E5302"/>
      <c r="F5302"/>
      <c r="G5302"/>
      <c r="H5302"/>
    </row>
    <row r="5303" spans="3:8" x14ac:dyDescent="0.3">
      <c r="C5303"/>
      <c r="D5303"/>
      <c r="E5303"/>
      <c r="F5303"/>
      <c r="G5303"/>
      <c r="H5303"/>
    </row>
    <row r="5304" spans="3:8" x14ac:dyDescent="0.3">
      <c r="C5304"/>
      <c r="D5304"/>
      <c r="E5304"/>
      <c r="F5304"/>
      <c r="G5304"/>
      <c r="H5304"/>
    </row>
    <row r="5305" spans="3:8" x14ac:dyDescent="0.3">
      <c r="C5305"/>
      <c r="D5305"/>
      <c r="E5305"/>
      <c r="F5305"/>
      <c r="G5305"/>
      <c r="H5305"/>
    </row>
    <row r="5306" spans="3:8" x14ac:dyDescent="0.3">
      <c r="C5306"/>
      <c r="D5306"/>
      <c r="E5306"/>
      <c r="F5306"/>
      <c r="G5306"/>
      <c r="H5306"/>
    </row>
    <row r="5307" spans="3:8" x14ac:dyDescent="0.3">
      <c r="C5307"/>
      <c r="D5307"/>
      <c r="E5307"/>
      <c r="F5307"/>
      <c r="G5307"/>
      <c r="H5307"/>
    </row>
    <row r="5308" spans="3:8" x14ac:dyDescent="0.3">
      <c r="C5308"/>
      <c r="D5308"/>
      <c r="E5308"/>
      <c r="F5308"/>
      <c r="G5308"/>
      <c r="H5308"/>
    </row>
    <row r="5309" spans="3:8" x14ac:dyDescent="0.3">
      <c r="C5309"/>
      <c r="D5309"/>
      <c r="E5309"/>
      <c r="F5309"/>
      <c r="G5309"/>
      <c r="H5309"/>
    </row>
    <row r="5310" spans="3:8" x14ac:dyDescent="0.3">
      <c r="C5310"/>
      <c r="D5310"/>
      <c r="E5310"/>
      <c r="F5310"/>
      <c r="G5310"/>
      <c r="H5310"/>
    </row>
    <row r="5311" spans="3:8" x14ac:dyDescent="0.3">
      <c r="C5311"/>
      <c r="D5311"/>
      <c r="E5311"/>
      <c r="F5311"/>
      <c r="G5311"/>
      <c r="H5311"/>
    </row>
    <row r="5312" spans="3:8" x14ac:dyDescent="0.3">
      <c r="C5312"/>
      <c r="D5312"/>
      <c r="E5312"/>
      <c r="F5312"/>
      <c r="G5312"/>
      <c r="H5312"/>
    </row>
    <row r="5313" spans="3:8" x14ac:dyDescent="0.3">
      <c r="C5313"/>
      <c r="D5313"/>
      <c r="E5313"/>
      <c r="F5313"/>
      <c r="G5313"/>
      <c r="H5313"/>
    </row>
    <row r="5314" spans="3:8" x14ac:dyDescent="0.3">
      <c r="C5314"/>
      <c r="D5314"/>
      <c r="E5314"/>
      <c r="F5314"/>
      <c r="G5314"/>
      <c r="H5314"/>
    </row>
    <row r="5315" spans="3:8" x14ac:dyDescent="0.3">
      <c r="C5315"/>
      <c r="D5315"/>
      <c r="E5315"/>
      <c r="F5315"/>
      <c r="G5315"/>
      <c r="H5315"/>
    </row>
    <row r="5316" spans="3:8" x14ac:dyDescent="0.3">
      <c r="C5316"/>
      <c r="D5316"/>
      <c r="E5316"/>
      <c r="F5316"/>
      <c r="G5316"/>
      <c r="H5316"/>
    </row>
    <row r="5317" spans="3:8" x14ac:dyDescent="0.3">
      <c r="C5317"/>
      <c r="D5317"/>
      <c r="E5317"/>
      <c r="F5317"/>
      <c r="G5317"/>
      <c r="H5317"/>
    </row>
    <row r="5318" spans="3:8" x14ac:dyDescent="0.3">
      <c r="C5318"/>
      <c r="D5318"/>
      <c r="E5318"/>
      <c r="F5318"/>
      <c r="G5318"/>
      <c r="H5318"/>
    </row>
    <row r="5319" spans="3:8" x14ac:dyDescent="0.3">
      <c r="C5319"/>
      <c r="D5319"/>
      <c r="E5319"/>
      <c r="F5319"/>
      <c r="G5319"/>
      <c r="H5319"/>
    </row>
    <row r="5320" spans="3:8" x14ac:dyDescent="0.3">
      <c r="C5320"/>
      <c r="D5320"/>
      <c r="E5320"/>
      <c r="F5320"/>
      <c r="G5320"/>
      <c r="H5320"/>
    </row>
    <row r="5321" spans="3:8" x14ac:dyDescent="0.3">
      <c r="C5321"/>
      <c r="D5321"/>
      <c r="E5321"/>
      <c r="F5321"/>
      <c r="G5321"/>
      <c r="H5321"/>
    </row>
    <row r="5322" spans="3:8" x14ac:dyDescent="0.3">
      <c r="C5322"/>
      <c r="D5322"/>
      <c r="E5322"/>
      <c r="F5322"/>
      <c r="G5322"/>
      <c r="H5322"/>
    </row>
    <row r="5323" spans="3:8" x14ac:dyDescent="0.3">
      <c r="C5323"/>
      <c r="D5323"/>
      <c r="E5323"/>
      <c r="F5323"/>
      <c r="G5323"/>
      <c r="H5323"/>
    </row>
    <row r="5324" spans="3:8" x14ac:dyDescent="0.3">
      <c r="C5324"/>
      <c r="D5324"/>
      <c r="E5324"/>
      <c r="F5324"/>
      <c r="G5324"/>
      <c r="H5324"/>
    </row>
    <row r="5325" spans="3:8" x14ac:dyDescent="0.3">
      <c r="C5325"/>
      <c r="D5325"/>
      <c r="E5325"/>
      <c r="F5325"/>
      <c r="G5325"/>
      <c r="H5325"/>
    </row>
    <row r="5326" spans="3:8" x14ac:dyDescent="0.3">
      <c r="C5326"/>
      <c r="D5326"/>
      <c r="E5326"/>
      <c r="F5326"/>
      <c r="G5326"/>
      <c r="H5326"/>
    </row>
    <row r="5327" spans="3:8" x14ac:dyDescent="0.3">
      <c r="C5327"/>
      <c r="D5327"/>
      <c r="E5327"/>
      <c r="F5327"/>
      <c r="G5327"/>
      <c r="H5327"/>
    </row>
    <row r="5328" spans="3:8" x14ac:dyDescent="0.3">
      <c r="C5328"/>
      <c r="D5328"/>
      <c r="E5328"/>
      <c r="F5328"/>
      <c r="G5328"/>
      <c r="H5328"/>
    </row>
    <row r="5329" spans="3:8" x14ac:dyDescent="0.3">
      <c r="C5329"/>
      <c r="D5329"/>
      <c r="E5329"/>
      <c r="F5329"/>
      <c r="G5329"/>
      <c r="H5329"/>
    </row>
    <row r="5330" spans="3:8" x14ac:dyDescent="0.3">
      <c r="C5330"/>
      <c r="D5330"/>
      <c r="E5330"/>
      <c r="F5330"/>
      <c r="G5330"/>
      <c r="H5330"/>
    </row>
    <row r="5331" spans="3:8" x14ac:dyDescent="0.3">
      <c r="C5331"/>
      <c r="D5331"/>
      <c r="E5331"/>
      <c r="F5331"/>
      <c r="G5331"/>
      <c r="H5331"/>
    </row>
    <row r="5332" spans="3:8" x14ac:dyDescent="0.3">
      <c r="C5332"/>
      <c r="D5332"/>
      <c r="E5332"/>
      <c r="F5332"/>
      <c r="G5332"/>
      <c r="H5332"/>
    </row>
    <row r="5333" spans="3:8" x14ac:dyDescent="0.3">
      <c r="C5333"/>
      <c r="D5333"/>
      <c r="E5333"/>
      <c r="F5333"/>
      <c r="G5333"/>
      <c r="H5333"/>
    </row>
    <row r="5334" spans="3:8" x14ac:dyDescent="0.3">
      <c r="C5334"/>
      <c r="D5334"/>
      <c r="E5334"/>
      <c r="F5334"/>
      <c r="G5334"/>
      <c r="H5334"/>
    </row>
    <row r="5335" spans="3:8" x14ac:dyDescent="0.3">
      <c r="C5335"/>
      <c r="D5335"/>
      <c r="E5335"/>
      <c r="F5335"/>
      <c r="G5335"/>
      <c r="H5335"/>
    </row>
    <row r="5336" spans="3:8" x14ac:dyDescent="0.3">
      <c r="C5336"/>
      <c r="D5336"/>
      <c r="E5336"/>
      <c r="F5336"/>
      <c r="G5336"/>
      <c r="H5336"/>
    </row>
    <row r="5337" spans="3:8" x14ac:dyDescent="0.3">
      <c r="C5337"/>
      <c r="D5337"/>
      <c r="E5337"/>
      <c r="F5337"/>
      <c r="G5337"/>
      <c r="H5337"/>
    </row>
    <row r="5338" spans="3:8" x14ac:dyDescent="0.3">
      <c r="C5338"/>
      <c r="D5338"/>
      <c r="E5338"/>
      <c r="F5338"/>
      <c r="G5338"/>
      <c r="H5338"/>
    </row>
    <row r="5339" spans="3:8" x14ac:dyDescent="0.3">
      <c r="C5339"/>
      <c r="D5339"/>
      <c r="E5339"/>
      <c r="F5339"/>
      <c r="G5339"/>
      <c r="H5339"/>
    </row>
    <row r="5340" spans="3:8" x14ac:dyDescent="0.3">
      <c r="C5340"/>
      <c r="D5340"/>
      <c r="E5340"/>
      <c r="F5340"/>
      <c r="G5340"/>
      <c r="H5340"/>
    </row>
    <row r="5341" spans="3:8" x14ac:dyDescent="0.3">
      <c r="C5341"/>
      <c r="D5341"/>
      <c r="E5341"/>
      <c r="F5341"/>
      <c r="G5341"/>
      <c r="H5341"/>
    </row>
    <row r="5342" spans="3:8" x14ac:dyDescent="0.3">
      <c r="C5342"/>
      <c r="D5342"/>
      <c r="E5342"/>
      <c r="F5342"/>
      <c r="G5342"/>
      <c r="H5342"/>
    </row>
    <row r="5343" spans="3:8" x14ac:dyDescent="0.3">
      <c r="C5343"/>
      <c r="D5343"/>
      <c r="E5343"/>
      <c r="F5343"/>
      <c r="G5343"/>
      <c r="H5343"/>
    </row>
    <row r="5344" spans="3:8" x14ac:dyDescent="0.3">
      <c r="C5344"/>
      <c r="D5344"/>
      <c r="E5344"/>
      <c r="F5344"/>
      <c r="G5344"/>
      <c r="H5344"/>
    </row>
    <row r="5345" spans="3:8" x14ac:dyDescent="0.3">
      <c r="C5345"/>
      <c r="D5345"/>
      <c r="E5345"/>
      <c r="F5345"/>
      <c r="G5345"/>
      <c r="H5345"/>
    </row>
    <row r="5346" spans="3:8" x14ac:dyDescent="0.3">
      <c r="C5346"/>
      <c r="D5346"/>
      <c r="E5346"/>
      <c r="F5346"/>
      <c r="G5346"/>
      <c r="H5346"/>
    </row>
    <row r="5347" spans="3:8" x14ac:dyDescent="0.3">
      <c r="C5347"/>
      <c r="D5347"/>
      <c r="E5347"/>
      <c r="F5347"/>
      <c r="G5347"/>
      <c r="H5347"/>
    </row>
    <row r="5348" spans="3:8" x14ac:dyDescent="0.3">
      <c r="C5348"/>
      <c r="D5348"/>
      <c r="E5348"/>
      <c r="F5348"/>
      <c r="G5348"/>
      <c r="H5348"/>
    </row>
    <row r="5349" spans="3:8" x14ac:dyDescent="0.3">
      <c r="C5349"/>
      <c r="D5349"/>
      <c r="E5349"/>
      <c r="F5349"/>
      <c r="G5349"/>
      <c r="H5349"/>
    </row>
    <row r="5350" spans="3:8" x14ac:dyDescent="0.3">
      <c r="C5350"/>
      <c r="D5350"/>
      <c r="E5350"/>
      <c r="F5350"/>
      <c r="G5350"/>
      <c r="H5350"/>
    </row>
    <row r="5351" spans="3:8" x14ac:dyDescent="0.3">
      <c r="C5351"/>
      <c r="D5351"/>
      <c r="E5351"/>
      <c r="F5351"/>
      <c r="G5351"/>
      <c r="H5351"/>
    </row>
    <row r="5352" spans="3:8" x14ac:dyDescent="0.3">
      <c r="C5352"/>
      <c r="D5352"/>
      <c r="E5352"/>
      <c r="F5352"/>
      <c r="G5352"/>
      <c r="H5352"/>
    </row>
    <row r="5353" spans="3:8" x14ac:dyDescent="0.3">
      <c r="C5353"/>
      <c r="D5353"/>
      <c r="E5353"/>
      <c r="F5353"/>
      <c r="G5353"/>
      <c r="H5353"/>
    </row>
    <row r="5354" spans="3:8" x14ac:dyDescent="0.3">
      <c r="C5354"/>
      <c r="D5354"/>
      <c r="E5354"/>
      <c r="F5354"/>
      <c r="G5354"/>
      <c r="H5354"/>
    </row>
    <row r="5355" spans="3:8" x14ac:dyDescent="0.3">
      <c r="C5355"/>
      <c r="D5355"/>
      <c r="E5355"/>
      <c r="F5355"/>
      <c r="G5355"/>
      <c r="H5355"/>
    </row>
    <row r="5356" spans="3:8" x14ac:dyDescent="0.3">
      <c r="C5356"/>
      <c r="D5356"/>
      <c r="E5356"/>
      <c r="F5356"/>
      <c r="G5356"/>
      <c r="H5356"/>
    </row>
    <row r="5357" spans="3:8" x14ac:dyDescent="0.3">
      <c r="C5357"/>
      <c r="D5357"/>
      <c r="E5357"/>
      <c r="F5357"/>
      <c r="G5357"/>
      <c r="H5357"/>
    </row>
    <row r="5358" spans="3:8" x14ac:dyDescent="0.3">
      <c r="C5358"/>
      <c r="D5358"/>
      <c r="E5358"/>
      <c r="F5358"/>
      <c r="G5358"/>
      <c r="H5358"/>
    </row>
    <row r="5359" spans="3:8" x14ac:dyDescent="0.3">
      <c r="C5359"/>
      <c r="D5359"/>
      <c r="E5359"/>
      <c r="F5359"/>
      <c r="G5359"/>
      <c r="H5359"/>
    </row>
    <row r="5360" spans="3:8" x14ac:dyDescent="0.3">
      <c r="C5360"/>
      <c r="D5360"/>
      <c r="E5360"/>
      <c r="F5360"/>
      <c r="G5360"/>
      <c r="H5360"/>
    </row>
    <row r="5361" spans="3:8" x14ac:dyDescent="0.3">
      <c r="C5361"/>
      <c r="D5361"/>
      <c r="E5361"/>
      <c r="F5361"/>
      <c r="G5361"/>
      <c r="H5361"/>
    </row>
    <row r="5362" spans="3:8" x14ac:dyDescent="0.3">
      <c r="C5362"/>
      <c r="D5362"/>
      <c r="E5362"/>
      <c r="F5362"/>
      <c r="G5362"/>
      <c r="H5362"/>
    </row>
    <row r="5363" spans="3:8" x14ac:dyDescent="0.3">
      <c r="C5363"/>
      <c r="D5363"/>
      <c r="E5363"/>
      <c r="F5363"/>
      <c r="G5363"/>
      <c r="H5363"/>
    </row>
    <row r="5364" spans="3:8" x14ac:dyDescent="0.3">
      <c r="C5364"/>
      <c r="D5364"/>
      <c r="E5364"/>
      <c r="F5364"/>
      <c r="G5364"/>
      <c r="H5364"/>
    </row>
    <row r="5365" spans="3:8" x14ac:dyDescent="0.3">
      <c r="C5365"/>
      <c r="D5365"/>
      <c r="E5365"/>
      <c r="F5365"/>
      <c r="G5365"/>
      <c r="H5365"/>
    </row>
    <row r="5366" spans="3:8" x14ac:dyDescent="0.3">
      <c r="C5366"/>
      <c r="D5366"/>
      <c r="E5366"/>
      <c r="F5366"/>
      <c r="G5366"/>
      <c r="H5366"/>
    </row>
    <row r="5367" spans="3:8" x14ac:dyDescent="0.3">
      <c r="C5367"/>
      <c r="D5367"/>
      <c r="E5367"/>
      <c r="F5367"/>
      <c r="G5367"/>
      <c r="H5367"/>
    </row>
    <row r="5368" spans="3:8" x14ac:dyDescent="0.3">
      <c r="C5368"/>
      <c r="D5368"/>
      <c r="E5368"/>
      <c r="F5368"/>
      <c r="G5368"/>
      <c r="H5368"/>
    </row>
    <row r="5369" spans="3:8" x14ac:dyDescent="0.3">
      <c r="C5369"/>
      <c r="D5369"/>
      <c r="E5369"/>
      <c r="F5369"/>
      <c r="G5369"/>
      <c r="H5369"/>
    </row>
    <row r="5370" spans="3:8" x14ac:dyDescent="0.3">
      <c r="C5370"/>
      <c r="D5370"/>
      <c r="E5370"/>
      <c r="F5370"/>
      <c r="G5370"/>
      <c r="H5370"/>
    </row>
    <row r="5371" spans="3:8" x14ac:dyDescent="0.3">
      <c r="C5371"/>
      <c r="D5371"/>
      <c r="E5371"/>
      <c r="F5371"/>
      <c r="G5371"/>
      <c r="H5371"/>
    </row>
    <row r="5372" spans="3:8" x14ac:dyDescent="0.3">
      <c r="C5372"/>
      <c r="D5372"/>
      <c r="E5372"/>
      <c r="F5372"/>
      <c r="G5372"/>
      <c r="H5372"/>
    </row>
    <row r="5373" spans="3:8" x14ac:dyDescent="0.3">
      <c r="C5373"/>
      <c r="D5373"/>
      <c r="E5373"/>
      <c r="F5373"/>
      <c r="G5373"/>
      <c r="H5373"/>
    </row>
    <row r="5374" spans="3:8" x14ac:dyDescent="0.3">
      <c r="C5374"/>
      <c r="D5374"/>
      <c r="E5374"/>
      <c r="F5374"/>
      <c r="G5374"/>
      <c r="H5374"/>
    </row>
    <row r="5375" spans="3:8" x14ac:dyDescent="0.3">
      <c r="C5375"/>
      <c r="D5375"/>
      <c r="E5375"/>
      <c r="F5375"/>
      <c r="G5375"/>
      <c r="H5375"/>
    </row>
    <row r="5376" spans="3:8" x14ac:dyDescent="0.3">
      <c r="C5376"/>
      <c r="D5376"/>
      <c r="E5376"/>
      <c r="F5376"/>
      <c r="G5376"/>
      <c r="H5376"/>
    </row>
    <row r="5377" spans="3:8" x14ac:dyDescent="0.3">
      <c r="C5377"/>
      <c r="D5377"/>
      <c r="E5377"/>
      <c r="F5377"/>
      <c r="G5377"/>
      <c r="H5377"/>
    </row>
    <row r="5378" spans="3:8" x14ac:dyDescent="0.3">
      <c r="C5378"/>
      <c r="D5378"/>
      <c r="E5378"/>
      <c r="F5378"/>
      <c r="G5378"/>
      <c r="H5378"/>
    </row>
    <row r="5379" spans="3:8" x14ac:dyDescent="0.3">
      <c r="C5379"/>
      <c r="D5379"/>
      <c r="E5379"/>
      <c r="F5379"/>
      <c r="G5379"/>
      <c r="H5379"/>
    </row>
    <row r="5380" spans="3:8" x14ac:dyDescent="0.3">
      <c r="C5380"/>
      <c r="D5380"/>
      <c r="E5380"/>
      <c r="F5380"/>
      <c r="G5380"/>
      <c r="H5380"/>
    </row>
    <row r="5381" spans="3:8" x14ac:dyDescent="0.3">
      <c r="C5381"/>
      <c r="D5381"/>
      <c r="E5381"/>
      <c r="F5381"/>
      <c r="G5381"/>
      <c r="H5381"/>
    </row>
    <row r="5382" spans="3:8" x14ac:dyDescent="0.3">
      <c r="C5382"/>
      <c r="D5382"/>
      <c r="E5382"/>
      <c r="F5382"/>
      <c r="G5382"/>
      <c r="H5382"/>
    </row>
    <row r="5383" spans="3:8" x14ac:dyDescent="0.3">
      <c r="C5383"/>
      <c r="D5383"/>
      <c r="E5383"/>
      <c r="F5383"/>
      <c r="G5383"/>
      <c r="H5383"/>
    </row>
    <row r="5384" spans="3:8" x14ac:dyDescent="0.3">
      <c r="C5384"/>
      <c r="D5384"/>
      <c r="E5384"/>
      <c r="F5384"/>
      <c r="G5384"/>
      <c r="H5384"/>
    </row>
    <row r="5385" spans="3:8" x14ac:dyDescent="0.3">
      <c r="C5385"/>
      <c r="D5385"/>
      <c r="E5385"/>
      <c r="F5385"/>
      <c r="G5385"/>
      <c r="H5385"/>
    </row>
    <row r="5386" spans="3:8" x14ac:dyDescent="0.3">
      <c r="C5386"/>
      <c r="D5386"/>
      <c r="E5386"/>
      <c r="F5386"/>
      <c r="G5386"/>
      <c r="H5386"/>
    </row>
    <row r="5387" spans="3:8" x14ac:dyDescent="0.3">
      <c r="C5387"/>
      <c r="D5387"/>
      <c r="E5387"/>
      <c r="F5387"/>
      <c r="G5387"/>
      <c r="H5387"/>
    </row>
    <row r="5388" spans="3:8" x14ac:dyDescent="0.3">
      <c r="C5388"/>
      <c r="D5388"/>
      <c r="E5388"/>
      <c r="F5388"/>
      <c r="G5388"/>
      <c r="H5388"/>
    </row>
    <row r="5389" spans="3:8" x14ac:dyDescent="0.3">
      <c r="C5389"/>
      <c r="D5389"/>
      <c r="E5389"/>
      <c r="F5389"/>
      <c r="G5389"/>
      <c r="H5389"/>
    </row>
    <row r="5390" spans="3:8" x14ac:dyDescent="0.3">
      <c r="C5390"/>
      <c r="D5390"/>
      <c r="E5390"/>
      <c r="F5390"/>
      <c r="G5390"/>
      <c r="H5390"/>
    </row>
    <row r="5391" spans="3:8" x14ac:dyDescent="0.3">
      <c r="C5391"/>
      <c r="D5391"/>
      <c r="E5391"/>
      <c r="F5391"/>
      <c r="G5391"/>
      <c r="H5391"/>
    </row>
    <row r="5392" spans="3:8" x14ac:dyDescent="0.3">
      <c r="C5392"/>
      <c r="D5392"/>
      <c r="E5392"/>
      <c r="F5392"/>
      <c r="G5392"/>
      <c r="H5392"/>
    </row>
    <row r="5393" spans="3:8" x14ac:dyDescent="0.3">
      <c r="C5393"/>
      <c r="D5393"/>
      <c r="E5393"/>
      <c r="F5393"/>
      <c r="G5393"/>
      <c r="H5393"/>
    </row>
    <row r="5394" spans="3:8" x14ac:dyDescent="0.3">
      <c r="C5394"/>
      <c r="D5394"/>
      <c r="E5394"/>
      <c r="F5394"/>
      <c r="G5394"/>
      <c r="H5394"/>
    </row>
    <row r="5395" spans="3:8" x14ac:dyDescent="0.3">
      <c r="C5395"/>
      <c r="D5395"/>
      <c r="E5395"/>
      <c r="F5395"/>
      <c r="G5395"/>
      <c r="H5395"/>
    </row>
    <row r="5396" spans="3:8" x14ac:dyDescent="0.3">
      <c r="C5396"/>
      <c r="D5396"/>
      <c r="E5396"/>
      <c r="F5396"/>
      <c r="G5396"/>
      <c r="H5396"/>
    </row>
    <row r="5397" spans="3:8" x14ac:dyDescent="0.3">
      <c r="C5397"/>
      <c r="D5397"/>
      <c r="E5397"/>
      <c r="F5397"/>
      <c r="G5397"/>
      <c r="H5397"/>
    </row>
    <row r="5398" spans="3:8" x14ac:dyDescent="0.3">
      <c r="C5398"/>
      <c r="D5398"/>
      <c r="E5398"/>
      <c r="F5398"/>
      <c r="G5398"/>
      <c r="H5398"/>
    </row>
    <row r="5399" spans="3:8" x14ac:dyDescent="0.3">
      <c r="C5399"/>
      <c r="D5399"/>
      <c r="E5399"/>
      <c r="F5399"/>
      <c r="G5399"/>
      <c r="H5399"/>
    </row>
    <row r="5400" spans="3:8" x14ac:dyDescent="0.3">
      <c r="C5400"/>
      <c r="D5400"/>
      <c r="E5400"/>
      <c r="F5400"/>
      <c r="G5400"/>
      <c r="H5400"/>
    </row>
    <row r="5401" spans="3:8" x14ac:dyDescent="0.3">
      <c r="C5401"/>
      <c r="D5401"/>
      <c r="E5401"/>
      <c r="F5401"/>
      <c r="G5401"/>
      <c r="H5401"/>
    </row>
    <row r="5402" spans="3:8" x14ac:dyDescent="0.3">
      <c r="C5402"/>
      <c r="D5402"/>
      <c r="E5402"/>
      <c r="F5402"/>
      <c r="G5402"/>
      <c r="H5402"/>
    </row>
    <row r="5403" spans="3:8" x14ac:dyDescent="0.3">
      <c r="C5403"/>
      <c r="D5403"/>
      <c r="E5403"/>
      <c r="F5403"/>
      <c r="G5403"/>
      <c r="H5403"/>
    </row>
    <row r="5404" spans="3:8" x14ac:dyDescent="0.3">
      <c r="C5404"/>
      <c r="D5404"/>
      <c r="E5404"/>
      <c r="F5404"/>
      <c r="G5404"/>
      <c r="H5404"/>
    </row>
    <row r="5405" spans="3:8" x14ac:dyDescent="0.3">
      <c r="C5405"/>
      <c r="D5405"/>
      <c r="E5405"/>
      <c r="F5405"/>
      <c r="G5405"/>
      <c r="H5405"/>
    </row>
    <row r="5406" spans="3:8" x14ac:dyDescent="0.3">
      <c r="C5406"/>
      <c r="D5406"/>
      <c r="E5406"/>
      <c r="F5406"/>
      <c r="G5406"/>
      <c r="H5406"/>
    </row>
    <row r="5407" spans="3:8" x14ac:dyDescent="0.3">
      <c r="C5407"/>
      <c r="D5407"/>
      <c r="E5407"/>
      <c r="F5407"/>
      <c r="G5407"/>
      <c r="H5407"/>
    </row>
    <row r="5408" spans="3:8" x14ac:dyDescent="0.3">
      <c r="C5408"/>
      <c r="D5408"/>
      <c r="E5408"/>
      <c r="F5408"/>
      <c r="G5408"/>
      <c r="H5408"/>
    </row>
    <row r="5409" spans="3:8" x14ac:dyDescent="0.3">
      <c r="C5409"/>
      <c r="D5409"/>
      <c r="E5409"/>
      <c r="F5409"/>
      <c r="G5409"/>
      <c r="H5409"/>
    </row>
    <row r="5410" spans="3:8" x14ac:dyDescent="0.3">
      <c r="C5410"/>
      <c r="D5410"/>
      <c r="E5410"/>
      <c r="F5410"/>
      <c r="G5410"/>
      <c r="H5410"/>
    </row>
    <row r="5411" spans="3:8" x14ac:dyDescent="0.3">
      <c r="C5411"/>
      <c r="D5411"/>
      <c r="E5411"/>
      <c r="F5411"/>
      <c r="G5411"/>
      <c r="H5411"/>
    </row>
    <row r="5412" spans="3:8" x14ac:dyDescent="0.3">
      <c r="C5412"/>
      <c r="D5412"/>
      <c r="E5412"/>
      <c r="F5412"/>
      <c r="G5412"/>
      <c r="H5412"/>
    </row>
    <row r="5413" spans="3:8" x14ac:dyDescent="0.3">
      <c r="C5413"/>
      <c r="D5413"/>
      <c r="E5413"/>
      <c r="F5413"/>
      <c r="G5413"/>
      <c r="H5413"/>
    </row>
    <row r="5414" spans="3:8" x14ac:dyDescent="0.3">
      <c r="C5414"/>
      <c r="D5414"/>
      <c r="E5414"/>
      <c r="F5414"/>
      <c r="G5414"/>
      <c r="H5414"/>
    </row>
    <row r="5415" spans="3:8" x14ac:dyDescent="0.3">
      <c r="C5415"/>
      <c r="D5415"/>
      <c r="E5415"/>
      <c r="F5415"/>
      <c r="G5415"/>
      <c r="H5415"/>
    </row>
    <row r="5416" spans="3:8" x14ac:dyDescent="0.3">
      <c r="C5416"/>
      <c r="D5416"/>
      <c r="E5416"/>
      <c r="F5416"/>
      <c r="G5416"/>
      <c r="H5416"/>
    </row>
    <row r="5417" spans="3:8" x14ac:dyDescent="0.3">
      <c r="C5417"/>
      <c r="D5417"/>
      <c r="E5417"/>
      <c r="F5417"/>
      <c r="G5417"/>
      <c r="H5417"/>
    </row>
    <row r="5418" spans="3:8" x14ac:dyDescent="0.3">
      <c r="C5418"/>
      <c r="D5418"/>
      <c r="E5418"/>
      <c r="F5418"/>
      <c r="G5418"/>
      <c r="H5418"/>
    </row>
    <row r="5419" spans="3:8" x14ac:dyDescent="0.3">
      <c r="C5419"/>
      <c r="D5419"/>
      <c r="E5419"/>
      <c r="F5419"/>
      <c r="G5419"/>
      <c r="H5419"/>
    </row>
    <row r="5420" spans="3:8" x14ac:dyDescent="0.3">
      <c r="C5420"/>
      <c r="D5420"/>
      <c r="E5420"/>
      <c r="F5420"/>
      <c r="G5420"/>
      <c r="H5420"/>
    </row>
    <row r="5421" spans="3:8" x14ac:dyDescent="0.3">
      <c r="C5421"/>
      <c r="D5421"/>
      <c r="E5421"/>
      <c r="F5421"/>
      <c r="G5421"/>
      <c r="H5421"/>
    </row>
    <row r="5422" spans="3:8" x14ac:dyDescent="0.3">
      <c r="C5422"/>
      <c r="D5422"/>
      <c r="E5422"/>
      <c r="F5422"/>
      <c r="G5422"/>
      <c r="H5422"/>
    </row>
    <row r="5423" spans="3:8" x14ac:dyDescent="0.3">
      <c r="C5423"/>
      <c r="D5423"/>
      <c r="E5423"/>
      <c r="F5423"/>
      <c r="G5423"/>
      <c r="H5423"/>
    </row>
    <row r="5424" spans="3:8" x14ac:dyDescent="0.3">
      <c r="C5424"/>
      <c r="D5424"/>
      <c r="E5424"/>
      <c r="F5424"/>
      <c r="G5424"/>
      <c r="H5424"/>
    </row>
    <row r="5425" spans="3:8" x14ac:dyDescent="0.3">
      <c r="C5425"/>
      <c r="D5425"/>
      <c r="E5425"/>
      <c r="F5425"/>
      <c r="G5425"/>
      <c r="H5425"/>
    </row>
    <row r="5426" spans="3:8" x14ac:dyDescent="0.3">
      <c r="C5426"/>
      <c r="D5426"/>
      <c r="E5426"/>
      <c r="F5426"/>
      <c r="G5426"/>
      <c r="H5426"/>
    </row>
    <row r="5427" spans="3:8" x14ac:dyDescent="0.3">
      <c r="C5427"/>
      <c r="D5427"/>
      <c r="E5427"/>
      <c r="F5427"/>
      <c r="G5427"/>
      <c r="H5427"/>
    </row>
    <row r="5428" spans="3:8" x14ac:dyDescent="0.3">
      <c r="C5428"/>
      <c r="D5428"/>
      <c r="E5428"/>
      <c r="F5428"/>
      <c r="G5428"/>
      <c r="H5428"/>
    </row>
    <row r="5429" spans="3:8" x14ac:dyDescent="0.3">
      <c r="C5429"/>
      <c r="D5429"/>
      <c r="E5429"/>
      <c r="F5429"/>
      <c r="G5429"/>
      <c r="H5429"/>
    </row>
    <row r="5430" spans="3:8" x14ac:dyDescent="0.3">
      <c r="C5430"/>
      <c r="D5430"/>
      <c r="E5430"/>
      <c r="F5430"/>
      <c r="G5430"/>
      <c r="H5430"/>
    </row>
    <row r="5431" spans="3:8" x14ac:dyDescent="0.3">
      <c r="C5431"/>
      <c r="D5431"/>
      <c r="E5431"/>
      <c r="F5431"/>
      <c r="G5431"/>
      <c r="H5431"/>
    </row>
    <row r="5432" spans="3:8" x14ac:dyDescent="0.3">
      <c r="C5432"/>
      <c r="D5432"/>
      <c r="E5432"/>
      <c r="F5432"/>
      <c r="G5432"/>
      <c r="H5432"/>
    </row>
    <row r="5433" spans="3:8" x14ac:dyDescent="0.3">
      <c r="C5433"/>
      <c r="D5433"/>
      <c r="E5433"/>
      <c r="F5433"/>
      <c r="G5433"/>
      <c r="H5433"/>
    </row>
    <row r="5434" spans="3:8" x14ac:dyDescent="0.3">
      <c r="C5434"/>
      <c r="D5434"/>
      <c r="E5434"/>
      <c r="F5434"/>
      <c r="G5434"/>
      <c r="H5434"/>
    </row>
    <row r="5435" spans="3:8" x14ac:dyDescent="0.3">
      <c r="C5435"/>
      <c r="D5435"/>
      <c r="E5435"/>
      <c r="F5435"/>
      <c r="G5435"/>
      <c r="H5435"/>
    </row>
    <row r="5436" spans="3:8" x14ac:dyDescent="0.3">
      <c r="C5436"/>
      <c r="D5436"/>
      <c r="E5436"/>
      <c r="F5436"/>
      <c r="G5436"/>
      <c r="H5436"/>
    </row>
    <row r="5437" spans="3:8" x14ac:dyDescent="0.3">
      <c r="C5437"/>
      <c r="D5437"/>
      <c r="E5437"/>
      <c r="F5437"/>
      <c r="G5437"/>
      <c r="H5437"/>
    </row>
    <row r="5438" spans="3:8" x14ac:dyDescent="0.3">
      <c r="C5438"/>
      <c r="D5438"/>
      <c r="E5438"/>
      <c r="F5438"/>
      <c r="G5438"/>
      <c r="H5438"/>
    </row>
    <row r="5439" spans="3:8" x14ac:dyDescent="0.3">
      <c r="C5439"/>
      <c r="D5439"/>
      <c r="E5439"/>
      <c r="F5439"/>
      <c r="G5439"/>
      <c r="H5439"/>
    </row>
    <row r="5440" spans="3:8" x14ac:dyDescent="0.3">
      <c r="C5440"/>
      <c r="D5440"/>
      <c r="E5440"/>
      <c r="F5440"/>
      <c r="G5440"/>
      <c r="H5440"/>
    </row>
    <row r="5441" spans="3:8" x14ac:dyDescent="0.3">
      <c r="C5441"/>
      <c r="D5441"/>
      <c r="E5441"/>
      <c r="F5441"/>
      <c r="G5441"/>
      <c r="H5441"/>
    </row>
    <row r="5442" spans="3:8" x14ac:dyDescent="0.3">
      <c r="C5442"/>
      <c r="D5442"/>
      <c r="E5442"/>
      <c r="F5442"/>
      <c r="G5442"/>
      <c r="H5442"/>
    </row>
    <row r="5443" spans="3:8" x14ac:dyDescent="0.3">
      <c r="C5443"/>
      <c r="D5443"/>
      <c r="E5443"/>
      <c r="F5443"/>
      <c r="G5443"/>
      <c r="H5443"/>
    </row>
    <row r="5444" spans="3:8" x14ac:dyDescent="0.3">
      <c r="C5444"/>
      <c r="D5444"/>
      <c r="E5444"/>
      <c r="F5444"/>
      <c r="G5444"/>
      <c r="H5444"/>
    </row>
    <row r="5445" spans="3:8" x14ac:dyDescent="0.3">
      <c r="C5445"/>
      <c r="D5445"/>
      <c r="E5445"/>
      <c r="F5445"/>
      <c r="G5445"/>
      <c r="H5445"/>
    </row>
    <row r="5446" spans="3:8" x14ac:dyDescent="0.3">
      <c r="C5446"/>
      <c r="D5446"/>
      <c r="E5446"/>
      <c r="F5446"/>
      <c r="G5446"/>
      <c r="H5446"/>
    </row>
    <row r="5447" spans="3:8" x14ac:dyDescent="0.3">
      <c r="C5447"/>
      <c r="D5447"/>
      <c r="E5447"/>
      <c r="F5447"/>
      <c r="G5447"/>
      <c r="H5447"/>
    </row>
    <row r="5448" spans="3:8" x14ac:dyDescent="0.3">
      <c r="C5448"/>
      <c r="D5448"/>
      <c r="E5448"/>
      <c r="F5448"/>
      <c r="G5448"/>
      <c r="H5448"/>
    </row>
    <row r="5449" spans="3:8" x14ac:dyDescent="0.3">
      <c r="C5449"/>
      <c r="D5449"/>
      <c r="E5449"/>
      <c r="F5449"/>
      <c r="G5449"/>
      <c r="H5449"/>
    </row>
    <row r="5450" spans="3:8" x14ac:dyDescent="0.3">
      <c r="C5450"/>
      <c r="D5450"/>
      <c r="E5450"/>
      <c r="F5450"/>
      <c r="G5450"/>
      <c r="H5450"/>
    </row>
    <row r="5451" spans="3:8" x14ac:dyDescent="0.3">
      <c r="C5451"/>
      <c r="D5451"/>
      <c r="E5451"/>
      <c r="F5451"/>
      <c r="G5451"/>
      <c r="H5451"/>
    </row>
    <row r="5452" spans="3:8" x14ac:dyDescent="0.3">
      <c r="C5452"/>
      <c r="D5452"/>
      <c r="E5452"/>
      <c r="F5452"/>
      <c r="G5452"/>
      <c r="H5452"/>
    </row>
    <row r="5453" spans="3:8" x14ac:dyDescent="0.3">
      <c r="C5453"/>
      <c r="D5453"/>
      <c r="E5453"/>
      <c r="F5453"/>
      <c r="G5453"/>
      <c r="H5453"/>
    </row>
    <row r="5454" spans="3:8" x14ac:dyDescent="0.3">
      <c r="C5454"/>
      <c r="D5454"/>
      <c r="E5454"/>
      <c r="F5454"/>
      <c r="G5454"/>
      <c r="H5454"/>
    </row>
    <row r="5455" spans="3:8" x14ac:dyDescent="0.3">
      <c r="C5455"/>
      <c r="D5455"/>
      <c r="E5455"/>
      <c r="F5455"/>
      <c r="G5455"/>
      <c r="H5455"/>
    </row>
    <row r="5456" spans="3:8" x14ac:dyDescent="0.3">
      <c r="C5456"/>
      <c r="D5456"/>
      <c r="E5456"/>
      <c r="F5456"/>
      <c r="G5456"/>
      <c r="H5456"/>
    </row>
    <row r="5457" spans="3:8" x14ac:dyDescent="0.3">
      <c r="C5457"/>
      <c r="D5457"/>
      <c r="E5457"/>
      <c r="F5457"/>
      <c r="G5457"/>
      <c r="H5457"/>
    </row>
    <row r="5458" spans="3:8" x14ac:dyDescent="0.3">
      <c r="C5458"/>
      <c r="D5458"/>
      <c r="E5458"/>
      <c r="F5458"/>
      <c r="G5458"/>
      <c r="H5458"/>
    </row>
    <row r="5459" spans="3:8" x14ac:dyDescent="0.3">
      <c r="C5459"/>
      <c r="D5459"/>
      <c r="E5459"/>
      <c r="F5459"/>
      <c r="G5459"/>
      <c r="H5459"/>
    </row>
    <row r="5460" spans="3:8" x14ac:dyDescent="0.3">
      <c r="C5460"/>
      <c r="D5460"/>
      <c r="E5460"/>
      <c r="F5460"/>
      <c r="G5460"/>
      <c r="H5460"/>
    </row>
    <row r="5461" spans="3:8" x14ac:dyDescent="0.3">
      <c r="C5461"/>
      <c r="D5461"/>
      <c r="E5461"/>
      <c r="F5461"/>
      <c r="G5461"/>
      <c r="H5461"/>
    </row>
    <row r="5462" spans="3:8" x14ac:dyDescent="0.3">
      <c r="C5462"/>
      <c r="D5462"/>
      <c r="E5462"/>
      <c r="F5462"/>
      <c r="G5462"/>
      <c r="H5462"/>
    </row>
    <row r="5463" spans="3:8" x14ac:dyDescent="0.3">
      <c r="C5463"/>
      <c r="D5463"/>
      <c r="E5463"/>
      <c r="F5463"/>
      <c r="G5463"/>
      <c r="H5463"/>
    </row>
    <row r="5464" spans="3:8" x14ac:dyDescent="0.3">
      <c r="C5464"/>
      <c r="D5464"/>
      <c r="E5464"/>
      <c r="F5464"/>
      <c r="G5464"/>
      <c r="H5464"/>
    </row>
    <row r="5465" spans="3:8" x14ac:dyDescent="0.3">
      <c r="C5465"/>
      <c r="D5465"/>
      <c r="E5465"/>
      <c r="F5465"/>
      <c r="G5465"/>
      <c r="H5465"/>
    </row>
    <row r="5466" spans="3:8" x14ac:dyDescent="0.3">
      <c r="C5466"/>
      <c r="D5466"/>
      <c r="E5466"/>
      <c r="F5466"/>
      <c r="G5466"/>
      <c r="H5466"/>
    </row>
    <row r="5467" spans="3:8" x14ac:dyDescent="0.3">
      <c r="C5467"/>
      <c r="D5467"/>
      <c r="E5467"/>
      <c r="F5467"/>
      <c r="G5467"/>
      <c r="H5467"/>
    </row>
    <row r="5468" spans="3:8" x14ac:dyDescent="0.3">
      <c r="C5468"/>
      <c r="D5468"/>
      <c r="E5468"/>
      <c r="F5468"/>
      <c r="G5468"/>
      <c r="H5468"/>
    </row>
    <row r="5469" spans="3:8" x14ac:dyDescent="0.3">
      <c r="C5469"/>
      <c r="D5469"/>
      <c r="E5469"/>
      <c r="F5469"/>
      <c r="G5469"/>
      <c r="H5469"/>
    </row>
    <row r="5470" spans="3:8" x14ac:dyDescent="0.3">
      <c r="C5470"/>
      <c r="D5470"/>
      <c r="E5470"/>
      <c r="F5470"/>
      <c r="G5470"/>
      <c r="H5470"/>
    </row>
    <row r="5471" spans="3:8" x14ac:dyDescent="0.3">
      <c r="C5471"/>
      <c r="D5471"/>
      <c r="E5471"/>
      <c r="F5471"/>
      <c r="G5471"/>
      <c r="H5471"/>
    </row>
    <row r="5472" spans="3:8" x14ac:dyDescent="0.3">
      <c r="C5472"/>
      <c r="D5472"/>
      <c r="E5472"/>
      <c r="F5472"/>
      <c r="G5472"/>
      <c r="H5472"/>
    </row>
    <row r="5473" spans="3:8" x14ac:dyDescent="0.3">
      <c r="C5473"/>
      <c r="D5473"/>
      <c r="E5473"/>
      <c r="F5473"/>
      <c r="G5473"/>
      <c r="H5473"/>
    </row>
    <row r="5474" spans="3:8" x14ac:dyDescent="0.3">
      <c r="C5474"/>
      <c r="D5474"/>
      <c r="E5474"/>
      <c r="F5474"/>
      <c r="G5474"/>
      <c r="H5474"/>
    </row>
    <row r="5475" spans="3:8" x14ac:dyDescent="0.3">
      <c r="C5475"/>
      <c r="D5475"/>
      <c r="E5475"/>
      <c r="F5475"/>
      <c r="G5475"/>
      <c r="H5475"/>
    </row>
    <row r="5476" spans="3:8" x14ac:dyDescent="0.3">
      <c r="C5476"/>
      <c r="D5476"/>
      <c r="E5476"/>
      <c r="F5476"/>
      <c r="G5476"/>
      <c r="H5476"/>
    </row>
    <row r="5477" spans="3:8" x14ac:dyDescent="0.3">
      <c r="C5477"/>
      <c r="D5477"/>
      <c r="E5477"/>
      <c r="F5477"/>
      <c r="G5477"/>
      <c r="H5477"/>
    </row>
    <row r="5478" spans="3:8" x14ac:dyDescent="0.3">
      <c r="C5478"/>
      <c r="D5478"/>
      <c r="E5478"/>
      <c r="F5478"/>
      <c r="G5478"/>
      <c r="H5478"/>
    </row>
    <row r="5479" spans="3:8" x14ac:dyDescent="0.3">
      <c r="C5479"/>
      <c r="D5479"/>
      <c r="E5479"/>
      <c r="F5479"/>
      <c r="G5479"/>
      <c r="H5479"/>
    </row>
    <row r="5480" spans="3:8" x14ac:dyDescent="0.3">
      <c r="C5480"/>
      <c r="D5480"/>
      <c r="E5480"/>
      <c r="F5480"/>
      <c r="G5480"/>
      <c r="H5480"/>
    </row>
    <row r="5481" spans="3:8" x14ac:dyDescent="0.3">
      <c r="C5481"/>
      <c r="D5481"/>
      <c r="E5481"/>
      <c r="F5481"/>
      <c r="G5481"/>
      <c r="H5481"/>
    </row>
    <row r="5482" spans="3:8" x14ac:dyDescent="0.3">
      <c r="C5482"/>
      <c r="D5482"/>
      <c r="E5482"/>
      <c r="F5482"/>
      <c r="G5482"/>
      <c r="H5482"/>
    </row>
    <row r="5483" spans="3:8" x14ac:dyDescent="0.3">
      <c r="C5483"/>
      <c r="D5483"/>
      <c r="E5483"/>
      <c r="F5483"/>
      <c r="G5483"/>
      <c r="H5483"/>
    </row>
    <row r="5484" spans="3:8" x14ac:dyDescent="0.3">
      <c r="C5484"/>
      <c r="D5484"/>
      <c r="E5484"/>
      <c r="F5484"/>
      <c r="G5484"/>
      <c r="H5484"/>
    </row>
    <row r="5485" spans="3:8" x14ac:dyDescent="0.3">
      <c r="C5485"/>
      <c r="D5485"/>
      <c r="E5485"/>
      <c r="F5485"/>
      <c r="G5485"/>
      <c r="H5485"/>
    </row>
    <row r="5486" spans="3:8" x14ac:dyDescent="0.3">
      <c r="C5486"/>
      <c r="D5486"/>
      <c r="E5486"/>
      <c r="F5486"/>
      <c r="G5486"/>
      <c r="H5486"/>
    </row>
    <row r="5487" spans="3:8" x14ac:dyDescent="0.3">
      <c r="C5487"/>
      <c r="D5487"/>
      <c r="E5487"/>
      <c r="F5487"/>
      <c r="G5487"/>
      <c r="H5487"/>
    </row>
    <row r="5488" spans="3:8" x14ac:dyDescent="0.3">
      <c r="C5488"/>
      <c r="D5488"/>
      <c r="E5488"/>
      <c r="F5488"/>
      <c r="G5488"/>
      <c r="H5488"/>
    </row>
    <row r="5489" spans="3:8" x14ac:dyDescent="0.3">
      <c r="C5489"/>
      <c r="D5489"/>
      <c r="E5489"/>
      <c r="F5489"/>
      <c r="G5489"/>
      <c r="H5489"/>
    </row>
    <row r="5490" spans="3:8" x14ac:dyDescent="0.3">
      <c r="C5490"/>
      <c r="D5490"/>
      <c r="E5490"/>
      <c r="F5490"/>
      <c r="G5490"/>
      <c r="H5490"/>
    </row>
    <row r="5491" spans="3:8" x14ac:dyDescent="0.3">
      <c r="C5491"/>
      <c r="D5491"/>
      <c r="E5491"/>
      <c r="F5491"/>
      <c r="G5491"/>
      <c r="H5491"/>
    </row>
    <row r="5492" spans="3:8" x14ac:dyDescent="0.3">
      <c r="C5492"/>
      <c r="D5492"/>
      <c r="E5492"/>
      <c r="F5492"/>
      <c r="G5492"/>
      <c r="H5492"/>
    </row>
    <row r="5493" spans="3:8" x14ac:dyDescent="0.3">
      <c r="C5493"/>
      <c r="D5493"/>
      <c r="E5493"/>
      <c r="F5493"/>
      <c r="G5493"/>
      <c r="H5493"/>
    </row>
    <row r="5494" spans="3:8" x14ac:dyDescent="0.3">
      <c r="C5494"/>
      <c r="D5494"/>
      <c r="E5494"/>
      <c r="F5494"/>
      <c r="G5494"/>
      <c r="H5494"/>
    </row>
    <row r="5495" spans="3:8" x14ac:dyDescent="0.3">
      <c r="C5495"/>
      <c r="D5495"/>
      <c r="E5495"/>
      <c r="F5495"/>
      <c r="G5495"/>
      <c r="H5495"/>
    </row>
    <row r="5496" spans="3:8" x14ac:dyDescent="0.3">
      <c r="C5496"/>
      <c r="D5496"/>
      <c r="E5496"/>
      <c r="F5496"/>
      <c r="G5496"/>
      <c r="H5496"/>
    </row>
    <row r="5497" spans="3:8" x14ac:dyDescent="0.3">
      <c r="C5497"/>
      <c r="D5497"/>
      <c r="E5497"/>
      <c r="F5497"/>
      <c r="G5497"/>
      <c r="H5497"/>
    </row>
    <row r="5498" spans="3:8" x14ac:dyDescent="0.3">
      <c r="C5498"/>
      <c r="D5498"/>
      <c r="E5498"/>
      <c r="F5498"/>
      <c r="G5498"/>
      <c r="H5498"/>
    </row>
    <row r="5499" spans="3:8" x14ac:dyDescent="0.3">
      <c r="C5499"/>
      <c r="D5499"/>
      <c r="E5499"/>
      <c r="F5499"/>
      <c r="G5499"/>
      <c r="H5499"/>
    </row>
    <row r="5500" spans="3:8" x14ac:dyDescent="0.3">
      <c r="C5500"/>
      <c r="D5500"/>
      <c r="E5500"/>
      <c r="F5500"/>
      <c r="G5500"/>
      <c r="H5500"/>
    </row>
    <row r="5501" spans="3:8" x14ac:dyDescent="0.3">
      <c r="C5501"/>
      <c r="D5501"/>
      <c r="E5501"/>
      <c r="F5501"/>
      <c r="G5501"/>
      <c r="H5501"/>
    </row>
    <row r="5502" spans="3:8" x14ac:dyDescent="0.3">
      <c r="C5502"/>
      <c r="D5502"/>
      <c r="E5502"/>
      <c r="F5502"/>
      <c r="G5502"/>
      <c r="H5502"/>
    </row>
    <row r="5503" spans="3:8" x14ac:dyDescent="0.3">
      <c r="C5503"/>
      <c r="D5503"/>
      <c r="E5503"/>
      <c r="F5503"/>
      <c r="G5503"/>
      <c r="H5503"/>
    </row>
    <row r="5504" spans="3:8" x14ac:dyDescent="0.3">
      <c r="C5504"/>
      <c r="D5504"/>
      <c r="E5504"/>
      <c r="F5504"/>
      <c r="G5504"/>
      <c r="H5504"/>
    </row>
    <row r="5505" spans="3:8" x14ac:dyDescent="0.3">
      <c r="C5505"/>
      <c r="D5505"/>
      <c r="E5505"/>
      <c r="F5505"/>
      <c r="G5505"/>
      <c r="H5505"/>
    </row>
    <row r="5506" spans="3:8" x14ac:dyDescent="0.3">
      <c r="C5506"/>
      <c r="D5506"/>
      <c r="E5506"/>
      <c r="F5506"/>
      <c r="G5506"/>
      <c r="H5506"/>
    </row>
    <row r="5507" spans="3:8" x14ac:dyDescent="0.3">
      <c r="C5507"/>
      <c r="D5507"/>
      <c r="E5507"/>
      <c r="F5507"/>
      <c r="G5507"/>
      <c r="H5507"/>
    </row>
    <row r="5508" spans="3:8" x14ac:dyDescent="0.3">
      <c r="C5508"/>
      <c r="D5508"/>
      <c r="E5508"/>
      <c r="F5508"/>
      <c r="G5508"/>
      <c r="H5508"/>
    </row>
    <row r="5509" spans="3:8" x14ac:dyDescent="0.3">
      <c r="C5509"/>
      <c r="D5509"/>
      <c r="E5509"/>
      <c r="F5509"/>
      <c r="G5509"/>
      <c r="H5509"/>
    </row>
    <row r="5510" spans="3:8" x14ac:dyDescent="0.3">
      <c r="C5510"/>
      <c r="D5510"/>
      <c r="E5510"/>
      <c r="F5510"/>
      <c r="G5510"/>
      <c r="H5510"/>
    </row>
    <row r="5511" spans="3:8" x14ac:dyDescent="0.3">
      <c r="C5511"/>
      <c r="D5511"/>
      <c r="E5511"/>
      <c r="F5511"/>
      <c r="G5511"/>
      <c r="H5511"/>
    </row>
    <row r="5512" spans="3:8" x14ac:dyDescent="0.3">
      <c r="C5512"/>
      <c r="D5512"/>
      <c r="E5512"/>
      <c r="F5512"/>
      <c r="G5512"/>
      <c r="H5512"/>
    </row>
    <row r="5513" spans="3:8" x14ac:dyDescent="0.3">
      <c r="C5513"/>
      <c r="D5513"/>
      <c r="E5513"/>
      <c r="F5513"/>
      <c r="G5513"/>
      <c r="H5513"/>
    </row>
    <row r="5514" spans="3:8" x14ac:dyDescent="0.3">
      <c r="C5514"/>
      <c r="D5514"/>
      <c r="E5514"/>
      <c r="F5514"/>
      <c r="G5514"/>
      <c r="H5514"/>
    </row>
    <row r="5515" spans="3:8" x14ac:dyDescent="0.3">
      <c r="C5515"/>
      <c r="D5515"/>
      <c r="E5515"/>
      <c r="F5515"/>
      <c r="G5515"/>
      <c r="H5515"/>
    </row>
    <row r="5516" spans="3:8" x14ac:dyDescent="0.3">
      <c r="C5516"/>
      <c r="D5516"/>
      <c r="E5516"/>
      <c r="F5516"/>
      <c r="G5516"/>
      <c r="H5516"/>
    </row>
    <row r="5517" spans="3:8" x14ac:dyDescent="0.3">
      <c r="C5517"/>
      <c r="D5517"/>
      <c r="E5517"/>
      <c r="F5517"/>
      <c r="G5517"/>
      <c r="H5517"/>
    </row>
    <row r="5518" spans="3:8" x14ac:dyDescent="0.3">
      <c r="C5518"/>
      <c r="D5518"/>
      <c r="E5518"/>
      <c r="F5518"/>
      <c r="G5518"/>
      <c r="H5518"/>
    </row>
    <row r="5519" spans="3:8" x14ac:dyDescent="0.3">
      <c r="C5519"/>
      <c r="D5519"/>
      <c r="E5519"/>
      <c r="F5519"/>
      <c r="G5519"/>
      <c r="H5519"/>
    </row>
    <row r="5520" spans="3:8" x14ac:dyDescent="0.3">
      <c r="C5520"/>
      <c r="D5520"/>
      <c r="E5520"/>
      <c r="F5520"/>
      <c r="G5520"/>
      <c r="H5520"/>
    </row>
    <row r="5521" spans="3:8" x14ac:dyDescent="0.3">
      <c r="C5521"/>
      <c r="D5521"/>
      <c r="E5521"/>
      <c r="F5521"/>
      <c r="G5521"/>
      <c r="H5521"/>
    </row>
    <row r="5522" spans="3:8" x14ac:dyDescent="0.3">
      <c r="C5522"/>
      <c r="D5522"/>
      <c r="E5522"/>
      <c r="F5522"/>
      <c r="G5522"/>
      <c r="H5522"/>
    </row>
    <row r="5523" spans="3:8" x14ac:dyDescent="0.3">
      <c r="C5523"/>
      <c r="D5523"/>
      <c r="E5523"/>
      <c r="F5523"/>
      <c r="G5523"/>
      <c r="H5523"/>
    </row>
    <row r="5524" spans="3:8" x14ac:dyDescent="0.3">
      <c r="C5524"/>
      <c r="D5524"/>
      <c r="E5524"/>
      <c r="F5524"/>
      <c r="G5524"/>
      <c r="H5524"/>
    </row>
    <row r="5525" spans="3:8" x14ac:dyDescent="0.3">
      <c r="C5525"/>
      <c r="D5525"/>
      <c r="E5525"/>
      <c r="F5525"/>
      <c r="G5525"/>
      <c r="H5525"/>
    </row>
    <row r="5526" spans="3:8" x14ac:dyDescent="0.3">
      <c r="C5526"/>
      <c r="D5526"/>
      <c r="E5526"/>
      <c r="F5526"/>
      <c r="G5526"/>
      <c r="H5526"/>
    </row>
    <row r="5527" spans="3:8" x14ac:dyDescent="0.3">
      <c r="C5527"/>
      <c r="D5527"/>
      <c r="E5527"/>
      <c r="F5527"/>
      <c r="G5527"/>
      <c r="H5527"/>
    </row>
    <row r="5528" spans="3:8" x14ac:dyDescent="0.3">
      <c r="C5528"/>
      <c r="D5528"/>
      <c r="E5528"/>
      <c r="F5528"/>
      <c r="G5528"/>
      <c r="H5528"/>
    </row>
    <row r="5529" spans="3:8" x14ac:dyDescent="0.3">
      <c r="C5529"/>
      <c r="D5529"/>
      <c r="E5529"/>
      <c r="F5529"/>
      <c r="G5529"/>
      <c r="H5529"/>
    </row>
    <row r="5530" spans="3:8" x14ac:dyDescent="0.3">
      <c r="C5530"/>
      <c r="D5530"/>
      <c r="E5530"/>
      <c r="F5530"/>
      <c r="G5530"/>
      <c r="H5530"/>
    </row>
    <row r="5531" spans="3:8" x14ac:dyDescent="0.3">
      <c r="C5531"/>
      <c r="D5531"/>
      <c r="E5531"/>
      <c r="F5531"/>
      <c r="G5531"/>
      <c r="H5531"/>
    </row>
    <row r="5532" spans="3:8" x14ac:dyDescent="0.3">
      <c r="C5532"/>
      <c r="D5532"/>
      <c r="E5532"/>
      <c r="F5532"/>
      <c r="G5532"/>
      <c r="H5532"/>
    </row>
    <row r="5533" spans="3:8" x14ac:dyDescent="0.3">
      <c r="C5533"/>
      <c r="D5533"/>
      <c r="E5533"/>
      <c r="F5533"/>
      <c r="G5533"/>
      <c r="H5533"/>
    </row>
    <row r="5534" spans="3:8" x14ac:dyDescent="0.3">
      <c r="C5534"/>
      <c r="D5534"/>
      <c r="E5534"/>
      <c r="F5534"/>
      <c r="G5534"/>
      <c r="H5534"/>
    </row>
    <row r="5535" spans="3:8" x14ac:dyDescent="0.3">
      <c r="C5535"/>
      <c r="D5535"/>
      <c r="E5535"/>
      <c r="F5535"/>
      <c r="G5535"/>
      <c r="H5535"/>
    </row>
    <row r="5536" spans="3:8" x14ac:dyDescent="0.3">
      <c r="C5536"/>
      <c r="D5536"/>
      <c r="E5536"/>
      <c r="F5536"/>
      <c r="G5536"/>
      <c r="H5536"/>
    </row>
    <row r="5537" spans="3:8" x14ac:dyDescent="0.3">
      <c r="C5537"/>
      <c r="D5537"/>
      <c r="E5537"/>
      <c r="F5537"/>
      <c r="G5537"/>
      <c r="H5537"/>
    </row>
    <row r="5538" spans="3:8" x14ac:dyDescent="0.3">
      <c r="C5538"/>
      <c r="D5538"/>
      <c r="E5538"/>
      <c r="F5538"/>
      <c r="G5538"/>
      <c r="H5538"/>
    </row>
    <row r="5539" spans="3:8" x14ac:dyDescent="0.3">
      <c r="C5539"/>
      <c r="D5539"/>
      <c r="E5539"/>
      <c r="F5539"/>
      <c r="G5539"/>
      <c r="H5539"/>
    </row>
    <row r="5540" spans="3:8" x14ac:dyDescent="0.3">
      <c r="C5540"/>
      <c r="D5540"/>
      <c r="E5540"/>
      <c r="F5540"/>
      <c r="G5540"/>
      <c r="H5540"/>
    </row>
    <row r="5541" spans="3:8" x14ac:dyDescent="0.3">
      <c r="C5541"/>
      <c r="D5541"/>
      <c r="E5541"/>
      <c r="F5541"/>
      <c r="G5541"/>
      <c r="H5541"/>
    </row>
    <row r="5542" spans="3:8" x14ac:dyDescent="0.3">
      <c r="C5542"/>
      <c r="D5542"/>
      <c r="E5542"/>
      <c r="F5542"/>
      <c r="G5542"/>
      <c r="H5542"/>
    </row>
    <row r="5543" spans="3:8" x14ac:dyDescent="0.3">
      <c r="C5543"/>
      <c r="D5543"/>
      <c r="E5543"/>
      <c r="F5543"/>
      <c r="G5543"/>
      <c r="H5543"/>
    </row>
    <row r="5544" spans="3:8" x14ac:dyDescent="0.3">
      <c r="C5544"/>
      <c r="D5544"/>
      <c r="E5544"/>
      <c r="F5544"/>
      <c r="G5544"/>
      <c r="H5544"/>
    </row>
    <row r="5545" spans="3:8" x14ac:dyDescent="0.3">
      <c r="C5545"/>
      <c r="D5545"/>
      <c r="E5545"/>
      <c r="F5545"/>
      <c r="G5545"/>
      <c r="H5545"/>
    </row>
    <row r="5546" spans="3:8" x14ac:dyDescent="0.3">
      <c r="C5546"/>
      <c r="D5546"/>
      <c r="E5546"/>
      <c r="F5546"/>
      <c r="G5546"/>
      <c r="H5546"/>
    </row>
    <row r="5547" spans="3:8" x14ac:dyDescent="0.3">
      <c r="C5547"/>
      <c r="D5547"/>
      <c r="E5547"/>
      <c r="F5547"/>
      <c r="G5547"/>
      <c r="H5547"/>
    </row>
    <row r="5548" spans="3:8" x14ac:dyDescent="0.3">
      <c r="C5548"/>
      <c r="D5548"/>
      <c r="E5548"/>
      <c r="F5548"/>
      <c r="G5548"/>
      <c r="H5548"/>
    </row>
    <row r="5549" spans="3:8" x14ac:dyDescent="0.3">
      <c r="C5549"/>
      <c r="D5549"/>
      <c r="E5549"/>
      <c r="F5549"/>
      <c r="G5549"/>
      <c r="H5549"/>
    </row>
    <row r="5550" spans="3:8" x14ac:dyDescent="0.3">
      <c r="C5550"/>
      <c r="D5550"/>
      <c r="E5550"/>
      <c r="F5550"/>
      <c r="G5550"/>
      <c r="H5550"/>
    </row>
    <row r="5551" spans="3:8" x14ac:dyDescent="0.3">
      <c r="C5551"/>
      <c r="D5551"/>
      <c r="E5551"/>
      <c r="F5551"/>
      <c r="G5551"/>
      <c r="H5551"/>
    </row>
    <row r="5552" spans="3:8" x14ac:dyDescent="0.3">
      <c r="C5552"/>
      <c r="D5552"/>
      <c r="E5552"/>
      <c r="F5552"/>
      <c r="G5552"/>
      <c r="H5552"/>
    </row>
    <row r="5553" spans="3:8" x14ac:dyDescent="0.3">
      <c r="C5553"/>
      <c r="D5553"/>
      <c r="E5553"/>
      <c r="F5553"/>
      <c r="G5553"/>
      <c r="H5553"/>
    </row>
    <row r="5554" spans="3:8" x14ac:dyDescent="0.3">
      <c r="C5554"/>
      <c r="D5554"/>
      <c r="E5554"/>
      <c r="F5554"/>
      <c r="G5554"/>
      <c r="H5554"/>
    </row>
    <row r="5555" spans="3:8" x14ac:dyDescent="0.3">
      <c r="C5555"/>
      <c r="D5555"/>
      <c r="E5555"/>
      <c r="F5555"/>
      <c r="G5555"/>
      <c r="H5555"/>
    </row>
    <row r="5556" spans="3:8" x14ac:dyDescent="0.3">
      <c r="C5556"/>
      <c r="D5556"/>
      <c r="E5556"/>
      <c r="F5556"/>
      <c r="G5556"/>
      <c r="H5556"/>
    </row>
    <row r="5557" spans="3:8" x14ac:dyDescent="0.3">
      <c r="C5557"/>
      <c r="D5557"/>
      <c r="E5557"/>
      <c r="F5557"/>
      <c r="G5557"/>
      <c r="H5557"/>
    </row>
    <row r="5558" spans="3:8" x14ac:dyDescent="0.3">
      <c r="C5558"/>
      <c r="D5558"/>
      <c r="E5558"/>
      <c r="F5558"/>
      <c r="G5558"/>
      <c r="H5558"/>
    </row>
    <row r="5559" spans="3:8" x14ac:dyDescent="0.3">
      <c r="C5559"/>
      <c r="D5559"/>
      <c r="E5559"/>
      <c r="F5559"/>
      <c r="G5559"/>
      <c r="H5559"/>
    </row>
    <row r="5560" spans="3:8" x14ac:dyDescent="0.3">
      <c r="C5560"/>
      <c r="D5560"/>
      <c r="E5560"/>
      <c r="F5560"/>
      <c r="G5560"/>
      <c r="H5560"/>
    </row>
    <row r="5561" spans="3:8" x14ac:dyDescent="0.3">
      <c r="C5561"/>
      <c r="D5561"/>
      <c r="E5561"/>
      <c r="F5561"/>
      <c r="G5561"/>
      <c r="H5561"/>
    </row>
    <row r="5562" spans="3:8" x14ac:dyDescent="0.3">
      <c r="C5562"/>
      <c r="D5562"/>
      <c r="E5562"/>
      <c r="F5562"/>
      <c r="G5562"/>
      <c r="H5562"/>
    </row>
    <row r="5563" spans="3:8" x14ac:dyDescent="0.3">
      <c r="C5563"/>
      <c r="D5563"/>
      <c r="E5563"/>
      <c r="F5563"/>
      <c r="G5563"/>
      <c r="H5563"/>
    </row>
    <row r="5564" spans="3:8" x14ac:dyDescent="0.3">
      <c r="C5564"/>
      <c r="D5564"/>
      <c r="E5564"/>
      <c r="F5564"/>
      <c r="G5564"/>
      <c r="H5564"/>
    </row>
    <row r="5565" spans="3:8" x14ac:dyDescent="0.3">
      <c r="C5565"/>
      <c r="D5565"/>
      <c r="E5565"/>
      <c r="F5565"/>
      <c r="G5565"/>
      <c r="H5565"/>
    </row>
    <row r="5566" spans="3:8" x14ac:dyDescent="0.3">
      <c r="C5566"/>
      <c r="D5566"/>
      <c r="E5566"/>
      <c r="F5566"/>
      <c r="G5566"/>
      <c r="H5566"/>
    </row>
    <row r="5567" spans="3:8" x14ac:dyDescent="0.3">
      <c r="C5567"/>
      <c r="D5567"/>
      <c r="E5567"/>
      <c r="F5567"/>
      <c r="G5567"/>
      <c r="H5567"/>
    </row>
    <row r="5568" spans="3:8" x14ac:dyDescent="0.3">
      <c r="C5568"/>
      <c r="D5568"/>
      <c r="E5568"/>
      <c r="F5568"/>
      <c r="G5568"/>
      <c r="H5568"/>
    </row>
    <row r="5569" spans="3:8" x14ac:dyDescent="0.3">
      <c r="C5569"/>
      <c r="D5569"/>
      <c r="E5569"/>
      <c r="F5569"/>
      <c r="G5569"/>
      <c r="H5569"/>
    </row>
    <row r="5570" spans="3:8" x14ac:dyDescent="0.3">
      <c r="C5570"/>
      <c r="D5570"/>
      <c r="E5570"/>
      <c r="F5570"/>
      <c r="G5570"/>
      <c r="H5570"/>
    </row>
    <row r="5571" spans="3:8" x14ac:dyDescent="0.3">
      <c r="C5571"/>
      <c r="D5571"/>
      <c r="E5571"/>
      <c r="F5571"/>
      <c r="G5571"/>
      <c r="H5571"/>
    </row>
    <row r="5572" spans="3:8" x14ac:dyDescent="0.3">
      <c r="C5572"/>
      <c r="D5572"/>
      <c r="E5572"/>
      <c r="F5572"/>
      <c r="G5572"/>
      <c r="H5572"/>
    </row>
    <row r="5573" spans="3:8" x14ac:dyDescent="0.3">
      <c r="C5573"/>
      <c r="D5573"/>
      <c r="E5573"/>
      <c r="F5573"/>
      <c r="G5573"/>
      <c r="H5573"/>
    </row>
    <row r="5574" spans="3:8" x14ac:dyDescent="0.3">
      <c r="C5574"/>
      <c r="D5574"/>
      <c r="E5574"/>
      <c r="F5574"/>
      <c r="G5574"/>
      <c r="H5574"/>
    </row>
    <row r="5575" spans="3:8" x14ac:dyDescent="0.3">
      <c r="C5575"/>
      <c r="D5575"/>
      <c r="E5575"/>
      <c r="F5575"/>
      <c r="G5575"/>
      <c r="H5575"/>
    </row>
    <row r="5576" spans="3:8" x14ac:dyDescent="0.3">
      <c r="C5576"/>
      <c r="D5576"/>
      <c r="E5576"/>
      <c r="F5576"/>
      <c r="G5576"/>
      <c r="H5576"/>
    </row>
    <row r="5577" spans="3:8" x14ac:dyDescent="0.3">
      <c r="C5577"/>
      <c r="D5577"/>
      <c r="E5577"/>
      <c r="F5577"/>
      <c r="G5577"/>
      <c r="H5577"/>
    </row>
    <row r="5578" spans="3:8" x14ac:dyDescent="0.3">
      <c r="C5578"/>
      <c r="D5578"/>
      <c r="E5578"/>
      <c r="F5578"/>
      <c r="G5578"/>
      <c r="H5578"/>
    </row>
    <row r="5579" spans="3:8" x14ac:dyDescent="0.3">
      <c r="C5579"/>
      <c r="D5579"/>
      <c r="E5579"/>
      <c r="F5579"/>
      <c r="G5579"/>
      <c r="H5579"/>
    </row>
    <row r="5580" spans="3:8" x14ac:dyDescent="0.3">
      <c r="C5580"/>
      <c r="D5580"/>
      <c r="E5580"/>
      <c r="F5580"/>
      <c r="G5580"/>
      <c r="H5580"/>
    </row>
    <row r="5581" spans="3:8" x14ac:dyDescent="0.3">
      <c r="C5581"/>
      <c r="D5581"/>
      <c r="E5581"/>
      <c r="F5581"/>
      <c r="G5581"/>
      <c r="H5581"/>
    </row>
    <row r="5582" spans="3:8" x14ac:dyDescent="0.3">
      <c r="C5582"/>
      <c r="D5582"/>
      <c r="E5582"/>
      <c r="F5582"/>
      <c r="G5582"/>
      <c r="H5582"/>
    </row>
    <row r="5583" spans="3:8" x14ac:dyDescent="0.3">
      <c r="C5583"/>
      <c r="D5583"/>
      <c r="E5583"/>
      <c r="F5583"/>
      <c r="G5583"/>
      <c r="H5583"/>
    </row>
    <row r="5584" spans="3:8" x14ac:dyDescent="0.3">
      <c r="C5584"/>
      <c r="D5584"/>
      <c r="E5584"/>
      <c r="F5584"/>
      <c r="G5584"/>
      <c r="H5584"/>
    </row>
    <row r="5585" spans="3:8" x14ac:dyDescent="0.3">
      <c r="C5585"/>
      <c r="D5585"/>
      <c r="E5585"/>
      <c r="F5585"/>
      <c r="G5585"/>
      <c r="H5585"/>
    </row>
    <row r="5586" spans="3:8" x14ac:dyDescent="0.3">
      <c r="C5586"/>
      <c r="D5586"/>
      <c r="E5586"/>
      <c r="F5586"/>
      <c r="G5586"/>
      <c r="H5586"/>
    </row>
    <row r="5587" spans="3:8" x14ac:dyDescent="0.3">
      <c r="C5587"/>
      <c r="D5587"/>
      <c r="E5587"/>
      <c r="F5587"/>
      <c r="G5587"/>
      <c r="H5587"/>
    </row>
    <row r="5588" spans="3:8" x14ac:dyDescent="0.3">
      <c r="C5588"/>
      <c r="D5588"/>
      <c r="E5588"/>
      <c r="F5588"/>
      <c r="G5588"/>
      <c r="H5588"/>
    </row>
    <row r="5589" spans="3:8" x14ac:dyDescent="0.3">
      <c r="C5589"/>
      <c r="D5589"/>
      <c r="E5589"/>
      <c r="F5589"/>
      <c r="G5589"/>
      <c r="H5589"/>
    </row>
    <row r="5590" spans="3:8" x14ac:dyDescent="0.3">
      <c r="C5590"/>
      <c r="D5590"/>
      <c r="E5590"/>
      <c r="F5590"/>
      <c r="G5590"/>
      <c r="H5590"/>
    </row>
    <row r="5591" spans="3:8" x14ac:dyDescent="0.3">
      <c r="C5591"/>
      <c r="D5591"/>
      <c r="E5591"/>
      <c r="F5591"/>
      <c r="G5591"/>
      <c r="H5591"/>
    </row>
    <row r="5592" spans="3:8" x14ac:dyDescent="0.3">
      <c r="C5592"/>
      <c r="D5592"/>
      <c r="E5592"/>
      <c r="F5592"/>
      <c r="G5592"/>
      <c r="H5592"/>
    </row>
    <row r="5593" spans="3:8" x14ac:dyDescent="0.3">
      <c r="C5593"/>
      <c r="D5593"/>
      <c r="E5593"/>
      <c r="F5593"/>
      <c r="G5593"/>
      <c r="H5593"/>
    </row>
    <row r="5594" spans="3:8" x14ac:dyDescent="0.3">
      <c r="C5594"/>
      <c r="D5594"/>
      <c r="E5594"/>
      <c r="F5594"/>
      <c r="G5594"/>
      <c r="H5594"/>
    </row>
    <row r="5595" spans="3:8" x14ac:dyDescent="0.3">
      <c r="C5595"/>
      <c r="D5595"/>
      <c r="E5595"/>
      <c r="F5595"/>
      <c r="G5595"/>
      <c r="H5595"/>
    </row>
    <row r="5596" spans="3:8" x14ac:dyDescent="0.3">
      <c r="C5596"/>
      <c r="D5596"/>
      <c r="E5596"/>
      <c r="F5596"/>
      <c r="G5596"/>
      <c r="H5596"/>
    </row>
    <row r="5597" spans="3:8" x14ac:dyDescent="0.3">
      <c r="C5597"/>
      <c r="D5597"/>
      <c r="E5597"/>
      <c r="F5597"/>
      <c r="G5597"/>
      <c r="H5597"/>
    </row>
    <row r="5598" spans="3:8" x14ac:dyDescent="0.3">
      <c r="C5598"/>
      <c r="D5598"/>
      <c r="E5598"/>
      <c r="F5598"/>
      <c r="G5598"/>
      <c r="H5598"/>
    </row>
    <row r="5599" spans="3:8" x14ac:dyDescent="0.3">
      <c r="C5599"/>
      <c r="D5599"/>
      <c r="E5599"/>
      <c r="F5599"/>
      <c r="G5599"/>
      <c r="H5599"/>
    </row>
    <row r="5600" spans="3:8" x14ac:dyDescent="0.3">
      <c r="C5600"/>
      <c r="D5600"/>
      <c r="E5600"/>
      <c r="F5600"/>
      <c r="G5600"/>
      <c r="H5600"/>
    </row>
    <row r="5601" spans="3:8" x14ac:dyDescent="0.3">
      <c r="C5601"/>
      <c r="D5601"/>
      <c r="E5601"/>
      <c r="F5601"/>
      <c r="G5601"/>
      <c r="H5601"/>
    </row>
    <row r="5602" spans="3:8" x14ac:dyDescent="0.3">
      <c r="C5602"/>
      <c r="D5602"/>
      <c r="E5602"/>
      <c r="F5602"/>
      <c r="G5602"/>
      <c r="H5602"/>
    </row>
    <row r="5603" spans="3:8" x14ac:dyDescent="0.3">
      <c r="C5603"/>
      <c r="D5603"/>
      <c r="E5603"/>
      <c r="F5603"/>
      <c r="G5603"/>
      <c r="H5603"/>
    </row>
    <row r="5604" spans="3:8" x14ac:dyDescent="0.3">
      <c r="C5604"/>
      <c r="D5604"/>
      <c r="E5604"/>
      <c r="F5604"/>
      <c r="G5604"/>
      <c r="H5604"/>
    </row>
    <row r="5605" spans="3:8" x14ac:dyDescent="0.3">
      <c r="C5605"/>
      <c r="D5605"/>
      <c r="E5605"/>
      <c r="F5605"/>
      <c r="G5605"/>
      <c r="H5605"/>
    </row>
    <row r="5606" spans="3:8" x14ac:dyDescent="0.3">
      <c r="C5606"/>
      <c r="D5606"/>
      <c r="E5606"/>
      <c r="F5606"/>
      <c r="G5606"/>
      <c r="H5606"/>
    </row>
    <row r="5607" spans="3:8" x14ac:dyDescent="0.3">
      <c r="C5607"/>
      <c r="D5607"/>
      <c r="E5607"/>
      <c r="F5607"/>
      <c r="G5607"/>
      <c r="H5607"/>
    </row>
    <row r="5608" spans="3:8" x14ac:dyDescent="0.3">
      <c r="C5608"/>
      <c r="D5608"/>
      <c r="E5608"/>
      <c r="F5608"/>
      <c r="G5608"/>
      <c r="H5608"/>
    </row>
    <row r="5609" spans="3:8" x14ac:dyDescent="0.3">
      <c r="C5609"/>
      <c r="D5609"/>
      <c r="E5609"/>
      <c r="F5609"/>
      <c r="G5609"/>
      <c r="H5609"/>
    </row>
    <row r="5610" spans="3:8" x14ac:dyDescent="0.3">
      <c r="C5610"/>
      <c r="D5610"/>
      <c r="E5610"/>
      <c r="F5610"/>
      <c r="G5610"/>
      <c r="H5610"/>
    </row>
    <row r="5611" spans="3:8" x14ac:dyDescent="0.3">
      <c r="C5611"/>
      <c r="D5611"/>
      <c r="E5611"/>
      <c r="F5611"/>
      <c r="G5611"/>
      <c r="H5611"/>
    </row>
    <row r="5612" spans="3:8" x14ac:dyDescent="0.3">
      <c r="C5612"/>
      <c r="D5612"/>
      <c r="E5612"/>
      <c r="F5612"/>
      <c r="G5612"/>
      <c r="H5612"/>
    </row>
    <row r="5613" spans="3:8" x14ac:dyDescent="0.3">
      <c r="C5613"/>
      <c r="D5613"/>
      <c r="E5613"/>
      <c r="F5613"/>
      <c r="G5613"/>
      <c r="H5613"/>
    </row>
    <row r="5614" spans="3:8" x14ac:dyDescent="0.3">
      <c r="C5614"/>
      <c r="D5614"/>
      <c r="E5614"/>
      <c r="F5614"/>
      <c r="G5614"/>
      <c r="H5614"/>
    </row>
    <row r="5615" spans="3:8" x14ac:dyDescent="0.3">
      <c r="C5615"/>
      <c r="D5615"/>
      <c r="E5615"/>
      <c r="F5615"/>
      <c r="G5615"/>
      <c r="H5615"/>
    </row>
    <row r="5616" spans="3:8" x14ac:dyDescent="0.3">
      <c r="C5616"/>
      <c r="D5616"/>
      <c r="E5616"/>
      <c r="F5616"/>
      <c r="G5616"/>
      <c r="H5616"/>
    </row>
    <row r="5617" spans="3:8" x14ac:dyDescent="0.3">
      <c r="C5617"/>
      <c r="D5617"/>
      <c r="E5617"/>
      <c r="F5617"/>
      <c r="G5617"/>
      <c r="H5617"/>
    </row>
    <row r="5618" spans="3:8" x14ac:dyDescent="0.3">
      <c r="C5618"/>
      <c r="D5618"/>
      <c r="E5618"/>
      <c r="F5618"/>
      <c r="G5618"/>
      <c r="H5618"/>
    </row>
    <row r="5619" spans="3:8" x14ac:dyDescent="0.3">
      <c r="C5619"/>
      <c r="D5619"/>
      <c r="E5619"/>
      <c r="F5619"/>
      <c r="G5619"/>
      <c r="H5619"/>
    </row>
    <row r="5620" spans="3:8" x14ac:dyDescent="0.3">
      <c r="C5620"/>
      <c r="D5620"/>
      <c r="E5620"/>
      <c r="F5620"/>
      <c r="G5620"/>
      <c r="H5620"/>
    </row>
    <row r="5621" spans="3:8" x14ac:dyDescent="0.3">
      <c r="C5621"/>
      <c r="D5621"/>
      <c r="E5621"/>
      <c r="F5621"/>
      <c r="G5621"/>
      <c r="H5621"/>
    </row>
    <row r="5622" spans="3:8" x14ac:dyDescent="0.3">
      <c r="C5622"/>
      <c r="D5622"/>
      <c r="E5622"/>
      <c r="F5622"/>
      <c r="G5622"/>
      <c r="H5622"/>
    </row>
    <row r="5623" spans="3:8" x14ac:dyDescent="0.3">
      <c r="C5623"/>
      <c r="D5623"/>
      <c r="E5623"/>
      <c r="F5623"/>
      <c r="G5623"/>
      <c r="H5623"/>
    </row>
    <row r="5624" spans="3:8" x14ac:dyDescent="0.3">
      <c r="C5624"/>
      <c r="D5624"/>
      <c r="E5624"/>
      <c r="F5624"/>
      <c r="G5624"/>
      <c r="H5624"/>
    </row>
    <row r="5625" spans="3:8" x14ac:dyDescent="0.3">
      <c r="C5625"/>
      <c r="D5625"/>
      <c r="E5625"/>
      <c r="F5625"/>
      <c r="G5625"/>
      <c r="H5625"/>
    </row>
    <row r="5626" spans="3:8" x14ac:dyDescent="0.3">
      <c r="C5626"/>
      <c r="D5626"/>
      <c r="E5626"/>
      <c r="F5626"/>
      <c r="G5626"/>
      <c r="H5626"/>
    </row>
    <row r="5627" spans="3:8" x14ac:dyDescent="0.3">
      <c r="C5627"/>
      <c r="D5627"/>
      <c r="E5627"/>
      <c r="F5627"/>
      <c r="G5627"/>
      <c r="H5627"/>
    </row>
    <row r="5628" spans="3:8" x14ac:dyDescent="0.3">
      <c r="C5628"/>
      <c r="D5628"/>
      <c r="E5628"/>
      <c r="F5628"/>
      <c r="G5628"/>
      <c r="H5628"/>
    </row>
    <row r="5629" spans="3:8" x14ac:dyDescent="0.3">
      <c r="C5629"/>
      <c r="D5629"/>
      <c r="E5629"/>
      <c r="F5629"/>
      <c r="G5629"/>
      <c r="H5629"/>
    </row>
    <row r="5630" spans="3:8" x14ac:dyDescent="0.3">
      <c r="C5630"/>
      <c r="D5630"/>
      <c r="E5630"/>
      <c r="F5630"/>
      <c r="G5630"/>
      <c r="H5630"/>
    </row>
    <row r="5631" spans="3:8" x14ac:dyDescent="0.3">
      <c r="C5631"/>
      <c r="D5631"/>
      <c r="E5631"/>
      <c r="F5631"/>
      <c r="G5631"/>
      <c r="H5631"/>
    </row>
    <row r="5632" spans="3:8" x14ac:dyDescent="0.3">
      <c r="C5632"/>
      <c r="D5632"/>
      <c r="E5632"/>
      <c r="F5632"/>
      <c r="G5632"/>
      <c r="H5632"/>
    </row>
    <row r="5633" spans="3:8" x14ac:dyDescent="0.3">
      <c r="C5633"/>
      <c r="D5633"/>
      <c r="E5633"/>
      <c r="F5633"/>
      <c r="G5633"/>
      <c r="H5633"/>
    </row>
    <row r="5634" spans="3:8" x14ac:dyDescent="0.3">
      <c r="C5634"/>
      <c r="D5634"/>
      <c r="E5634"/>
      <c r="F5634"/>
      <c r="G5634"/>
      <c r="H5634"/>
    </row>
    <row r="5635" spans="3:8" x14ac:dyDescent="0.3">
      <c r="C5635"/>
      <c r="D5635"/>
      <c r="E5635"/>
      <c r="F5635"/>
      <c r="G5635"/>
      <c r="H5635"/>
    </row>
    <row r="5636" spans="3:8" x14ac:dyDescent="0.3">
      <c r="C5636"/>
      <c r="D5636"/>
      <c r="E5636"/>
      <c r="F5636"/>
      <c r="G5636"/>
      <c r="H5636"/>
    </row>
    <row r="5637" spans="3:8" x14ac:dyDescent="0.3">
      <c r="C5637"/>
      <c r="D5637"/>
      <c r="E5637"/>
      <c r="F5637"/>
      <c r="G5637"/>
      <c r="H5637"/>
    </row>
    <row r="5638" spans="3:8" x14ac:dyDescent="0.3">
      <c r="C5638"/>
      <c r="D5638"/>
      <c r="E5638"/>
      <c r="F5638"/>
      <c r="G5638"/>
      <c r="H5638"/>
    </row>
    <row r="5639" spans="3:8" x14ac:dyDescent="0.3">
      <c r="C5639"/>
      <c r="D5639"/>
      <c r="E5639"/>
      <c r="F5639"/>
      <c r="G5639"/>
      <c r="H5639"/>
    </row>
    <row r="5640" spans="3:8" x14ac:dyDescent="0.3">
      <c r="C5640"/>
      <c r="D5640"/>
      <c r="E5640"/>
      <c r="F5640"/>
      <c r="G5640"/>
      <c r="H5640"/>
    </row>
    <row r="5641" spans="3:8" x14ac:dyDescent="0.3">
      <c r="C5641"/>
      <c r="D5641"/>
      <c r="E5641"/>
      <c r="F5641"/>
      <c r="G5641"/>
      <c r="H5641"/>
    </row>
    <row r="5642" spans="3:8" x14ac:dyDescent="0.3">
      <c r="C5642"/>
      <c r="D5642"/>
      <c r="E5642"/>
      <c r="F5642"/>
      <c r="G5642"/>
      <c r="H5642"/>
    </row>
    <row r="5643" spans="3:8" x14ac:dyDescent="0.3">
      <c r="C5643"/>
      <c r="D5643"/>
      <c r="E5643"/>
      <c r="F5643"/>
      <c r="G5643"/>
      <c r="H5643"/>
    </row>
    <row r="5644" spans="3:8" x14ac:dyDescent="0.3">
      <c r="C5644"/>
      <c r="D5644"/>
      <c r="E5644"/>
      <c r="F5644"/>
      <c r="G5644"/>
      <c r="H5644"/>
    </row>
    <row r="5645" spans="3:8" x14ac:dyDescent="0.3">
      <c r="C5645"/>
      <c r="D5645"/>
      <c r="E5645"/>
      <c r="F5645"/>
      <c r="G5645"/>
      <c r="H5645"/>
    </row>
    <row r="5646" spans="3:8" x14ac:dyDescent="0.3">
      <c r="C5646"/>
      <c r="D5646"/>
      <c r="E5646"/>
      <c r="F5646"/>
      <c r="G5646"/>
      <c r="H5646"/>
    </row>
    <row r="5647" spans="3:8" x14ac:dyDescent="0.3">
      <c r="C5647"/>
      <c r="D5647"/>
      <c r="E5647"/>
      <c r="F5647"/>
      <c r="G5647"/>
      <c r="H5647"/>
    </row>
    <row r="5648" spans="3:8" x14ac:dyDescent="0.3">
      <c r="C5648"/>
      <c r="D5648"/>
      <c r="E5648"/>
      <c r="F5648"/>
      <c r="G5648"/>
      <c r="H5648"/>
    </row>
    <row r="5649" spans="3:8" x14ac:dyDescent="0.3">
      <c r="C5649"/>
      <c r="D5649"/>
      <c r="E5649"/>
      <c r="F5649"/>
      <c r="G5649"/>
      <c r="H5649"/>
    </row>
    <row r="5650" spans="3:8" x14ac:dyDescent="0.3">
      <c r="C5650"/>
      <c r="D5650"/>
      <c r="E5650"/>
      <c r="F5650"/>
      <c r="G5650"/>
      <c r="H5650"/>
    </row>
    <row r="5651" spans="3:8" x14ac:dyDescent="0.3">
      <c r="C5651"/>
      <c r="D5651"/>
      <c r="E5651"/>
      <c r="F5651"/>
      <c r="G5651"/>
      <c r="H5651"/>
    </row>
    <row r="5652" spans="3:8" x14ac:dyDescent="0.3">
      <c r="C5652"/>
      <c r="D5652"/>
      <c r="E5652"/>
      <c r="F5652"/>
      <c r="G5652"/>
      <c r="H5652"/>
    </row>
    <row r="5653" spans="3:8" x14ac:dyDescent="0.3">
      <c r="C5653"/>
      <c r="D5653"/>
      <c r="E5653"/>
      <c r="F5653"/>
      <c r="G5653"/>
      <c r="H5653"/>
    </row>
    <row r="5654" spans="3:8" x14ac:dyDescent="0.3">
      <c r="C5654"/>
      <c r="D5654"/>
      <c r="E5654"/>
      <c r="F5654"/>
      <c r="G5654"/>
      <c r="H5654"/>
    </row>
    <row r="5655" spans="3:8" x14ac:dyDescent="0.3">
      <c r="C5655"/>
      <c r="D5655"/>
      <c r="E5655"/>
      <c r="F5655"/>
      <c r="G5655"/>
      <c r="H5655"/>
    </row>
    <row r="5656" spans="3:8" x14ac:dyDescent="0.3">
      <c r="C5656"/>
      <c r="D5656"/>
      <c r="E5656"/>
      <c r="F5656"/>
      <c r="G5656"/>
      <c r="H5656"/>
    </row>
    <row r="5657" spans="3:8" x14ac:dyDescent="0.3">
      <c r="C5657"/>
      <c r="D5657"/>
      <c r="E5657"/>
      <c r="F5657"/>
      <c r="G5657"/>
      <c r="H5657"/>
    </row>
    <row r="5658" spans="3:8" x14ac:dyDescent="0.3">
      <c r="C5658"/>
      <c r="D5658"/>
      <c r="E5658"/>
      <c r="F5658"/>
      <c r="G5658"/>
      <c r="H5658"/>
    </row>
    <row r="5659" spans="3:8" x14ac:dyDescent="0.3">
      <c r="C5659"/>
      <c r="D5659"/>
      <c r="E5659"/>
      <c r="F5659"/>
      <c r="G5659"/>
      <c r="H5659"/>
    </row>
    <row r="5660" spans="3:8" x14ac:dyDescent="0.3">
      <c r="C5660"/>
      <c r="D5660"/>
      <c r="E5660"/>
      <c r="F5660"/>
      <c r="G5660"/>
      <c r="H5660"/>
    </row>
    <row r="5661" spans="3:8" x14ac:dyDescent="0.3">
      <c r="C5661"/>
      <c r="D5661"/>
      <c r="E5661"/>
      <c r="F5661"/>
      <c r="G5661"/>
      <c r="H5661"/>
    </row>
    <row r="5662" spans="3:8" x14ac:dyDescent="0.3">
      <c r="C5662"/>
      <c r="D5662"/>
      <c r="E5662"/>
      <c r="F5662"/>
      <c r="G5662"/>
      <c r="H5662"/>
    </row>
    <row r="5663" spans="3:8" x14ac:dyDescent="0.3">
      <c r="C5663"/>
      <c r="D5663"/>
      <c r="E5663"/>
      <c r="F5663"/>
      <c r="G5663"/>
      <c r="H5663"/>
    </row>
    <row r="5664" spans="3:8" x14ac:dyDescent="0.3">
      <c r="C5664"/>
      <c r="D5664"/>
      <c r="E5664"/>
      <c r="F5664"/>
      <c r="G5664"/>
      <c r="H5664"/>
    </row>
    <row r="5665" spans="3:8" x14ac:dyDescent="0.3">
      <c r="C5665"/>
      <c r="D5665"/>
      <c r="E5665"/>
      <c r="F5665"/>
      <c r="G5665"/>
      <c r="H5665"/>
    </row>
    <row r="5666" spans="3:8" x14ac:dyDescent="0.3">
      <c r="C5666"/>
      <c r="D5666"/>
      <c r="E5666"/>
      <c r="F5666"/>
      <c r="G5666"/>
      <c r="H5666"/>
    </row>
    <row r="5667" spans="3:8" x14ac:dyDescent="0.3">
      <c r="C5667"/>
      <c r="D5667"/>
      <c r="E5667"/>
      <c r="F5667"/>
      <c r="G5667"/>
      <c r="H5667"/>
    </row>
    <row r="5668" spans="3:8" x14ac:dyDescent="0.3">
      <c r="C5668"/>
      <c r="D5668"/>
      <c r="E5668"/>
      <c r="F5668"/>
      <c r="G5668"/>
      <c r="H5668"/>
    </row>
    <row r="5669" spans="3:8" x14ac:dyDescent="0.3">
      <c r="C5669"/>
      <c r="D5669"/>
      <c r="E5669"/>
      <c r="F5669"/>
      <c r="G5669"/>
      <c r="H5669"/>
    </row>
    <row r="5670" spans="3:8" x14ac:dyDescent="0.3">
      <c r="C5670"/>
      <c r="D5670"/>
      <c r="E5670"/>
      <c r="F5670"/>
      <c r="G5670"/>
      <c r="H5670"/>
    </row>
    <row r="5671" spans="3:8" x14ac:dyDescent="0.3">
      <c r="C5671"/>
      <c r="D5671"/>
      <c r="E5671"/>
      <c r="F5671"/>
      <c r="G5671"/>
      <c r="H5671"/>
    </row>
    <row r="5672" spans="3:8" x14ac:dyDescent="0.3">
      <c r="C5672"/>
      <c r="D5672"/>
      <c r="E5672"/>
      <c r="F5672"/>
      <c r="G5672"/>
      <c r="H5672"/>
    </row>
    <row r="5673" spans="3:8" x14ac:dyDescent="0.3">
      <c r="C5673"/>
      <c r="D5673"/>
      <c r="E5673"/>
      <c r="F5673"/>
      <c r="G5673"/>
      <c r="H5673"/>
    </row>
    <row r="5674" spans="3:8" x14ac:dyDescent="0.3">
      <c r="C5674"/>
      <c r="D5674"/>
      <c r="E5674"/>
      <c r="F5674"/>
      <c r="G5674"/>
      <c r="H5674"/>
    </row>
    <row r="5675" spans="3:8" x14ac:dyDescent="0.3">
      <c r="C5675"/>
      <c r="D5675"/>
      <c r="E5675"/>
      <c r="F5675"/>
      <c r="G5675"/>
      <c r="H5675"/>
    </row>
    <row r="5676" spans="3:8" x14ac:dyDescent="0.3">
      <c r="C5676"/>
      <c r="D5676"/>
      <c r="E5676"/>
      <c r="F5676"/>
      <c r="G5676"/>
      <c r="H5676"/>
    </row>
    <row r="5677" spans="3:8" x14ac:dyDescent="0.3">
      <c r="C5677"/>
      <c r="D5677"/>
      <c r="E5677"/>
      <c r="F5677"/>
      <c r="G5677"/>
      <c r="H5677"/>
    </row>
    <row r="5678" spans="3:8" x14ac:dyDescent="0.3">
      <c r="C5678"/>
      <c r="D5678"/>
      <c r="E5678"/>
      <c r="F5678"/>
      <c r="G5678"/>
      <c r="H5678"/>
    </row>
    <row r="5679" spans="3:8" x14ac:dyDescent="0.3">
      <c r="C5679"/>
      <c r="D5679"/>
      <c r="E5679"/>
      <c r="F5679"/>
      <c r="G5679"/>
      <c r="H5679"/>
    </row>
    <row r="5680" spans="3:8" x14ac:dyDescent="0.3">
      <c r="C5680"/>
      <c r="D5680"/>
      <c r="E5680"/>
      <c r="F5680"/>
      <c r="G5680"/>
      <c r="H5680"/>
    </row>
    <row r="5681" spans="3:8" x14ac:dyDescent="0.3">
      <c r="C5681"/>
      <c r="D5681"/>
      <c r="E5681"/>
      <c r="F5681"/>
      <c r="G5681"/>
      <c r="H5681"/>
    </row>
    <row r="5682" spans="3:8" x14ac:dyDescent="0.3">
      <c r="C5682"/>
      <c r="D5682"/>
      <c r="E5682"/>
      <c r="F5682"/>
      <c r="G5682"/>
      <c r="H5682"/>
    </row>
    <row r="5683" spans="3:8" x14ac:dyDescent="0.3">
      <c r="C5683"/>
      <c r="D5683"/>
      <c r="E5683"/>
      <c r="F5683"/>
      <c r="G5683"/>
      <c r="H5683"/>
    </row>
    <row r="5684" spans="3:8" x14ac:dyDescent="0.3">
      <c r="C5684"/>
      <c r="D5684"/>
      <c r="E5684"/>
      <c r="F5684"/>
      <c r="G5684"/>
      <c r="H5684"/>
    </row>
    <row r="5685" spans="3:8" x14ac:dyDescent="0.3">
      <c r="C5685"/>
      <c r="D5685"/>
      <c r="E5685"/>
      <c r="F5685"/>
      <c r="G5685"/>
      <c r="H5685"/>
    </row>
    <row r="5686" spans="3:8" x14ac:dyDescent="0.3">
      <c r="C5686"/>
      <c r="D5686"/>
      <c r="E5686"/>
      <c r="F5686"/>
      <c r="G5686"/>
      <c r="H5686"/>
    </row>
    <row r="5687" spans="3:8" x14ac:dyDescent="0.3">
      <c r="C5687"/>
      <c r="D5687"/>
      <c r="E5687"/>
      <c r="F5687"/>
      <c r="G5687"/>
      <c r="H5687"/>
    </row>
    <row r="5688" spans="3:8" x14ac:dyDescent="0.3">
      <c r="C5688"/>
      <c r="D5688"/>
      <c r="E5688"/>
      <c r="F5688"/>
      <c r="G5688"/>
      <c r="H5688"/>
    </row>
    <row r="5689" spans="3:8" x14ac:dyDescent="0.3">
      <c r="C5689"/>
      <c r="D5689"/>
      <c r="E5689"/>
      <c r="F5689"/>
      <c r="G5689"/>
      <c r="H5689"/>
    </row>
    <row r="5690" spans="3:8" x14ac:dyDescent="0.3">
      <c r="C5690"/>
      <c r="D5690"/>
      <c r="E5690"/>
      <c r="F5690"/>
      <c r="G5690"/>
      <c r="H5690"/>
    </row>
    <row r="5691" spans="3:8" x14ac:dyDescent="0.3">
      <c r="C5691"/>
      <c r="D5691"/>
      <c r="E5691"/>
      <c r="F5691"/>
      <c r="G5691"/>
      <c r="H5691"/>
    </row>
    <row r="5692" spans="3:8" x14ac:dyDescent="0.3">
      <c r="C5692"/>
      <c r="D5692"/>
      <c r="E5692"/>
      <c r="F5692"/>
      <c r="G5692"/>
      <c r="H5692"/>
    </row>
    <row r="5693" spans="3:8" x14ac:dyDescent="0.3">
      <c r="C5693"/>
      <c r="D5693"/>
      <c r="E5693"/>
      <c r="F5693"/>
      <c r="G5693"/>
      <c r="H5693"/>
    </row>
    <row r="5694" spans="3:8" x14ac:dyDescent="0.3">
      <c r="C5694"/>
      <c r="D5694"/>
      <c r="E5694"/>
      <c r="F5694"/>
      <c r="G5694"/>
      <c r="H5694"/>
    </row>
    <row r="5695" spans="3:8" x14ac:dyDescent="0.3">
      <c r="C5695"/>
      <c r="D5695"/>
      <c r="E5695"/>
      <c r="F5695"/>
      <c r="G5695"/>
      <c r="H5695"/>
    </row>
    <row r="5696" spans="3:8" x14ac:dyDescent="0.3">
      <c r="C5696"/>
      <c r="D5696"/>
      <c r="E5696"/>
      <c r="F5696"/>
      <c r="G5696"/>
      <c r="H5696"/>
    </row>
    <row r="5697" spans="3:8" x14ac:dyDescent="0.3">
      <c r="C5697"/>
      <c r="D5697"/>
      <c r="E5697"/>
      <c r="F5697"/>
      <c r="G5697"/>
      <c r="H5697"/>
    </row>
    <row r="5698" spans="3:8" x14ac:dyDescent="0.3">
      <c r="C5698"/>
      <c r="D5698"/>
      <c r="E5698"/>
      <c r="F5698"/>
      <c r="G5698"/>
      <c r="H5698"/>
    </row>
    <row r="5699" spans="3:8" x14ac:dyDescent="0.3">
      <c r="C5699"/>
      <c r="D5699"/>
      <c r="E5699"/>
      <c r="F5699"/>
      <c r="G5699"/>
      <c r="H5699"/>
    </row>
    <row r="5700" spans="3:8" x14ac:dyDescent="0.3">
      <c r="C5700"/>
      <c r="D5700"/>
      <c r="E5700"/>
      <c r="F5700"/>
      <c r="G5700"/>
      <c r="H5700"/>
    </row>
    <row r="5701" spans="3:8" x14ac:dyDescent="0.3">
      <c r="C5701"/>
      <c r="D5701"/>
      <c r="E5701"/>
      <c r="F5701"/>
      <c r="G5701"/>
      <c r="H5701"/>
    </row>
    <row r="5702" spans="3:8" x14ac:dyDescent="0.3">
      <c r="C5702"/>
      <c r="D5702"/>
      <c r="E5702"/>
      <c r="F5702"/>
      <c r="G5702"/>
      <c r="H5702"/>
    </row>
    <row r="5703" spans="3:8" x14ac:dyDescent="0.3">
      <c r="C5703"/>
      <c r="D5703"/>
      <c r="E5703"/>
      <c r="F5703"/>
      <c r="G5703"/>
      <c r="H5703"/>
    </row>
    <row r="5704" spans="3:8" x14ac:dyDescent="0.3">
      <c r="C5704"/>
      <c r="D5704"/>
      <c r="E5704"/>
      <c r="F5704"/>
      <c r="G5704"/>
      <c r="H5704"/>
    </row>
    <row r="5705" spans="3:8" x14ac:dyDescent="0.3">
      <c r="C5705"/>
      <c r="D5705"/>
      <c r="E5705"/>
      <c r="F5705"/>
      <c r="G5705"/>
      <c r="H5705"/>
    </row>
    <row r="5706" spans="3:8" x14ac:dyDescent="0.3">
      <c r="C5706"/>
      <c r="D5706"/>
      <c r="E5706"/>
      <c r="F5706"/>
      <c r="G5706"/>
      <c r="H5706"/>
    </row>
    <row r="5707" spans="3:8" x14ac:dyDescent="0.3">
      <c r="C5707"/>
      <c r="D5707"/>
      <c r="E5707"/>
      <c r="F5707"/>
      <c r="G5707"/>
      <c r="H5707"/>
    </row>
    <row r="5708" spans="3:8" x14ac:dyDescent="0.3">
      <c r="C5708"/>
      <c r="D5708"/>
      <c r="E5708"/>
      <c r="F5708"/>
      <c r="G5708"/>
      <c r="H5708"/>
    </row>
    <row r="5709" spans="3:8" x14ac:dyDescent="0.3">
      <c r="C5709"/>
      <c r="D5709"/>
      <c r="E5709"/>
      <c r="F5709"/>
      <c r="G5709"/>
      <c r="H5709"/>
    </row>
    <row r="5710" spans="3:8" x14ac:dyDescent="0.3">
      <c r="C5710"/>
      <c r="D5710"/>
      <c r="E5710"/>
      <c r="F5710"/>
      <c r="G5710"/>
      <c r="H5710"/>
    </row>
    <row r="5711" spans="3:8" x14ac:dyDescent="0.3">
      <c r="C5711"/>
      <c r="D5711"/>
      <c r="E5711"/>
      <c r="F5711"/>
      <c r="G5711"/>
      <c r="H5711"/>
    </row>
    <row r="5712" spans="3:8" x14ac:dyDescent="0.3">
      <c r="C5712"/>
      <c r="D5712"/>
      <c r="E5712"/>
      <c r="F5712"/>
      <c r="G5712"/>
      <c r="H5712"/>
    </row>
    <row r="5713" spans="3:8" x14ac:dyDescent="0.3">
      <c r="C5713"/>
      <c r="D5713"/>
      <c r="E5713"/>
      <c r="F5713"/>
      <c r="G5713"/>
      <c r="H5713"/>
    </row>
    <row r="5714" spans="3:8" x14ac:dyDescent="0.3">
      <c r="C5714"/>
      <c r="D5714"/>
      <c r="E5714"/>
      <c r="F5714"/>
      <c r="G5714"/>
      <c r="H5714"/>
    </row>
    <row r="5715" spans="3:8" x14ac:dyDescent="0.3">
      <c r="C5715"/>
      <c r="D5715"/>
      <c r="E5715"/>
      <c r="F5715"/>
      <c r="G5715"/>
      <c r="H5715"/>
    </row>
    <row r="5716" spans="3:8" x14ac:dyDescent="0.3">
      <c r="C5716"/>
      <c r="D5716"/>
      <c r="E5716"/>
      <c r="F5716"/>
      <c r="G5716"/>
      <c r="H5716"/>
    </row>
    <row r="5717" spans="3:8" x14ac:dyDescent="0.3">
      <c r="C5717"/>
      <c r="D5717"/>
      <c r="E5717"/>
      <c r="F5717"/>
      <c r="G5717"/>
      <c r="H5717"/>
    </row>
    <row r="5718" spans="3:8" x14ac:dyDescent="0.3">
      <c r="C5718"/>
      <c r="D5718"/>
      <c r="E5718"/>
      <c r="F5718"/>
      <c r="G5718"/>
      <c r="H5718"/>
    </row>
    <row r="5719" spans="3:8" x14ac:dyDescent="0.3">
      <c r="C5719"/>
      <c r="D5719"/>
      <c r="E5719"/>
      <c r="F5719"/>
      <c r="G5719"/>
      <c r="H5719"/>
    </row>
    <row r="5720" spans="3:8" x14ac:dyDescent="0.3">
      <c r="C5720"/>
      <c r="D5720"/>
      <c r="E5720"/>
      <c r="F5720"/>
      <c r="G5720"/>
      <c r="H5720"/>
    </row>
    <row r="5721" spans="3:8" x14ac:dyDescent="0.3">
      <c r="C5721"/>
      <c r="D5721"/>
      <c r="E5721"/>
      <c r="F5721"/>
      <c r="G5721"/>
      <c r="H5721"/>
    </row>
    <row r="5722" spans="3:8" x14ac:dyDescent="0.3">
      <c r="C5722"/>
      <c r="D5722"/>
      <c r="E5722"/>
      <c r="F5722"/>
      <c r="G5722"/>
      <c r="H5722"/>
    </row>
    <row r="5723" spans="3:8" x14ac:dyDescent="0.3">
      <c r="C5723"/>
      <c r="D5723"/>
      <c r="E5723"/>
      <c r="F5723"/>
      <c r="G5723"/>
      <c r="H5723"/>
    </row>
    <row r="5724" spans="3:8" x14ac:dyDescent="0.3">
      <c r="C5724"/>
      <c r="D5724"/>
      <c r="E5724"/>
      <c r="F5724"/>
      <c r="G5724"/>
      <c r="H5724"/>
    </row>
    <row r="5725" spans="3:8" x14ac:dyDescent="0.3">
      <c r="C5725"/>
      <c r="D5725"/>
      <c r="E5725"/>
      <c r="F5725"/>
      <c r="G5725"/>
      <c r="H5725"/>
    </row>
    <row r="5726" spans="3:8" x14ac:dyDescent="0.3">
      <c r="C5726"/>
      <c r="D5726"/>
      <c r="E5726"/>
      <c r="F5726"/>
      <c r="G5726"/>
      <c r="H5726"/>
    </row>
    <row r="5727" spans="3:8" x14ac:dyDescent="0.3">
      <c r="C5727"/>
      <c r="D5727"/>
      <c r="E5727"/>
      <c r="F5727"/>
      <c r="G5727"/>
      <c r="H5727"/>
    </row>
    <row r="5728" spans="3:8" x14ac:dyDescent="0.3">
      <c r="C5728"/>
      <c r="D5728"/>
      <c r="E5728"/>
      <c r="F5728"/>
      <c r="G5728"/>
      <c r="H5728"/>
    </row>
    <row r="5729" spans="3:8" x14ac:dyDescent="0.3">
      <c r="C5729"/>
      <c r="D5729"/>
      <c r="E5729"/>
      <c r="F5729"/>
      <c r="G5729"/>
      <c r="H5729"/>
    </row>
    <row r="5730" spans="3:8" x14ac:dyDescent="0.3">
      <c r="C5730"/>
      <c r="D5730"/>
      <c r="E5730"/>
      <c r="F5730"/>
      <c r="G5730"/>
      <c r="H5730"/>
    </row>
    <row r="5731" spans="3:8" x14ac:dyDescent="0.3">
      <c r="C5731"/>
      <c r="D5731"/>
      <c r="E5731"/>
      <c r="F5731"/>
      <c r="G5731"/>
      <c r="H5731"/>
    </row>
    <row r="5732" spans="3:8" x14ac:dyDescent="0.3">
      <c r="C5732"/>
      <c r="D5732"/>
      <c r="E5732"/>
      <c r="F5732"/>
      <c r="G5732"/>
      <c r="H5732"/>
    </row>
    <row r="5733" spans="3:8" x14ac:dyDescent="0.3">
      <c r="C5733"/>
      <c r="D5733"/>
      <c r="E5733"/>
      <c r="F5733"/>
      <c r="G5733"/>
      <c r="H5733"/>
    </row>
    <row r="5734" spans="3:8" x14ac:dyDescent="0.3">
      <c r="C5734"/>
      <c r="D5734"/>
      <c r="E5734"/>
      <c r="F5734"/>
      <c r="G5734"/>
      <c r="H5734"/>
    </row>
    <row r="5735" spans="3:8" x14ac:dyDescent="0.3">
      <c r="C5735"/>
      <c r="D5735"/>
      <c r="E5735"/>
      <c r="F5735"/>
      <c r="G5735"/>
      <c r="H5735"/>
    </row>
    <row r="5736" spans="3:8" x14ac:dyDescent="0.3">
      <c r="C5736"/>
      <c r="D5736"/>
      <c r="E5736"/>
      <c r="F5736"/>
      <c r="G5736"/>
      <c r="H5736"/>
    </row>
    <row r="5737" spans="3:8" x14ac:dyDescent="0.3">
      <c r="C5737"/>
      <c r="D5737"/>
      <c r="E5737"/>
      <c r="F5737"/>
      <c r="G5737"/>
      <c r="H5737"/>
    </row>
    <row r="5738" spans="3:8" x14ac:dyDescent="0.3">
      <c r="C5738"/>
      <c r="D5738"/>
      <c r="E5738"/>
      <c r="F5738"/>
      <c r="G5738"/>
      <c r="H5738"/>
    </row>
    <row r="5739" spans="3:8" x14ac:dyDescent="0.3">
      <c r="C5739"/>
      <c r="D5739"/>
      <c r="E5739"/>
      <c r="F5739"/>
      <c r="G5739"/>
      <c r="H5739"/>
    </row>
    <row r="5740" spans="3:8" x14ac:dyDescent="0.3">
      <c r="C5740"/>
      <c r="D5740"/>
      <c r="E5740"/>
      <c r="F5740"/>
      <c r="G5740"/>
      <c r="H5740"/>
    </row>
    <row r="5741" spans="3:8" x14ac:dyDescent="0.3">
      <c r="C5741"/>
      <c r="D5741"/>
      <c r="E5741"/>
      <c r="F5741"/>
      <c r="G5741"/>
      <c r="H5741"/>
    </row>
    <row r="5742" spans="3:8" x14ac:dyDescent="0.3">
      <c r="C5742"/>
      <c r="D5742"/>
      <c r="E5742"/>
      <c r="F5742"/>
      <c r="G5742"/>
      <c r="H5742"/>
    </row>
    <row r="5743" spans="3:8" x14ac:dyDescent="0.3">
      <c r="C5743"/>
      <c r="D5743"/>
      <c r="E5743"/>
      <c r="F5743"/>
      <c r="G5743"/>
      <c r="H5743"/>
    </row>
    <row r="5744" spans="3:8" x14ac:dyDescent="0.3">
      <c r="C5744"/>
      <c r="D5744"/>
      <c r="E5744"/>
      <c r="F5744"/>
      <c r="G5744"/>
      <c r="H5744"/>
    </row>
    <row r="5745" spans="3:8" x14ac:dyDescent="0.3">
      <c r="C5745"/>
      <c r="D5745"/>
      <c r="E5745"/>
      <c r="F5745"/>
      <c r="G5745"/>
      <c r="H5745"/>
    </row>
    <row r="5746" spans="3:8" x14ac:dyDescent="0.3">
      <c r="C5746"/>
      <c r="D5746"/>
      <c r="E5746"/>
      <c r="F5746"/>
      <c r="G5746"/>
      <c r="H5746"/>
    </row>
    <row r="5747" spans="3:8" x14ac:dyDescent="0.3">
      <c r="C5747"/>
      <c r="D5747"/>
      <c r="E5747"/>
      <c r="F5747"/>
      <c r="G5747"/>
      <c r="H5747"/>
    </row>
    <row r="5748" spans="3:8" x14ac:dyDescent="0.3">
      <c r="C5748"/>
      <c r="D5748"/>
      <c r="E5748"/>
      <c r="F5748"/>
      <c r="G5748"/>
      <c r="H5748"/>
    </row>
    <row r="5749" spans="3:8" x14ac:dyDescent="0.3">
      <c r="C5749"/>
      <c r="D5749"/>
      <c r="E5749"/>
      <c r="F5749"/>
      <c r="G5749"/>
      <c r="H5749"/>
    </row>
    <row r="5750" spans="3:8" x14ac:dyDescent="0.3">
      <c r="C5750"/>
      <c r="D5750"/>
      <c r="E5750"/>
      <c r="F5750"/>
      <c r="G5750"/>
      <c r="H5750"/>
    </row>
    <row r="5751" spans="3:8" x14ac:dyDescent="0.3">
      <c r="C5751"/>
      <c r="D5751"/>
      <c r="E5751"/>
      <c r="F5751"/>
      <c r="G5751"/>
      <c r="H5751"/>
    </row>
    <row r="5752" spans="3:8" x14ac:dyDescent="0.3">
      <c r="C5752"/>
      <c r="D5752"/>
      <c r="E5752"/>
      <c r="F5752"/>
      <c r="G5752"/>
      <c r="H5752"/>
    </row>
    <row r="5753" spans="3:8" x14ac:dyDescent="0.3">
      <c r="C5753"/>
      <c r="D5753"/>
      <c r="E5753"/>
      <c r="F5753"/>
      <c r="G5753"/>
      <c r="H5753"/>
    </row>
    <row r="5754" spans="3:8" x14ac:dyDescent="0.3">
      <c r="C5754"/>
      <c r="D5754"/>
      <c r="E5754"/>
      <c r="F5754"/>
      <c r="G5754"/>
      <c r="H5754"/>
    </row>
    <row r="5755" spans="3:8" x14ac:dyDescent="0.3">
      <c r="C5755"/>
      <c r="D5755"/>
      <c r="E5755"/>
      <c r="F5755"/>
      <c r="G5755"/>
      <c r="H5755"/>
    </row>
    <row r="5756" spans="3:8" x14ac:dyDescent="0.3">
      <c r="C5756"/>
      <c r="D5756"/>
      <c r="E5756"/>
      <c r="F5756"/>
      <c r="G5756"/>
      <c r="H5756"/>
    </row>
    <row r="5757" spans="3:8" x14ac:dyDescent="0.3">
      <c r="C5757"/>
      <c r="D5757"/>
      <c r="E5757"/>
      <c r="F5757"/>
      <c r="G5757"/>
      <c r="H5757"/>
    </row>
    <row r="5758" spans="3:8" x14ac:dyDescent="0.3">
      <c r="C5758"/>
      <c r="D5758"/>
      <c r="E5758"/>
      <c r="F5758"/>
      <c r="G5758"/>
      <c r="H5758"/>
    </row>
    <row r="5759" spans="3:8" x14ac:dyDescent="0.3">
      <c r="C5759"/>
      <c r="D5759"/>
      <c r="E5759"/>
      <c r="F5759"/>
      <c r="G5759"/>
      <c r="H5759"/>
    </row>
    <row r="5760" spans="3:8" x14ac:dyDescent="0.3">
      <c r="C5760"/>
      <c r="D5760"/>
      <c r="E5760"/>
      <c r="F5760"/>
      <c r="G5760"/>
      <c r="H5760"/>
    </row>
    <row r="5761" spans="3:8" x14ac:dyDescent="0.3">
      <c r="C5761"/>
      <c r="D5761"/>
      <c r="E5761"/>
      <c r="F5761"/>
      <c r="G5761"/>
      <c r="H5761"/>
    </row>
    <row r="5762" spans="3:8" x14ac:dyDescent="0.3">
      <c r="C5762"/>
      <c r="D5762"/>
      <c r="E5762"/>
      <c r="F5762"/>
      <c r="G5762"/>
      <c r="H5762"/>
    </row>
    <row r="5763" spans="3:8" x14ac:dyDescent="0.3">
      <c r="C5763"/>
      <c r="D5763"/>
      <c r="E5763"/>
      <c r="F5763"/>
      <c r="G5763"/>
      <c r="H5763"/>
    </row>
    <row r="5764" spans="3:8" x14ac:dyDescent="0.3">
      <c r="C5764"/>
      <c r="D5764"/>
      <c r="E5764"/>
      <c r="F5764"/>
      <c r="G5764"/>
      <c r="H5764"/>
    </row>
    <row r="5765" spans="3:8" x14ac:dyDescent="0.3">
      <c r="C5765"/>
      <c r="D5765"/>
      <c r="E5765"/>
      <c r="F5765"/>
      <c r="G5765"/>
      <c r="H5765"/>
    </row>
    <row r="5766" spans="3:8" x14ac:dyDescent="0.3">
      <c r="C5766"/>
      <c r="D5766"/>
      <c r="E5766"/>
      <c r="F5766"/>
      <c r="G5766"/>
      <c r="H5766"/>
    </row>
    <row r="5767" spans="3:8" x14ac:dyDescent="0.3">
      <c r="C5767"/>
      <c r="D5767"/>
      <c r="E5767"/>
      <c r="F5767"/>
      <c r="G5767"/>
      <c r="H5767"/>
    </row>
    <row r="5768" spans="3:8" x14ac:dyDescent="0.3">
      <c r="C5768"/>
      <c r="D5768"/>
      <c r="E5768"/>
      <c r="F5768"/>
      <c r="G5768"/>
      <c r="H5768"/>
    </row>
    <row r="5769" spans="3:8" x14ac:dyDescent="0.3">
      <c r="C5769"/>
      <c r="D5769"/>
      <c r="E5769"/>
      <c r="F5769"/>
      <c r="G5769"/>
      <c r="H5769"/>
    </row>
    <row r="5770" spans="3:8" x14ac:dyDescent="0.3">
      <c r="C5770"/>
      <c r="D5770"/>
      <c r="E5770"/>
      <c r="F5770"/>
      <c r="G5770"/>
      <c r="H5770"/>
    </row>
    <row r="5771" spans="3:8" x14ac:dyDescent="0.3">
      <c r="C5771"/>
      <c r="D5771"/>
      <c r="E5771"/>
      <c r="F5771"/>
      <c r="G5771"/>
      <c r="H5771"/>
    </row>
    <row r="5772" spans="3:8" x14ac:dyDescent="0.3">
      <c r="C5772"/>
      <c r="D5772"/>
      <c r="E5772"/>
      <c r="F5772"/>
      <c r="G5772"/>
      <c r="H5772"/>
    </row>
    <row r="5773" spans="3:8" x14ac:dyDescent="0.3">
      <c r="C5773"/>
      <c r="D5773"/>
      <c r="E5773"/>
      <c r="F5773"/>
      <c r="G5773"/>
      <c r="H5773"/>
    </row>
    <row r="5774" spans="3:8" x14ac:dyDescent="0.3">
      <c r="C5774"/>
      <c r="D5774"/>
      <c r="E5774"/>
      <c r="F5774"/>
      <c r="G5774"/>
      <c r="H5774"/>
    </row>
    <row r="5775" spans="3:8" x14ac:dyDescent="0.3">
      <c r="C5775"/>
      <c r="D5775"/>
      <c r="E5775"/>
      <c r="F5775"/>
      <c r="G5775"/>
      <c r="H5775"/>
    </row>
    <row r="5776" spans="3:8" x14ac:dyDescent="0.3">
      <c r="C5776"/>
      <c r="D5776"/>
      <c r="E5776"/>
      <c r="F5776"/>
      <c r="G5776"/>
      <c r="H5776"/>
    </row>
    <row r="5777" spans="3:8" x14ac:dyDescent="0.3">
      <c r="C5777"/>
      <c r="D5777"/>
      <c r="E5777"/>
      <c r="F5777"/>
      <c r="G5777"/>
      <c r="H5777"/>
    </row>
    <row r="5778" spans="3:8" x14ac:dyDescent="0.3">
      <c r="C5778"/>
      <c r="D5778"/>
      <c r="E5778"/>
      <c r="F5778"/>
      <c r="G5778"/>
      <c r="H5778"/>
    </row>
    <row r="5779" spans="3:8" x14ac:dyDescent="0.3">
      <c r="C5779"/>
      <c r="D5779"/>
      <c r="E5779"/>
      <c r="F5779"/>
      <c r="G5779"/>
      <c r="H5779"/>
    </row>
    <row r="5780" spans="3:8" x14ac:dyDescent="0.3">
      <c r="C5780"/>
      <c r="D5780"/>
      <c r="E5780"/>
      <c r="F5780"/>
      <c r="G5780"/>
      <c r="H5780"/>
    </row>
    <row r="5781" spans="3:8" x14ac:dyDescent="0.3">
      <c r="C5781"/>
      <c r="D5781"/>
      <c r="E5781"/>
      <c r="F5781"/>
      <c r="G5781"/>
      <c r="H5781"/>
    </row>
    <row r="5782" spans="3:8" x14ac:dyDescent="0.3">
      <c r="C5782"/>
      <c r="D5782"/>
      <c r="E5782"/>
      <c r="F5782"/>
      <c r="G5782"/>
      <c r="H5782"/>
    </row>
    <row r="5783" spans="3:8" x14ac:dyDescent="0.3">
      <c r="C5783"/>
      <c r="D5783"/>
      <c r="E5783"/>
      <c r="F5783"/>
      <c r="G5783"/>
      <c r="H5783"/>
    </row>
    <row r="5784" spans="3:8" x14ac:dyDescent="0.3">
      <c r="C5784"/>
      <c r="D5784"/>
      <c r="E5784"/>
      <c r="F5784"/>
      <c r="G5784"/>
      <c r="H5784"/>
    </row>
    <row r="5785" spans="3:8" x14ac:dyDescent="0.3">
      <c r="C5785"/>
      <c r="D5785"/>
      <c r="E5785"/>
      <c r="F5785"/>
      <c r="G5785"/>
      <c r="H5785"/>
    </row>
    <row r="5786" spans="3:8" x14ac:dyDescent="0.3">
      <c r="C5786"/>
      <c r="D5786"/>
      <c r="E5786"/>
      <c r="F5786"/>
      <c r="G5786"/>
      <c r="H5786"/>
    </row>
    <row r="5787" spans="3:8" x14ac:dyDescent="0.3">
      <c r="C5787"/>
      <c r="D5787"/>
      <c r="E5787"/>
      <c r="F5787"/>
      <c r="G5787"/>
      <c r="H5787"/>
    </row>
    <row r="5788" spans="3:8" x14ac:dyDescent="0.3">
      <c r="C5788"/>
      <c r="D5788"/>
      <c r="E5788"/>
      <c r="F5788"/>
      <c r="G5788"/>
      <c r="H5788"/>
    </row>
    <row r="5789" spans="3:8" x14ac:dyDescent="0.3">
      <c r="C5789"/>
      <c r="D5789"/>
      <c r="E5789"/>
      <c r="F5789"/>
      <c r="G5789"/>
      <c r="H5789"/>
    </row>
    <row r="5790" spans="3:8" x14ac:dyDescent="0.3">
      <c r="C5790"/>
      <c r="D5790"/>
      <c r="E5790"/>
      <c r="F5790"/>
      <c r="G5790"/>
      <c r="H5790"/>
    </row>
    <row r="5791" spans="3:8" x14ac:dyDescent="0.3">
      <c r="C5791"/>
      <c r="D5791"/>
      <c r="E5791"/>
      <c r="F5791"/>
      <c r="G5791"/>
      <c r="H5791"/>
    </row>
    <row r="5792" spans="3:8" x14ac:dyDescent="0.3">
      <c r="C5792"/>
      <c r="D5792"/>
      <c r="E5792"/>
      <c r="F5792"/>
      <c r="G5792"/>
      <c r="H5792"/>
    </row>
    <row r="5793" spans="3:8" x14ac:dyDescent="0.3">
      <c r="C5793"/>
      <c r="D5793"/>
      <c r="E5793"/>
      <c r="F5793"/>
      <c r="G5793"/>
      <c r="H5793"/>
    </row>
    <row r="5794" spans="3:8" x14ac:dyDescent="0.3">
      <c r="C5794"/>
      <c r="D5794"/>
      <c r="E5794"/>
      <c r="F5794"/>
      <c r="G5794"/>
      <c r="H5794"/>
    </row>
    <row r="5795" spans="3:8" x14ac:dyDescent="0.3">
      <c r="C5795"/>
      <c r="D5795"/>
      <c r="E5795"/>
      <c r="F5795"/>
      <c r="G5795"/>
      <c r="H5795"/>
    </row>
    <row r="5796" spans="3:8" x14ac:dyDescent="0.3">
      <c r="C5796"/>
      <c r="D5796"/>
      <c r="E5796"/>
      <c r="F5796"/>
      <c r="G5796"/>
      <c r="H5796"/>
    </row>
    <row r="5797" spans="3:8" x14ac:dyDescent="0.3">
      <c r="C5797"/>
      <c r="D5797"/>
      <c r="E5797"/>
      <c r="F5797"/>
      <c r="G5797"/>
      <c r="H5797"/>
    </row>
    <row r="5798" spans="3:8" x14ac:dyDescent="0.3">
      <c r="C5798"/>
      <c r="D5798"/>
      <c r="E5798"/>
      <c r="F5798"/>
      <c r="G5798"/>
      <c r="H5798"/>
    </row>
    <row r="5799" spans="3:8" x14ac:dyDescent="0.3">
      <c r="C5799"/>
      <c r="D5799"/>
      <c r="E5799"/>
      <c r="F5799"/>
      <c r="G5799"/>
      <c r="H5799"/>
    </row>
    <row r="5800" spans="3:8" x14ac:dyDescent="0.3">
      <c r="C5800"/>
      <c r="D5800"/>
      <c r="E5800"/>
      <c r="F5800"/>
      <c r="G5800"/>
      <c r="H5800"/>
    </row>
    <row r="5801" spans="3:8" x14ac:dyDescent="0.3">
      <c r="C5801"/>
      <c r="D5801"/>
      <c r="E5801"/>
      <c r="F5801"/>
      <c r="G5801"/>
      <c r="H5801"/>
    </row>
    <row r="5802" spans="3:8" x14ac:dyDescent="0.3">
      <c r="C5802"/>
      <c r="D5802"/>
      <c r="E5802"/>
      <c r="F5802"/>
      <c r="G5802"/>
      <c r="H5802"/>
    </row>
    <row r="5803" spans="3:8" x14ac:dyDescent="0.3">
      <c r="C5803"/>
      <c r="D5803"/>
      <c r="E5803"/>
      <c r="F5803"/>
      <c r="G5803"/>
      <c r="H5803"/>
    </row>
    <row r="5804" spans="3:8" x14ac:dyDescent="0.3">
      <c r="C5804"/>
      <c r="D5804"/>
      <c r="E5804"/>
      <c r="F5804"/>
      <c r="G5804"/>
      <c r="H5804"/>
    </row>
    <row r="5805" spans="3:8" x14ac:dyDescent="0.3">
      <c r="C5805"/>
      <c r="D5805"/>
      <c r="E5805"/>
      <c r="F5805"/>
      <c r="G5805"/>
      <c r="H5805"/>
    </row>
    <row r="5806" spans="3:8" x14ac:dyDescent="0.3">
      <c r="C5806"/>
      <c r="D5806"/>
      <c r="E5806"/>
      <c r="F5806"/>
      <c r="G5806"/>
      <c r="H5806"/>
    </row>
    <row r="5807" spans="3:8" x14ac:dyDescent="0.3">
      <c r="C5807"/>
      <c r="D5807"/>
      <c r="E5807"/>
      <c r="F5807"/>
      <c r="G5807"/>
      <c r="H5807"/>
    </row>
    <row r="5808" spans="3:8" x14ac:dyDescent="0.3">
      <c r="C5808"/>
      <c r="D5808"/>
      <c r="E5808"/>
      <c r="F5808"/>
      <c r="G5808"/>
      <c r="H5808"/>
    </row>
    <row r="5809" spans="3:8" x14ac:dyDescent="0.3">
      <c r="C5809"/>
      <c r="D5809"/>
      <c r="E5809"/>
      <c r="F5809"/>
      <c r="G5809"/>
      <c r="H5809"/>
    </row>
    <row r="5810" spans="3:8" x14ac:dyDescent="0.3">
      <c r="C5810"/>
      <c r="D5810"/>
      <c r="E5810"/>
      <c r="F5810"/>
      <c r="G5810"/>
      <c r="H5810"/>
    </row>
    <row r="5811" spans="3:8" x14ac:dyDescent="0.3">
      <c r="C5811"/>
      <c r="D5811"/>
      <c r="E5811"/>
      <c r="F5811"/>
      <c r="G5811"/>
      <c r="H5811"/>
    </row>
    <row r="5812" spans="3:8" x14ac:dyDescent="0.3">
      <c r="C5812"/>
      <c r="D5812"/>
      <c r="E5812"/>
      <c r="F5812"/>
      <c r="G5812"/>
      <c r="H5812"/>
    </row>
    <row r="5813" spans="3:8" x14ac:dyDescent="0.3">
      <c r="C5813"/>
      <c r="D5813"/>
      <c r="E5813"/>
      <c r="F5813"/>
      <c r="G5813"/>
      <c r="H5813"/>
    </row>
    <row r="5814" spans="3:8" x14ac:dyDescent="0.3">
      <c r="C5814"/>
      <c r="D5814"/>
      <c r="E5814"/>
      <c r="F5814"/>
      <c r="G5814"/>
      <c r="H5814"/>
    </row>
    <row r="5815" spans="3:8" x14ac:dyDescent="0.3">
      <c r="C5815"/>
      <c r="D5815"/>
      <c r="E5815"/>
      <c r="F5815"/>
      <c r="G5815"/>
      <c r="H5815"/>
    </row>
    <row r="5816" spans="3:8" x14ac:dyDescent="0.3">
      <c r="C5816"/>
      <c r="D5816"/>
      <c r="E5816"/>
      <c r="F5816"/>
      <c r="G5816"/>
      <c r="H5816"/>
    </row>
    <row r="5817" spans="3:8" x14ac:dyDescent="0.3">
      <c r="C5817"/>
      <c r="D5817"/>
      <c r="E5817"/>
      <c r="F5817"/>
      <c r="G5817"/>
      <c r="H5817"/>
    </row>
    <row r="5818" spans="3:8" x14ac:dyDescent="0.3">
      <c r="C5818"/>
      <c r="D5818"/>
      <c r="E5818"/>
      <c r="F5818"/>
      <c r="G5818"/>
      <c r="H5818"/>
    </row>
    <row r="5819" spans="3:8" x14ac:dyDescent="0.3">
      <c r="C5819"/>
      <c r="D5819"/>
      <c r="E5819"/>
      <c r="F5819"/>
      <c r="G5819"/>
      <c r="H5819"/>
    </row>
    <row r="5820" spans="3:8" x14ac:dyDescent="0.3">
      <c r="C5820"/>
      <c r="D5820"/>
      <c r="E5820"/>
      <c r="F5820"/>
      <c r="G5820"/>
      <c r="H5820"/>
    </row>
    <row r="5821" spans="3:8" x14ac:dyDescent="0.3">
      <c r="C5821"/>
      <c r="D5821"/>
      <c r="E5821"/>
      <c r="F5821"/>
      <c r="G5821"/>
      <c r="H5821"/>
    </row>
    <row r="5822" spans="3:8" x14ac:dyDescent="0.3">
      <c r="C5822"/>
      <c r="D5822"/>
      <c r="E5822"/>
      <c r="F5822"/>
      <c r="G5822"/>
      <c r="H5822"/>
    </row>
    <row r="5823" spans="3:8" x14ac:dyDescent="0.3">
      <c r="C5823"/>
      <c r="D5823"/>
      <c r="E5823"/>
      <c r="F5823"/>
      <c r="G5823"/>
      <c r="H5823"/>
    </row>
    <row r="5824" spans="3:8" x14ac:dyDescent="0.3">
      <c r="C5824"/>
      <c r="D5824"/>
      <c r="E5824"/>
      <c r="F5824"/>
      <c r="G5824"/>
      <c r="H5824"/>
    </row>
    <row r="5825" spans="3:8" x14ac:dyDescent="0.3">
      <c r="C5825"/>
      <c r="D5825"/>
      <c r="E5825"/>
      <c r="F5825"/>
      <c r="G5825"/>
      <c r="H5825"/>
    </row>
    <row r="5826" spans="3:8" x14ac:dyDescent="0.3">
      <c r="C5826"/>
      <c r="D5826"/>
      <c r="E5826"/>
      <c r="F5826"/>
      <c r="G5826"/>
      <c r="H5826"/>
    </row>
    <row r="5827" spans="3:8" x14ac:dyDescent="0.3">
      <c r="C5827"/>
      <c r="D5827"/>
      <c r="E5827"/>
      <c r="F5827"/>
      <c r="G5827"/>
      <c r="H5827"/>
    </row>
    <row r="5828" spans="3:8" x14ac:dyDescent="0.3">
      <c r="C5828"/>
      <c r="D5828"/>
      <c r="E5828"/>
      <c r="F5828"/>
      <c r="G5828"/>
      <c r="H5828"/>
    </row>
    <row r="5829" spans="3:8" x14ac:dyDescent="0.3">
      <c r="C5829"/>
      <c r="D5829"/>
      <c r="E5829"/>
      <c r="F5829"/>
      <c r="G5829"/>
      <c r="H5829"/>
    </row>
    <row r="5830" spans="3:8" x14ac:dyDescent="0.3">
      <c r="C5830"/>
      <c r="D5830"/>
      <c r="E5830"/>
      <c r="F5830"/>
      <c r="G5830"/>
      <c r="H5830"/>
    </row>
    <row r="5831" spans="3:8" x14ac:dyDescent="0.3">
      <c r="C5831"/>
      <c r="D5831"/>
      <c r="E5831"/>
      <c r="F5831"/>
      <c r="G5831"/>
      <c r="H5831"/>
    </row>
    <row r="5832" spans="3:8" x14ac:dyDescent="0.3">
      <c r="C5832"/>
      <c r="D5832"/>
      <c r="E5832"/>
      <c r="F5832"/>
      <c r="G5832"/>
      <c r="H5832"/>
    </row>
    <row r="5833" spans="3:8" x14ac:dyDescent="0.3">
      <c r="C5833"/>
      <c r="D5833"/>
      <c r="E5833"/>
      <c r="F5833"/>
      <c r="G5833"/>
      <c r="H5833"/>
    </row>
    <row r="5834" spans="3:8" x14ac:dyDescent="0.3">
      <c r="C5834"/>
      <c r="D5834"/>
      <c r="E5834"/>
      <c r="F5834"/>
      <c r="G5834"/>
      <c r="H5834"/>
    </row>
    <row r="5835" spans="3:8" x14ac:dyDescent="0.3">
      <c r="C5835"/>
      <c r="D5835"/>
      <c r="E5835"/>
      <c r="F5835"/>
      <c r="G5835"/>
      <c r="H5835"/>
    </row>
    <row r="5836" spans="3:8" x14ac:dyDescent="0.3">
      <c r="C5836"/>
      <c r="D5836"/>
      <c r="E5836"/>
      <c r="F5836"/>
      <c r="G5836"/>
      <c r="H5836"/>
    </row>
    <row r="5837" spans="3:8" x14ac:dyDescent="0.3">
      <c r="C5837"/>
      <c r="D5837"/>
      <c r="E5837"/>
      <c r="F5837"/>
      <c r="G5837"/>
      <c r="H5837"/>
    </row>
    <row r="5838" spans="3:8" x14ac:dyDescent="0.3">
      <c r="C5838"/>
      <c r="D5838"/>
      <c r="E5838"/>
      <c r="F5838"/>
      <c r="G5838"/>
      <c r="H5838"/>
    </row>
    <row r="5839" spans="3:8" x14ac:dyDescent="0.3">
      <c r="C5839"/>
      <c r="D5839"/>
      <c r="E5839"/>
      <c r="F5839"/>
      <c r="G5839"/>
      <c r="H5839"/>
    </row>
    <row r="5840" spans="3:8" x14ac:dyDescent="0.3">
      <c r="C5840"/>
      <c r="D5840"/>
      <c r="E5840"/>
      <c r="F5840"/>
      <c r="G5840"/>
      <c r="H5840"/>
    </row>
    <row r="5841" spans="3:8" x14ac:dyDescent="0.3">
      <c r="C5841"/>
      <c r="D5841"/>
      <c r="E5841"/>
      <c r="F5841"/>
      <c r="G5841"/>
      <c r="H5841"/>
    </row>
    <row r="5842" spans="3:8" x14ac:dyDescent="0.3">
      <c r="C5842"/>
      <c r="D5842"/>
      <c r="E5842"/>
      <c r="F5842"/>
      <c r="G5842"/>
      <c r="H5842"/>
    </row>
    <row r="5843" spans="3:8" x14ac:dyDescent="0.3">
      <c r="C5843"/>
      <c r="D5843"/>
      <c r="E5843"/>
      <c r="F5843"/>
      <c r="G5843"/>
      <c r="H5843"/>
    </row>
    <row r="5844" spans="3:8" x14ac:dyDescent="0.3">
      <c r="C5844"/>
      <c r="D5844"/>
      <c r="E5844"/>
      <c r="F5844"/>
      <c r="G5844"/>
      <c r="H5844"/>
    </row>
    <row r="5845" spans="3:8" x14ac:dyDescent="0.3">
      <c r="C5845"/>
      <c r="D5845"/>
      <c r="E5845"/>
      <c r="F5845"/>
      <c r="G5845"/>
      <c r="H5845"/>
    </row>
    <row r="5846" spans="3:8" x14ac:dyDescent="0.3">
      <c r="C5846"/>
      <c r="D5846"/>
      <c r="E5846"/>
      <c r="F5846"/>
      <c r="G5846"/>
      <c r="H5846"/>
    </row>
    <row r="5847" spans="3:8" x14ac:dyDescent="0.3">
      <c r="C5847"/>
      <c r="D5847"/>
      <c r="E5847"/>
      <c r="F5847"/>
      <c r="G5847"/>
      <c r="H5847"/>
    </row>
    <row r="5848" spans="3:8" x14ac:dyDescent="0.3">
      <c r="C5848"/>
      <c r="D5848"/>
      <c r="E5848"/>
      <c r="F5848"/>
      <c r="G5848"/>
      <c r="H5848"/>
    </row>
    <row r="5849" spans="3:8" x14ac:dyDescent="0.3">
      <c r="C5849"/>
      <c r="D5849"/>
      <c r="E5849"/>
      <c r="F5849"/>
      <c r="G5849"/>
      <c r="H5849"/>
    </row>
    <row r="5850" spans="3:8" x14ac:dyDescent="0.3">
      <c r="C5850"/>
      <c r="D5850"/>
      <c r="E5850"/>
      <c r="F5850"/>
      <c r="G5850"/>
      <c r="H5850"/>
    </row>
    <row r="5851" spans="3:8" x14ac:dyDescent="0.3">
      <c r="C5851"/>
      <c r="D5851"/>
      <c r="E5851"/>
      <c r="F5851"/>
      <c r="G5851"/>
      <c r="H5851"/>
    </row>
    <row r="5852" spans="3:8" x14ac:dyDescent="0.3">
      <c r="C5852"/>
      <c r="D5852"/>
      <c r="E5852"/>
      <c r="F5852"/>
      <c r="G5852"/>
      <c r="H5852"/>
    </row>
    <row r="5853" spans="3:8" x14ac:dyDescent="0.3">
      <c r="C5853"/>
      <c r="D5853"/>
      <c r="E5853"/>
      <c r="F5853"/>
      <c r="G5853"/>
      <c r="H5853"/>
    </row>
    <row r="5854" spans="3:8" x14ac:dyDescent="0.3">
      <c r="C5854"/>
      <c r="D5854"/>
      <c r="E5854"/>
      <c r="F5854"/>
      <c r="G5854"/>
      <c r="H5854"/>
    </row>
    <row r="5855" spans="3:8" x14ac:dyDescent="0.3">
      <c r="C5855"/>
      <c r="D5855"/>
      <c r="E5855"/>
      <c r="F5855"/>
      <c r="G5855"/>
      <c r="H5855"/>
    </row>
    <row r="5856" spans="3:8" x14ac:dyDescent="0.3">
      <c r="C5856"/>
      <c r="D5856"/>
      <c r="E5856"/>
      <c r="F5856"/>
      <c r="G5856"/>
      <c r="H5856"/>
    </row>
    <row r="5857" spans="3:8" x14ac:dyDescent="0.3">
      <c r="C5857"/>
      <c r="D5857"/>
      <c r="E5857"/>
      <c r="F5857"/>
      <c r="G5857"/>
      <c r="H5857"/>
    </row>
    <row r="5858" spans="3:8" x14ac:dyDescent="0.3">
      <c r="C5858"/>
      <c r="D5858"/>
      <c r="E5858"/>
      <c r="F5858"/>
      <c r="G5858"/>
      <c r="H5858"/>
    </row>
    <row r="5859" spans="3:8" x14ac:dyDescent="0.3">
      <c r="C5859"/>
      <c r="D5859"/>
      <c r="E5859"/>
      <c r="F5859"/>
      <c r="G5859"/>
      <c r="H5859"/>
    </row>
    <row r="5860" spans="3:8" x14ac:dyDescent="0.3">
      <c r="C5860"/>
      <c r="D5860"/>
      <c r="E5860"/>
      <c r="F5860"/>
      <c r="G5860"/>
      <c r="H5860"/>
    </row>
    <row r="5861" spans="3:8" x14ac:dyDescent="0.3">
      <c r="C5861"/>
      <c r="D5861"/>
      <c r="E5861"/>
      <c r="F5861"/>
      <c r="G5861"/>
      <c r="H5861"/>
    </row>
    <row r="5862" spans="3:8" x14ac:dyDescent="0.3">
      <c r="C5862"/>
      <c r="D5862"/>
      <c r="E5862"/>
      <c r="F5862"/>
      <c r="G5862"/>
      <c r="H5862"/>
    </row>
    <row r="5863" spans="3:8" x14ac:dyDescent="0.3">
      <c r="C5863"/>
      <c r="D5863"/>
      <c r="E5863"/>
      <c r="F5863"/>
      <c r="G5863"/>
      <c r="H5863"/>
    </row>
    <row r="5864" spans="3:8" x14ac:dyDescent="0.3">
      <c r="C5864"/>
      <c r="D5864"/>
      <c r="E5864"/>
      <c r="F5864"/>
      <c r="G5864"/>
      <c r="H5864"/>
    </row>
    <row r="5865" spans="3:8" x14ac:dyDescent="0.3">
      <c r="C5865"/>
      <c r="D5865"/>
      <c r="E5865"/>
      <c r="F5865"/>
      <c r="G5865"/>
      <c r="H5865"/>
    </row>
    <row r="5866" spans="3:8" x14ac:dyDescent="0.3">
      <c r="C5866"/>
      <c r="D5866"/>
      <c r="E5866"/>
      <c r="F5866"/>
      <c r="G5866"/>
      <c r="H5866"/>
    </row>
    <row r="5867" spans="3:8" x14ac:dyDescent="0.3">
      <c r="C5867"/>
      <c r="D5867"/>
      <c r="E5867"/>
      <c r="F5867"/>
      <c r="G5867"/>
      <c r="H5867"/>
    </row>
    <row r="5868" spans="3:8" x14ac:dyDescent="0.3">
      <c r="C5868"/>
      <c r="D5868"/>
      <c r="E5868"/>
      <c r="F5868"/>
      <c r="G5868"/>
      <c r="H5868"/>
    </row>
    <row r="5869" spans="3:8" x14ac:dyDescent="0.3">
      <c r="C5869"/>
      <c r="D5869"/>
      <c r="E5869"/>
      <c r="F5869"/>
      <c r="G5869"/>
      <c r="H5869"/>
    </row>
    <row r="5870" spans="3:8" x14ac:dyDescent="0.3">
      <c r="C5870"/>
      <c r="D5870"/>
      <c r="E5870"/>
      <c r="F5870"/>
      <c r="G5870"/>
      <c r="H5870"/>
    </row>
    <row r="5871" spans="3:8" x14ac:dyDescent="0.3">
      <c r="C5871"/>
      <c r="D5871"/>
      <c r="E5871"/>
      <c r="F5871"/>
      <c r="G5871"/>
      <c r="H5871"/>
    </row>
    <row r="5872" spans="3:8" x14ac:dyDescent="0.3">
      <c r="C5872"/>
      <c r="D5872"/>
      <c r="E5872"/>
      <c r="F5872"/>
      <c r="G5872"/>
      <c r="H5872"/>
    </row>
    <row r="5873" spans="3:8" x14ac:dyDescent="0.3">
      <c r="C5873"/>
      <c r="D5873"/>
      <c r="E5873"/>
      <c r="F5873"/>
      <c r="G5873"/>
      <c r="H5873"/>
    </row>
    <row r="5874" spans="3:8" x14ac:dyDescent="0.3">
      <c r="C5874"/>
      <c r="D5874"/>
      <c r="E5874"/>
      <c r="F5874"/>
      <c r="G5874"/>
      <c r="H5874"/>
    </row>
    <row r="5875" spans="3:8" x14ac:dyDescent="0.3">
      <c r="C5875"/>
      <c r="D5875"/>
      <c r="E5875"/>
      <c r="F5875"/>
      <c r="G5875"/>
      <c r="H5875"/>
    </row>
    <row r="5876" spans="3:8" x14ac:dyDescent="0.3">
      <c r="C5876"/>
      <c r="D5876"/>
      <c r="E5876"/>
      <c r="F5876"/>
      <c r="G5876"/>
      <c r="H5876"/>
    </row>
    <row r="5877" spans="3:8" x14ac:dyDescent="0.3">
      <c r="C5877"/>
      <c r="D5877"/>
      <c r="E5877"/>
      <c r="F5877"/>
      <c r="G5877"/>
      <c r="H5877"/>
    </row>
    <row r="5878" spans="3:8" x14ac:dyDescent="0.3">
      <c r="C5878"/>
      <c r="D5878"/>
      <c r="E5878"/>
      <c r="F5878"/>
      <c r="G5878"/>
      <c r="H5878"/>
    </row>
    <row r="5879" spans="3:8" x14ac:dyDescent="0.3">
      <c r="C5879"/>
      <c r="D5879"/>
      <c r="E5879"/>
      <c r="F5879"/>
      <c r="G5879"/>
      <c r="H5879"/>
    </row>
    <row r="5880" spans="3:8" x14ac:dyDescent="0.3">
      <c r="C5880"/>
      <c r="D5880"/>
      <c r="E5880"/>
      <c r="F5880"/>
      <c r="G5880"/>
      <c r="H5880"/>
    </row>
    <row r="5881" spans="3:8" x14ac:dyDescent="0.3">
      <c r="C5881"/>
      <c r="D5881"/>
      <c r="E5881"/>
      <c r="F5881"/>
      <c r="G5881"/>
      <c r="H5881"/>
    </row>
    <row r="5882" spans="3:8" x14ac:dyDescent="0.3">
      <c r="C5882"/>
      <c r="D5882"/>
      <c r="E5882"/>
      <c r="F5882"/>
      <c r="G5882"/>
      <c r="H5882"/>
    </row>
    <row r="5883" spans="3:8" x14ac:dyDescent="0.3">
      <c r="C5883"/>
      <c r="D5883"/>
      <c r="E5883"/>
      <c r="F5883"/>
      <c r="G5883"/>
      <c r="H5883"/>
    </row>
    <row r="5884" spans="3:8" x14ac:dyDescent="0.3">
      <c r="C5884"/>
      <c r="D5884"/>
      <c r="E5884"/>
      <c r="F5884"/>
      <c r="G5884"/>
      <c r="H5884"/>
    </row>
    <row r="5885" spans="3:8" x14ac:dyDescent="0.3">
      <c r="C5885"/>
      <c r="D5885"/>
      <c r="E5885"/>
      <c r="F5885"/>
      <c r="G5885"/>
      <c r="H5885"/>
    </row>
    <row r="5886" spans="3:8" x14ac:dyDescent="0.3">
      <c r="C5886"/>
      <c r="D5886"/>
      <c r="E5886"/>
      <c r="F5886"/>
      <c r="G5886"/>
      <c r="H5886"/>
    </row>
    <row r="5887" spans="3:8" x14ac:dyDescent="0.3">
      <c r="C5887"/>
      <c r="D5887"/>
      <c r="E5887"/>
      <c r="F5887"/>
      <c r="G5887"/>
      <c r="H5887"/>
    </row>
    <row r="5888" spans="3:8" x14ac:dyDescent="0.3">
      <c r="C5888"/>
      <c r="D5888"/>
      <c r="E5888"/>
      <c r="F5888"/>
      <c r="G5888"/>
      <c r="H5888"/>
    </row>
    <row r="5889" spans="3:8" x14ac:dyDescent="0.3">
      <c r="C5889"/>
      <c r="D5889"/>
      <c r="E5889"/>
      <c r="F5889"/>
      <c r="G5889"/>
      <c r="H5889"/>
    </row>
    <row r="5890" spans="3:8" x14ac:dyDescent="0.3">
      <c r="C5890"/>
      <c r="D5890"/>
      <c r="E5890"/>
      <c r="F5890"/>
      <c r="G5890"/>
      <c r="H5890"/>
    </row>
    <row r="5891" spans="3:8" x14ac:dyDescent="0.3">
      <c r="C5891"/>
      <c r="D5891"/>
      <c r="E5891"/>
      <c r="F5891"/>
      <c r="G5891"/>
      <c r="H5891"/>
    </row>
    <row r="5892" spans="3:8" x14ac:dyDescent="0.3">
      <c r="C5892"/>
      <c r="D5892"/>
      <c r="E5892"/>
      <c r="F5892"/>
      <c r="G5892"/>
      <c r="H5892"/>
    </row>
    <row r="5893" spans="3:8" x14ac:dyDescent="0.3">
      <c r="C5893"/>
      <c r="D5893"/>
      <c r="E5893"/>
      <c r="F5893"/>
      <c r="G5893"/>
      <c r="H5893"/>
    </row>
    <row r="5894" spans="3:8" x14ac:dyDescent="0.3">
      <c r="C5894"/>
      <c r="D5894"/>
      <c r="E5894"/>
      <c r="F5894"/>
      <c r="G5894"/>
      <c r="H5894"/>
    </row>
    <row r="5895" spans="3:8" x14ac:dyDescent="0.3">
      <c r="C5895"/>
      <c r="D5895"/>
      <c r="E5895"/>
      <c r="F5895"/>
      <c r="G5895"/>
      <c r="H5895"/>
    </row>
    <row r="5896" spans="3:8" x14ac:dyDescent="0.3">
      <c r="C5896"/>
      <c r="D5896"/>
      <c r="E5896"/>
      <c r="F5896"/>
      <c r="G5896"/>
      <c r="H5896"/>
    </row>
    <row r="5897" spans="3:8" x14ac:dyDescent="0.3">
      <c r="C5897"/>
      <c r="D5897"/>
      <c r="E5897"/>
      <c r="F5897"/>
      <c r="G5897"/>
      <c r="H5897"/>
    </row>
    <row r="5898" spans="3:8" x14ac:dyDescent="0.3">
      <c r="C5898"/>
      <c r="D5898"/>
      <c r="E5898"/>
      <c r="F5898"/>
      <c r="G5898"/>
      <c r="H5898"/>
    </row>
    <row r="5899" spans="3:8" x14ac:dyDescent="0.3">
      <c r="C5899"/>
      <c r="D5899"/>
      <c r="E5899"/>
      <c r="F5899"/>
      <c r="G5899"/>
      <c r="H5899"/>
    </row>
    <row r="5900" spans="3:8" x14ac:dyDescent="0.3">
      <c r="C5900"/>
      <c r="D5900"/>
      <c r="E5900"/>
      <c r="F5900"/>
      <c r="G5900"/>
      <c r="H5900"/>
    </row>
    <row r="5901" spans="3:8" x14ac:dyDescent="0.3">
      <c r="C5901"/>
      <c r="D5901"/>
      <c r="E5901"/>
      <c r="F5901"/>
      <c r="G5901"/>
      <c r="H5901"/>
    </row>
    <row r="5902" spans="3:8" x14ac:dyDescent="0.3">
      <c r="C5902"/>
      <c r="D5902"/>
      <c r="E5902"/>
      <c r="F5902"/>
      <c r="G5902"/>
      <c r="H5902"/>
    </row>
    <row r="5903" spans="3:8" x14ac:dyDescent="0.3">
      <c r="C5903"/>
      <c r="D5903"/>
      <c r="E5903"/>
      <c r="F5903"/>
      <c r="G5903"/>
      <c r="H5903"/>
    </row>
    <row r="5904" spans="3:8" x14ac:dyDescent="0.3">
      <c r="C5904"/>
      <c r="D5904"/>
      <c r="E5904"/>
      <c r="F5904"/>
      <c r="G5904"/>
      <c r="H5904"/>
    </row>
    <row r="5905" spans="3:8" x14ac:dyDescent="0.3">
      <c r="C5905"/>
      <c r="D5905"/>
      <c r="E5905"/>
      <c r="F5905"/>
      <c r="G5905"/>
      <c r="H5905"/>
    </row>
    <row r="5906" spans="3:8" x14ac:dyDescent="0.3">
      <c r="C5906"/>
      <c r="D5906"/>
      <c r="E5906"/>
      <c r="F5906"/>
      <c r="G5906"/>
      <c r="H5906"/>
    </row>
    <row r="5907" spans="3:8" x14ac:dyDescent="0.3">
      <c r="C5907"/>
      <c r="D5907"/>
      <c r="E5907"/>
      <c r="F5907"/>
      <c r="G5907"/>
      <c r="H5907"/>
    </row>
    <row r="5908" spans="3:8" x14ac:dyDescent="0.3">
      <c r="C5908"/>
      <c r="D5908"/>
      <c r="E5908"/>
      <c r="F5908"/>
      <c r="G5908"/>
      <c r="H5908"/>
    </row>
    <row r="5909" spans="3:8" x14ac:dyDescent="0.3">
      <c r="C5909"/>
      <c r="D5909"/>
      <c r="E5909"/>
      <c r="F5909"/>
      <c r="G5909"/>
      <c r="H5909"/>
    </row>
    <row r="5910" spans="3:8" x14ac:dyDescent="0.3">
      <c r="C5910"/>
      <c r="D5910"/>
      <c r="E5910"/>
      <c r="F5910"/>
      <c r="G5910"/>
      <c r="H5910"/>
    </row>
    <row r="5911" spans="3:8" x14ac:dyDescent="0.3">
      <c r="C5911"/>
      <c r="D5911"/>
      <c r="E5911"/>
      <c r="F5911"/>
      <c r="G5911"/>
      <c r="H5911"/>
    </row>
    <row r="5912" spans="3:8" x14ac:dyDescent="0.3">
      <c r="C5912"/>
      <c r="D5912"/>
      <c r="E5912"/>
      <c r="F5912"/>
      <c r="G5912"/>
      <c r="H5912"/>
    </row>
    <row r="5913" spans="3:8" x14ac:dyDescent="0.3">
      <c r="C5913"/>
      <c r="D5913"/>
      <c r="E5913"/>
      <c r="F5913"/>
      <c r="G5913"/>
      <c r="H5913"/>
    </row>
    <row r="5914" spans="3:8" x14ac:dyDescent="0.3">
      <c r="C5914"/>
      <c r="D5914"/>
      <c r="E5914"/>
      <c r="F5914"/>
      <c r="G5914"/>
      <c r="H5914"/>
    </row>
    <row r="5915" spans="3:8" x14ac:dyDescent="0.3">
      <c r="C5915"/>
      <c r="D5915"/>
      <c r="E5915"/>
      <c r="F5915"/>
      <c r="G5915"/>
      <c r="H5915"/>
    </row>
    <row r="5916" spans="3:8" x14ac:dyDescent="0.3">
      <c r="C5916"/>
      <c r="D5916"/>
      <c r="E5916"/>
      <c r="F5916"/>
      <c r="G5916"/>
      <c r="H5916"/>
    </row>
    <row r="5917" spans="3:8" x14ac:dyDescent="0.3">
      <c r="C5917"/>
      <c r="D5917"/>
      <c r="E5917"/>
      <c r="F5917"/>
      <c r="G5917"/>
      <c r="H5917"/>
    </row>
    <row r="5918" spans="3:8" x14ac:dyDescent="0.3">
      <c r="C5918"/>
      <c r="D5918"/>
      <c r="E5918"/>
      <c r="F5918"/>
      <c r="G5918"/>
      <c r="H5918"/>
    </row>
    <row r="5919" spans="3:8" x14ac:dyDescent="0.3">
      <c r="C5919"/>
      <c r="D5919"/>
      <c r="E5919"/>
      <c r="F5919"/>
      <c r="G5919"/>
      <c r="H5919"/>
    </row>
    <row r="5920" spans="3:8" x14ac:dyDescent="0.3">
      <c r="C5920"/>
      <c r="D5920"/>
      <c r="E5920"/>
      <c r="F5920"/>
      <c r="G5920"/>
      <c r="H5920"/>
    </row>
    <row r="5921" spans="3:8" x14ac:dyDescent="0.3">
      <c r="C5921"/>
      <c r="D5921"/>
      <c r="E5921"/>
      <c r="F5921"/>
      <c r="G5921"/>
      <c r="H5921"/>
    </row>
    <row r="5922" spans="3:8" x14ac:dyDescent="0.3">
      <c r="C5922"/>
      <c r="D5922"/>
      <c r="E5922"/>
      <c r="F5922"/>
      <c r="G5922"/>
      <c r="H5922"/>
    </row>
    <row r="5923" spans="3:8" x14ac:dyDescent="0.3">
      <c r="C5923"/>
      <c r="D5923"/>
      <c r="E5923"/>
      <c r="F5923"/>
      <c r="G5923"/>
      <c r="H5923"/>
    </row>
    <row r="5924" spans="3:8" x14ac:dyDescent="0.3">
      <c r="C5924"/>
      <c r="D5924"/>
      <c r="E5924"/>
      <c r="F5924"/>
      <c r="G5924"/>
      <c r="H5924"/>
    </row>
    <row r="5925" spans="3:8" x14ac:dyDescent="0.3">
      <c r="C5925"/>
      <c r="D5925"/>
      <c r="E5925"/>
      <c r="F5925"/>
      <c r="G5925"/>
      <c r="H5925"/>
    </row>
    <row r="5926" spans="3:8" x14ac:dyDescent="0.3">
      <c r="C5926"/>
      <c r="D5926"/>
      <c r="E5926"/>
      <c r="F5926"/>
      <c r="G5926"/>
      <c r="H5926"/>
    </row>
    <row r="5927" spans="3:8" x14ac:dyDescent="0.3">
      <c r="C5927"/>
      <c r="D5927"/>
      <c r="E5927"/>
      <c r="F5927"/>
      <c r="G5927"/>
      <c r="H5927"/>
    </row>
    <row r="5928" spans="3:8" x14ac:dyDescent="0.3">
      <c r="C5928"/>
      <c r="D5928"/>
      <c r="E5928"/>
      <c r="F5928"/>
      <c r="G5928"/>
      <c r="H5928"/>
    </row>
    <row r="5929" spans="3:8" x14ac:dyDescent="0.3">
      <c r="C5929"/>
      <c r="D5929"/>
      <c r="E5929"/>
      <c r="F5929"/>
      <c r="G5929"/>
      <c r="H5929"/>
    </row>
    <row r="5930" spans="3:8" x14ac:dyDescent="0.3">
      <c r="C5930"/>
      <c r="D5930"/>
      <c r="E5930"/>
      <c r="F5930"/>
      <c r="G5930"/>
      <c r="H5930"/>
    </row>
    <row r="5931" spans="3:8" x14ac:dyDescent="0.3">
      <c r="C5931"/>
      <c r="D5931"/>
      <c r="E5931"/>
      <c r="F5931"/>
      <c r="G5931"/>
      <c r="H5931"/>
    </row>
    <row r="5932" spans="3:8" x14ac:dyDescent="0.3">
      <c r="C5932"/>
      <c r="D5932"/>
      <c r="E5932"/>
      <c r="F5932"/>
      <c r="G5932"/>
      <c r="H5932"/>
    </row>
    <row r="5933" spans="3:8" x14ac:dyDescent="0.3">
      <c r="C5933"/>
      <c r="D5933"/>
      <c r="E5933"/>
      <c r="F5933"/>
      <c r="G5933"/>
      <c r="H5933"/>
    </row>
    <row r="5934" spans="3:8" x14ac:dyDescent="0.3">
      <c r="C5934"/>
      <c r="D5934"/>
      <c r="E5934"/>
      <c r="F5934"/>
      <c r="G5934"/>
      <c r="H5934"/>
    </row>
    <row r="5935" spans="3:8" x14ac:dyDescent="0.3">
      <c r="C5935"/>
      <c r="D5935"/>
      <c r="E5935"/>
      <c r="F5935"/>
      <c r="G5935"/>
      <c r="H5935"/>
    </row>
    <row r="5936" spans="3:8" x14ac:dyDescent="0.3">
      <c r="C5936"/>
      <c r="D5936"/>
      <c r="E5936"/>
      <c r="F5936"/>
      <c r="G5936"/>
      <c r="H5936"/>
    </row>
    <row r="5937" spans="3:8" x14ac:dyDescent="0.3">
      <c r="C5937"/>
      <c r="D5937"/>
      <c r="E5937"/>
      <c r="F5937"/>
      <c r="G5937"/>
      <c r="H5937"/>
    </row>
    <row r="5938" spans="3:8" x14ac:dyDescent="0.3">
      <c r="C5938"/>
      <c r="D5938"/>
      <c r="E5938"/>
      <c r="F5938"/>
      <c r="G5938"/>
      <c r="H5938"/>
    </row>
    <row r="5939" spans="3:8" x14ac:dyDescent="0.3">
      <c r="C5939"/>
      <c r="D5939"/>
      <c r="E5939"/>
      <c r="F5939"/>
      <c r="G5939"/>
      <c r="H5939"/>
    </row>
    <row r="5940" spans="3:8" x14ac:dyDescent="0.3">
      <c r="C5940"/>
      <c r="D5940"/>
      <c r="E5940"/>
      <c r="F5940"/>
      <c r="G5940"/>
      <c r="H5940"/>
    </row>
    <row r="5941" spans="3:8" x14ac:dyDescent="0.3">
      <c r="C5941"/>
      <c r="D5941"/>
      <c r="E5941"/>
      <c r="F5941"/>
      <c r="G5941"/>
      <c r="H5941"/>
    </row>
    <row r="5942" spans="3:8" x14ac:dyDescent="0.3">
      <c r="C5942"/>
      <c r="D5942"/>
      <c r="E5942"/>
      <c r="F5942"/>
      <c r="G5942"/>
      <c r="H5942"/>
    </row>
    <row r="5943" spans="3:8" x14ac:dyDescent="0.3">
      <c r="C5943"/>
      <c r="D5943"/>
      <c r="E5943"/>
      <c r="F5943"/>
      <c r="G5943"/>
      <c r="H5943"/>
    </row>
    <row r="5944" spans="3:8" x14ac:dyDescent="0.3">
      <c r="C5944"/>
      <c r="D5944"/>
      <c r="E5944"/>
      <c r="F5944"/>
      <c r="G5944"/>
      <c r="H5944"/>
    </row>
    <row r="5945" spans="3:8" x14ac:dyDescent="0.3">
      <c r="C5945"/>
      <c r="D5945"/>
      <c r="E5945"/>
      <c r="F5945"/>
      <c r="G5945"/>
      <c r="H5945"/>
    </row>
    <row r="5946" spans="3:8" x14ac:dyDescent="0.3">
      <c r="C5946"/>
      <c r="D5946"/>
      <c r="E5946"/>
      <c r="F5946"/>
      <c r="G5946"/>
      <c r="H5946"/>
    </row>
    <row r="5947" spans="3:8" x14ac:dyDescent="0.3">
      <c r="C5947"/>
      <c r="D5947"/>
      <c r="E5947"/>
      <c r="F5947"/>
      <c r="G5947"/>
      <c r="H5947"/>
    </row>
    <row r="5948" spans="3:8" x14ac:dyDescent="0.3">
      <c r="C5948"/>
      <c r="D5948"/>
      <c r="E5948"/>
      <c r="F5948"/>
      <c r="G5948"/>
      <c r="H5948"/>
    </row>
    <row r="5949" spans="3:8" x14ac:dyDescent="0.3">
      <c r="C5949"/>
      <c r="D5949"/>
      <c r="E5949"/>
      <c r="F5949"/>
      <c r="G5949"/>
      <c r="H5949"/>
    </row>
    <row r="5950" spans="3:8" x14ac:dyDescent="0.3">
      <c r="C5950"/>
      <c r="D5950"/>
      <c r="E5950"/>
      <c r="F5950"/>
      <c r="G5950"/>
      <c r="H5950"/>
    </row>
    <row r="5951" spans="3:8" x14ac:dyDescent="0.3">
      <c r="C5951"/>
      <c r="D5951"/>
      <c r="E5951"/>
      <c r="F5951"/>
      <c r="G5951"/>
      <c r="H5951"/>
    </row>
    <row r="5952" spans="3:8" x14ac:dyDescent="0.3">
      <c r="C5952"/>
      <c r="D5952"/>
      <c r="E5952"/>
      <c r="F5952"/>
      <c r="G5952"/>
      <c r="H5952"/>
    </row>
    <row r="5953" spans="3:8" x14ac:dyDescent="0.3">
      <c r="C5953"/>
      <c r="D5953"/>
      <c r="E5953"/>
      <c r="F5953"/>
      <c r="G5953"/>
      <c r="H5953"/>
    </row>
    <row r="5954" spans="3:8" x14ac:dyDescent="0.3">
      <c r="C5954"/>
      <c r="D5954"/>
      <c r="E5954"/>
      <c r="F5954"/>
      <c r="G5954"/>
      <c r="H5954"/>
    </row>
    <row r="5955" spans="3:8" x14ac:dyDescent="0.3">
      <c r="C5955"/>
      <c r="D5955"/>
      <c r="E5955"/>
      <c r="F5955"/>
      <c r="G5955"/>
      <c r="H5955"/>
    </row>
    <row r="5956" spans="3:8" x14ac:dyDescent="0.3">
      <c r="C5956"/>
      <c r="D5956"/>
      <c r="E5956"/>
      <c r="F5956"/>
      <c r="G5956"/>
      <c r="H5956"/>
    </row>
    <row r="5957" spans="3:8" x14ac:dyDescent="0.3">
      <c r="C5957"/>
      <c r="D5957"/>
      <c r="E5957"/>
      <c r="F5957"/>
      <c r="G5957"/>
      <c r="H5957"/>
    </row>
    <row r="5958" spans="3:8" x14ac:dyDescent="0.3">
      <c r="C5958"/>
      <c r="D5958"/>
      <c r="E5958"/>
      <c r="F5958"/>
      <c r="G5958"/>
      <c r="H5958"/>
    </row>
    <row r="5959" spans="3:8" x14ac:dyDescent="0.3">
      <c r="C5959"/>
      <c r="D5959"/>
      <c r="E5959"/>
      <c r="F5959"/>
      <c r="G5959"/>
      <c r="H5959"/>
    </row>
    <row r="5960" spans="3:8" x14ac:dyDescent="0.3">
      <c r="C5960"/>
      <c r="D5960"/>
      <c r="E5960"/>
      <c r="F5960"/>
      <c r="G5960"/>
      <c r="H5960"/>
    </row>
    <row r="5961" spans="3:8" x14ac:dyDescent="0.3">
      <c r="C5961"/>
      <c r="D5961"/>
      <c r="E5961"/>
      <c r="F5961"/>
      <c r="G5961"/>
      <c r="H5961"/>
    </row>
    <row r="5962" spans="3:8" x14ac:dyDescent="0.3">
      <c r="C5962"/>
      <c r="D5962"/>
      <c r="E5962"/>
      <c r="F5962"/>
      <c r="G5962"/>
      <c r="H5962"/>
    </row>
    <row r="5963" spans="3:8" x14ac:dyDescent="0.3">
      <c r="C5963"/>
      <c r="D5963"/>
      <c r="E5963"/>
      <c r="F5963"/>
      <c r="G5963"/>
      <c r="H5963"/>
    </row>
    <row r="5964" spans="3:8" x14ac:dyDescent="0.3">
      <c r="C5964"/>
      <c r="D5964"/>
      <c r="E5964"/>
      <c r="F5964"/>
      <c r="G5964"/>
      <c r="H5964"/>
    </row>
    <row r="5965" spans="3:8" x14ac:dyDescent="0.3">
      <c r="C5965"/>
      <c r="D5965"/>
      <c r="E5965"/>
      <c r="F5965"/>
      <c r="G5965"/>
      <c r="H5965"/>
    </row>
    <row r="5966" spans="3:8" x14ac:dyDescent="0.3">
      <c r="C5966"/>
      <c r="D5966"/>
      <c r="E5966"/>
      <c r="F5966"/>
      <c r="G5966"/>
      <c r="H5966"/>
    </row>
    <row r="5967" spans="3:8" x14ac:dyDescent="0.3">
      <c r="C5967"/>
      <c r="D5967"/>
      <c r="E5967"/>
      <c r="F5967"/>
      <c r="G5967"/>
      <c r="H5967"/>
    </row>
    <row r="5968" spans="3:8" x14ac:dyDescent="0.3">
      <c r="C5968"/>
      <c r="D5968"/>
      <c r="E5968"/>
      <c r="F5968"/>
      <c r="G5968"/>
      <c r="H5968"/>
    </row>
    <row r="5969" spans="3:8" x14ac:dyDescent="0.3">
      <c r="C5969"/>
      <c r="D5969"/>
      <c r="E5969"/>
      <c r="F5969"/>
      <c r="G5969"/>
      <c r="H5969"/>
    </row>
    <row r="5970" spans="3:8" x14ac:dyDescent="0.3">
      <c r="C5970"/>
      <c r="D5970"/>
      <c r="E5970"/>
      <c r="F5970"/>
      <c r="G5970"/>
      <c r="H5970"/>
    </row>
    <row r="5971" spans="3:8" x14ac:dyDescent="0.3">
      <c r="C5971"/>
      <c r="D5971"/>
      <c r="E5971"/>
      <c r="F5971"/>
      <c r="G5971"/>
      <c r="H5971"/>
    </row>
    <row r="5972" spans="3:8" x14ac:dyDescent="0.3">
      <c r="C5972"/>
      <c r="D5972"/>
      <c r="E5972"/>
      <c r="F5972"/>
      <c r="G5972"/>
      <c r="H5972"/>
    </row>
    <row r="5973" spans="3:8" x14ac:dyDescent="0.3">
      <c r="C5973"/>
      <c r="D5973"/>
      <c r="E5973"/>
      <c r="F5973"/>
      <c r="G5973"/>
      <c r="H5973"/>
    </row>
    <row r="5974" spans="3:8" x14ac:dyDescent="0.3">
      <c r="C5974"/>
      <c r="D5974"/>
      <c r="E5974"/>
      <c r="F5974"/>
      <c r="G5974"/>
      <c r="H5974"/>
    </row>
    <row r="5975" spans="3:8" x14ac:dyDescent="0.3">
      <c r="C5975"/>
      <c r="D5975"/>
      <c r="E5975"/>
      <c r="F5975"/>
      <c r="G5975"/>
      <c r="H5975"/>
    </row>
    <row r="5976" spans="3:8" x14ac:dyDescent="0.3">
      <c r="C5976"/>
      <c r="D5976"/>
      <c r="E5976"/>
      <c r="F5976"/>
      <c r="G5976"/>
      <c r="H5976"/>
    </row>
    <row r="5977" spans="3:8" x14ac:dyDescent="0.3">
      <c r="C5977"/>
      <c r="D5977"/>
      <c r="E5977"/>
      <c r="F5977"/>
      <c r="G5977"/>
      <c r="H5977"/>
    </row>
    <row r="5978" spans="3:8" x14ac:dyDescent="0.3">
      <c r="C5978"/>
      <c r="D5978"/>
      <c r="E5978"/>
      <c r="F5978"/>
      <c r="G5978"/>
      <c r="H5978"/>
    </row>
    <row r="5979" spans="3:8" x14ac:dyDescent="0.3">
      <c r="C5979"/>
      <c r="D5979"/>
      <c r="E5979"/>
      <c r="F5979"/>
      <c r="G5979"/>
      <c r="H5979"/>
    </row>
    <row r="5980" spans="3:8" x14ac:dyDescent="0.3">
      <c r="C5980"/>
      <c r="D5980"/>
      <c r="E5980"/>
      <c r="F5980"/>
      <c r="G5980"/>
      <c r="H5980"/>
    </row>
    <row r="5981" spans="3:8" x14ac:dyDescent="0.3">
      <c r="C5981"/>
      <c r="D5981"/>
      <c r="E5981"/>
      <c r="F5981"/>
      <c r="G5981"/>
      <c r="H5981"/>
    </row>
    <row r="5982" spans="3:8" x14ac:dyDescent="0.3">
      <c r="C5982"/>
      <c r="D5982"/>
      <c r="E5982"/>
      <c r="F5982"/>
      <c r="G5982"/>
      <c r="H5982"/>
    </row>
    <row r="5983" spans="3:8" x14ac:dyDescent="0.3">
      <c r="C5983"/>
      <c r="D5983"/>
      <c r="E5983"/>
      <c r="F5983"/>
      <c r="G5983"/>
      <c r="H5983"/>
    </row>
    <row r="5984" spans="3:8" x14ac:dyDescent="0.3">
      <c r="C5984"/>
      <c r="D5984"/>
      <c r="E5984"/>
      <c r="F5984"/>
      <c r="G5984"/>
      <c r="H5984"/>
    </row>
    <row r="5985" spans="3:8" x14ac:dyDescent="0.3">
      <c r="C5985"/>
      <c r="D5985"/>
      <c r="E5985"/>
      <c r="F5985"/>
      <c r="G5985"/>
      <c r="H5985"/>
    </row>
    <row r="5986" spans="3:8" x14ac:dyDescent="0.3">
      <c r="C5986"/>
      <c r="D5986"/>
      <c r="E5986"/>
      <c r="F5986"/>
      <c r="G5986"/>
      <c r="H5986"/>
    </row>
    <row r="5987" spans="3:8" x14ac:dyDescent="0.3">
      <c r="C5987"/>
      <c r="D5987"/>
      <c r="E5987"/>
      <c r="F5987"/>
      <c r="G5987"/>
      <c r="H5987"/>
    </row>
    <row r="5988" spans="3:8" x14ac:dyDescent="0.3">
      <c r="C5988"/>
      <c r="D5988"/>
      <c r="E5988"/>
      <c r="F5988"/>
      <c r="G5988"/>
      <c r="H5988"/>
    </row>
    <row r="5989" spans="3:8" x14ac:dyDescent="0.3">
      <c r="C5989"/>
      <c r="D5989"/>
      <c r="E5989"/>
      <c r="F5989"/>
      <c r="G5989"/>
      <c r="H5989"/>
    </row>
    <row r="5990" spans="3:8" x14ac:dyDescent="0.3">
      <c r="C5990"/>
      <c r="D5990"/>
      <c r="E5990"/>
      <c r="F5990"/>
      <c r="G5990"/>
      <c r="H5990"/>
    </row>
    <row r="5991" spans="3:8" x14ac:dyDescent="0.3">
      <c r="C5991"/>
      <c r="D5991"/>
      <c r="E5991"/>
      <c r="F5991"/>
      <c r="G5991"/>
      <c r="H5991"/>
    </row>
    <row r="5992" spans="3:8" x14ac:dyDescent="0.3">
      <c r="C5992"/>
      <c r="D5992"/>
      <c r="E5992"/>
      <c r="F5992"/>
      <c r="G5992"/>
      <c r="H5992"/>
    </row>
    <row r="5993" spans="3:8" x14ac:dyDescent="0.3">
      <c r="C5993"/>
      <c r="D5993"/>
      <c r="E5993"/>
      <c r="F5993"/>
      <c r="G5993"/>
      <c r="H5993"/>
    </row>
    <row r="5994" spans="3:8" x14ac:dyDescent="0.3">
      <c r="C5994"/>
      <c r="D5994"/>
      <c r="E5994"/>
      <c r="F5994"/>
      <c r="G5994"/>
      <c r="H5994"/>
    </row>
    <row r="5995" spans="3:8" x14ac:dyDescent="0.3">
      <c r="C5995"/>
      <c r="D5995"/>
      <c r="E5995"/>
      <c r="F5995"/>
      <c r="G5995"/>
      <c r="H5995"/>
    </row>
    <row r="5996" spans="3:8" x14ac:dyDescent="0.3">
      <c r="C5996"/>
      <c r="D5996"/>
      <c r="E5996"/>
      <c r="F5996"/>
      <c r="G5996"/>
      <c r="H5996"/>
    </row>
    <row r="5997" spans="3:8" x14ac:dyDescent="0.3">
      <c r="C5997"/>
      <c r="D5997"/>
      <c r="E5997"/>
      <c r="F5997"/>
      <c r="G5997"/>
      <c r="H5997"/>
    </row>
    <row r="5998" spans="3:8" x14ac:dyDescent="0.3">
      <c r="C5998"/>
      <c r="D5998"/>
      <c r="E5998"/>
      <c r="F5998"/>
      <c r="G5998"/>
      <c r="H5998"/>
    </row>
    <row r="5999" spans="3:8" x14ac:dyDescent="0.3">
      <c r="C5999"/>
      <c r="D5999"/>
      <c r="E5999"/>
      <c r="F5999"/>
      <c r="G5999"/>
      <c r="H5999"/>
    </row>
    <row r="6000" spans="3:8" x14ac:dyDescent="0.3">
      <c r="C6000"/>
      <c r="D6000"/>
      <c r="E6000"/>
      <c r="F6000"/>
      <c r="G6000"/>
      <c r="H6000"/>
    </row>
    <row r="6001" spans="3:8" x14ac:dyDescent="0.3">
      <c r="C6001"/>
      <c r="D6001"/>
      <c r="E6001"/>
      <c r="F6001"/>
      <c r="G6001"/>
      <c r="H6001"/>
    </row>
    <row r="6002" spans="3:8" x14ac:dyDescent="0.3">
      <c r="C6002"/>
      <c r="D6002"/>
      <c r="E6002"/>
      <c r="F6002"/>
      <c r="G6002"/>
      <c r="H6002"/>
    </row>
    <row r="6003" spans="3:8" x14ac:dyDescent="0.3">
      <c r="C6003"/>
      <c r="D6003"/>
      <c r="E6003"/>
      <c r="F6003"/>
      <c r="G6003"/>
      <c r="H6003"/>
    </row>
    <row r="6004" spans="3:8" x14ac:dyDescent="0.3">
      <c r="C6004"/>
      <c r="D6004"/>
      <c r="E6004"/>
      <c r="F6004"/>
      <c r="G6004"/>
      <c r="H6004"/>
    </row>
    <row r="6005" spans="3:8" x14ac:dyDescent="0.3">
      <c r="C6005"/>
      <c r="D6005"/>
      <c r="E6005"/>
      <c r="F6005"/>
      <c r="G6005"/>
      <c r="H6005"/>
    </row>
    <row r="6006" spans="3:8" x14ac:dyDescent="0.3">
      <c r="C6006"/>
      <c r="D6006"/>
      <c r="E6006"/>
      <c r="F6006"/>
      <c r="G6006"/>
      <c r="H6006"/>
    </row>
    <row r="6007" spans="3:8" x14ac:dyDescent="0.3">
      <c r="C6007"/>
      <c r="D6007"/>
      <c r="E6007"/>
      <c r="F6007"/>
      <c r="G6007"/>
      <c r="H6007"/>
    </row>
    <row r="6008" spans="3:8" x14ac:dyDescent="0.3">
      <c r="C6008"/>
      <c r="D6008"/>
      <c r="E6008"/>
      <c r="F6008"/>
      <c r="G6008"/>
      <c r="H6008"/>
    </row>
    <row r="6009" spans="3:8" x14ac:dyDescent="0.3">
      <c r="C6009"/>
      <c r="D6009"/>
      <c r="E6009"/>
      <c r="F6009"/>
      <c r="G6009"/>
      <c r="H6009"/>
    </row>
    <row r="6010" spans="3:8" x14ac:dyDescent="0.3">
      <c r="C6010"/>
      <c r="D6010"/>
      <c r="E6010"/>
      <c r="F6010"/>
      <c r="G6010"/>
      <c r="H6010"/>
    </row>
    <row r="6011" spans="3:8" x14ac:dyDescent="0.3">
      <c r="C6011"/>
      <c r="D6011"/>
      <c r="E6011"/>
      <c r="F6011"/>
      <c r="G6011"/>
      <c r="H6011"/>
    </row>
    <row r="6012" spans="3:8" x14ac:dyDescent="0.3">
      <c r="C6012"/>
      <c r="D6012"/>
      <c r="E6012"/>
      <c r="F6012"/>
      <c r="G6012"/>
      <c r="H6012"/>
    </row>
    <row r="6013" spans="3:8" x14ac:dyDescent="0.3">
      <c r="C6013"/>
      <c r="D6013"/>
      <c r="E6013"/>
      <c r="F6013"/>
      <c r="G6013"/>
      <c r="H6013"/>
    </row>
    <row r="6014" spans="3:8" x14ac:dyDescent="0.3">
      <c r="C6014"/>
      <c r="D6014"/>
      <c r="E6014"/>
      <c r="F6014"/>
      <c r="G6014"/>
      <c r="H6014"/>
    </row>
    <row r="6015" spans="3:8" x14ac:dyDescent="0.3">
      <c r="C6015"/>
      <c r="D6015"/>
      <c r="E6015"/>
      <c r="F6015"/>
      <c r="G6015"/>
      <c r="H6015"/>
    </row>
    <row r="6016" spans="3:8" x14ac:dyDescent="0.3">
      <c r="C6016"/>
      <c r="D6016"/>
      <c r="E6016"/>
      <c r="F6016"/>
      <c r="G6016"/>
      <c r="H6016"/>
    </row>
    <row r="6017" spans="3:8" x14ac:dyDescent="0.3">
      <c r="C6017"/>
      <c r="D6017"/>
      <c r="E6017"/>
      <c r="F6017"/>
      <c r="G6017"/>
      <c r="H6017"/>
    </row>
    <row r="6018" spans="3:8" x14ac:dyDescent="0.3">
      <c r="C6018"/>
      <c r="D6018"/>
      <c r="E6018"/>
      <c r="F6018"/>
      <c r="G6018"/>
      <c r="H6018"/>
    </row>
    <row r="6019" spans="3:8" x14ac:dyDescent="0.3">
      <c r="C6019"/>
      <c r="D6019"/>
      <c r="E6019"/>
      <c r="F6019"/>
      <c r="G6019"/>
      <c r="H6019"/>
    </row>
    <row r="6020" spans="3:8" x14ac:dyDescent="0.3">
      <c r="C6020"/>
      <c r="D6020"/>
      <c r="E6020"/>
      <c r="F6020"/>
      <c r="G6020"/>
      <c r="H6020"/>
    </row>
    <row r="6021" spans="3:8" x14ac:dyDescent="0.3">
      <c r="C6021"/>
      <c r="D6021"/>
      <c r="E6021"/>
      <c r="F6021"/>
      <c r="G6021"/>
      <c r="H6021"/>
    </row>
    <row r="6022" spans="3:8" x14ac:dyDescent="0.3">
      <c r="C6022"/>
      <c r="D6022"/>
      <c r="E6022"/>
      <c r="F6022"/>
      <c r="G6022"/>
      <c r="H6022"/>
    </row>
    <row r="6023" spans="3:8" x14ac:dyDescent="0.3">
      <c r="C6023"/>
      <c r="D6023"/>
      <c r="E6023"/>
      <c r="F6023"/>
      <c r="G6023"/>
      <c r="H6023"/>
    </row>
    <row r="6024" spans="3:8" x14ac:dyDescent="0.3">
      <c r="C6024"/>
      <c r="D6024"/>
      <c r="E6024"/>
      <c r="F6024"/>
      <c r="G6024"/>
      <c r="H6024"/>
    </row>
    <row r="6025" spans="3:8" x14ac:dyDescent="0.3">
      <c r="C6025"/>
      <c r="D6025"/>
      <c r="E6025"/>
      <c r="F6025"/>
      <c r="G6025"/>
      <c r="H6025"/>
    </row>
    <row r="6026" spans="3:8" x14ac:dyDescent="0.3">
      <c r="C6026"/>
      <c r="D6026"/>
      <c r="E6026"/>
      <c r="F6026"/>
      <c r="G6026"/>
      <c r="H6026"/>
    </row>
    <row r="6027" spans="3:8" x14ac:dyDescent="0.3">
      <c r="C6027"/>
      <c r="D6027"/>
      <c r="E6027"/>
      <c r="F6027"/>
      <c r="G6027"/>
      <c r="H6027"/>
    </row>
    <row r="6028" spans="3:8" x14ac:dyDescent="0.3">
      <c r="C6028"/>
      <c r="D6028"/>
      <c r="E6028"/>
      <c r="F6028"/>
      <c r="G6028"/>
      <c r="H6028"/>
    </row>
    <row r="6029" spans="3:8" x14ac:dyDescent="0.3">
      <c r="C6029"/>
      <c r="D6029"/>
      <c r="E6029"/>
      <c r="F6029"/>
      <c r="G6029"/>
      <c r="H6029"/>
    </row>
    <row r="6030" spans="3:8" x14ac:dyDescent="0.3">
      <c r="C6030"/>
      <c r="D6030"/>
      <c r="E6030"/>
      <c r="F6030"/>
      <c r="G6030"/>
      <c r="H6030"/>
    </row>
    <row r="6031" spans="3:8" x14ac:dyDescent="0.3">
      <c r="C6031"/>
      <c r="D6031"/>
      <c r="E6031"/>
      <c r="F6031"/>
      <c r="G6031"/>
      <c r="H6031"/>
    </row>
    <row r="6032" spans="3:8" x14ac:dyDescent="0.3">
      <c r="C6032"/>
      <c r="D6032"/>
      <c r="E6032"/>
      <c r="F6032"/>
      <c r="G6032"/>
      <c r="H6032"/>
    </row>
    <row r="6033" spans="3:8" x14ac:dyDescent="0.3">
      <c r="C6033"/>
      <c r="D6033"/>
      <c r="E6033"/>
      <c r="F6033"/>
      <c r="G6033"/>
      <c r="H6033"/>
    </row>
    <row r="6034" spans="3:8" x14ac:dyDescent="0.3">
      <c r="C6034"/>
      <c r="D6034"/>
      <c r="E6034"/>
      <c r="F6034"/>
      <c r="G6034"/>
      <c r="H6034"/>
    </row>
    <row r="6035" spans="3:8" x14ac:dyDescent="0.3">
      <c r="C6035"/>
      <c r="D6035"/>
      <c r="E6035"/>
      <c r="F6035"/>
      <c r="G6035"/>
      <c r="H6035"/>
    </row>
    <row r="6036" spans="3:8" x14ac:dyDescent="0.3">
      <c r="C6036"/>
      <c r="D6036"/>
      <c r="E6036"/>
      <c r="F6036"/>
      <c r="G6036"/>
      <c r="H6036"/>
    </row>
    <row r="6037" spans="3:8" x14ac:dyDescent="0.3">
      <c r="C6037"/>
      <c r="D6037"/>
      <c r="E6037"/>
      <c r="F6037"/>
      <c r="G6037"/>
      <c r="H6037"/>
    </row>
    <row r="6038" spans="3:8" x14ac:dyDescent="0.3">
      <c r="C6038"/>
      <c r="D6038"/>
      <c r="E6038"/>
      <c r="F6038"/>
      <c r="G6038"/>
      <c r="H6038"/>
    </row>
    <row r="6039" spans="3:8" x14ac:dyDescent="0.3">
      <c r="C6039"/>
      <c r="D6039"/>
      <c r="E6039"/>
      <c r="F6039"/>
      <c r="G6039"/>
      <c r="H6039"/>
    </row>
    <row r="6040" spans="3:8" x14ac:dyDescent="0.3">
      <c r="C6040"/>
      <c r="D6040"/>
      <c r="E6040"/>
      <c r="F6040"/>
      <c r="G6040"/>
      <c r="H6040"/>
    </row>
    <row r="6041" spans="3:8" x14ac:dyDescent="0.3">
      <c r="C6041"/>
      <c r="D6041"/>
      <c r="E6041"/>
      <c r="F6041"/>
      <c r="G6041"/>
      <c r="H6041"/>
    </row>
    <row r="6042" spans="3:8" x14ac:dyDescent="0.3">
      <c r="C6042"/>
      <c r="D6042"/>
      <c r="E6042"/>
      <c r="F6042"/>
      <c r="G6042"/>
      <c r="H6042"/>
    </row>
    <row r="6043" spans="3:8" x14ac:dyDescent="0.3">
      <c r="C6043"/>
      <c r="D6043"/>
      <c r="E6043"/>
      <c r="F6043"/>
      <c r="G6043"/>
      <c r="H6043"/>
    </row>
    <row r="6044" spans="3:8" x14ac:dyDescent="0.3">
      <c r="C6044"/>
      <c r="D6044"/>
      <c r="E6044"/>
      <c r="F6044"/>
      <c r="G6044"/>
      <c r="H6044"/>
    </row>
    <row r="6045" spans="3:8" x14ac:dyDescent="0.3">
      <c r="C6045"/>
      <c r="D6045"/>
      <c r="E6045"/>
      <c r="F6045"/>
      <c r="G6045"/>
      <c r="H6045"/>
    </row>
    <row r="6046" spans="3:8" x14ac:dyDescent="0.3">
      <c r="C6046"/>
      <c r="D6046"/>
      <c r="E6046"/>
      <c r="F6046"/>
      <c r="G6046"/>
      <c r="H6046"/>
    </row>
    <row r="6047" spans="3:8" x14ac:dyDescent="0.3">
      <c r="C6047"/>
      <c r="D6047"/>
      <c r="E6047"/>
      <c r="F6047"/>
      <c r="G6047"/>
      <c r="H6047"/>
    </row>
    <row r="6048" spans="3:8" x14ac:dyDescent="0.3">
      <c r="C6048"/>
      <c r="D6048"/>
      <c r="E6048"/>
      <c r="F6048"/>
      <c r="G6048"/>
      <c r="H6048"/>
    </row>
    <row r="6049" spans="3:8" x14ac:dyDescent="0.3">
      <c r="C6049"/>
      <c r="D6049"/>
      <c r="E6049"/>
      <c r="F6049"/>
      <c r="G6049"/>
      <c r="H6049"/>
    </row>
    <row r="6050" spans="3:8" x14ac:dyDescent="0.3">
      <c r="C6050"/>
      <c r="D6050"/>
      <c r="E6050"/>
      <c r="F6050"/>
      <c r="G6050"/>
      <c r="H6050"/>
    </row>
    <row r="6051" spans="3:8" x14ac:dyDescent="0.3">
      <c r="C6051"/>
      <c r="D6051"/>
      <c r="E6051"/>
      <c r="F6051"/>
      <c r="G6051"/>
      <c r="H6051"/>
    </row>
    <row r="6052" spans="3:8" x14ac:dyDescent="0.3">
      <c r="C6052"/>
      <c r="D6052"/>
      <c r="E6052"/>
      <c r="F6052"/>
      <c r="G6052"/>
      <c r="H6052"/>
    </row>
    <row r="6053" spans="3:8" x14ac:dyDescent="0.3">
      <c r="C6053"/>
      <c r="D6053"/>
      <c r="E6053"/>
      <c r="F6053"/>
      <c r="G6053"/>
      <c r="H6053"/>
    </row>
    <row r="6054" spans="3:8" x14ac:dyDescent="0.3">
      <c r="C6054"/>
      <c r="D6054"/>
      <c r="E6054"/>
      <c r="F6054"/>
      <c r="G6054"/>
      <c r="H6054"/>
    </row>
    <row r="6055" spans="3:8" x14ac:dyDescent="0.3">
      <c r="C6055"/>
      <c r="D6055"/>
      <c r="E6055"/>
      <c r="F6055"/>
      <c r="G6055"/>
      <c r="H6055"/>
    </row>
    <row r="6056" spans="3:8" x14ac:dyDescent="0.3">
      <c r="C6056"/>
      <c r="D6056"/>
      <c r="E6056"/>
      <c r="F6056"/>
      <c r="G6056"/>
      <c r="H6056"/>
    </row>
    <row r="6057" spans="3:8" x14ac:dyDescent="0.3">
      <c r="C6057"/>
      <c r="D6057"/>
      <c r="E6057"/>
      <c r="F6057"/>
      <c r="G6057"/>
      <c r="H6057"/>
    </row>
    <row r="6058" spans="3:8" x14ac:dyDescent="0.3">
      <c r="C6058"/>
      <c r="D6058"/>
      <c r="E6058"/>
      <c r="F6058"/>
      <c r="G6058"/>
      <c r="H6058"/>
    </row>
    <row r="6059" spans="3:8" x14ac:dyDescent="0.3">
      <c r="C6059"/>
      <c r="D6059"/>
      <c r="E6059"/>
      <c r="F6059"/>
      <c r="G6059"/>
      <c r="H6059"/>
    </row>
    <row r="6060" spans="3:8" x14ac:dyDescent="0.3">
      <c r="C6060"/>
      <c r="D6060"/>
      <c r="E6060"/>
      <c r="F6060"/>
      <c r="G6060"/>
      <c r="H6060"/>
    </row>
    <row r="6061" spans="3:8" x14ac:dyDescent="0.3">
      <c r="C6061"/>
      <c r="D6061"/>
      <c r="E6061"/>
      <c r="F6061"/>
      <c r="G6061"/>
      <c r="H6061"/>
    </row>
    <row r="6062" spans="3:8" x14ac:dyDescent="0.3">
      <c r="C6062"/>
      <c r="D6062"/>
      <c r="E6062"/>
      <c r="F6062"/>
      <c r="G6062"/>
      <c r="H6062"/>
    </row>
    <row r="6063" spans="3:8" x14ac:dyDescent="0.3">
      <c r="C6063"/>
      <c r="D6063"/>
      <c r="E6063"/>
      <c r="F6063"/>
      <c r="G6063"/>
      <c r="H6063"/>
    </row>
    <row r="6064" spans="3:8" x14ac:dyDescent="0.3">
      <c r="C6064"/>
      <c r="D6064"/>
      <c r="E6064"/>
      <c r="F6064"/>
      <c r="G6064"/>
      <c r="H6064"/>
    </row>
    <row r="6065" spans="3:8" x14ac:dyDescent="0.3">
      <c r="C6065"/>
      <c r="D6065"/>
      <c r="E6065"/>
      <c r="F6065"/>
      <c r="G6065"/>
      <c r="H6065"/>
    </row>
    <row r="6066" spans="3:8" x14ac:dyDescent="0.3">
      <c r="C6066"/>
      <c r="D6066"/>
      <c r="E6066"/>
      <c r="F6066"/>
      <c r="G6066"/>
      <c r="H6066"/>
    </row>
    <row r="6067" spans="3:8" x14ac:dyDescent="0.3">
      <c r="C6067"/>
      <c r="D6067"/>
      <c r="E6067"/>
      <c r="F6067"/>
      <c r="G6067"/>
      <c r="H6067"/>
    </row>
    <row r="6068" spans="3:8" x14ac:dyDescent="0.3">
      <c r="C6068"/>
      <c r="D6068"/>
      <c r="E6068"/>
      <c r="F6068"/>
      <c r="G6068"/>
      <c r="H6068"/>
    </row>
    <row r="6069" spans="3:8" x14ac:dyDescent="0.3">
      <c r="C6069"/>
      <c r="D6069"/>
      <c r="E6069"/>
      <c r="F6069"/>
      <c r="G6069"/>
      <c r="H6069"/>
    </row>
    <row r="6070" spans="3:8" x14ac:dyDescent="0.3">
      <c r="C6070"/>
      <c r="D6070"/>
      <c r="E6070"/>
      <c r="F6070"/>
      <c r="G6070"/>
      <c r="H6070"/>
    </row>
    <row r="6071" spans="3:8" x14ac:dyDescent="0.3">
      <c r="C6071"/>
      <c r="D6071"/>
      <c r="E6071"/>
      <c r="F6071"/>
      <c r="G6071"/>
      <c r="H6071"/>
    </row>
    <row r="6072" spans="3:8" x14ac:dyDescent="0.3">
      <c r="C6072"/>
      <c r="D6072"/>
      <c r="E6072"/>
      <c r="F6072"/>
      <c r="G6072"/>
      <c r="H6072"/>
    </row>
    <row r="6073" spans="3:8" x14ac:dyDescent="0.3">
      <c r="C6073"/>
      <c r="D6073"/>
      <c r="E6073"/>
      <c r="F6073"/>
      <c r="G6073"/>
      <c r="H6073"/>
    </row>
    <row r="6074" spans="3:8" x14ac:dyDescent="0.3">
      <c r="C6074"/>
      <c r="D6074"/>
      <c r="E6074"/>
      <c r="F6074"/>
      <c r="G6074"/>
      <c r="H6074"/>
    </row>
    <row r="6075" spans="3:8" x14ac:dyDescent="0.3">
      <c r="C6075"/>
      <c r="D6075"/>
      <c r="E6075"/>
      <c r="F6075"/>
      <c r="G6075"/>
      <c r="H6075"/>
    </row>
    <row r="6076" spans="3:8" x14ac:dyDescent="0.3">
      <c r="C6076"/>
      <c r="D6076"/>
      <c r="E6076"/>
      <c r="F6076"/>
      <c r="G6076"/>
      <c r="H6076"/>
    </row>
    <row r="6077" spans="3:8" x14ac:dyDescent="0.3">
      <c r="C6077"/>
      <c r="D6077"/>
      <c r="E6077"/>
      <c r="F6077"/>
      <c r="G6077"/>
      <c r="H6077"/>
    </row>
    <row r="6078" spans="3:8" x14ac:dyDescent="0.3">
      <c r="C6078"/>
      <c r="D6078"/>
      <c r="E6078"/>
      <c r="F6078"/>
      <c r="G6078"/>
      <c r="H6078"/>
    </row>
    <row r="6079" spans="3:8" x14ac:dyDescent="0.3">
      <c r="C6079"/>
      <c r="D6079"/>
      <c r="E6079"/>
      <c r="F6079"/>
      <c r="G6079"/>
      <c r="H6079"/>
    </row>
    <row r="6080" spans="3:8" x14ac:dyDescent="0.3">
      <c r="C6080"/>
      <c r="D6080"/>
      <c r="E6080"/>
      <c r="F6080"/>
      <c r="G6080"/>
      <c r="H6080"/>
    </row>
    <row r="6081" spans="3:8" x14ac:dyDescent="0.3">
      <c r="C6081"/>
      <c r="D6081"/>
      <c r="E6081"/>
      <c r="F6081"/>
      <c r="G6081"/>
      <c r="H6081"/>
    </row>
    <row r="6082" spans="3:8" x14ac:dyDescent="0.3">
      <c r="C6082"/>
      <c r="D6082"/>
      <c r="E6082"/>
      <c r="F6082"/>
      <c r="G6082"/>
      <c r="H6082"/>
    </row>
    <row r="6083" spans="3:8" x14ac:dyDescent="0.3">
      <c r="C6083"/>
      <c r="D6083"/>
      <c r="E6083"/>
      <c r="F6083"/>
      <c r="G6083"/>
      <c r="H6083"/>
    </row>
    <row r="6084" spans="3:8" x14ac:dyDescent="0.3">
      <c r="C6084"/>
      <c r="D6084"/>
      <c r="E6084"/>
      <c r="F6084"/>
      <c r="G6084"/>
      <c r="H6084"/>
    </row>
    <row r="6085" spans="3:8" x14ac:dyDescent="0.3">
      <c r="C6085"/>
      <c r="D6085"/>
      <c r="E6085"/>
      <c r="F6085"/>
      <c r="G6085"/>
      <c r="H6085"/>
    </row>
    <row r="6086" spans="3:8" x14ac:dyDescent="0.3">
      <c r="C6086"/>
      <c r="D6086"/>
      <c r="E6086"/>
      <c r="F6086"/>
      <c r="G6086"/>
      <c r="H6086"/>
    </row>
    <row r="6087" spans="3:8" x14ac:dyDescent="0.3">
      <c r="C6087"/>
      <c r="D6087"/>
      <c r="E6087"/>
      <c r="F6087"/>
      <c r="G6087"/>
      <c r="H6087"/>
    </row>
    <row r="6088" spans="3:8" x14ac:dyDescent="0.3">
      <c r="C6088"/>
      <c r="D6088"/>
      <c r="E6088"/>
      <c r="F6088"/>
      <c r="G6088"/>
      <c r="H6088"/>
    </row>
    <row r="6089" spans="3:8" x14ac:dyDescent="0.3">
      <c r="C6089"/>
      <c r="D6089"/>
      <c r="E6089"/>
      <c r="F6089"/>
      <c r="G6089"/>
      <c r="H6089"/>
    </row>
    <row r="6090" spans="3:8" x14ac:dyDescent="0.3">
      <c r="C6090"/>
      <c r="D6090"/>
      <c r="E6090"/>
      <c r="F6090"/>
      <c r="G6090"/>
      <c r="H6090"/>
    </row>
    <row r="6091" spans="3:8" x14ac:dyDescent="0.3">
      <c r="C6091"/>
      <c r="D6091"/>
      <c r="E6091"/>
      <c r="F6091"/>
      <c r="G6091"/>
      <c r="H6091"/>
    </row>
    <row r="6092" spans="3:8" x14ac:dyDescent="0.3">
      <c r="C6092"/>
      <c r="D6092"/>
      <c r="E6092"/>
      <c r="F6092"/>
      <c r="G6092"/>
      <c r="H6092"/>
    </row>
    <row r="6093" spans="3:8" x14ac:dyDescent="0.3">
      <c r="C6093"/>
      <c r="D6093"/>
      <c r="E6093"/>
      <c r="F6093"/>
      <c r="G6093"/>
      <c r="H6093"/>
    </row>
    <row r="6094" spans="3:8" x14ac:dyDescent="0.3">
      <c r="C6094"/>
      <c r="D6094"/>
      <c r="E6094"/>
      <c r="F6094"/>
      <c r="G6094"/>
      <c r="H6094"/>
    </row>
    <row r="6095" spans="3:8" x14ac:dyDescent="0.3">
      <c r="C6095"/>
      <c r="D6095"/>
      <c r="E6095"/>
      <c r="F6095"/>
      <c r="G6095"/>
      <c r="H6095"/>
    </row>
    <row r="6096" spans="3:8" x14ac:dyDescent="0.3">
      <c r="C6096"/>
      <c r="D6096"/>
      <c r="E6096"/>
      <c r="F6096"/>
      <c r="G6096"/>
      <c r="H6096"/>
    </row>
    <row r="6097" spans="3:8" x14ac:dyDescent="0.3">
      <c r="C6097"/>
      <c r="D6097"/>
      <c r="E6097"/>
      <c r="F6097"/>
      <c r="G6097"/>
      <c r="H6097"/>
    </row>
    <row r="6098" spans="3:8" x14ac:dyDescent="0.3">
      <c r="C6098"/>
      <c r="D6098"/>
      <c r="E6098"/>
      <c r="F6098"/>
      <c r="G6098"/>
      <c r="H6098"/>
    </row>
    <row r="6099" spans="3:8" x14ac:dyDescent="0.3">
      <c r="C6099"/>
      <c r="D6099"/>
      <c r="E6099"/>
      <c r="F6099"/>
      <c r="G6099"/>
      <c r="H6099"/>
    </row>
    <row r="6100" spans="3:8" x14ac:dyDescent="0.3">
      <c r="C6100"/>
      <c r="D6100"/>
      <c r="E6100"/>
      <c r="F6100"/>
      <c r="G6100"/>
      <c r="H6100"/>
    </row>
    <row r="6101" spans="3:8" x14ac:dyDescent="0.3">
      <c r="C6101"/>
      <c r="D6101"/>
      <c r="E6101"/>
      <c r="F6101"/>
      <c r="G6101"/>
      <c r="H6101"/>
    </row>
    <row r="6102" spans="3:8" x14ac:dyDescent="0.3">
      <c r="C6102"/>
      <c r="D6102"/>
      <c r="E6102"/>
      <c r="F6102"/>
      <c r="G6102"/>
      <c r="H6102"/>
    </row>
    <row r="6103" spans="3:8" x14ac:dyDescent="0.3">
      <c r="C6103"/>
      <c r="D6103"/>
      <c r="E6103"/>
      <c r="F6103"/>
      <c r="G6103"/>
      <c r="H6103"/>
    </row>
    <row r="6104" spans="3:8" x14ac:dyDescent="0.3">
      <c r="C6104"/>
      <c r="D6104"/>
      <c r="E6104"/>
      <c r="F6104"/>
      <c r="G6104"/>
      <c r="H6104"/>
    </row>
    <row r="6105" spans="3:8" x14ac:dyDescent="0.3">
      <c r="C6105"/>
      <c r="D6105"/>
      <c r="E6105"/>
      <c r="F6105"/>
      <c r="G6105"/>
      <c r="H6105"/>
    </row>
    <row r="6106" spans="3:8" x14ac:dyDescent="0.3">
      <c r="C6106"/>
      <c r="D6106"/>
      <c r="E6106"/>
      <c r="F6106"/>
      <c r="G6106"/>
      <c r="H6106"/>
    </row>
    <row r="6107" spans="3:8" x14ac:dyDescent="0.3">
      <c r="C6107"/>
      <c r="D6107"/>
      <c r="E6107"/>
      <c r="F6107"/>
      <c r="G6107"/>
      <c r="H6107"/>
    </row>
    <row r="6108" spans="3:8" x14ac:dyDescent="0.3">
      <c r="C6108"/>
      <c r="D6108"/>
      <c r="E6108"/>
      <c r="F6108"/>
      <c r="G6108"/>
      <c r="H6108"/>
    </row>
    <row r="6109" spans="3:8" x14ac:dyDescent="0.3">
      <c r="C6109"/>
      <c r="D6109"/>
      <c r="E6109"/>
      <c r="F6109"/>
      <c r="G6109"/>
      <c r="H6109"/>
    </row>
    <row r="6110" spans="3:8" x14ac:dyDescent="0.3">
      <c r="C6110"/>
      <c r="D6110"/>
      <c r="E6110"/>
      <c r="F6110"/>
      <c r="G6110"/>
      <c r="H6110"/>
    </row>
    <row r="6111" spans="3:8" x14ac:dyDescent="0.3">
      <c r="C6111"/>
      <c r="D6111"/>
      <c r="E6111"/>
      <c r="F6111"/>
      <c r="G6111"/>
      <c r="H6111"/>
    </row>
    <row r="6112" spans="3:8" x14ac:dyDescent="0.3">
      <c r="C6112"/>
      <c r="D6112"/>
      <c r="E6112"/>
      <c r="F6112"/>
      <c r="G6112"/>
      <c r="H6112"/>
    </row>
    <row r="6113" spans="3:8" x14ac:dyDescent="0.3">
      <c r="C6113"/>
      <c r="D6113"/>
      <c r="E6113"/>
      <c r="F6113"/>
      <c r="G6113"/>
      <c r="H6113"/>
    </row>
    <row r="6114" spans="3:8" x14ac:dyDescent="0.3">
      <c r="C6114"/>
      <c r="D6114"/>
      <c r="E6114"/>
      <c r="F6114"/>
      <c r="G6114"/>
      <c r="H6114"/>
    </row>
    <row r="6115" spans="3:8" x14ac:dyDescent="0.3">
      <c r="C6115"/>
      <c r="D6115"/>
      <c r="E6115"/>
      <c r="F6115"/>
      <c r="G6115"/>
      <c r="H6115"/>
    </row>
    <row r="6116" spans="3:8" x14ac:dyDescent="0.3">
      <c r="C6116"/>
      <c r="D6116"/>
      <c r="E6116"/>
      <c r="F6116"/>
      <c r="G6116"/>
      <c r="H6116"/>
    </row>
    <row r="6117" spans="3:8" x14ac:dyDescent="0.3">
      <c r="C6117"/>
      <c r="D6117"/>
      <c r="E6117"/>
      <c r="F6117"/>
      <c r="G6117"/>
      <c r="H6117"/>
    </row>
    <row r="6118" spans="3:8" x14ac:dyDescent="0.3">
      <c r="C6118"/>
      <c r="D6118"/>
      <c r="E6118"/>
      <c r="F6118"/>
      <c r="G6118"/>
      <c r="H6118"/>
    </row>
    <row r="6119" spans="3:8" x14ac:dyDescent="0.3">
      <c r="C6119"/>
      <c r="D6119"/>
      <c r="E6119"/>
      <c r="F6119"/>
      <c r="G6119"/>
      <c r="H6119"/>
    </row>
    <row r="6120" spans="3:8" x14ac:dyDescent="0.3">
      <c r="C6120"/>
      <c r="D6120"/>
      <c r="E6120"/>
      <c r="F6120"/>
      <c r="G6120"/>
      <c r="H6120"/>
    </row>
    <row r="6121" spans="3:8" x14ac:dyDescent="0.3">
      <c r="C6121"/>
      <c r="D6121"/>
      <c r="E6121"/>
      <c r="F6121"/>
      <c r="G6121"/>
      <c r="H6121"/>
    </row>
    <row r="6122" spans="3:8" x14ac:dyDescent="0.3">
      <c r="C6122"/>
      <c r="D6122"/>
      <c r="E6122"/>
      <c r="F6122"/>
      <c r="G6122"/>
      <c r="H6122"/>
    </row>
    <row r="6123" spans="3:8" x14ac:dyDescent="0.3">
      <c r="C6123"/>
      <c r="D6123"/>
      <c r="E6123"/>
      <c r="F6123"/>
      <c r="G6123"/>
      <c r="H6123"/>
    </row>
    <row r="6124" spans="3:8" x14ac:dyDescent="0.3">
      <c r="C6124"/>
      <c r="D6124"/>
      <c r="E6124"/>
      <c r="F6124"/>
      <c r="G6124"/>
      <c r="H6124"/>
    </row>
    <row r="6125" spans="3:8" x14ac:dyDescent="0.3">
      <c r="C6125"/>
      <c r="D6125"/>
      <c r="E6125"/>
      <c r="F6125"/>
      <c r="G6125"/>
      <c r="H6125"/>
    </row>
    <row r="6126" spans="3:8" x14ac:dyDescent="0.3">
      <c r="C6126"/>
      <c r="D6126"/>
      <c r="E6126"/>
      <c r="F6126"/>
      <c r="G6126"/>
      <c r="H6126"/>
    </row>
    <row r="6127" spans="3:8" x14ac:dyDescent="0.3">
      <c r="C6127"/>
      <c r="D6127"/>
      <c r="E6127"/>
      <c r="F6127"/>
      <c r="G6127"/>
      <c r="H6127"/>
    </row>
    <row r="6128" spans="3:8" x14ac:dyDescent="0.3">
      <c r="C6128"/>
      <c r="D6128"/>
      <c r="E6128"/>
      <c r="F6128"/>
      <c r="G6128"/>
      <c r="H6128"/>
    </row>
    <row r="6129" spans="3:8" x14ac:dyDescent="0.3">
      <c r="C6129"/>
      <c r="D6129"/>
      <c r="E6129"/>
      <c r="F6129"/>
      <c r="G6129"/>
      <c r="H6129"/>
    </row>
    <row r="6130" spans="3:8" x14ac:dyDescent="0.3">
      <c r="C6130"/>
      <c r="D6130"/>
      <c r="E6130"/>
      <c r="F6130"/>
      <c r="G6130"/>
      <c r="H6130"/>
    </row>
    <row r="6131" spans="3:8" x14ac:dyDescent="0.3">
      <c r="C6131"/>
      <c r="D6131"/>
      <c r="E6131"/>
      <c r="F6131"/>
      <c r="G6131"/>
      <c r="H6131"/>
    </row>
    <row r="6132" spans="3:8" x14ac:dyDescent="0.3">
      <c r="C6132"/>
      <c r="D6132"/>
      <c r="E6132"/>
      <c r="F6132"/>
      <c r="G6132"/>
      <c r="H6132"/>
    </row>
    <row r="6133" spans="3:8" x14ac:dyDescent="0.3">
      <c r="C6133"/>
      <c r="D6133"/>
      <c r="E6133"/>
      <c r="F6133"/>
      <c r="G6133"/>
      <c r="H6133"/>
    </row>
    <row r="6134" spans="3:8" x14ac:dyDescent="0.3">
      <c r="C6134"/>
      <c r="D6134"/>
      <c r="E6134"/>
      <c r="F6134"/>
      <c r="G6134"/>
      <c r="H6134"/>
    </row>
    <row r="6135" spans="3:8" x14ac:dyDescent="0.3">
      <c r="C6135"/>
      <c r="D6135"/>
      <c r="E6135"/>
      <c r="F6135"/>
      <c r="G6135"/>
      <c r="H6135"/>
    </row>
    <row r="6136" spans="3:8" x14ac:dyDescent="0.3">
      <c r="C6136"/>
      <c r="D6136"/>
      <c r="E6136"/>
      <c r="F6136"/>
      <c r="G6136"/>
      <c r="H6136"/>
    </row>
    <row r="6137" spans="3:8" x14ac:dyDescent="0.3">
      <c r="C6137"/>
      <c r="D6137"/>
      <c r="E6137"/>
      <c r="F6137"/>
      <c r="G6137"/>
      <c r="H6137"/>
    </row>
    <row r="6138" spans="3:8" x14ac:dyDescent="0.3">
      <c r="C6138"/>
      <c r="D6138"/>
      <c r="E6138"/>
      <c r="F6138"/>
      <c r="G6138"/>
      <c r="H6138"/>
    </row>
    <row r="6139" spans="3:8" x14ac:dyDescent="0.3">
      <c r="C6139"/>
      <c r="D6139"/>
      <c r="E6139"/>
      <c r="F6139"/>
      <c r="G6139"/>
      <c r="H6139"/>
    </row>
    <row r="6140" spans="3:8" x14ac:dyDescent="0.3">
      <c r="C6140"/>
      <c r="D6140"/>
      <c r="E6140"/>
      <c r="F6140"/>
      <c r="G6140"/>
      <c r="H6140"/>
    </row>
    <row r="6141" spans="3:8" x14ac:dyDescent="0.3">
      <c r="C6141"/>
      <c r="D6141"/>
      <c r="E6141"/>
      <c r="F6141"/>
      <c r="G6141"/>
      <c r="H6141"/>
    </row>
    <row r="6142" spans="3:8" x14ac:dyDescent="0.3">
      <c r="C6142"/>
      <c r="D6142"/>
      <c r="E6142"/>
      <c r="F6142"/>
      <c r="G6142"/>
      <c r="H6142"/>
    </row>
    <row r="6143" spans="3:8" x14ac:dyDescent="0.3">
      <c r="C6143"/>
      <c r="D6143"/>
      <c r="E6143"/>
      <c r="F6143"/>
      <c r="G6143"/>
      <c r="H6143"/>
    </row>
    <row r="6144" spans="3:8" x14ac:dyDescent="0.3">
      <c r="C6144"/>
      <c r="D6144"/>
      <c r="E6144"/>
      <c r="F6144"/>
      <c r="G6144"/>
      <c r="H6144"/>
    </row>
    <row r="6145" spans="3:8" x14ac:dyDescent="0.3">
      <c r="C6145"/>
      <c r="D6145"/>
      <c r="E6145"/>
      <c r="F6145"/>
      <c r="G6145"/>
      <c r="H6145"/>
    </row>
    <row r="6146" spans="3:8" x14ac:dyDescent="0.3">
      <c r="C6146"/>
      <c r="D6146"/>
      <c r="E6146"/>
      <c r="F6146"/>
      <c r="G6146"/>
      <c r="H6146"/>
    </row>
    <row r="6147" spans="3:8" x14ac:dyDescent="0.3">
      <c r="C6147"/>
      <c r="D6147"/>
      <c r="E6147"/>
      <c r="F6147"/>
      <c r="G6147"/>
      <c r="H6147"/>
    </row>
    <row r="6148" spans="3:8" x14ac:dyDescent="0.3">
      <c r="C6148"/>
      <c r="D6148"/>
      <c r="E6148"/>
      <c r="F6148"/>
      <c r="G6148"/>
      <c r="H6148"/>
    </row>
    <row r="6149" spans="3:8" x14ac:dyDescent="0.3">
      <c r="C6149"/>
      <c r="D6149"/>
      <c r="E6149"/>
      <c r="F6149"/>
      <c r="G6149"/>
      <c r="H6149"/>
    </row>
    <row r="6150" spans="3:8" x14ac:dyDescent="0.3">
      <c r="C6150"/>
      <c r="D6150"/>
      <c r="E6150"/>
      <c r="F6150"/>
      <c r="G6150"/>
      <c r="H6150"/>
    </row>
    <row r="6151" spans="3:8" x14ac:dyDescent="0.3">
      <c r="C6151"/>
      <c r="D6151"/>
      <c r="E6151"/>
      <c r="F6151"/>
      <c r="G6151"/>
      <c r="H6151"/>
    </row>
    <row r="6152" spans="3:8" x14ac:dyDescent="0.3">
      <c r="C6152"/>
      <c r="D6152"/>
      <c r="E6152"/>
      <c r="F6152"/>
      <c r="G6152"/>
      <c r="H6152"/>
    </row>
    <row r="6153" spans="3:8" x14ac:dyDescent="0.3">
      <c r="C6153"/>
      <c r="D6153"/>
      <c r="E6153"/>
      <c r="F6153"/>
      <c r="G6153"/>
      <c r="H6153"/>
    </row>
    <row r="6154" spans="3:8" x14ac:dyDescent="0.3">
      <c r="C6154"/>
      <c r="D6154"/>
      <c r="E6154"/>
      <c r="F6154"/>
      <c r="G6154"/>
      <c r="H6154"/>
    </row>
    <row r="6155" spans="3:8" x14ac:dyDescent="0.3">
      <c r="C6155"/>
      <c r="D6155"/>
      <c r="E6155"/>
      <c r="F6155"/>
      <c r="G6155"/>
      <c r="H6155"/>
    </row>
    <row r="6156" spans="3:8" x14ac:dyDescent="0.3">
      <c r="C6156"/>
      <c r="D6156"/>
      <c r="E6156"/>
      <c r="F6156"/>
      <c r="G6156"/>
      <c r="H6156"/>
    </row>
    <row r="6157" spans="3:8" x14ac:dyDescent="0.3">
      <c r="C6157"/>
      <c r="D6157"/>
      <c r="E6157"/>
      <c r="F6157"/>
      <c r="G6157"/>
      <c r="H6157"/>
    </row>
    <row r="6158" spans="3:8" x14ac:dyDescent="0.3">
      <c r="C6158"/>
      <c r="D6158"/>
      <c r="E6158"/>
      <c r="F6158"/>
      <c r="G6158"/>
      <c r="H6158"/>
    </row>
    <row r="6159" spans="3:8" x14ac:dyDescent="0.3">
      <c r="C6159"/>
      <c r="D6159"/>
      <c r="E6159"/>
      <c r="F6159"/>
      <c r="G6159"/>
      <c r="H6159"/>
    </row>
    <row r="6160" spans="3:8" x14ac:dyDescent="0.3">
      <c r="C6160"/>
      <c r="D6160"/>
      <c r="E6160"/>
      <c r="F6160"/>
      <c r="G6160"/>
      <c r="H6160"/>
    </row>
    <row r="6161" spans="3:8" x14ac:dyDescent="0.3">
      <c r="C6161"/>
      <c r="D6161"/>
      <c r="E6161"/>
      <c r="F6161"/>
      <c r="G6161"/>
      <c r="H6161"/>
    </row>
    <row r="6162" spans="3:8" x14ac:dyDescent="0.3">
      <c r="C6162"/>
      <c r="D6162"/>
      <c r="E6162"/>
      <c r="F6162"/>
      <c r="G6162"/>
      <c r="H6162"/>
    </row>
    <row r="6163" spans="3:8" x14ac:dyDescent="0.3">
      <c r="C6163"/>
      <c r="D6163"/>
      <c r="E6163"/>
      <c r="F6163"/>
      <c r="G6163"/>
      <c r="H6163"/>
    </row>
    <row r="6164" spans="3:8" x14ac:dyDescent="0.3">
      <c r="C6164"/>
      <c r="D6164"/>
      <c r="E6164"/>
      <c r="F6164"/>
      <c r="G6164"/>
      <c r="H6164"/>
    </row>
    <row r="6165" spans="3:8" x14ac:dyDescent="0.3">
      <c r="C6165"/>
      <c r="D6165"/>
      <c r="E6165"/>
      <c r="F6165"/>
      <c r="G6165"/>
      <c r="H6165"/>
    </row>
    <row r="6166" spans="3:8" x14ac:dyDescent="0.3">
      <c r="C6166"/>
      <c r="D6166"/>
      <c r="E6166"/>
      <c r="F6166"/>
      <c r="G6166"/>
      <c r="H6166"/>
    </row>
    <row r="6167" spans="3:8" x14ac:dyDescent="0.3">
      <c r="C6167"/>
      <c r="D6167"/>
      <c r="E6167"/>
      <c r="F6167"/>
      <c r="G6167"/>
      <c r="H6167"/>
    </row>
    <row r="6168" spans="3:8" x14ac:dyDescent="0.3">
      <c r="C6168"/>
      <c r="D6168"/>
      <c r="E6168"/>
      <c r="F6168"/>
      <c r="G6168"/>
      <c r="H6168"/>
    </row>
    <row r="6169" spans="3:8" x14ac:dyDescent="0.3">
      <c r="C6169"/>
      <c r="D6169"/>
      <c r="E6169"/>
      <c r="F6169"/>
      <c r="G6169"/>
      <c r="H6169"/>
    </row>
    <row r="6170" spans="3:8" x14ac:dyDescent="0.3">
      <c r="C6170"/>
      <c r="D6170"/>
      <c r="E6170"/>
      <c r="F6170"/>
      <c r="G6170"/>
      <c r="H6170"/>
    </row>
    <row r="6171" spans="3:8" x14ac:dyDescent="0.3">
      <c r="C6171"/>
      <c r="D6171"/>
      <c r="E6171"/>
      <c r="F6171"/>
      <c r="G6171"/>
      <c r="H6171"/>
    </row>
    <row r="6172" spans="3:8" x14ac:dyDescent="0.3">
      <c r="C6172"/>
      <c r="D6172"/>
      <c r="E6172"/>
      <c r="F6172"/>
      <c r="G6172"/>
      <c r="H6172"/>
    </row>
    <row r="6173" spans="3:8" x14ac:dyDescent="0.3">
      <c r="C6173"/>
      <c r="D6173"/>
      <c r="E6173"/>
      <c r="F6173"/>
      <c r="G6173"/>
      <c r="H6173"/>
    </row>
    <row r="6174" spans="3:8" x14ac:dyDescent="0.3">
      <c r="C6174"/>
      <c r="D6174"/>
      <c r="E6174"/>
      <c r="F6174"/>
      <c r="G6174"/>
      <c r="H6174"/>
    </row>
    <row r="6175" spans="3:8" x14ac:dyDescent="0.3">
      <c r="C6175"/>
      <c r="D6175"/>
      <c r="E6175"/>
      <c r="F6175"/>
      <c r="G6175"/>
      <c r="H6175"/>
    </row>
    <row r="6176" spans="3:8" x14ac:dyDescent="0.3">
      <c r="C6176"/>
      <c r="D6176"/>
      <c r="E6176"/>
      <c r="F6176"/>
      <c r="G6176"/>
      <c r="H6176"/>
    </row>
    <row r="6177" spans="3:8" x14ac:dyDescent="0.3">
      <c r="C6177"/>
      <c r="D6177"/>
      <c r="E6177"/>
      <c r="F6177"/>
      <c r="G6177"/>
      <c r="H6177"/>
    </row>
    <row r="6178" spans="3:8" x14ac:dyDescent="0.3">
      <c r="C6178"/>
      <c r="D6178"/>
      <c r="E6178"/>
      <c r="F6178"/>
      <c r="G6178"/>
      <c r="H6178"/>
    </row>
    <row r="6179" spans="3:8" x14ac:dyDescent="0.3">
      <c r="C6179"/>
      <c r="D6179"/>
      <c r="E6179"/>
      <c r="F6179"/>
      <c r="G6179"/>
      <c r="H6179"/>
    </row>
    <row r="6180" spans="3:8" x14ac:dyDescent="0.3">
      <c r="C6180"/>
      <c r="D6180"/>
      <c r="E6180"/>
      <c r="F6180"/>
      <c r="G6180"/>
      <c r="H6180"/>
    </row>
    <row r="6181" spans="3:8" x14ac:dyDescent="0.3">
      <c r="C6181"/>
      <c r="D6181"/>
      <c r="E6181"/>
      <c r="F6181"/>
      <c r="G6181"/>
      <c r="H6181"/>
    </row>
    <row r="6182" spans="3:8" x14ac:dyDescent="0.3">
      <c r="C6182"/>
      <c r="D6182"/>
      <c r="E6182"/>
      <c r="F6182"/>
      <c r="G6182"/>
      <c r="H6182"/>
    </row>
    <row r="6183" spans="3:8" x14ac:dyDescent="0.3">
      <c r="C6183"/>
      <c r="D6183"/>
      <c r="E6183"/>
      <c r="F6183"/>
      <c r="G6183"/>
      <c r="H6183"/>
    </row>
    <row r="6184" spans="3:8" x14ac:dyDescent="0.3">
      <c r="C6184"/>
      <c r="D6184"/>
      <c r="E6184"/>
      <c r="F6184"/>
      <c r="G6184"/>
      <c r="H6184"/>
    </row>
    <row r="6185" spans="3:8" x14ac:dyDescent="0.3">
      <c r="C6185"/>
      <c r="D6185"/>
      <c r="E6185"/>
      <c r="F6185"/>
      <c r="G6185"/>
      <c r="H6185"/>
    </row>
    <row r="6186" spans="3:8" x14ac:dyDescent="0.3">
      <c r="C6186"/>
      <c r="D6186"/>
      <c r="E6186"/>
      <c r="F6186"/>
      <c r="G6186"/>
      <c r="H6186"/>
    </row>
    <row r="6187" spans="3:8" x14ac:dyDescent="0.3">
      <c r="C6187"/>
      <c r="D6187"/>
      <c r="E6187"/>
      <c r="F6187"/>
      <c r="G6187"/>
      <c r="H6187"/>
    </row>
    <row r="6188" spans="3:8" x14ac:dyDescent="0.3">
      <c r="C6188"/>
      <c r="D6188"/>
      <c r="E6188"/>
      <c r="F6188"/>
      <c r="G6188"/>
      <c r="H6188"/>
    </row>
    <row r="6189" spans="3:8" x14ac:dyDescent="0.3">
      <c r="C6189"/>
      <c r="D6189"/>
      <c r="E6189"/>
      <c r="F6189"/>
      <c r="G6189"/>
      <c r="H6189"/>
    </row>
    <row r="6190" spans="3:8" x14ac:dyDescent="0.3">
      <c r="C6190"/>
      <c r="D6190"/>
      <c r="E6190"/>
      <c r="F6190"/>
      <c r="G6190"/>
      <c r="H6190"/>
    </row>
    <row r="6191" spans="3:8" x14ac:dyDescent="0.3">
      <c r="C6191"/>
      <c r="D6191"/>
      <c r="E6191"/>
      <c r="F6191"/>
      <c r="G6191"/>
      <c r="H6191"/>
    </row>
    <row r="6192" spans="3:8" x14ac:dyDescent="0.3">
      <c r="C6192"/>
      <c r="D6192"/>
      <c r="E6192"/>
      <c r="F6192"/>
      <c r="G6192"/>
      <c r="H6192"/>
    </row>
    <row r="6193" spans="3:8" x14ac:dyDescent="0.3">
      <c r="C6193"/>
      <c r="D6193"/>
      <c r="E6193"/>
      <c r="F6193"/>
      <c r="G6193"/>
      <c r="H6193"/>
    </row>
    <row r="6194" spans="3:8" x14ac:dyDescent="0.3">
      <c r="C6194"/>
      <c r="D6194"/>
      <c r="E6194"/>
      <c r="F6194"/>
      <c r="G6194"/>
      <c r="H6194"/>
    </row>
    <row r="6195" spans="3:8" x14ac:dyDescent="0.3">
      <c r="C6195"/>
      <c r="D6195"/>
      <c r="E6195"/>
      <c r="F6195"/>
      <c r="G6195"/>
      <c r="H6195"/>
    </row>
    <row r="6196" spans="3:8" x14ac:dyDescent="0.3">
      <c r="C6196"/>
      <c r="D6196"/>
      <c r="E6196"/>
      <c r="F6196"/>
      <c r="G6196"/>
      <c r="H6196"/>
    </row>
    <row r="6197" spans="3:8" x14ac:dyDescent="0.3">
      <c r="C6197"/>
      <c r="D6197"/>
      <c r="E6197"/>
      <c r="F6197"/>
      <c r="G6197"/>
      <c r="H6197"/>
    </row>
    <row r="6198" spans="3:8" x14ac:dyDescent="0.3">
      <c r="C6198"/>
      <c r="D6198"/>
      <c r="E6198"/>
      <c r="F6198"/>
      <c r="G6198"/>
      <c r="H6198"/>
    </row>
    <row r="6199" spans="3:8" x14ac:dyDescent="0.3">
      <c r="C6199"/>
      <c r="D6199"/>
      <c r="E6199"/>
      <c r="F6199"/>
      <c r="G6199"/>
      <c r="H6199"/>
    </row>
    <row r="6200" spans="3:8" x14ac:dyDescent="0.3">
      <c r="C6200"/>
      <c r="D6200"/>
      <c r="E6200"/>
      <c r="F6200"/>
      <c r="G6200"/>
      <c r="H6200"/>
    </row>
    <row r="6201" spans="3:8" x14ac:dyDescent="0.3">
      <c r="C6201"/>
      <c r="D6201"/>
      <c r="E6201"/>
      <c r="F6201"/>
      <c r="G6201"/>
      <c r="H6201"/>
    </row>
    <row r="6202" spans="3:8" x14ac:dyDescent="0.3">
      <c r="C6202"/>
      <c r="D6202"/>
      <c r="E6202"/>
      <c r="F6202"/>
      <c r="G6202"/>
      <c r="H6202"/>
    </row>
    <row r="6203" spans="3:8" x14ac:dyDescent="0.3">
      <c r="C6203"/>
      <c r="D6203"/>
      <c r="E6203"/>
      <c r="F6203"/>
      <c r="G6203"/>
      <c r="H6203"/>
    </row>
    <row r="6204" spans="3:8" x14ac:dyDescent="0.3">
      <c r="C6204"/>
      <c r="D6204"/>
      <c r="E6204"/>
      <c r="F6204"/>
      <c r="G6204"/>
      <c r="H6204"/>
    </row>
    <row r="6205" spans="3:8" x14ac:dyDescent="0.3">
      <c r="C6205"/>
      <c r="D6205"/>
      <c r="E6205"/>
      <c r="F6205"/>
      <c r="G6205"/>
      <c r="H6205"/>
    </row>
    <row r="6206" spans="3:8" x14ac:dyDescent="0.3">
      <c r="C6206"/>
      <c r="D6206"/>
      <c r="E6206"/>
      <c r="F6206"/>
      <c r="G6206"/>
      <c r="H6206"/>
    </row>
    <row r="6207" spans="3:8" x14ac:dyDescent="0.3">
      <c r="C6207"/>
      <c r="D6207"/>
      <c r="E6207"/>
      <c r="F6207"/>
      <c r="G6207"/>
      <c r="H6207"/>
    </row>
    <row r="6208" spans="3:8" x14ac:dyDescent="0.3">
      <c r="C6208"/>
      <c r="D6208"/>
      <c r="E6208"/>
      <c r="F6208"/>
      <c r="G6208"/>
      <c r="H6208"/>
    </row>
    <row r="6209" spans="3:8" x14ac:dyDescent="0.3">
      <c r="C6209"/>
      <c r="D6209"/>
      <c r="E6209"/>
      <c r="F6209"/>
      <c r="G6209"/>
      <c r="H6209"/>
    </row>
    <row r="6210" spans="3:8" x14ac:dyDescent="0.3">
      <c r="C6210"/>
      <c r="D6210"/>
      <c r="E6210"/>
      <c r="F6210"/>
      <c r="G6210"/>
      <c r="H6210"/>
    </row>
    <row r="6211" spans="3:8" x14ac:dyDescent="0.3">
      <c r="C6211"/>
      <c r="D6211"/>
      <c r="E6211"/>
      <c r="F6211"/>
      <c r="G6211"/>
      <c r="H6211"/>
    </row>
    <row r="6212" spans="3:8" x14ac:dyDescent="0.3">
      <c r="C6212"/>
      <c r="D6212"/>
      <c r="E6212"/>
      <c r="F6212"/>
      <c r="G6212"/>
      <c r="H6212"/>
    </row>
    <row r="6213" spans="3:8" x14ac:dyDescent="0.3">
      <c r="C6213"/>
      <c r="D6213"/>
      <c r="E6213"/>
      <c r="F6213"/>
      <c r="G6213"/>
      <c r="H6213"/>
    </row>
    <row r="6214" spans="3:8" x14ac:dyDescent="0.3">
      <c r="C6214"/>
      <c r="D6214"/>
      <c r="E6214"/>
      <c r="F6214"/>
      <c r="G6214"/>
      <c r="H6214"/>
    </row>
    <row r="6215" spans="3:8" x14ac:dyDescent="0.3">
      <c r="C6215"/>
      <c r="D6215"/>
      <c r="E6215"/>
      <c r="F6215"/>
      <c r="G6215"/>
      <c r="H6215"/>
    </row>
    <row r="6216" spans="3:8" x14ac:dyDescent="0.3">
      <c r="C6216"/>
      <c r="D6216"/>
      <c r="E6216"/>
      <c r="F6216"/>
      <c r="G6216"/>
      <c r="H6216"/>
    </row>
    <row r="6217" spans="3:8" x14ac:dyDescent="0.3">
      <c r="C6217"/>
      <c r="D6217"/>
      <c r="E6217"/>
      <c r="F6217"/>
      <c r="G6217"/>
      <c r="H6217"/>
    </row>
    <row r="6218" spans="3:8" x14ac:dyDescent="0.3">
      <c r="C6218"/>
      <c r="D6218"/>
      <c r="E6218"/>
      <c r="F6218"/>
      <c r="G6218"/>
      <c r="H6218"/>
    </row>
    <row r="6219" spans="3:8" x14ac:dyDescent="0.3">
      <c r="C6219"/>
      <c r="D6219"/>
      <c r="E6219"/>
      <c r="F6219"/>
      <c r="G6219"/>
      <c r="H6219"/>
    </row>
    <row r="6220" spans="3:8" x14ac:dyDescent="0.3">
      <c r="C6220"/>
      <c r="D6220"/>
      <c r="E6220"/>
      <c r="F6220"/>
      <c r="G6220"/>
      <c r="H6220"/>
    </row>
    <row r="6221" spans="3:8" x14ac:dyDescent="0.3">
      <c r="C6221"/>
      <c r="D6221"/>
      <c r="E6221"/>
      <c r="F6221"/>
      <c r="G6221"/>
      <c r="H6221"/>
    </row>
    <row r="6222" spans="3:8" x14ac:dyDescent="0.3">
      <c r="C6222"/>
      <c r="D6222"/>
      <c r="E6222"/>
      <c r="F6222"/>
      <c r="G6222"/>
      <c r="H6222"/>
    </row>
    <row r="6223" spans="3:8" x14ac:dyDescent="0.3">
      <c r="C6223"/>
      <c r="D6223"/>
      <c r="E6223"/>
      <c r="F6223"/>
      <c r="G6223"/>
      <c r="H6223"/>
    </row>
    <row r="6224" spans="3:8" x14ac:dyDescent="0.3">
      <c r="C6224"/>
      <c r="D6224"/>
      <c r="E6224"/>
      <c r="F6224"/>
      <c r="G6224"/>
      <c r="H6224"/>
    </row>
    <row r="6225" spans="3:8" x14ac:dyDescent="0.3">
      <c r="C6225"/>
      <c r="D6225"/>
      <c r="E6225"/>
      <c r="F6225"/>
      <c r="G6225"/>
      <c r="H6225"/>
    </row>
    <row r="6226" spans="3:8" x14ac:dyDescent="0.3">
      <c r="C6226"/>
      <c r="D6226"/>
      <c r="E6226"/>
      <c r="F6226"/>
      <c r="G6226"/>
      <c r="H6226"/>
    </row>
    <row r="6227" spans="3:8" x14ac:dyDescent="0.3">
      <c r="C6227"/>
      <c r="D6227"/>
      <c r="E6227"/>
      <c r="F6227"/>
      <c r="G6227"/>
      <c r="H6227"/>
    </row>
    <row r="6228" spans="3:8" x14ac:dyDescent="0.3">
      <c r="C6228"/>
      <c r="D6228"/>
      <c r="E6228"/>
      <c r="F6228"/>
      <c r="G6228"/>
      <c r="H6228"/>
    </row>
    <row r="6229" spans="3:8" x14ac:dyDescent="0.3">
      <c r="C6229"/>
      <c r="D6229"/>
      <c r="E6229"/>
      <c r="F6229"/>
      <c r="G6229"/>
      <c r="H6229"/>
    </row>
    <row r="6230" spans="3:8" x14ac:dyDescent="0.3">
      <c r="C6230"/>
      <c r="D6230"/>
      <c r="E6230"/>
      <c r="F6230"/>
      <c r="G6230"/>
      <c r="H6230"/>
    </row>
    <row r="6231" spans="3:8" x14ac:dyDescent="0.3">
      <c r="C6231"/>
      <c r="D6231"/>
      <c r="E6231"/>
      <c r="F6231"/>
      <c r="G6231"/>
      <c r="H6231"/>
    </row>
    <row r="6232" spans="3:8" x14ac:dyDescent="0.3">
      <c r="C6232"/>
      <c r="D6232"/>
      <c r="E6232"/>
      <c r="F6232"/>
      <c r="G6232"/>
      <c r="H6232"/>
    </row>
    <row r="6233" spans="3:8" x14ac:dyDescent="0.3">
      <c r="C6233"/>
      <c r="D6233"/>
      <c r="E6233"/>
      <c r="F6233"/>
      <c r="G6233"/>
      <c r="H6233"/>
    </row>
    <row r="6234" spans="3:8" x14ac:dyDescent="0.3">
      <c r="C6234"/>
      <c r="D6234"/>
      <c r="E6234"/>
      <c r="F6234"/>
      <c r="G6234"/>
      <c r="H6234"/>
    </row>
    <row r="6235" spans="3:8" x14ac:dyDescent="0.3">
      <c r="C6235"/>
      <c r="D6235"/>
      <c r="E6235"/>
      <c r="F6235"/>
      <c r="G6235"/>
      <c r="H6235"/>
    </row>
    <row r="6236" spans="3:8" x14ac:dyDescent="0.3">
      <c r="C6236"/>
      <c r="D6236"/>
      <c r="E6236"/>
      <c r="F6236"/>
      <c r="G6236"/>
      <c r="H6236"/>
    </row>
    <row r="6237" spans="3:8" x14ac:dyDescent="0.3">
      <c r="C6237"/>
      <c r="D6237"/>
      <c r="E6237"/>
      <c r="F6237"/>
      <c r="G6237"/>
      <c r="H6237"/>
    </row>
    <row r="6238" spans="3:8" x14ac:dyDescent="0.3">
      <c r="C6238"/>
      <c r="D6238"/>
      <c r="E6238"/>
      <c r="F6238"/>
      <c r="G6238"/>
      <c r="H6238"/>
    </row>
    <row r="6239" spans="3:8" x14ac:dyDescent="0.3">
      <c r="C6239"/>
      <c r="D6239"/>
      <c r="E6239"/>
      <c r="F6239"/>
      <c r="G6239"/>
      <c r="H6239"/>
    </row>
    <row r="6240" spans="3:8" x14ac:dyDescent="0.3">
      <c r="C6240"/>
      <c r="D6240"/>
      <c r="E6240"/>
      <c r="F6240"/>
      <c r="G6240"/>
      <c r="H6240"/>
    </row>
    <row r="6241" spans="3:8" x14ac:dyDescent="0.3">
      <c r="C6241"/>
      <c r="D6241"/>
      <c r="E6241"/>
      <c r="F6241"/>
      <c r="G6241"/>
      <c r="H6241"/>
    </row>
    <row r="6242" spans="3:8" x14ac:dyDescent="0.3">
      <c r="C6242"/>
      <c r="D6242"/>
      <c r="E6242"/>
      <c r="F6242"/>
      <c r="G6242"/>
      <c r="H6242"/>
    </row>
    <row r="6243" spans="3:8" x14ac:dyDescent="0.3">
      <c r="C6243"/>
      <c r="D6243"/>
      <c r="E6243"/>
      <c r="F6243"/>
      <c r="G6243"/>
      <c r="H6243"/>
    </row>
    <row r="6244" spans="3:8" x14ac:dyDescent="0.3">
      <c r="C6244"/>
      <c r="D6244"/>
      <c r="E6244"/>
      <c r="F6244"/>
      <c r="G6244"/>
      <c r="H6244"/>
    </row>
    <row r="6245" spans="3:8" x14ac:dyDescent="0.3">
      <c r="C6245"/>
      <c r="D6245"/>
      <c r="E6245"/>
      <c r="F6245"/>
      <c r="G6245"/>
      <c r="H6245"/>
    </row>
    <row r="6246" spans="3:8" x14ac:dyDescent="0.3">
      <c r="C6246"/>
      <c r="D6246"/>
      <c r="E6246"/>
      <c r="F6246"/>
      <c r="G6246"/>
      <c r="H6246"/>
    </row>
    <row r="6247" spans="3:8" x14ac:dyDescent="0.3">
      <c r="C6247"/>
      <c r="D6247"/>
      <c r="E6247"/>
      <c r="F6247"/>
      <c r="G6247"/>
      <c r="H6247"/>
    </row>
    <row r="6248" spans="3:8" x14ac:dyDescent="0.3">
      <c r="C6248"/>
      <c r="D6248"/>
      <c r="E6248"/>
      <c r="F6248"/>
      <c r="G6248"/>
      <c r="H6248"/>
    </row>
    <row r="6249" spans="3:8" x14ac:dyDescent="0.3">
      <c r="C6249"/>
      <c r="D6249"/>
      <c r="E6249"/>
      <c r="F6249"/>
      <c r="G6249"/>
      <c r="H6249"/>
    </row>
    <row r="6250" spans="3:8" x14ac:dyDescent="0.3">
      <c r="C6250"/>
      <c r="D6250"/>
      <c r="E6250"/>
      <c r="F6250"/>
      <c r="G6250"/>
      <c r="H6250"/>
    </row>
    <row r="6251" spans="3:8" x14ac:dyDescent="0.3">
      <c r="C6251"/>
      <c r="D6251"/>
      <c r="E6251"/>
      <c r="F6251"/>
      <c r="G6251"/>
      <c r="H6251"/>
    </row>
    <row r="6252" spans="3:8" x14ac:dyDescent="0.3">
      <c r="C6252"/>
      <c r="D6252"/>
      <c r="E6252"/>
      <c r="F6252"/>
      <c r="G6252"/>
      <c r="H6252"/>
    </row>
    <row r="6253" spans="3:8" x14ac:dyDescent="0.3">
      <c r="C6253"/>
      <c r="D6253"/>
      <c r="E6253"/>
      <c r="F6253"/>
      <c r="G6253"/>
      <c r="H6253"/>
    </row>
    <row r="6254" spans="3:8" x14ac:dyDescent="0.3">
      <c r="C6254"/>
      <c r="D6254"/>
      <c r="E6254"/>
      <c r="F6254"/>
      <c r="G6254"/>
      <c r="H6254"/>
    </row>
    <row r="6255" spans="3:8" x14ac:dyDescent="0.3">
      <c r="C6255"/>
      <c r="D6255"/>
      <c r="E6255"/>
      <c r="F6255"/>
      <c r="G6255"/>
      <c r="H6255"/>
    </row>
    <row r="6256" spans="3:8" x14ac:dyDescent="0.3">
      <c r="C6256"/>
      <c r="D6256"/>
      <c r="E6256"/>
      <c r="F6256"/>
      <c r="G6256"/>
      <c r="H6256"/>
    </row>
    <row r="6257" spans="3:8" x14ac:dyDescent="0.3">
      <c r="C6257"/>
      <c r="D6257"/>
      <c r="E6257"/>
      <c r="F6257"/>
      <c r="G6257"/>
      <c r="H6257"/>
    </row>
    <row r="6258" spans="3:8" x14ac:dyDescent="0.3">
      <c r="C6258"/>
      <c r="D6258"/>
      <c r="E6258"/>
      <c r="F6258"/>
      <c r="G6258"/>
      <c r="H6258"/>
    </row>
    <row r="6259" spans="3:8" x14ac:dyDescent="0.3">
      <c r="C6259"/>
      <c r="D6259"/>
      <c r="E6259"/>
      <c r="F6259"/>
      <c r="G6259"/>
      <c r="H6259"/>
    </row>
    <row r="6260" spans="3:8" x14ac:dyDescent="0.3">
      <c r="C6260"/>
      <c r="D6260"/>
      <c r="E6260"/>
      <c r="F6260"/>
      <c r="G6260"/>
      <c r="H6260"/>
    </row>
    <row r="6261" spans="3:8" x14ac:dyDescent="0.3">
      <c r="C6261"/>
      <c r="D6261"/>
      <c r="E6261"/>
      <c r="F6261"/>
      <c r="G6261"/>
      <c r="H6261"/>
    </row>
    <row r="6262" spans="3:8" x14ac:dyDescent="0.3">
      <c r="C6262"/>
      <c r="D6262"/>
      <c r="E6262"/>
      <c r="F6262"/>
      <c r="G6262"/>
      <c r="H6262"/>
    </row>
    <row r="6263" spans="3:8" x14ac:dyDescent="0.3">
      <c r="C6263"/>
      <c r="D6263"/>
      <c r="E6263"/>
      <c r="F6263"/>
      <c r="G6263"/>
      <c r="H6263"/>
    </row>
    <row r="6264" spans="3:8" x14ac:dyDescent="0.3">
      <c r="C6264"/>
      <c r="D6264"/>
      <c r="E6264"/>
      <c r="F6264"/>
      <c r="G6264"/>
      <c r="H6264"/>
    </row>
    <row r="6265" spans="3:8" x14ac:dyDescent="0.3">
      <c r="C6265"/>
      <c r="D6265"/>
      <c r="E6265"/>
      <c r="F6265"/>
      <c r="G6265"/>
      <c r="H6265"/>
    </row>
    <row r="6266" spans="3:8" x14ac:dyDescent="0.3">
      <c r="C6266"/>
      <c r="D6266"/>
      <c r="E6266"/>
      <c r="F6266"/>
      <c r="G6266"/>
      <c r="H6266"/>
    </row>
    <row r="6267" spans="3:8" x14ac:dyDescent="0.3">
      <c r="C6267"/>
      <c r="D6267"/>
      <c r="E6267"/>
      <c r="F6267"/>
      <c r="G6267"/>
      <c r="H6267"/>
    </row>
    <row r="6268" spans="3:8" x14ac:dyDescent="0.3">
      <c r="C6268"/>
      <c r="D6268"/>
      <c r="E6268"/>
      <c r="F6268"/>
      <c r="G6268"/>
      <c r="H6268"/>
    </row>
    <row r="6269" spans="3:8" x14ac:dyDescent="0.3">
      <c r="C6269"/>
      <c r="D6269"/>
      <c r="E6269"/>
      <c r="F6269"/>
      <c r="G6269"/>
      <c r="H6269"/>
    </row>
    <row r="6270" spans="3:8" x14ac:dyDescent="0.3">
      <c r="C6270"/>
      <c r="D6270"/>
      <c r="E6270"/>
      <c r="F6270"/>
      <c r="G6270"/>
      <c r="H6270"/>
    </row>
    <row r="6271" spans="3:8" x14ac:dyDescent="0.3">
      <c r="C6271"/>
      <c r="D6271"/>
      <c r="E6271"/>
      <c r="F6271"/>
      <c r="G6271"/>
      <c r="H6271"/>
    </row>
    <row r="6272" spans="3:8" x14ac:dyDescent="0.3">
      <c r="C6272"/>
      <c r="D6272"/>
      <c r="E6272"/>
      <c r="F6272"/>
      <c r="G6272"/>
      <c r="H6272"/>
    </row>
    <row r="6273" spans="3:8" x14ac:dyDescent="0.3">
      <c r="C6273"/>
      <c r="D6273"/>
      <c r="E6273"/>
      <c r="F6273"/>
      <c r="G6273"/>
      <c r="H6273"/>
    </row>
    <row r="6274" spans="3:8" x14ac:dyDescent="0.3">
      <c r="C6274"/>
      <c r="D6274"/>
      <c r="E6274"/>
      <c r="F6274"/>
      <c r="G6274"/>
      <c r="H6274"/>
    </row>
    <row r="6275" spans="3:8" x14ac:dyDescent="0.3">
      <c r="C6275"/>
      <c r="D6275"/>
      <c r="E6275"/>
      <c r="F6275"/>
      <c r="G6275"/>
      <c r="H6275"/>
    </row>
    <row r="6276" spans="3:8" x14ac:dyDescent="0.3">
      <c r="C6276"/>
      <c r="D6276"/>
      <c r="E6276"/>
      <c r="F6276"/>
      <c r="G6276"/>
      <c r="H6276"/>
    </row>
    <row r="6277" spans="3:8" x14ac:dyDescent="0.3">
      <c r="C6277"/>
      <c r="D6277"/>
      <c r="E6277"/>
      <c r="F6277"/>
      <c r="G6277"/>
      <c r="H6277"/>
    </row>
    <row r="6278" spans="3:8" x14ac:dyDescent="0.3">
      <c r="C6278"/>
      <c r="D6278"/>
      <c r="E6278"/>
      <c r="F6278"/>
      <c r="G6278"/>
      <c r="H6278"/>
    </row>
    <row r="6279" spans="3:8" x14ac:dyDescent="0.3">
      <c r="C6279"/>
      <c r="D6279"/>
      <c r="E6279"/>
      <c r="F6279"/>
      <c r="G6279"/>
      <c r="H6279"/>
    </row>
    <row r="6280" spans="3:8" x14ac:dyDescent="0.3">
      <c r="C6280"/>
      <c r="D6280"/>
      <c r="E6280"/>
      <c r="F6280"/>
      <c r="G6280"/>
      <c r="H6280"/>
    </row>
    <row r="6281" spans="3:8" x14ac:dyDescent="0.3">
      <c r="C6281"/>
      <c r="D6281"/>
      <c r="E6281"/>
      <c r="F6281"/>
      <c r="G6281"/>
      <c r="H6281"/>
    </row>
    <row r="6282" spans="3:8" x14ac:dyDescent="0.3">
      <c r="C6282"/>
      <c r="D6282"/>
      <c r="E6282"/>
      <c r="F6282"/>
      <c r="G6282"/>
      <c r="H6282"/>
    </row>
    <row r="6283" spans="3:8" x14ac:dyDescent="0.3">
      <c r="C6283"/>
      <c r="D6283"/>
      <c r="E6283"/>
      <c r="F6283"/>
      <c r="G6283"/>
      <c r="H6283"/>
    </row>
    <row r="6284" spans="3:8" x14ac:dyDescent="0.3">
      <c r="C6284"/>
      <c r="D6284"/>
      <c r="E6284"/>
      <c r="F6284"/>
      <c r="G6284"/>
      <c r="H6284"/>
    </row>
    <row r="6285" spans="3:8" x14ac:dyDescent="0.3">
      <c r="C6285"/>
      <c r="D6285"/>
      <c r="E6285"/>
      <c r="F6285"/>
      <c r="G6285"/>
      <c r="H6285"/>
    </row>
    <row r="6286" spans="3:8" x14ac:dyDescent="0.3">
      <c r="C6286"/>
      <c r="D6286"/>
      <c r="E6286"/>
      <c r="F6286"/>
      <c r="G6286"/>
      <c r="H6286"/>
    </row>
    <row r="6287" spans="3:8" x14ac:dyDescent="0.3">
      <c r="C6287"/>
      <c r="D6287"/>
      <c r="E6287"/>
      <c r="F6287"/>
      <c r="G6287"/>
      <c r="H6287"/>
    </row>
    <row r="6288" spans="3:8" x14ac:dyDescent="0.3">
      <c r="C6288"/>
      <c r="D6288"/>
      <c r="E6288"/>
      <c r="F6288"/>
      <c r="G6288"/>
      <c r="H6288"/>
    </row>
    <row r="6289" spans="3:8" x14ac:dyDescent="0.3">
      <c r="C6289"/>
      <c r="D6289"/>
      <c r="E6289"/>
      <c r="F6289"/>
      <c r="G6289"/>
      <c r="H6289"/>
    </row>
    <row r="6290" spans="3:8" x14ac:dyDescent="0.3">
      <c r="C6290"/>
      <c r="D6290"/>
      <c r="E6290"/>
      <c r="F6290"/>
      <c r="G6290"/>
      <c r="H6290"/>
    </row>
    <row r="6291" spans="3:8" x14ac:dyDescent="0.3">
      <c r="C6291"/>
      <c r="D6291"/>
      <c r="E6291"/>
      <c r="F6291"/>
      <c r="G6291"/>
      <c r="H6291"/>
    </row>
    <row r="6292" spans="3:8" x14ac:dyDescent="0.3">
      <c r="C6292"/>
      <c r="D6292"/>
      <c r="E6292"/>
      <c r="F6292"/>
      <c r="G6292"/>
      <c r="H6292"/>
    </row>
    <row r="6293" spans="3:8" x14ac:dyDescent="0.3">
      <c r="C6293"/>
      <c r="D6293"/>
      <c r="E6293"/>
      <c r="F6293"/>
      <c r="G6293"/>
      <c r="H6293"/>
    </row>
    <row r="6294" spans="3:8" x14ac:dyDescent="0.3">
      <c r="C6294"/>
      <c r="D6294"/>
      <c r="E6294"/>
      <c r="F6294"/>
      <c r="G6294"/>
      <c r="H6294"/>
    </row>
    <row r="6295" spans="3:8" x14ac:dyDescent="0.3">
      <c r="C6295"/>
      <c r="D6295"/>
      <c r="E6295"/>
      <c r="F6295"/>
      <c r="G6295"/>
      <c r="H6295"/>
    </row>
    <row r="6296" spans="3:8" x14ac:dyDescent="0.3">
      <c r="C6296"/>
      <c r="D6296"/>
      <c r="E6296"/>
      <c r="F6296"/>
      <c r="G6296"/>
      <c r="H6296"/>
    </row>
    <row r="6297" spans="3:8" x14ac:dyDescent="0.3">
      <c r="C6297"/>
      <c r="D6297"/>
      <c r="E6297"/>
      <c r="F6297"/>
      <c r="G6297"/>
      <c r="H6297"/>
    </row>
    <row r="6298" spans="3:8" x14ac:dyDescent="0.3">
      <c r="C6298"/>
      <c r="D6298"/>
      <c r="E6298"/>
      <c r="F6298"/>
      <c r="G6298"/>
      <c r="H6298"/>
    </row>
    <row r="6299" spans="3:8" x14ac:dyDescent="0.3">
      <c r="C6299"/>
      <c r="D6299"/>
      <c r="E6299"/>
      <c r="F6299"/>
      <c r="G6299"/>
      <c r="H6299"/>
    </row>
    <row r="6300" spans="3:8" x14ac:dyDescent="0.3">
      <c r="C6300"/>
      <c r="D6300"/>
      <c r="E6300"/>
      <c r="F6300"/>
      <c r="G6300"/>
      <c r="H6300"/>
    </row>
    <row r="6301" spans="3:8" x14ac:dyDescent="0.3">
      <c r="C6301"/>
      <c r="D6301"/>
      <c r="E6301"/>
      <c r="F6301"/>
      <c r="G6301"/>
      <c r="H6301"/>
    </row>
    <row r="6302" spans="3:8" x14ac:dyDescent="0.3">
      <c r="C6302"/>
      <c r="D6302"/>
      <c r="E6302"/>
      <c r="F6302"/>
      <c r="G6302"/>
      <c r="H6302"/>
    </row>
    <row r="6303" spans="3:8" x14ac:dyDescent="0.3">
      <c r="C6303"/>
      <c r="D6303"/>
      <c r="E6303"/>
      <c r="F6303"/>
      <c r="G6303"/>
      <c r="H6303"/>
    </row>
    <row r="6304" spans="3:8" x14ac:dyDescent="0.3">
      <c r="C6304"/>
      <c r="D6304"/>
      <c r="E6304"/>
      <c r="F6304"/>
      <c r="G6304"/>
      <c r="H6304"/>
    </row>
    <row r="6305" spans="3:8" x14ac:dyDescent="0.3">
      <c r="C6305"/>
      <c r="D6305"/>
      <c r="E6305"/>
      <c r="F6305"/>
      <c r="G6305"/>
      <c r="H6305"/>
    </row>
    <row r="6306" spans="3:8" x14ac:dyDescent="0.3">
      <c r="C6306"/>
      <c r="D6306"/>
      <c r="E6306"/>
      <c r="F6306"/>
      <c r="G6306"/>
      <c r="H6306"/>
    </row>
    <row r="6307" spans="3:8" x14ac:dyDescent="0.3">
      <c r="C6307"/>
      <c r="D6307"/>
      <c r="E6307"/>
      <c r="F6307"/>
      <c r="G6307"/>
      <c r="H6307"/>
    </row>
    <row r="6308" spans="3:8" x14ac:dyDescent="0.3">
      <c r="C6308"/>
      <c r="D6308"/>
      <c r="E6308"/>
      <c r="F6308"/>
      <c r="G6308"/>
      <c r="H6308"/>
    </row>
    <row r="6309" spans="3:8" x14ac:dyDescent="0.3">
      <c r="C6309"/>
      <c r="D6309"/>
      <c r="E6309"/>
      <c r="F6309"/>
      <c r="G6309"/>
      <c r="H6309"/>
    </row>
    <row r="6310" spans="3:8" x14ac:dyDescent="0.3">
      <c r="C6310"/>
      <c r="D6310"/>
      <c r="E6310"/>
      <c r="F6310"/>
      <c r="G6310"/>
      <c r="H6310"/>
    </row>
    <row r="6311" spans="3:8" x14ac:dyDescent="0.3">
      <c r="C6311"/>
      <c r="D6311"/>
      <c r="E6311"/>
      <c r="F6311"/>
      <c r="G6311"/>
      <c r="H6311"/>
    </row>
    <row r="6312" spans="3:8" x14ac:dyDescent="0.3">
      <c r="C6312"/>
      <c r="D6312"/>
      <c r="E6312"/>
      <c r="F6312"/>
      <c r="G6312"/>
      <c r="H6312"/>
    </row>
    <row r="6313" spans="3:8" x14ac:dyDescent="0.3">
      <c r="C6313"/>
      <c r="D6313"/>
      <c r="E6313"/>
      <c r="F6313"/>
      <c r="G6313"/>
      <c r="H6313"/>
    </row>
    <row r="6314" spans="3:8" x14ac:dyDescent="0.3">
      <c r="C6314"/>
      <c r="D6314"/>
      <c r="E6314"/>
      <c r="F6314"/>
      <c r="G6314"/>
      <c r="H6314"/>
    </row>
    <row r="6315" spans="3:8" x14ac:dyDescent="0.3">
      <c r="C6315"/>
      <c r="D6315"/>
      <c r="E6315"/>
      <c r="F6315"/>
      <c r="G6315"/>
      <c r="H6315"/>
    </row>
    <row r="6316" spans="3:8" x14ac:dyDescent="0.3">
      <c r="C6316"/>
      <c r="D6316"/>
      <c r="E6316"/>
      <c r="F6316"/>
      <c r="G6316"/>
      <c r="H6316"/>
    </row>
    <row r="6317" spans="3:8" x14ac:dyDescent="0.3">
      <c r="C6317"/>
      <c r="D6317"/>
      <c r="E6317"/>
      <c r="F6317"/>
      <c r="G6317"/>
      <c r="H6317"/>
    </row>
    <row r="6318" spans="3:8" x14ac:dyDescent="0.3">
      <c r="C6318"/>
      <c r="D6318"/>
      <c r="E6318"/>
      <c r="F6318"/>
      <c r="G6318"/>
      <c r="H6318"/>
    </row>
    <row r="6319" spans="3:8" x14ac:dyDescent="0.3">
      <c r="C6319"/>
      <c r="D6319"/>
      <c r="E6319"/>
      <c r="F6319"/>
      <c r="G6319"/>
      <c r="H6319"/>
    </row>
    <row r="6320" spans="3:8" x14ac:dyDescent="0.3">
      <c r="C6320"/>
      <c r="D6320"/>
      <c r="E6320"/>
      <c r="F6320"/>
      <c r="G6320"/>
      <c r="H6320"/>
    </row>
    <row r="6321" spans="3:8" x14ac:dyDescent="0.3">
      <c r="C6321"/>
      <c r="D6321"/>
      <c r="E6321"/>
      <c r="F6321"/>
      <c r="G6321"/>
      <c r="H6321"/>
    </row>
    <row r="6322" spans="3:8" x14ac:dyDescent="0.3">
      <c r="C6322"/>
      <c r="D6322"/>
      <c r="E6322"/>
      <c r="F6322"/>
      <c r="G6322"/>
      <c r="H6322"/>
    </row>
    <row r="6323" spans="3:8" x14ac:dyDescent="0.3">
      <c r="C6323"/>
      <c r="D6323"/>
      <c r="E6323"/>
      <c r="F6323"/>
      <c r="G6323"/>
      <c r="H6323"/>
    </row>
    <row r="6324" spans="3:8" x14ac:dyDescent="0.3">
      <c r="C6324"/>
      <c r="D6324"/>
      <c r="E6324"/>
      <c r="F6324"/>
      <c r="G6324"/>
      <c r="H6324"/>
    </row>
    <row r="6325" spans="3:8" x14ac:dyDescent="0.3">
      <c r="C6325"/>
      <c r="D6325"/>
      <c r="E6325"/>
      <c r="F6325"/>
      <c r="G6325"/>
      <c r="H6325"/>
    </row>
    <row r="6326" spans="3:8" x14ac:dyDescent="0.3">
      <c r="C6326"/>
      <c r="D6326"/>
      <c r="E6326"/>
      <c r="F6326"/>
      <c r="G6326"/>
      <c r="H6326"/>
    </row>
    <row r="6327" spans="3:8" x14ac:dyDescent="0.3">
      <c r="C6327"/>
      <c r="D6327"/>
      <c r="E6327"/>
      <c r="F6327"/>
      <c r="G6327"/>
      <c r="H6327"/>
    </row>
    <row r="6328" spans="3:8" x14ac:dyDescent="0.3">
      <c r="C6328"/>
      <c r="D6328"/>
      <c r="E6328"/>
      <c r="F6328"/>
      <c r="G6328"/>
      <c r="H6328"/>
    </row>
    <row r="6329" spans="3:8" x14ac:dyDescent="0.3">
      <c r="C6329"/>
      <c r="D6329"/>
      <c r="E6329"/>
      <c r="F6329"/>
      <c r="G6329"/>
      <c r="H6329"/>
    </row>
    <row r="6330" spans="3:8" x14ac:dyDescent="0.3">
      <c r="C6330"/>
      <c r="D6330"/>
      <c r="E6330"/>
      <c r="F6330"/>
      <c r="G6330"/>
      <c r="H6330"/>
    </row>
    <row r="6331" spans="3:8" x14ac:dyDescent="0.3">
      <c r="C6331"/>
      <c r="D6331"/>
      <c r="E6331"/>
      <c r="F6331"/>
      <c r="G6331"/>
      <c r="H6331"/>
    </row>
    <row r="6332" spans="3:8" x14ac:dyDescent="0.3">
      <c r="C6332"/>
      <c r="D6332"/>
      <c r="E6332"/>
      <c r="F6332"/>
      <c r="G6332"/>
      <c r="H6332"/>
    </row>
    <row r="6333" spans="3:8" x14ac:dyDescent="0.3">
      <c r="C6333"/>
      <c r="D6333"/>
      <c r="E6333"/>
      <c r="F6333"/>
      <c r="G6333"/>
      <c r="H6333"/>
    </row>
    <row r="6334" spans="3:8" x14ac:dyDescent="0.3">
      <c r="C6334"/>
      <c r="D6334"/>
      <c r="E6334"/>
      <c r="F6334"/>
      <c r="G6334"/>
      <c r="H6334"/>
    </row>
    <row r="6335" spans="3:8" x14ac:dyDescent="0.3">
      <c r="C6335"/>
      <c r="D6335"/>
      <c r="E6335"/>
      <c r="F6335"/>
      <c r="G6335"/>
      <c r="H6335"/>
    </row>
    <row r="6336" spans="3:8" x14ac:dyDescent="0.3">
      <c r="C6336"/>
      <c r="D6336"/>
      <c r="E6336"/>
      <c r="F6336"/>
      <c r="G6336"/>
      <c r="H6336"/>
    </row>
    <row r="6337" spans="3:8" x14ac:dyDescent="0.3">
      <c r="C6337"/>
      <c r="D6337"/>
      <c r="E6337"/>
      <c r="F6337"/>
      <c r="G6337"/>
      <c r="H6337"/>
    </row>
    <row r="6338" spans="3:8" x14ac:dyDescent="0.3">
      <c r="C6338"/>
      <c r="D6338"/>
      <c r="E6338"/>
      <c r="F6338"/>
      <c r="G6338"/>
      <c r="H6338"/>
    </row>
    <row r="6339" spans="3:8" x14ac:dyDescent="0.3">
      <c r="C6339"/>
      <c r="D6339"/>
      <c r="E6339"/>
      <c r="F6339"/>
      <c r="G6339"/>
      <c r="H6339"/>
    </row>
    <row r="6340" spans="3:8" x14ac:dyDescent="0.3">
      <c r="C6340"/>
      <c r="D6340"/>
      <c r="E6340"/>
      <c r="F6340"/>
      <c r="G6340"/>
      <c r="H6340"/>
    </row>
    <row r="6341" spans="3:8" x14ac:dyDescent="0.3">
      <c r="C6341"/>
      <c r="D6341"/>
      <c r="E6341"/>
      <c r="F6341"/>
      <c r="G6341"/>
      <c r="H6341"/>
    </row>
    <row r="6342" spans="3:8" x14ac:dyDescent="0.3">
      <c r="C6342"/>
      <c r="D6342"/>
      <c r="E6342"/>
      <c r="F6342"/>
      <c r="G6342"/>
      <c r="H6342"/>
    </row>
    <row r="6343" spans="3:8" x14ac:dyDescent="0.3">
      <c r="C6343"/>
      <c r="D6343"/>
      <c r="E6343"/>
      <c r="F6343"/>
      <c r="G6343"/>
      <c r="H6343"/>
    </row>
    <row r="6344" spans="3:8" x14ac:dyDescent="0.3">
      <c r="C6344"/>
      <c r="D6344"/>
      <c r="E6344"/>
      <c r="F6344"/>
      <c r="G6344"/>
      <c r="H6344"/>
    </row>
    <row r="6345" spans="3:8" x14ac:dyDescent="0.3">
      <c r="C6345"/>
      <c r="D6345"/>
      <c r="E6345"/>
      <c r="F6345"/>
      <c r="G6345"/>
      <c r="H6345"/>
    </row>
    <row r="6346" spans="3:8" x14ac:dyDescent="0.3">
      <c r="C6346"/>
      <c r="D6346"/>
      <c r="E6346"/>
      <c r="F6346"/>
      <c r="G6346"/>
      <c r="H6346"/>
    </row>
    <row r="6347" spans="3:8" x14ac:dyDescent="0.3">
      <c r="C6347"/>
      <c r="D6347"/>
      <c r="E6347"/>
      <c r="F6347"/>
      <c r="G6347"/>
      <c r="H6347"/>
    </row>
    <row r="6348" spans="3:8" x14ac:dyDescent="0.3">
      <c r="C6348"/>
      <c r="D6348"/>
      <c r="E6348"/>
      <c r="F6348"/>
      <c r="G6348"/>
      <c r="H6348"/>
    </row>
    <row r="6349" spans="3:8" x14ac:dyDescent="0.3">
      <c r="C6349"/>
      <c r="D6349"/>
      <c r="E6349"/>
      <c r="F6349"/>
      <c r="G6349"/>
      <c r="H6349"/>
    </row>
    <row r="6350" spans="3:8" x14ac:dyDescent="0.3">
      <c r="C6350"/>
      <c r="D6350"/>
      <c r="E6350"/>
      <c r="F6350"/>
      <c r="G6350"/>
      <c r="H6350"/>
    </row>
    <row r="6351" spans="3:8" x14ac:dyDescent="0.3">
      <c r="C6351"/>
      <c r="D6351"/>
      <c r="E6351"/>
      <c r="F6351"/>
      <c r="G6351"/>
      <c r="H6351"/>
    </row>
    <row r="6352" spans="3:8" x14ac:dyDescent="0.3">
      <c r="C6352"/>
      <c r="D6352"/>
      <c r="E6352"/>
      <c r="F6352"/>
      <c r="G6352"/>
      <c r="H6352"/>
    </row>
    <row r="6353" spans="3:8" x14ac:dyDescent="0.3">
      <c r="C6353"/>
      <c r="D6353"/>
      <c r="E6353"/>
      <c r="F6353"/>
      <c r="G6353"/>
      <c r="H6353"/>
    </row>
    <row r="6354" spans="3:8" x14ac:dyDescent="0.3">
      <c r="C6354"/>
      <c r="D6354"/>
      <c r="E6354"/>
      <c r="F6354"/>
      <c r="G6354"/>
      <c r="H6354"/>
    </row>
    <row r="6355" spans="3:8" x14ac:dyDescent="0.3">
      <c r="C6355"/>
      <c r="D6355"/>
      <c r="E6355"/>
      <c r="F6355"/>
      <c r="G6355"/>
      <c r="H6355"/>
    </row>
    <row r="6356" spans="3:8" x14ac:dyDescent="0.3">
      <c r="C6356"/>
      <c r="D6356"/>
      <c r="E6356"/>
      <c r="F6356"/>
      <c r="G6356"/>
      <c r="H6356"/>
    </row>
    <row r="6357" spans="3:8" x14ac:dyDescent="0.3">
      <c r="C6357"/>
      <c r="D6357"/>
      <c r="E6357"/>
      <c r="F6357"/>
      <c r="G6357"/>
      <c r="H6357"/>
    </row>
    <row r="6358" spans="3:8" x14ac:dyDescent="0.3">
      <c r="C6358"/>
      <c r="D6358"/>
      <c r="E6358"/>
      <c r="F6358"/>
      <c r="G6358"/>
      <c r="H6358"/>
    </row>
    <row r="6359" spans="3:8" x14ac:dyDescent="0.3">
      <c r="C6359"/>
      <c r="D6359"/>
      <c r="E6359"/>
      <c r="F6359"/>
      <c r="G6359"/>
      <c r="H6359"/>
    </row>
    <row r="6360" spans="3:8" x14ac:dyDescent="0.3">
      <c r="C6360"/>
      <c r="D6360"/>
      <c r="E6360"/>
      <c r="F6360"/>
      <c r="G6360"/>
      <c r="H6360"/>
    </row>
    <row r="6361" spans="3:8" x14ac:dyDescent="0.3">
      <c r="C6361"/>
      <c r="D6361"/>
      <c r="E6361"/>
      <c r="F6361"/>
      <c r="G6361"/>
      <c r="H6361"/>
    </row>
    <row r="6362" spans="3:8" x14ac:dyDescent="0.3">
      <c r="C6362"/>
      <c r="D6362"/>
      <c r="E6362"/>
      <c r="F6362"/>
      <c r="G6362"/>
      <c r="H6362"/>
    </row>
    <row r="6363" spans="3:8" x14ac:dyDescent="0.3">
      <c r="C6363"/>
      <c r="D6363"/>
      <c r="E6363"/>
      <c r="F6363"/>
      <c r="G6363"/>
      <c r="H6363"/>
    </row>
    <row r="6364" spans="3:8" x14ac:dyDescent="0.3">
      <c r="C6364"/>
      <c r="D6364"/>
      <c r="E6364"/>
      <c r="F6364"/>
      <c r="G6364"/>
      <c r="H6364"/>
    </row>
    <row r="6365" spans="3:8" x14ac:dyDescent="0.3">
      <c r="C6365"/>
      <c r="D6365"/>
      <c r="E6365"/>
      <c r="F6365"/>
      <c r="G6365"/>
      <c r="H6365"/>
    </row>
    <row r="6366" spans="3:8" x14ac:dyDescent="0.3">
      <c r="C6366"/>
      <c r="D6366"/>
      <c r="E6366"/>
      <c r="F6366"/>
      <c r="G6366"/>
      <c r="H6366"/>
    </row>
    <row r="6367" spans="3:8" x14ac:dyDescent="0.3">
      <c r="C6367"/>
      <c r="D6367"/>
      <c r="E6367"/>
      <c r="F6367"/>
      <c r="G6367"/>
      <c r="H6367"/>
    </row>
    <row r="6368" spans="3:8" x14ac:dyDescent="0.3">
      <c r="C6368"/>
      <c r="D6368"/>
      <c r="E6368"/>
      <c r="F6368"/>
      <c r="G6368"/>
      <c r="H6368"/>
    </row>
    <row r="6369" spans="3:8" x14ac:dyDescent="0.3">
      <c r="C6369"/>
      <c r="D6369"/>
      <c r="E6369"/>
      <c r="F6369"/>
      <c r="G6369"/>
      <c r="H6369"/>
    </row>
    <row r="6370" spans="3:8" x14ac:dyDescent="0.3">
      <c r="C6370"/>
      <c r="D6370"/>
      <c r="E6370"/>
      <c r="F6370"/>
      <c r="G6370"/>
      <c r="H6370"/>
    </row>
    <row r="6371" spans="3:8" x14ac:dyDescent="0.3">
      <c r="C6371"/>
      <c r="D6371"/>
      <c r="E6371"/>
      <c r="F6371"/>
      <c r="G6371"/>
      <c r="H6371"/>
    </row>
    <row r="6372" spans="3:8" x14ac:dyDescent="0.3">
      <c r="C6372"/>
      <c r="D6372"/>
      <c r="E6372"/>
      <c r="F6372"/>
      <c r="G6372"/>
      <c r="H6372"/>
    </row>
    <row r="6373" spans="3:8" x14ac:dyDescent="0.3">
      <c r="C6373"/>
      <c r="D6373"/>
      <c r="E6373"/>
      <c r="F6373"/>
      <c r="G6373"/>
      <c r="H6373"/>
    </row>
    <row r="6374" spans="3:8" x14ac:dyDescent="0.3">
      <c r="C6374"/>
      <c r="D6374"/>
      <c r="E6374"/>
      <c r="F6374"/>
      <c r="G6374"/>
      <c r="H6374"/>
    </row>
    <row r="6375" spans="3:8" x14ac:dyDescent="0.3">
      <c r="C6375"/>
      <c r="D6375"/>
      <c r="E6375"/>
      <c r="F6375"/>
      <c r="G6375"/>
      <c r="H6375"/>
    </row>
    <row r="6376" spans="3:8" x14ac:dyDescent="0.3">
      <c r="C6376"/>
      <c r="D6376"/>
      <c r="E6376"/>
      <c r="F6376"/>
      <c r="G6376"/>
      <c r="H6376"/>
    </row>
    <row r="6377" spans="3:8" x14ac:dyDescent="0.3">
      <c r="C6377"/>
      <c r="D6377"/>
      <c r="E6377"/>
      <c r="F6377"/>
      <c r="G6377"/>
      <c r="H6377"/>
    </row>
    <row r="6378" spans="3:8" x14ac:dyDescent="0.3">
      <c r="C6378"/>
      <c r="D6378"/>
      <c r="E6378"/>
      <c r="F6378"/>
      <c r="G6378"/>
      <c r="H6378"/>
    </row>
    <row r="6379" spans="3:8" x14ac:dyDescent="0.3">
      <c r="C6379"/>
      <c r="D6379"/>
      <c r="E6379"/>
      <c r="F6379"/>
      <c r="G6379"/>
      <c r="H6379"/>
    </row>
    <row r="6380" spans="3:8" x14ac:dyDescent="0.3">
      <c r="C6380"/>
      <c r="D6380"/>
      <c r="E6380"/>
      <c r="F6380"/>
      <c r="G6380"/>
      <c r="H6380"/>
    </row>
    <row r="6381" spans="3:8" x14ac:dyDescent="0.3">
      <c r="C6381"/>
      <c r="D6381"/>
      <c r="E6381"/>
      <c r="F6381"/>
      <c r="G6381"/>
      <c r="H6381"/>
    </row>
    <row r="6382" spans="3:8" x14ac:dyDescent="0.3">
      <c r="C6382"/>
      <c r="D6382"/>
      <c r="E6382"/>
      <c r="F6382"/>
      <c r="G6382"/>
      <c r="H6382"/>
    </row>
    <row r="6383" spans="3:8" x14ac:dyDescent="0.3">
      <c r="C6383"/>
      <c r="D6383"/>
      <c r="E6383"/>
      <c r="F6383"/>
      <c r="G6383"/>
      <c r="H6383"/>
    </row>
    <row r="6384" spans="3:8" x14ac:dyDescent="0.3">
      <c r="C6384"/>
      <c r="D6384"/>
      <c r="E6384"/>
      <c r="F6384"/>
      <c r="G6384"/>
      <c r="H6384"/>
    </row>
    <row r="6385" spans="3:8" x14ac:dyDescent="0.3">
      <c r="C6385"/>
      <c r="D6385"/>
      <c r="E6385"/>
      <c r="F6385"/>
      <c r="G6385"/>
      <c r="H6385"/>
    </row>
    <row r="6386" spans="3:8" x14ac:dyDescent="0.3">
      <c r="C6386"/>
      <c r="D6386"/>
      <c r="E6386"/>
      <c r="F6386"/>
      <c r="G6386"/>
      <c r="H6386"/>
    </row>
    <row r="6387" spans="3:8" x14ac:dyDescent="0.3">
      <c r="C6387"/>
      <c r="D6387"/>
      <c r="E6387"/>
      <c r="F6387"/>
      <c r="G6387"/>
      <c r="H6387"/>
    </row>
    <row r="6388" spans="3:8" x14ac:dyDescent="0.3">
      <c r="C6388"/>
      <c r="D6388"/>
      <c r="E6388"/>
      <c r="F6388"/>
      <c r="G6388"/>
      <c r="H6388"/>
    </row>
    <row r="6389" spans="3:8" x14ac:dyDescent="0.3">
      <c r="C6389"/>
      <c r="D6389"/>
      <c r="E6389"/>
      <c r="F6389"/>
      <c r="G6389"/>
      <c r="H6389"/>
    </row>
    <row r="6390" spans="3:8" x14ac:dyDescent="0.3">
      <c r="C6390"/>
      <c r="D6390"/>
      <c r="E6390"/>
      <c r="F6390"/>
      <c r="G6390"/>
      <c r="H6390"/>
    </row>
    <row r="6391" spans="3:8" x14ac:dyDescent="0.3">
      <c r="C6391"/>
      <c r="D6391"/>
      <c r="E6391"/>
      <c r="F6391"/>
      <c r="G6391"/>
      <c r="H6391"/>
    </row>
    <row r="6392" spans="3:8" x14ac:dyDescent="0.3">
      <c r="C6392"/>
      <c r="D6392"/>
      <c r="E6392"/>
      <c r="F6392"/>
      <c r="G6392"/>
      <c r="H6392"/>
    </row>
    <row r="6393" spans="3:8" x14ac:dyDescent="0.3">
      <c r="C6393"/>
      <c r="D6393"/>
      <c r="E6393"/>
      <c r="F6393"/>
      <c r="G6393"/>
      <c r="H6393"/>
    </row>
    <row r="6394" spans="3:8" x14ac:dyDescent="0.3">
      <c r="C6394"/>
      <c r="D6394"/>
      <c r="E6394"/>
      <c r="F6394"/>
      <c r="G6394"/>
      <c r="H6394"/>
    </row>
    <row r="6395" spans="3:8" x14ac:dyDescent="0.3">
      <c r="C6395"/>
      <c r="D6395"/>
      <c r="E6395"/>
      <c r="F6395"/>
      <c r="G6395"/>
      <c r="H6395"/>
    </row>
    <row r="6396" spans="3:8" x14ac:dyDescent="0.3">
      <c r="C6396"/>
      <c r="D6396"/>
      <c r="E6396"/>
      <c r="F6396"/>
      <c r="G6396"/>
      <c r="H6396"/>
    </row>
    <row r="6397" spans="3:8" x14ac:dyDescent="0.3">
      <c r="C6397"/>
      <c r="D6397"/>
      <c r="E6397"/>
      <c r="F6397"/>
      <c r="G6397"/>
      <c r="H6397"/>
    </row>
    <row r="6398" spans="3:8" x14ac:dyDescent="0.3">
      <c r="C6398"/>
      <c r="D6398"/>
      <c r="E6398"/>
      <c r="F6398"/>
      <c r="G6398"/>
      <c r="H6398"/>
    </row>
    <row r="6399" spans="3:8" x14ac:dyDescent="0.3">
      <c r="C6399"/>
      <c r="D6399"/>
      <c r="E6399"/>
      <c r="F6399"/>
      <c r="G6399"/>
      <c r="H6399"/>
    </row>
    <row r="6400" spans="3:8" x14ac:dyDescent="0.3">
      <c r="C6400"/>
      <c r="D6400"/>
      <c r="E6400"/>
      <c r="F6400"/>
      <c r="G6400"/>
      <c r="H6400"/>
    </row>
    <row r="6401" spans="3:8" x14ac:dyDescent="0.3">
      <c r="C6401"/>
      <c r="D6401"/>
      <c r="E6401"/>
      <c r="F6401"/>
      <c r="G6401"/>
      <c r="H6401"/>
    </row>
    <row r="6402" spans="3:8" x14ac:dyDescent="0.3">
      <c r="C6402"/>
      <c r="D6402"/>
      <c r="E6402"/>
      <c r="F6402"/>
      <c r="G6402"/>
      <c r="H6402"/>
    </row>
    <row r="6403" spans="3:8" x14ac:dyDescent="0.3">
      <c r="C6403"/>
      <c r="D6403"/>
      <c r="E6403"/>
      <c r="F6403"/>
      <c r="G6403"/>
      <c r="H6403"/>
    </row>
    <row r="6404" spans="3:8" x14ac:dyDescent="0.3">
      <c r="C6404"/>
      <c r="D6404"/>
      <c r="E6404"/>
      <c r="F6404"/>
      <c r="G6404"/>
      <c r="H6404"/>
    </row>
    <row r="6405" spans="3:8" x14ac:dyDescent="0.3">
      <c r="C6405"/>
      <c r="D6405"/>
      <c r="E6405"/>
      <c r="F6405"/>
      <c r="G6405"/>
      <c r="H6405"/>
    </row>
    <row r="6406" spans="3:8" x14ac:dyDescent="0.3">
      <c r="C6406"/>
      <c r="D6406"/>
      <c r="E6406"/>
      <c r="F6406"/>
      <c r="G6406"/>
      <c r="H6406"/>
    </row>
    <row r="6407" spans="3:8" x14ac:dyDescent="0.3">
      <c r="C6407"/>
      <c r="D6407"/>
      <c r="E6407"/>
      <c r="F6407"/>
      <c r="G6407"/>
      <c r="H6407"/>
    </row>
    <row r="6408" spans="3:8" x14ac:dyDescent="0.3">
      <c r="C6408"/>
      <c r="D6408"/>
      <c r="E6408"/>
      <c r="F6408"/>
      <c r="G6408"/>
      <c r="H6408"/>
    </row>
    <row r="6409" spans="3:8" x14ac:dyDescent="0.3">
      <c r="C6409"/>
      <c r="D6409"/>
      <c r="E6409"/>
      <c r="F6409"/>
      <c r="G6409"/>
      <c r="H6409"/>
    </row>
    <row r="6410" spans="3:8" x14ac:dyDescent="0.3">
      <c r="C6410"/>
      <c r="D6410"/>
      <c r="E6410"/>
      <c r="F6410"/>
      <c r="G6410"/>
      <c r="H6410"/>
    </row>
    <row r="6411" spans="3:8" x14ac:dyDescent="0.3">
      <c r="C6411"/>
      <c r="D6411"/>
      <c r="E6411"/>
      <c r="F6411"/>
      <c r="G6411"/>
      <c r="H6411"/>
    </row>
    <row r="6412" spans="3:8" x14ac:dyDescent="0.3">
      <c r="C6412"/>
      <c r="D6412"/>
      <c r="E6412"/>
      <c r="F6412"/>
      <c r="G6412"/>
      <c r="H6412"/>
    </row>
    <row r="6413" spans="3:8" x14ac:dyDescent="0.3">
      <c r="C6413"/>
      <c r="D6413"/>
      <c r="E6413"/>
      <c r="F6413"/>
      <c r="G6413"/>
      <c r="H6413"/>
    </row>
    <row r="6414" spans="3:8" x14ac:dyDescent="0.3">
      <c r="C6414"/>
      <c r="D6414"/>
      <c r="E6414"/>
      <c r="F6414"/>
      <c r="G6414"/>
      <c r="H6414"/>
    </row>
    <row r="6415" spans="3:8" x14ac:dyDescent="0.3">
      <c r="C6415"/>
      <c r="D6415"/>
      <c r="E6415"/>
      <c r="F6415"/>
      <c r="G6415"/>
      <c r="H6415"/>
    </row>
    <row r="6416" spans="3:8" x14ac:dyDescent="0.3">
      <c r="C6416"/>
      <c r="D6416"/>
      <c r="E6416"/>
      <c r="F6416"/>
      <c r="G6416"/>
      <c r="H6416"/>
    </row>
    <row r="6417" spans="3:8" x14ac:dyDescent="0.3">
      <c r="C6417"/>
      <c r="D6417"/>
      <c r="E6417"/>
      <c r="F6417"/>
      <c r="G6417"/>
      <c r="H6417"/>
    </row>
    <row r="6418" spans="3:8" x14ac:dyDescent="0.3">
      <c r="C6418"/>
      <c r="D6418"/>
      <c r="E6418"/>
      <c r="F6418"/>
      <c r="G6418"/>
      <c r="H6418"/>
    </row>
    <row r="6419" spans="3:8" x14ac:dyDescent="0.3">
      <c r="C6419"/>
      <c r="D6419"/>
      <c r="E6419"/>
      <c r="F6419"/>
      <c r="G6419"/>
      <c r="H6419"/>
    </row>
    <row r="6420" spans="3:8" x14ac:dyDescent="0.3">
      <c r="C6420"/>
      <c r="D6420"/>
      <c r="E6420"/>
      <c r="F6420"/>
      <c r="G6420"/>
      <c r="H6420"/>
    </row>
    <row r="6421" spans="3:8" x14ac:dyDescent="0.3">
      <c r="C6421"/>
      <c r="D6421"/>
      <c r="E6421"/>
      <c r="F6421"/>
      <c r="G6421"/>
      <c r="H6421"/>
    </row>
    <row r="6422" spans="3:8" x14ac:dyDescent="0.3">
      <c r="C6422"/>
      <c r="D6422"/>
      <c r="E6422"/>
      <c r="F6422"/>
      <c r="G6422"/>
      <c r="H6422"/>
    </row>
    <row r="6423" spans="3:8" x14ac:dyDescent="0.3">
      <c r="C6423"/>
      <c r="D6423"/>
      <c r="E6423"/>
      <c r="F6423"/>
      <c r="G6423"/>
      <c r="H6423"/>
    </row>
    <row r="6424" spans="3:8" x14ac:dyDescent="0.3">
      <c r="C6424"/>
      <c r="D6424"/>
      <c r="E6424"/>
      <c r="F6424"/>
      <c r="G6424"/>
      <c r="H6424"/>
    </row>
    <row r="6425" spans="3:8" x14ac:dyDescent="0.3">
      <c r="C6425"/>
      <c r="D6425"/>
      <c r="E6425"/>
      <c r="F6425"/>
      <c r="G6425"/>
      <c r="H6425"/>
    </row>
    <row r="6426" spans="3:8" x14ac:dyDescent="0.3">
      <c r="C6426"/>
      <c r="D6426"/>
      <c r="E6426"/>
      <c r="F6426"/>
      <c r="G6426"/>
      <c r="H6426"/>
    </row>
    <row r="6427" spans="3:8" x14ac:dyDescent="0.3">
      <c r="C6427"/>
      <c r="D6427"/>
      <c r="E6427"/>
      <c r="F6427"/>
      <c r="G6427"/>
      <c r="H6427"/>
    </row>
    <row r="6428" spans="3:8" x14ac:dyDescent="0.3">
      <c r="C6428"/>
      <c r="D6428"/>
      <c r="E6428"/>
      <c r="F6428"/>
      <c r="G6428"/>
      <c r="H6428"/>
    </row>
    <row r="6429" spans="3:8" x14ac:dyDescent="0.3">
      <c r="C6429"/>
      <c r="D6429"/>
      <c r="E6429"/>
      <c r="F6429"/>
      <c r="G6429"/>
      <c r="H6429"/>
    </row>
    <row r="6430" spans="3:8" x14ac:dyDescent="0.3">
      <c r="C6430"/>
      <c r="D6430"/>
      <c r="E6430"/>
      <c r="F6430"/>
      <c r="G6430"/>
      <c r="H6430"/>
    </row>
    <row r="6431" spans="3:8" x14ac:dyDescent="0.3">
      <c r="C6431"/>
      <c r="D6431"/>
      <c r="E6431"/>
      <c r="F6431"/>
      <c r="G6431"/>
      <c r="H6431"/>
    </row>
    <row r="6432" spans="3:8" x14ac:dyDescent="0.3">
      <c r="C6432"/>
      <c r="D6432"/>
      <c r="E6432"/>
      <c r="F6432"/>
      <c r="G6432"/>
      <c r="H6432"/>
    </row>
    <row r="6433" spans="3:8" x14ac:dyDescent="0.3">
      <c r="C6433"/>
      <c r="D6433"/>
      <c r="E6433"/>
      <c r="F6433"/>
      <c r="G6433"/>
      <c r="H6433"/>
    </row>
    <row r="6434" spans="3:8" x14ac:dyDescent="0.3">
      <c r="C6434"/>
      <c r="D6434"/>
      <c r="E6434"/>
      <c r="F6434"/>
      <c r="G6434"/>
      <c r="H6434"/>
    </row>
    <row r="6435" spans="3:8" x14ac:dyDescent="0.3">
      <c r="C6435"/>
      <c r="D6435"/>
      <c r="E6435"/>
      <c r="F6435"/>
      <c r="G6435"/>
      <c r="H6435"/>
    </row>
    <row r="6436" spans="3:8" x14ac:dyDescent="0.3">
      <c r="C6436"/>
      <c r="D6436"/>
      <c r="E6436"/>
      <c r="F6436"/>
      <c r="G6436"/>
      <c r="H6436"/>
    </row>
    <row r="6437" spans="3:8" x14ac:dyDescent="0.3">
      <c r="C6437"/>
      <c r="D6437"/>
      <c r="E6437"/>
      <c r="F6437"/>
      <c r="G6437"/>
      <c r="H6437"/>
    </row>
    <row r="6438" spans="3:8" x14ac:dyDescent="0.3">
      <c r="C6438"/>
      <c r="D6438"/>
      <c r="E6438"/>
      <c r="F6438"/>
      <c r="G6438"/>
      <c r="H6438"/>
    </row>
    <row r="6439" spans="3:8" x14ac:dyDescent="0.3">
      <c r="C6439"/>
      <c r="D6439"/>
      <c r="E6439"/>
      <c r="F6439"/>
      <c r="G6439"/>
      <c r="H6439"/>
    </row>
    <row r="6440" spans="3:8" x14ac:dyDescent="0.3">
      <c r="C6440"/>
      <c r="D6440"/>
      <c r="E6440"/>
      <c r="F6440"/>
      <c r="G6440"/>
      <c r="H6440"/>
    </row>
    <row r="6441" spans="3:8" x14ac:dyDescent="0.3">
      <c r="C6441"/>
      <c r="D6441"/>
      <c r="E6441"/>
      <c r="F6441"/>
      <c r="G6441"/>
      <c r="H6441"/>
    </row>
    <row r="6442" spans="3:8" x14ac:dyDescent="0.3">
      <c r="C6442"/>
      <c r="D6442"/>
      <c r="E6442"/>
      <c r="F6442"/>
      <c r="G6442"/>
      <c r="H6442"/>
    </row>
    <row r="6443" spans="3:8" x14ac:dyDescent="0.3">
      <c r="C6443"/>
      <c r="D6443"/>
      <c r="E6443"/>
      <c r="F6443"/>
      <c r="G6443"/>
      <c r="H6443"/>
    </row>
    <row r="6444" spans="3:8" x14ac:dyDescent="0.3">
      <c r="C6444"/>
      <c r="D6444"/>
      <c r="E6444"/>
      <c r="F6444"/>
      <c r="G6444"/>
      <c r="H6444"/>
    </row>
    <row r="6445" spans="3:8" x14ac:dyDescent="0.3">
      <c r="C6445"/>
      <c r="D6445"/>
      <c r="E6445"/>
      <c r="F6445"/>
      <c r="G6445"/>
      <c r="H6445"/>
    </row>
    <row r="6446" spans="3:8" x14ac:dyDescent="0.3">
      <c r="C6446"/>
      <c r="D6446"/>
      <c r="E6446"/>
      <c r="F6446"/>
      <c r="G6446"/>
      <c r="H6446"/>
    </row>
    <row r="6447" spans="3:8" x14ac:dyDescent="0.3">
      <c r="C6447"/>
      <c r="D6447"/>
      <c r="E6447"/>
      <c r="F6447"/>
      <c r="G6447"/>
      <c r="H6447"/>
    </row>
    <row r="6448" spans="3:8" x14ac:dyDescent="0.3">
      <c r="C6448"/>
      <c r="D6448"/>
      <c r="E6448"/>
      <c r="F6448"/>
      <c r="G6448"/>
      <c r="H6448"/>
    </row>
    <row r="6449" spans="3:8" x14ac:dyDescent="0.3">
      <c r="C6449"/>
      <c r="D6449"/>
      <c r="E6449"/>
      <c r="F6449"/>
      <c r="G6449"/>
      <c r="H6449"/>
    </row>
    <row r="6450" spans="3:8" x14ac:dyDescent="0.3">
      <c r="C6450"/>
      <c r="D6450"/>
      <c r="E6450"/>
      <c r="F6450"/>
      <c r="G6450"/>
      <c r="H6450"/>
    </row>
    <row r="6451" spans="3:8" x14ac:dyDescent="0.3">
      <c r="C6451"/>
      <c r="D6451"/>
      <c r="E6451"/>
      <c r="F6451"/>
      <c r="G6451"/>
      <c r="H6451"/>
    </row>
    <row r="6452" spans="3:8" x14ac:dyDescent="0.3">
      <c r="C6452"/>
      <c r="D6452"/>
      <c r="E6452"/>
      <c r="F6452"/>
      <c r="G6452"/>
      <c r="H6452"/>
    </row>
    <row r="6453" spans="3:8" x14ac:dyDescent="0.3">
      <c r="C6453"/>
      <c r="D6453"/>
      <c r="E6453"/>
      <c r="F6453"/>
      <c r="G6453"/>
      <c r="H6453"/>
    </row>
    <row r="6454" spans="3:8" x14ac:dyDescent="0.3">
      <c r="C6454"/>
      <c r="D6454"/>
      <c r="E6454"/>
      <c r="F6454"/>
      <c r="G6454"/>
      <c r="H6454"/>
    </row>
    <row r="6455" spans="3:8" x14ac:dyDescent="0.3">
      <c r="C6455"/>
      <c r="D6455"/>
      <c r="E6455"/>
      <c r="F6455"/>
      <c r="G6455"/>
      <c r="H6455"/>
    </row>
    <row r="6456" spans="3:8" x14ac:dyDescent="0.3">
      <c r="C6456"/>
      <c r="D6456"/>
      <c r="E6456"/>
      <c r="F6456"/>
      <c r="G6456"/>
      <c r="H6456"/>
    </row>
    <row r="6457" spans="3:8" x14ac:dyDescent="0.3">
      <c r="C6457"/>
      <c r="D6457"/>
      <c r="E6457"/>
      <c r="F6457"/>
      <c r="G6457"/>
      <c r="H6457"/>
    </row>
    <row r="6458" spans="3:8" x14ac:dyDescent="0.3">
      <c r="C6458"/>
      <c r="D6458"/>
      <c r="E6458"/>
      <c r="F6458"/>
      <c r="G6458"/>
      <c r="H6458"/>
    </row>
    <row r="6459" spans="3:8" x14ac:dyDescent="0.3">
      <c r="C6459"/>
      <c r="D6459"/>
      <c r="E6459"/>
      <c r="F6459"/>
      <c r="G6459"/>
      <c r="H6459"/>
    </row>
    <row r="6460" spans="3:8" x14ac:dyDescent="0.3">
      <c r="C6460"/>
      <c r="D6460"/>
      <c r="E6460"/>
      <c r="F6460"/>
      <c r="G6460"/>
      <c r="H6460"/>
    </row>
    <row r="6461" spans="3:8" x14ac:dyDescent="0.3">
      <c r="C6461"/>
      <c r="D6461"/>
      <c r="E6461"/>
      <c r="F6461"/>
      <c r="G6461"/>
      <c r="H6461"/>
    </row>
    <row r="6462" spans="3:8" x14ac:dyDescent="0.3">
      <c r="C6462"/>
      <c r="D6462"/>
      <c r="E6462"/>
      <c r="F6462"/>
      <c r="G6462"/>
      <c r="H6462"/>
    </row>
    <row r="6463" spans="3:8" x14ac:dyDescent="0.3">
      <c r="C6463"/>
      <c r="D6463"/>
      <c r="E6463"/>
      <c r="F6463"/>
      <c r="G6463"/>
      <c r="H6463"/>
    </row>
    <row r="6464" spans="3:8" x14ac:dyDescent="0.3">
      <c r="C6464"/>
      <c r="D6464"/>
      <c r="E6464"/>
      <c r="F6464"/>
      <c r="G6464"/>
      <c r="H6464"/>
    </row>
    <row r="6465" spans="3:8" x14ac:dyDescent="0.3">
      <c r="C6465"/>
      <c r="D6465"/>
      <c r="E6465"/>
      <c r="F6465"/>
      <c r="G6465"/>
      <c r="H6465"/>
    </row>
    <row r="6466" spans="3:8" x14ac:dyDescent="0.3">
      <c r="C6466"/>
      <c r="D6466"/>
      <c r="E6466"/>
      <c r="F6466"/>
      <c r="G6466"/>
      <c r="H6466"/>
    </row>
    <row r="6467" spans="3:8" x14ac:dyDescent="0.3">
      <c r="C6467"/>
      <c r="D6467"/>
      <c r="E6467"/>
      <c r="F6467"/>
      <c r="G6467"/>
      <c r="H6467"/>
    </row>
    <row r="6468" spans="3:8" x14ac:dyDescent="0.3">
      <c r="C6468"/>
      <c r="D6468"/>
      <c r="E6468"/>
      <c r="F6468"/>
      <c r="G6468"/>
      <c r="H6468"/>
    </row>
    <row r="6469" spans="3:8" x14ac:dyDescent="0.3">
      <c r="C6469"/>
      <c r="D6469"/>
      <c r="E6469"/>
      <c r="F6469"/>
      <c r="G6469"/>
      <c r="H6469"/>
    </row>
    <row r="6470" spans="3:8" x14ac:dyDescent="0.3">
      <c r="C6470"/>
      <c r="D6470"/>
      <c r="E6470"/>
      <c r="F6470"/>
      <c r="G6470"/>
      <c r="H6470"/>
    </row>
    <row r="6471" spans="3:8" x14ac:dyDescent="0.3">
      <c r="C6471"/>
      <c r="D6471"/>
      <c r="E6471"/>
      <c r="F6471"/>
      <c r="G6471"/>
      <c r="H6471"/>
    </row>
    <row r="6472" spans="3:8" x14ac:dyDescent="0.3">
      <c r="C6472"/>
      <c r="D6472"/>
      <c r="E6472"/>
      <c r="F6472"/>
      <c r="G6472"/>
      <c r="H6472"/>
    </row>
    <row r="6473" spans="3:8" x14ac:dyDescent="0.3">
      <c r="C6473"/>
      <c r="D6473"/>
      <c r="E6473"/>
      <c r="F6473"/>
      <c r="G6473"/>
      <c r="H6473"/>
    </row>
    <row r="6474" spans="3:8" x14ac:dyDescent="0.3">
      <c r="C6474"/>
      <c r="D6474"/>
      <c r="E6474"/>
      <c r="F6474"/>
      <c r="G6474"/>
      <c r="H6474"/>
    </row>
    <row r="6475" spans="3:8" x14ac:dyDescent="0.3">
      <c r="C6475"/>
      <c r="D6475"/>
      <c r="E6475"/>
      <c r="F6475"/>
      <c r="G6475"/>
      <c r="H6475"/>
    </row>
    <row r="6476" spans="3:8" x14ac:dyDescent="0.3">
      <c r="C6476"/>
      <c r="D6476"/>
      <c r="E6476"/>
      <c r="F6476"/>
      <c r="G6476"/>
      <c r="H6476"/>
    </row>
    <row r="6477" spans="3:8" x14ac:dyDescent="0.3">
      <c r="C6477"/>
      <c r="D6477"/>
      <c r="E6477"/>
      <c r="F6477"/>
      <c r="G6477"/>
      <c r="H6477"/>
    </row>
    <row r="6478" spans="3:8" x14ac:dyDescent="0.3">
      <c r="C6478"/>
      <c r="D6478"/>
      <c r="E6478"/>
      <c r="F6478"/>
      <c r="G6478"/>
      <c r="H6478"/>
    </row>
    <row r="6479" spans="3:8" x14ac:dyDescent="0.3">
      <c r="C6479"/>
      <c r="D6479"/>
      <c r="E6479"/>
      <c r="F6479"/>
      <c r="G6479"/>
      <c r="H6479"/>
    </row>
    <row r="6480" spans="3:8" x14ac:dyDescent="0.3">
      <c r="C6480"/>
      <c r="D6480"/>
      <c r="E6480"/>
      <c r="F6480"/>
      <c r="G6480"/>
      <c r="H6480"/>
    </row>
    <row r="6481" spans="3:8" x14ac:dyDescent="0.3">
      <c r="C6481"/>
      <c r="D6481"/>
      <c r="E6481"/>
      <c r="F6481"/>
      <c r="G6481"/>
      <c r="H6481"/>
    </row>
    <row r="6482" spans="3:8" x14ac:dyDescent="0.3">
      <c r="C6482"/>
      <c r="D6482"/>
      <c r="E6482"/>
      <c r="F6482"/>
      <c r="G6482"/>
      <c r="H6482"/>
    </row>
    <row r="6483" spans="3:8" x14ac:dyDescent="0.3">
      <c r="C6483"/>
      <c r="D6483"/>
      <c r="E6483"/>
      <c r="F6483"/>
      <c r="G6483"/>
      <c r="H6483"/>
    </row>
    <row r="6484" spans="3:8" x14ac:dyDescent="0.3">
      <c r="C6484"/>
      <c r="D6484"/>
      <c r="E6484"/>
      <c r="F6484"/>
      <c r="G6484"/>
      <c r="H6484"/>
    </row>
    <row r="6485" spans="3:8" x14ac:dyDescent="0.3">
      <c r="C6485"/>
      <c r="D6485"/>
      <c r="E6485"/>
      <c r="F6485"/>
      <c r="G6485"/>
      <c r="H6485"/>
    </row>
    <row r="6486" spans="3:8" x14ac:dyDescent="0.3">
      <c r="C6486"/>
      <c r="D6486"/>
      <c r="E6486"/>
      <c r="F6486"/>
      <c r="G6486"/>
      <c r="H6486"/>
    </row>
    <row r="6487" spans="3:8" x14ac:dyDescent="0.3">
      <c r="C6487"/>
      <c r="D6487"/>
      <c r="E6487"/>
      <c r="F6487"/>
      <c r="G6487"/>
      <c r="H6487"/>
    </row>
    <row r="6488" spans="3:8" x14ac:dyDescent="0.3">
      <c r="C6488"/>
      <c r="D6488"/>
      <c r="E6488"/>
      <c r="F6488"/>
      <c r="G6488"/>
      <c r="H6488"/>
    </row>
    <row r="6489" spans="3:8" x14ac:dyDescent="0.3">
      <c r="C6489"/>
      <c r="D6489"/>
      <c r="E6489"/>
      <c r="F6489"/>
      <c r="G6489"/>
      <c r="H6489"/>
    </row>
    <row r="6490" spans="3:8" x14ac:dyDescent="0.3">
      <c r="C6490"/>
      <c r="D6490"/>
      <c r="E6490"/>
      <c r="F6490"/>
      <c r="G6490"/>
      <c r="H6490"/>
    </row>
    <row r="6491" spans="3:8" x14ac:dyDescent="0.3">
      <c r="C6491"/>
      <c r="D6491"/>
      <c r="E6491"/>
      <c r="F6491"/>
      <c r="G6491"/>
      <c r="H6491"/>
    </row>
    <row r="6492" spans="3:8" x14ac:dyDescent="0.3">
      <c r="C6492"/>
      <c r="D6492"/>
      <c r="E6492"/>
      <c r="F6492"/>
      <c r="G6492"/>
      <c r="H6492"/>
    </row>
    <row r="6493" spans="3:8" x14ac:dyDescent="0.3">
      <c r="C6493"/>
      <c r="D6493"/>
      <c r="E6493"/>
      <c r="F6493"/>
      <c r="G6493"/>
      <c r="H6493"/>
    </row>
    <row r="6494" spans="3:8" x14ac:dyDescent="0.3">
      <c r="C6494"/>
      <c r="D6494"/>
      <c r="E6494"/>
      <c r="F6494"/>
      <c r="G6494"/>
      <c r="H6494"/>
    </row>
    <row r="6495" spans="3:8" x14ac:dyDescent="0.3">
      <c r="C6495"/>
      <c r="D6495"/>
      <c r="E6495"/>
      <c r="F6495"/>
      <c r="G6495"/>
      <c r="H6495"/>
    </row>
    <row r="6496" spans="3:8" x14ac:dyDescent="0.3">
      <c r="C6496"/>
      <c r="D6496"/>
      <c r="E6496"/>
      <c r="F6496"/>
      <c r="G6496"/>
      <c r="H6496"/>
    </row>
    <row r="6497" spans="3:8" x14ac:dyDescent="0.3">
      <c r="C6497"/>
      <c r="D6497"/>
      <c r="E6497"/>
      <c r="F6497"/>
      <c r="G6497"/>
      <c r="H6497"/>
    </row>
    <row r="6498" spans="3:8" x14ac:dyDescent="0.3">
      <c r="C6498"/>
      <c r="D6498"/>
      <c r="E6498"/>
      <c r="F6498"/>
      <c r="G6498"/>
      <c r="H6498"/>
    </row>
    <row r="6499" spans="3:8" x14ac:dyDescent="0.3">
      <c r="C6499"/>
      <c r="D6499"/>
      <c r="E6499"/>
      <c r="F6499"/>
      <c r="G6499"/>
      <c r="H6499"/>
    </row>
    <row r="6500" spans="3:8" x14ac:dyDescent="0.3">
      <c r="C6500"/>
      <c r="D6500"/>
      <c r="E6500"/>
      <c r="F6500"/>
      <c r="G6500"/>
      <c r="H6500"/>
    </row>
    <row r="6501" spans="3:8" x14ac:dyDescent="0.3">
      <c r="C6501"/>
      <c r="D6501"/>
      <c r="E6501"/>
      <c r="F6501"/>
      <c r="G6501"/>
      <c r="H6501"/>
    </row>
    <row r="6502" spans="3:8" x14ac:dyDescent="0.3">
      <c r="C6502"/>
      <c r="D6502"/>
      <c r="E6502"/>
      <c r="F6502"/>
      <c r="G6502"/>
      <c r="H6502"/>
    </row>
    <row r="6503" spans="3:8" x14ac:dyDescent="0.3">
      <c r="C6503"/>
      <c r="D6503"/>
      <c r="E6503"/>
      <c r="F6503"/>
      <c r="G6503"/>
      <c r="H6503"/>
    </row>
    <row r="6504" spans="3:8" x14ac:dyDescent="0.3">
      <c r="C6504"/>
      <c r="D6504"/>
      <c r="E6504"/>
      <c r="F6504"/>
      <c r="G6504"/>
      <c r="H6504"/>
    </row>
    <row r="6505" spans="3:8" x14ac:dyDescent="0.3">
      <c r="C6505"/>
      <c r="D6505"/>
      <c r="E6505"/>
      <c r="F6505"/>
      <c r="G6505"/>
      <c r="H6505"/>
    </row>
    <row r="6506" spans="3:8" x14ac:dyDescent="0.3">
      <c r="C6506"/>
      <c r="D6506"/>
      <c r="E6506"/>
      <c r="F6506"/>
      <c r="G6506"/>
      <c r="H6506"/>
    </row>
    <row r="6507" spans="3:8" x14ac:dyDescent="0.3">
      <c r="C6507"/>
      <c r="D6507"/>
      <c r="E6507"/>
      <c r="F6507"/>
      <c r="G6507"/>
      <c r="H6507"/>
    </row>
    <row r="6508" spans="3:8" x14ac:dyDescent="0.3">
      <c r="C6508"/>
      <c r="D6508"/>
      <c r="E6508"/>
      <c r="F6508"/>
      <c r="G6508"/>
      <c r="H6508"/>
    </row>
    <row r="6509" spans="3:8" x14ac:dyDescent="0.3">
      <c r="C6509"/>
      <c r="D6509"/>
      <c r="E6509"/>
      <c r="F6509"/>
      <c r="G6509"/>
      <c r="H6509"/>
    </row>
    <row r="6510" spans="3:8" x14ac:dyDescent="0.3">
      <c r="C6510"/>
      <c r="D6510"/>
      <c r="E6510"/>
      <c r="F6510"/>
      <c r="G6510"/>
      <c r="H6510"/>
    </row>
    <row r="6511" spans="3:8" x14ac:dyDescent="0.3">
      <c r="C6511"/>
      <c r="D6511"/>
      <c r="E6511"/>
      <c r="F6511"/>
      <c r="G6511"/>
      <c r="H6511"/>
    </row>
    <row r="6512" spans="3:8" x14ac:dyDescent="0.3">
      <c r="C6512"/>
      <c r="D6512"/>
      <c r="E6512"/>
      <c r="F6512"/>
      <c r="G6512"/>
      <c r="H6512"/>
    </row>
    <row r="6513" spans="3:8" x14ac:dyDescent="0.3">
      <c r="C6513"/>
      <c r="D6513"/>
      <c r="E6513"/>
      <c r="F6513"/>
      <c r="G6513"/>
      <c r="H6513"/>
    </row>
    <row r="6514" spans="3:8" x14ac:dyDescent="0.3">
      <c r="C6514"/>
      <c r="D6514"/>
      <c r="E6514"/>
      <c r="F6514"/>
      <c r="G6514"/>
      <c r="H6514"/>
    </row>
    <row r="6515" spans="3:8" x14ac:dyDescent="0.3">
      <c r="C6515"/>
      <c r="D6515"/>
      <c r="E6515"/>
      <c r="F6515"/>
      <c r="G6515"/>
      <c r="H6515"/>
    </row>
    <row r="6516" spans="3:8" x14ac:dyDescent="0.3">
      <c r="C6516"/>
      <c r="D6516"/>
      <c r="E6516"/>
      <c r="F6516"/>
      <c r="G6516"/>
      <c r="H6516"/>
    </row>
    <row r="6517" spans="3:8" x14ac:dyDescent="0.3">
      <c r="C6517"/>
      <c r="D6517"/>
      <c r="E6517"/>
      <c r="F6517"/>
      <c r="G6517"/>
      <c r="H6517"/>
    </row>
    <row r="6518" spans="3:8" x14ac:dyDescent="0.3">
      <c r="C6518"/>
      <c r="D6518"/>
      <c r="E6518"/>
      <c r="F6518"/>
      <c r="G6518"/>
      <c r="H6518"/>
    </row>
    <row r="6519" spans="3:8" x14ac:dyDescent="0.3">
      <c r="C6519"/>
      <c r="D6519"/>
      <c r="E6519"/>
      <c r="F6519"/>
      <c r="G6519"/>
      <c r="H6519"/>
    </row>
    <row r="6520" spans="3:8" x14ac:dyDescent="0.3">
      <c r="C6520"/>
      <c r="D6520"/>
      <c r="E6520"/>
      <c r="F6520"/>
      <c r="G6520"/>
      <c r="H6520"/>
    </row>
    <row r="6521" spans="3:8" x14ac:dyDescent="0.3">
      <c r="C6521"/>
      <c r="D6521"/>
      <c r="E6521"/>
      <c r="F6521"/>
      <c r="G6521"/>
      <c r="H6521"/>
    </row>
    <row r="6522" spans="3:8" x14ac:dyDescent="0.3">
      <c r="C6522"/>
      <c r="D6522"/>
      <c r="E6522"/>
      <c r="F6522"/>
      <c r="G6522"/>
      <c r="H6522"/>
    </row>
    <row r="6523" spans="3:8" x14ac:dyDescent="0.3">
      <c r="C6523"/>
      <c r="D6523"/>
      <c r="E6523"/>
      <c r="F6523"/>
      <c r="G6523"/>
      <c r="H6523"/>
    </row>
    <row r="6524" spans="3:8" x14ac:dyDescent="0.3">
      <c r="C6524"/>
      <c r="D6524"/>
      <c r="E6524"/>
      <c r="F6524"/>
      <c r="G6524"/>
      <c r="H6524"/>
    </row>
    <row r="6525" spans="3:8" x14ac:dyDescent="0.3">
      <c r="C6525"/>
      <c r="D6525"/>
      <c r="E6525"/>
      <c r="F6525"/>
      <c r="G6525"/>
      <c r="H6525"/>
    </row>
    <row r="6526" spans="3:8" x14ac:dyDescent="0.3">
      <c r="C6526"/>
      <c r="D6526"/>
      <c r="E6526"/>
      <c r="F6526"/>
      <c r="G6526"/>
      <c r="H6526"/>
    </row>
    <row r="6527" spans="3:8" x14ac:dyDescent="0.3">
      <c r="C6527"/>
      <c r="D6527"/>
      <c r="E6527"/>
      <c r="F6527"/>
      <c r="G6527"/>
      <c r="H6527"/>
    </row>
    <row r="6528" spans="3:8" x14ac:dyDescent="0.3">
      <c r="C6528"/>
      <c r="D6528"/>
      <c r="E6528"/>
      <c r="F6528"/>
      <c r="G6528"/>
      <c r="H6528"/>
    </row>
    <row r="6529" spans="3:8" x14ac:dyDescent="0.3">
      <c r="C6529"/>
      <c r="D6529"/>
      <c r="E6529"/>
      <c r="F6529"/>
      <c r="G6529"/>
      <c r="H6529"/>
    </row>
    <row r="6530" spans="3:8" x14ac:dyDescent="0.3">
      <c r="C6530"/>
      <c r="D6530"/>
      <c r="E6530"/>
      <c r="F6530"/>
      <c r="G6530"/>
      <c r="H6530"/>
    </row>
    <row r="6531" spans="3:8" x14ac:dyDescent="0.3">
      <c r="C6531"/>
      <c r="D6531"/>
      <c r="E6531"/>
      <c r="F6531"/>
      <c r="G6531"/>
      <c r="H6531"/>
    </row>
    <row r="6532" spans="3:8" x14ac:dyDescent="0.3">
      <c r="C6532"/>
      <c r="D6532"/>
      <c r="E6532"/>
      <c r="F6532"/>
      <c r="G6532"/>
      <c r="H6532"/>
    </row>
    <row r="6533" spans="3:8" x14ac:dyDescent="0.3">
      <c r="C6533"/>
      <c r="D6533"/>
      <c r="E6533"/>
      <c r="F6533"/>
      <c r="G6533"/>
      <c r="H6533"/>
    </row>
    <row r="6534" spans="3:8" x14ac:dyDescent="0.3">
      <c r="C6534"/>
      <c r="D6534"/>
      <c r="E6534"/>
      <c r="F6534"/>
      <c r="G6534"/>
      <c r="H6534"/>
    </row>
    <row r="6535" spans="3:8" x14ac:dyDescent="0.3">
      <c r="C6535"/>
      <c r="D6535"/>
      <c r="E6535"/>
      <c r="F6535"/>
      <c r="G6535"/>
      <c r="H6535"/>
    </row>
    <row r="6536" spans="3:8" x14ac:dyDescent="0.3">
      <c r="C6536"/>
      <c r="D6536"/>
      <c r="E6536"/>
      <c r="F6536"/>
      <c r="G6536"/>
      <c r="H6536"/>
    </row>
    <row r="6537" spans="3:8" x14ac:dyDescent="0.3">
      <c r="C6537"/>
      <c r="D6537"/>
      <c r="E6537"/>
      <c r="F6537"/>
      <c r="G6537"/>
      <c r="H6537"/>
    </row>
    <row r="6538" spans="3:8" x14ac:dyDescent="0.3">
      <c r="C6538"/>
      <c r="D6538"/>
      <c r="E6538"/>
      <c r="F6538"/>
      <c r="G6538"/>
      <c r="H6538"/>
    </row>
    <row r="6539" spans="3:8" x14ac:dyDescent="0.3">
      <c r="C6539"/>
      <c r="D6539"/>
      <c r="E6539"/>
      <c r="F6539"/>
      <c r="G6539"/>
      <c r="H6539"/>
    </row>
    <row r="6540" spans="3:8" x14ac:dyDescent="0.3">
      <c r="C6540"/>
      <c r="D6540"/>
      <c r="E6540"/>
      <c r="F6540"/>
      <c r="G6540"/>
      <c r="H6540"/>
    </row>
    <row r="6541" spans="3:8" x14ac:dyDescent="0.3">
      <c r="C6541"/>
      <c r="D6541"/>
      <c r="E6541"/>
      <c r="F6541"/>
      <c r="G6541"/>
      <c r="H6541"/>
    </row>
    <row r="6542" spans="3:8" x14ac:dyDescent="0.3">
      <c r="C6542"/>
      <c r="D6542"/>
      <c r="E6542"/>
      <c r="F6542"/>
      <c r="G6542"/>
      <c r="H6542"/>
    </row>
    <row r="6543" spans="3:8" x14ac:dyDescent="0.3">
      <c r="C6543"/>
      <c r="D6543"/>
      <c r="E6543"/>
      <c r="F6543"/>
      <c r="G6543"/>
      <c r="H6543"/>
    </row>
    <row r="6544" spans="3:8" x14ac:dyDescent="0.3">
      <c r="C6544"/>
      <c r="D6544"/>
      <c r="E6544"/>
      <c r="F6544"/>
      <c r="G6544"/>
      <c r="H6544"/>
    </row>
    <row r="6545" spans="3:8" x14ac:dyDescent="0.3">
      <c r="C6545"/>
      <c r="D6545"/>
      <c r="E6545"/>
      <c r="F6545"/>
      <c r="G6545"/>
      <c r="H6545"/>
    </row>
    <row r="6546" spans="3:8" x14ac:dyDescent="0.3">
      <c r="C6546"/>
      <c r="D6546"/>
      <c r="E6546"/>
      <c r="F6546"/>
      <c r="G6546"/>
      <c r="H6546"/>
    </row>
    <row r="6547" spans="3:8" x14ac:dyDescent="0.3">
      <c r="C6547"/>
      <c r="D6547"/>
      <c r="E6547"/>
      <c r="F6547"/>
      <c r="G6547"/>
      <c r="H6547"/>
    </row>
    <row r="6548" spans="3:8" x14ac:dyDescent="0.3">
      <c r="C6548"/>
      <c r="D6548"/>
      <c r="E6548"/>
      <c r="F6548"/>
      <c r="G6548"/>
      <c r="H6548"/>
    </row>
    <row r="6549" spans="3:8" x14ac:dyDescent="0.3">
      <c r="C6549"/>
      <c r="D6549"/>
      <c r="E6549"/>
      <c r="F6549"/>
      <c r="G6549"/>
      <c r="H6549"/>
    </row>
    <row r="6550" spans="3:8" x14ac:dyDescent="0.3">
      <c r="C6550"/>
      <c r="D6550"/>
      <c r="E6550"/>
      <c r="F6550"/>
      <c r="G6550"/>
      <c r="H6550"/>
    </row>
    <row r="6551" spans="3:8" x14ac:dyDescent="0.3">
      <c r="C6551"/>
      <c r="D6551"/>
      <c r="E6551"/>
      <c r="F6551"/>
      <c r="G6551"/>
      <c r="H6551"/>
    </row>
    <row r="6552" spans="3:8" x14ac:dyDescent="0.3">
      <c r="C6552"/>
      <c r="D6552"/>
      <c r="E6552"/>
      <c r="F6552"/>
      <c r="G6552"/>
      <c r="H6552"/>
    </row>
    <row r="6553" spans="3:8" x14ac:dyDescent="0.3">
      <c r="C6553"/>
      <c r="D6553"/>
      <c r="E6553"/>
      <c r="F6553"/>
      <c r="G6553"/>
      <c r="H6553"/>
    </row>
    <row r="6554" spans="3:8" x14ac:dyDescent="0.3">
      <c r="C6554"/>
      <c r="D6554"/>
      <c r="E6554"/>
      <c r="F6554"/>
      <c r="G6554"/>
      <c r="H6554"/>
    </row>
    <row r="6555" spans="3:8" x14ac:dyDescent="0.3">
      <c r="C6555"/>
      <c r="D6555"/>
      <c r="E6555"/>
      <c r="F6555"/>
      <c r="G6555"/>
      <c r="H6555"/>
    </row>
    <row r="6556" spans="3:8" x14ac:dyDescent="0.3">
      <c r="C6556"/>
      <c r="D6556"/>
      <c r="E6556"/>
      <c r="F6556"/>
      <c r="G6556"/>
      <c r="H6556"/>
    </row>
    <row r="6557" spans="3:8" x14ac:dyDescent="0.3">
      <c r="C6557"/>
      <c r="D6557"/>
      <c r="E6557"/>
      <c r="F6557"/>
      <c r="G6557"/>
      <c r="H6557"/>
    </row>
    <row r="6558" spans="3:8" x14ac:dyDescent="0.3">
      <c r="C6558"/>
      <c r="D6558"/>
      <c r="E6558"/>
      <c r="F6558"/>
      <c r="G6558"/>
      <c r="H6558"/>
    </row>
    <row r="6559" spans="3:8" x14ac:dyDescent="0.3">
      <c r="C6559"/>
      <c r="D6559"/>
      <c r="E6559"/>
      <c r="F6559"/>
      <c r="G6559"/>
      <c r="H6559"/>
    </row>
    <row r="6560" spans="3:8" x14ac:dyDescent="0.3">
      <c r="C6560"/>
      <c r="D6560"/>
      <c r="E6560"/>
      <c r="F6560"/>
      <c r="G6560"/>
      <c r="H6560"/>
    </row>
    <row r="6561" spans="3:8" x14ac:dyDescent="0.3">
      <c r="C6561"/>
      <c r="D6561"/>
      <c r="E6561"/>
      <c r="F6561"/>
      <c r="G6561"/>
      <c r="H6561"/>
    </row>
    <row r="6562" spans="3:8" x14ac:dyDescent="0.3">
      <c r="C6562"/>
      <c r="D6562"/>
      <c r="E6562"/>
      <c r="F6562"/>
      <c r="G6562"/>
      <c r="H6562"/>
    </row>
    <row r="6563" spans="3:8" x14ac:dyDescent="0.3">
      <c r="C6563"/>
      <c r="D6563"/>
      <c r="E6563"/>
      <c r="F6563"/>
      <c r="G6563"/>
      <c r="H6563"/>
    </row>
    <row r="6564" spans="3:8" x14ac:dyDescent="0.3">
      <c r="C6564"/>
      <c r="D6564"/>
      <c r="E6564"/>
      <c r="F6564"/>
      <c r="G6564"/>
      <c r="H6564"/>
    </row>
    <row r="6565" spans="3:8" x14ac:dyDescent="0.3">
      <c r="C6565"/>
      <c r="D6565"/>
      <c r="E6565"/>
      <c r="F6565"/>
      <c r="G6565"/>
      <c r="H6565"/>
    </row>
    <row r="6566" spans="3:8" x14ac:dyDescent="0.3">
      <c r="C6566"/>
      <c r="D6566"/>
      <c r="E6566"/>
      <c r="F6566"/>
      <c r="G6566"/>
      <c r="H6566"/>
    </row>
    <row r="6567" spans="3:8" x14ac:dyDescent="0.3">
      <c r="C6567"/>
      <c r="D6567"/>
      <c r="E6567"/>
      <c r="F6567"/>
      <c r="G6567"/>
      <c r="H6567"/>
    </row>
    <row r="6568" spans="3:8" x14ac:dyDescent="0.3">
      <c r="C6568"/>
      <c r="D6568"/>
      <c r="E6568"/>
      <c r="F6568"/>
      <c r="G6568"/>
      <c r="H6568"/>
    </row>
    <row r="6569" spans="3:8" x14ac:dyDescent="0.3">
      <c r="C6569"/>
      <c r="D6569"/>
      <c r="E6569"/>
      <c r="F6569"/>
      <c r="G6569"/>
      <c r="H6569"/>
    </row>
    <row r="6570" spans="3:8" x14ac:dyDescent="0.3">
      <c r="C6570"/>
      <c r="D6570"/>
      <c r="E6570"/>
      <c r="F6570"/>
      <c r="G6570"/>
      <c r="H6570"/>
    </row>
    <row r="6571" spans="3:8" x14ac:dyDescent="0.3">
      <c r="C6571"/>
      <c r="D6571"/>
      <c r="E6571"/>
      <c r="F6571"/>
      <c r="G6571"/>
      <c r="H6571"/>
    </row>
    <row r="6572" spans="3:8" x14ac:dyDescent="0.3">
      <c r="C6572"/>
      <c r="D6572"/>
      <c r="E6572"/>
      <c r="F6572"/>
      <c r="G6572"/>
      <c r="H6572"/>
    </row>
    <row r="6573" spans="3:8" x14ac:dyDescent="0.3">
      <c r="C6573"/>
      <c r="D6573"/>
      <c r="E6573"/>
      <c r="F6573"/>
      <c r="G6573"/>
      <c r="H6573"/>
    </row>
    <row r="6574" spans="3:8" x14ac:dyDescent="0.3">
      <c r="C6574"/>
      <c r="D6574"/>
      <c r="E6574"/>
      <c r="F6574"/>
      <c r="G6574"/>
      <c r="H6574"/>
    </row>
    <row r="6575" spans="3:8" x14ac:dyDescent="0.3">
      <c r="C6575"/>
      <c r="D6575"/>
      <c r="E6575"/>
      <c r="F6575"/>
      <c r="G6575"/>
      <c r="H6575"/>
    </row>
    <row r="6576" spans="3:8" x14ac:dyDescent="0.3">
      <c r="C6576"/>
      <c r="D6576"/>
      <c r="E6576"/>
      <c r="F6576"/>
      <c r="G6576"/>
      <c r="H6576"/>
    </row>
    <row r="6577" spans="3:8" x14ac:dyDescent="0.3">
      <c r="C6577"/>
      <c r="D6577"/>
      <c r="E6577"/>
      <c r="F6577"/>
      <c r="G6577"/>
      <c r="H6577"/>
    </row>
    <row r="6578" spans="3:8" x14ac:dyDescent="0.3">
      <c r="C6578"/>
      <c r="D6578"/>
      <c r="E6578"/>
      <c r="F6578"/>
      <c r="G6578"/>
      <c r="H6578"/>
    </row>
    <row r="6579" spans="3:8" x14ac:dyDescent="0.3">
      <c r="C6579"/>
      <c r="D6579"/>
      <c r="E6579"/>
      <c r="F6579"/>
      <c r="G6579"/>
      <c r="H6579"/>
    </row>
    <row r="6580" spans="3:8" x14ac:dyDescent="0.3">
      <c r="C6580"/>
      <c r="D6580"/>
      <c r="E6580"/>
      <c r="F6580"/>
      <c r="G6580"/>
      <c r="H6580"/>
    </row>
    <row r="6581" spans="3:8" x14ac:dyDescent="0.3">
      <c r="C6581"/>
      <c r="D6581"/>
      <c r="E6581"/>
      <c r="F6581"/>
      <c r="G6581"/>
      <c r="H6581"/>
    </row>
    <row r="6582" spans="3:8" x14ac:dyDescent="0.3">
      <c r="C6582"/>
      <c r="D6582"/>
      <c r="E6582"/>
      <c r="F6582"/>
      <c r="G6582"/>
      <c r="H6582"/>
    </row>
    <row r="6583" spans="3:8" x14ac:dyDescent="0.3">
      <c r="C6583"/>
      <c r="D6583"/>
      <c r="E6583"/>
      <c r="F6583"/>
      <c r="G6583"/>
      <c r="H6583"/>
    </row>
    <row r="6584" spans="3:8" x14ac:dyDescent="0.3">
      <c r="C6584"/>
      <c r="D6584"/>
      <c r="E6584"/>
      <c r="F6584"/>
      <c r="G6584"/>
      <c r="H6584"/>
    </row>
    <row r="6585" spans="3:8" x14ac:dyDescent="0.3">
      <c r="C6585"/>
      <c r="D6585"/>
      <c r="E6585"/>
      <c r="F6585"/>
      <c r="G6585"/>
      <c r="H6585"/>
    </row>
    <row r="6586" spans="3:8" x14ac:dyDescent="0.3">
      <c r="C6586"/>
      <c r="D6586"/>
      <c r="E6586"/>
      <c r="F6586"/>
      <c r="G6586"/>
      <c r="H6586"/>
    </row>
    <row r="6587" spans="3:8" x14ac:dyDescent="0.3">
      <c r="C6587"/>
      <c r="D6587"/>
      <c r="E6587"/>
      <c r="F6587"/>
      <c r="G6587"/>
      <c r="H6587"/>
    </row>
    <row r="6588" spans="3:8" x14ac:dyDescent="0.3">
      <c r="C6588"/>
      <c r="D6588"/>
      <c r="E6588"/>
      <c r="F6588"/>
      <c r="G6588"/>
      <c r="H6588"/>
    </row>
    <row r="6589" spans="3:8" x14ac:dyDescent="0.3">
      <c r="C6589"/>
      <c r="D6589"/>
      <c r="E6589"/>
      <c r="F6589"/>
      <c r="G6589"/>
      <c r="H6589"/>
    </row>
    <row r="6590" spans="3:8" x14ac:dyDescent="0.3">
      <c r="C6590"/>
      <c r="D6590"/>
      <c r="E6590"/>
      <c r="F6590"/>
      <c r="G6590"/>
      <c r="H6590"/>
    </row>
    <row r="6591" spans="3:8" x14ac:dyDescent="0.3">
      <c r="C6591"/>
      <c r="D6591"/>
      <c r="E6591"/>
      <c r="F6591"/>
      <c r="G6591"/>
      <c r="H6591"/>
    </row>
    <row r="6592" spans="3:8" x14ac:dyDescent="0.3">
      <c r="C6592"/>
      <c r="D6592"/>
      <c r="E6592"/>
      <c r="F6592"/>
      <c r="G6592"/>
      <c r="H6592"/>
    </row>
    <row r="6593" spans="3:8" x14ac:dyDescent="0.3">
      <c r="C6593"/>
      <c r="D6593"/>
      <c r="E6593"/>
      <c r="F6593"/>
      <c r="G6593"/>
      <c r="H6593"/>
    </row>
    <row r="6594" spans="3:8" x14ac:dyDescent="0.3">
      <c r="C6594"/>
      <c r="D6594"/>
      <c r="E6594"/>
      <c r="F6594"/>
      <c r="G6594"/>
      <c r="H6594"/>
    </row>
    <row r="6595" spans="3:8" x14ac:dyDescent="0.3">
      <c r="C6595"/>
      <c r="D6595"/>
      <c r="E6595"/>
      <c r="F6595"/>
      <c r="G6595"/>
      <c r="H6595"/>
    </row>
    <row r="6596" spans="3:8" x14ac:dyDescent="0.3">
      <c r="C6596"/>
      <c r="D6596"/>
      <c r="E6596"/>
      <c r="F6596"/>
      <c r="G6596"/>
      <c r="H6596"/>
    </row>
    <row r="6597" spans="3:8" x14ac:dyDescent="0.3">
      <c r="C6597"/>
      <c r="D6597"/>
      <c r="E6597"/>
      <c r="F6597"/>
      <c r="G6597"/>
      <c r="H6597"/>
    </row>
    <row r="6598" spans="3:8" x14ac:dyDescent="0.3">
      <c r="C6598"/>
      <c r="D6598"/>
      <c r="E6598"/>
      <c r="F6598"/>
      <c r="G6598"/>
      <c r="H6598"/>
    </row>
    <row r="6599" spans="3:8" x14ac:dyDescent="0.3">
      <c r="C6599"/>
      <c r="D6599"/>
      <c r="E6599"/>
      <c r="F6599"/>
      <c r="G6599"/>
      <c r="H6599"/>
    </row>
    <row r="6600" spans="3:8" x14ac:dyDescent="0.3">
      <c r="C6600"/>
      <c r="D6600"/>
      <c r="E6600"/>
      <c r="F6600"/>
      <c r="G6600"/>
      <c r="H6600"/>
    </row>
    <row r="6601" spans="3:8" x14ac:dyDescent="0.3">
      <c r="C6601"/>
      <c r="D6601"/>
      <c r="E6601"/>
      <c r="F6601"/>
      <c r="G6601"/>
      <c r="H6601"/>
    </row>
    <row r="6602" spans="3:8" x14ac:dyDescent="0.3">
      <c r="C6602"/>
      <c r="D6602"/>
      <c r="E6602"/>
      <c r="F6602"/>
      <c r="G6602"/>
      <c r="H6602"/>
    </row>
    <row r="6603" spans="3:8" x14ac:dyDescent="0.3">
      <c r="C6603"/>
      <c r="D6603"/>
      <c r="E6603"/>
      <c r="F6603"/>
      <c r="G6603"/>
      <c r="H6603"/>
    </row>
    <row r="6604" spans="3:8" x14ac:dyDescent="0.3">
      <c r="C6604"/>
      <c r="D6604"/>
      <c r="E6604"/>
      <c r="F6604"/>
      <c r="G6604"/>
      <c r="H6604"/>
    </row>
    <row r="6605" spans="3:8" x14ac:dyDescent="0.3">
      <c r="C6605"/>
      <c r="D6605"/>
      <c r="E6605"/>
      <c r="F6605"/>
      <c r="G6605"/>
      <c r="H6605"/>
    </row>
    <row r="6606" spans="3:8" x14ac:dyDescent="0.3">
      <c r="C6606"/>
      <c r="D6606"/>
      <c r="E6606"/>
      <c r="F6606"/>
      <c r="G6606"/>
      <c r="H6606"/>
    </row>
    <row r="6607" spans="3:8" x14ac:dyDescent="0.3">
      <c r="C6607"/>
      <c r="D6607"/>
      <c r="E6607"/>
      <c r="F6607"/>
      <c r="G6607"/>
      <c r="H6607"/>
    </row>
    <row r="6608" spans="3:8" x14ac:dyDescent="0.3">
      <c r="C6608"/>
      <c r="D6608"/>
      <c r="E6608"/>
      <c r="F6608"/>
      <c r="G6608"/>
      <c r="H6608"/>
    </row>
    <row r="6609" spans="3:8" x14ac:dyDescent="0.3">
      <c r="C6609"/>
      <c r="D6609"/>
      <c r="E6609"/>
      <c r="F6609"/>
      <c r="G6609"/>
      <c r="H6609"/>
    </row>
    <row r="6610" spans="3:8" x14ac:dyDescent="0.3">
      <c r="C6610"/>
      <c r="D6610"/>
      <c r="E6610"/>
      <c r="F6610"/>
      <c r="G6610"/>
      <c r="H6610"/>
    </row>
    <row r="6611" spans="3:8" x14ac:dyDescent="0.3">
      <c r="C6611"/>
      <c r="D6611"/>
      <c r="E6611"/>
      <c r="F6611"/>
      <c r="G6611"/>
      <c r="H6611"/>
    </row>
    <row r="6612" spans="3:8" x14ac:dyDescent="0.3">
      <c r="C6612"/>
      <c r="D6612"/>
      <c r="E6612"/>
      <c r="F6612"/>
      <c r="G6612"/>
      <c r="H6612"/>
    </row>
    <row r="6613" spans="3:8" x14ac:dyDescent="0.3">
      <c r="C6613"/>
      <c r="D6613"/>
      <c r="E6613"/>
      <c r="F6613"/>
      <c r="G6613"/>
      <c r="H6613"/>
    </row>
    <row r="6614" spans="3:8" x14ac:dyDescent="0.3">
      <c r="C6614"/>
      <c r="D6614"/>
      <c r="E6614"/>
      <c r="F6614"/>
      <c r="G6614"/>
      <c r="H6614"/>
    </row>
    <row r="6615" spans="3:8" x14ac:dyDescent="0.3">
      <c r="C6615"/>
      <c r="D6615"/>
      <c r="E6615"/>
      <c r="F6615"/>
      <c r="G6615"/>
      <c r="H6615"/>
    </row>
    <row r="6616" spans="3:8" x14ac:dyDescent="0.3">
      <c r="C6616"/>
      <c r="D6616"/>
      <c r="E6616"/>
      <c r="F6616"/>
      <c r="G6616"/>
      <c r="H6616"/>
    </row>
    <row r="6617" spans="3:8" x14ac:dyDescent="0.3">
      <c r="C6617"/>
      <c r="D6617"/>
      <c r="E6617"/>
      <c r="F6617"/>
      <c r="G6617"/>
      <c r="H6617"/>
    </row>
    <row r="6618" spans="3:8" x14ac:dyDescent="0.3">
      <c r="C6618"/>
      <c r="D6618"/>
      <c r="E6618"/>
      <c r="F6618"/>
      <c r="G6618"/>
      <c r="H6618"/>
    </row>
    <row r="6619" spans="3:8" x14ac:dyDescent="0.3">
      <c r="C6619"/>
      <c r="D6619"/>
      <c r="E6619"/>
      <c r="F6619"/>
      <c r="G6619"/>
      <c r="H6619"/>
    </row>
    <row r="6620" spans="3:8" x14ac:dyDescent="0.3">
      <c r="C6620"/>
      <c r="D6620"/>
      <c r="E6620"/>
      <c r="F6620"/>
      <c r="G6620"/>
      <c r="H6620"/>
    </row>
    <row r="6621" spans="3:8" x14ac:dyDescent="0.3">
      <c r="C6621"/>
      <c r="D6621"/>
      <c r="E6621"/>
      <c r="F6621"/>
      <c r="G6621"/>
      <c r="H6621"/>
    </row>
    <row r="6622" spans="3:8" x14ac:dyDescent="0.3">
      <c r="C6622"/>
      <c r="D6622"/>
      <c r="E6622"/>
      <c r="F6622"/>
      <c r="G6622"/>
      <c r="H6622"/>
    </row>
    <row r="6623" spans="3:8" x14ac:dyDescent="0.3">
      <c r="C6623"/>
      <c r="D6623"/>
      <c r="E6623"/>
      <c r="F6623"/>
      <c r="G6623"/>
      <c r="H6623"/>
    </row>
    <row r="6624" spans="3:8" x14ac:dyDescent="0.3">
      <c r="C6624"/>
      <c r="D6624"/>
      <c r="E6624"/>
      <c r="F6624"/>
      <c r="G6624"/>
      <c r="H6624"/>
    </row>
    <row r="6625" spans="3:8" x14ac:dyDescent="0.3">
      <c r="C6625"/>
      <c r="D6625"/>
      <c r="E6625"/>
      <c r="F6625"/>
      <c r="G6625"/>
      <c r="H6625"/>
    </row>
    <row r="6626" spans="3:8" x14ac:dyDescent="0.3">
      <c r="C6626"/>
      <c r="D6626"/>
      <c r="E6626"/>
      <c r="F6626"/>
      <c r="G6626"/>
      <c r="H6626"/>
    </row>
    <row r="6627" spans="3:8" x14ac:dyDescent="0.3">
      <c r="C6627"/>
      <c r="D6627"/>
      <c r="E6627"/>
      <c r="F6627"/>
      <c r="G6627"/>
      <c r="H6627"/>
    </row>
    <row r="6628" spans="3:8" x14ac:dyDescent="0.3">
      <c r="C6628"/>
      <c r="D6628"/>
      <c r="E6628"/>
      <c r="F6628"/>
      <c r="G6628"/>
      <c r="H6628"/>
    </row>
    <row r="6629" spans="3:8" x14ac:dyDescent="0.3">
      <c r="C6629"/>
      <c r="D6629"/>
      <c r="E6629"/>
      <c r="F6629"/>
      <c r="G6629"/>
      <c r="H6629"/>
    </row>
    <row r="6630" spans="3:8" x14ac:dyDescent="0.3">
      <c r="C6630"/>
      <c r="D6630"/>
      <c r="E6630"/>
      <c r="F6630"/>
      <c r="G6630"/>
      <c r="H6630"/>
    </row>
    <row r="6631" spans="3:8" x14ac:dyDescent="0.3">
      <c r="C6631"/>
      <c r="D6631"/>
      <c r="E6631"/>
      <c r="F6631"/>
      <c r="G6631"/>
      <c r="H6631"/>
    </row>
    <row r="6632" spans="3:8" x14ac:dyDescent="0.3">
      <c r="C6632"/>
      <c r="D6632"/>
      <c r="E6632"/>
      <c r="F6632"/>
      <c r="G6632"/>
      <c r="H6632"/>
    </row>
    <row r="6633" spans="3:8" x14ac:dyDescent="0.3">
      <c r="C6633"/>
      <c r="D6633"/>
      <c r="E6633"/>
      <c r="F6633"/>
      <c r="G6633"/>
      <c r="H6633"/>
    </row>
    <row r="6634" spans="3:8" x14ac:dyDescent="0.3">
      <c r="C6634"/>
      <c r="D6634"/>
      <c r="E6634"/>
      <c r="F6634"/>
      <c r="G6634"/>
      <c r="H6634"/>
    </row>
    <row r="6635" spans="3:8" x14ac:dyDescent="0.3">
      <c r="C6635"/>
      <c r="D6635"/>
      <c r="E6635"/>
      <c r="F6635"/>
      <c r="G6635"/>
      <c r="H6635"/>
    </row>
    <row r="6636" spans="3:8" x14ac:dyDescent="0.3">
      <c r="C6636"/>
      <c r="D6636"/>
      <c r="E6636"/>
      <c r="F6636"/>
      <c r="G6636"/>
      <c r="H6636"/>
    </row>
    <row r="6637" spans="3:8" x14ac:dyDescent="0.3">
      <c r="C6637"/>
      <c r="D6637"/>
      <c r="E6637"/>
      <c r="F6637"/>
      <c r="G6637"/>
      <c r="H6637"/>
    </row>
    <row r="6638" spans="3:8" x14ac:dyDescent="0.3">
      <c r="C6638"/>
      <c r="D6638"/>
      <c r="E6638"/>
      <c r="F6638"/>
      <c r="G6638"/>
      <c r="H6638"/>
    </row>
    <row r="6639" spans="3:8" x14ac:dyDescent="0.3">
      <c r="C6639"/>
      <c r="D6639"/>
      <c r="E6639"/>
      <c r="F6639"/>
      <c r="G6639"/>
      <c r="H6639"/>
    </row>
    <row r="6640" spans="3:8" x14ac:dyDescent="0.3">
      <c r="C6640"/>
      <c r="D6640"/>
      <c r="E6640"/>
      <c r="F6640"/>
      <c r="G6640"/>
      <c r="H6640"/>
    </row>
    <row r="6641" spans="3:8" x14ac:dyDescent="0.3">
      <c r="C6641"/>
      <c r="D6641"/>
      <c r="E6641"/>
      <c r="F6641"/>
      <c r="G6641"/>
      <c r="H6641"/>
    </row>
    <row r="6642" spans="3:8" x14ac:dyDescent="0.3">
      <c r="C6642"/>
      <c r="D6642"/>
      <c r="E6642"/>
      <c r="F6642"/>
      <c r="G6642"/>
      <c r="H6642"/>
    </row>
    <row r="6643" spans="3:8" x14ac:dyDescent="0.3">
      <c r="C6643"/>
      <c r="D6643"/>
      <c r="E6643"/>
      <c r="F6643"/>
      <c r="G6643"/>
      <c r="H6643"/>
    </row>
    <row r="6644" spans="3:8" x14ac:dyDescent="0.3">
      <c r="C6644"/>
      <c r="D6644"/>
      <c r="E6644"/>
      <c r="F6644"/>
      <c r="G6644"/>
      <c r="H6644"/>
    </row>
    <row r="6645" spans="3:8" x14ac:dyDescent="0.3">
      <c r="C6645"/>
      <c r="D6645"/>
      <c r="E6645"/>
      <c r="F6645"/>
      <c r="G6645"/>
      <c r="H6645"/>
    </row>
    <row r="6646" spans="3:8" x14ac:dyDescent="0.3">
      <c r="C6646"/>
      <c r="D6646"/>
      <c r="E6646"/>
      <c r="F6646"/>
      <c r="G6646"/>
      <c r="H6646"/>
    </row>
    <row r="6647" spans="3:8" x14ac:dyDescent="0.3">
      <c r="C6647"/>
      <c r="D6647"/>
      <c r="E6647"/>
      <c r="F6647"/>
      <c r="G6647"/>
      <c r="H6647"/>
    </row>
    <row r="6648" spans="3:8" x14ac:dyDescent="0.3">
      <c r="C6648"/>
      <c r="D6648"/>
      <c r="E6648"/>
      <c r="F6648"/>
      <c r="G6648"/>
      <c r="H6648"/>
    </row>
    <row r="6649" spans="3:8" x14ac:dyDescent="0.3">
      <c r="C6649"/>
      <c r="D6649"/>
      <c r="E6649"/>
      <c r="F6649"/>
      <c r="G6649"/>
      <c r="H6649"/>
    </row>
    <row r="6650" spans="3:8" x14ac:dyDescent="0.3">
      <c r="C6650"/>
      <c r="D6650"/>
      <c r="E6650"/>
      <c r="F6650"/>
      <c r="G6650"/>
      <c r="H6650"/>
    </row>
    <row r="6651" spans="3:8" x14ac:dyDescent="0.3">
      <c r="C6651"/>
      <c r="D6651"/>
      <c r="E6651"/>
      <c r="F6651"/>
      <c r="G6651"/>
      <c r="H6651"/>
    </row>
    <row r="6652" spans="3:8" x14ac:dyDescent="0.3">
      <c r="C6652"/>
      <c r="D6652"/>
      <c r="E6652"/>
      <c r="F6652"/>
      <c r="G6652"/>
      <c r="H6652"/>
    </row>
    <row r="6653" spans="3:8" x14ac:dyDescent="0.3">
      <c r="C6653"/>
      <c r="D6653"/>
      <c r="E6653"/>
      <c r="F6653"/>
      <c r="G6653"/>
      <c r="H6653"/>
    </row>
    <row r="6654" spans="3:8" x14ac:dyDescent="0.3">
      <c r="C6654"/>
      <c r="D6654"/>
      <c r="E6654"/>
      <c r="F6654"/>
      <c r="G6654"/>
      <c r="H6654"/>
    </row>
    <row r="6655" spans="3:8" x14ac:dyDescent="0.3">
      <c r="C6655"/>
      <c r="D6655"/>
      <c r="E6655"/>
      <c r="F6655"/>
      <c r="G6655"/>
      <c r="H6655"/>
    </row>
    <row r="6656" spans="3:8" x14ac:dyDescent="0.3">
      <c r="C6656"/>
      <c r="D6656"/>
      <c r="E6656"/>
      <c r="F6656"/>
      <c r="G6656"/>
      <c r="H6656"/>
    </row>
    <row r="6657" spans="3:8" x14ac:dyDescent="0.3">
      <c r="C6657"/>
      <c r="D6657"/>
      <c r="E6657"/>
      <c r="F6657"/>
      <c r="G6657"/>
      <c r="H6657"/>
    </row>
    <row r="6658" spans="3:8" x14ac:dyDescent="0.3">
      <c r="C6658"/>
      <c r="D6658"/>
      <c r="E6658"/>
      <c r="F6658"/>
      <c r="G6658"/>
      <c r="H6658"/>
    </row>
    <row r="6659" spans="3:8" x14ac:dyDescent="0.3">
      <c r="C6659"/>
      <c r="D6659"/>
      <c r="E6659"/>
      <c r="F6659"/>
      <c r="G6659"/>
      <c r="H6659"/>
    </row>
    <row r="6660" spans="3:8" x14ac:dyDescent="0.3">
      <c r="C6660"/>
      <c r="D6660"/>
      <c r="E6660"/>
      <c r="F6660"/>
      <c r="G6660"/>
      <c r="H6660"/>
    </row>
    <row r="6661" spans="3:8" x14ac:dyDescent="0.3">
      <c r="C6661"/>
      <c r="D6661"/>
      <c r="E6661"/>
      <c r="F6661"/>
      <c r="G6661"/>
      <c r="H6661"/>
    </row>
    <row r="6662" spans="3:8" x14ac:dyDescent="0.3">
      <c r="C6662"/>
      <c r="D6662"/>
      <c r="E6662"/>
      <c r="F6662"/>
      <c r="G6662"/>
      <c r="H6662"/>
    </row>
    <row r="6663" spans="3:8" x14ac:dyDescent="0.3">
      <c r="C6663"/>
      <c r="D6663"/>
      <c r="E6663"/>
      <c r="F6663"/>
      <c r="G6663"/>
      <c r="H6663"/>
    </row>
    <row r="6664" spans="3:8" x14ac:dyDescent="0.3">
      <c r="C6664"/>
      <c r="D6664"/>
      <c r="E6664"/>
      <c r="F6664"/>
      <c r="G6664"/>
      <c r="H6664"/>
    </row>
    <row r="6665" spans="3:8" x14ac:dyDescent="0.3">
      <c r="C6665"/>
      <c r="D6665"/>
      <c r="E6665"/>
      <c r="F6665"/>
      <c r="G6665"/>
      <c r="H6665"/>
    </row>
    <row r="6666" spans="3:8" x14ac:dyDescent="0.3">
      <c r="C6666"/>
      <c r="D6666"/>
      <c r="E6666"/>
      <c r="F6666"/>
      <c r="G6666"/>
      <c r="H6666"/>
    </row>
    <row r="6667" spans="3:8" x14ac:dyDescent="0.3">
      <c r="C6667"/>
      <c r="D6667"/>
      <c r="E6667"/>
      <c r="F6667"/>
      <c r="G6667"/>
      <c r="H6667"/>
    </row>
    <row r="6668" spans="3:8" x14ac:dyDescent="0.3">
      <c r="C6668"/>
      <c r="D6668"/>
      <c r="E6668"/>
      <c r="F6668"/>
      <c r="G6668"/>
      <c r="H6668"/>
    </row>
    <row r="6669" spans="3:8" x14ac:dyDescent="0.3">
      <c r="C6669"/>
      <c r="D6669"/>
      <c r="E6669"/>
      <c r="F6669"/>
      <c r="G6669"/>
      <c r="H6669"/>
    </row>
    <row r="6670" spans="3:8" x14ac:dyDescent="0.3">
      <c r="C6670"/>
      <c r="D6670"/>
      <c r="E6670"/>
      <c r="F6670"/>
      <c r="G6670"/>
      <c r="H6670"/>
    </row>
    <row r="6671" spans="3:8" x14ac:dyDescent="0.3">
      <c r="C6671"/>
      <c r="D6671"/>
      <c r="E6671"/>
      <c r="F6671"/>
      <c r="G6671"/>
      <c r="H6671"/>
    </row>
    <row r="6672" spans="3:8" x14ac:dyDescent="0.3">
      <c r="C6672"/>
      <c r="D6672"/>
      <c r="E6672"/>
      <c r="F6672"/>
      <c r="G6672"/>
      <c r="H6672"/>
    </row>
    <row r="6673" spans="3:8" x14ac:dyDescent="0.3">
      <c r="C6673"/>
      <c r="D6673"/>
      <c r="E6673"/>
      <c r="F6673"/>
      <c r="G6673"/>
      <c r="H6673"/>
    </row>
    <row r="6674" spans="3:8" x14ac:dyDescent="0.3">
      <c r="C6674"/>
      <c r="D6674"/>
      <c r="E6674"/>
      <c r="F6674"/>
      <c r="G6674"/>
      <c r="H6674"/>
    </row>
    <row r="6675" spans="3:8" x14ac:dyDescent="0.3">
      <c r="C6675"/>
      <c r="D6675"/>
      <c r="E6675"/>
      <c r="F6675"/>
      <c r="G6675"/>
      <c r="H6675"/>
    </row>
    <row r="6676" spans="3:8" x14ac:dyDescent="0.3">
      <c r="C6676"/>
      <c r="D6676"/>
      <c r="E6676"/>
      <c r="F6676"/>
      <c r="G6676"/>
      <c r="H6676"/>
    </row>
    <row r="6677" spans="3:8" x14ac:dyDescent="0.3">
      <c r="C6677"/>
      <c r="D6677"/>
      <c r="E6677"/>
      <c r="F6677"/>
      <c r="G6677"/>
      <c r="H6677"/>
    </row>
    <row r="6678" spans="3:8" x14ac:dyDescent="0.3">
      <c r="C6678"/>
      <c r="D6678"/>
      <c r="E6678"/>
      <c r="F6678"/>
      <c r="G6678"/>
      <c r="H6678"/>
    </row>
    <row r="6679" spans="3:8" x14ac:dyDescent="0.3">
      <c r="C6679"/>
      <c r="D6679"/>
      <c r="E6679"/>
      <c r="F6679"/>
      <c r="G6679"/>
      <c r="H6679"/>
    </row>
    <row r="6680" spans="3:8" x14ac:dyDescent="0.3">
      <c r="C6680"/>
      <c r="D6680"/>
      <c r="E6680"/>
      <c r="F6680"/>
      <c r="G6680"/>
      <c r="H6680"/>
    </row>
    <row r="6681" spans="3:8" x14ac:dyDescent="0.3">
      <c r="C6681"/>
      <c r="D6681"/>
      <c r="E6681"/>
      <c r="F6681"/>
      <c r="G6681"/>
      <c r="H6681"/>
    </row>
    <row r="6682" spans="3:8" x14ac:dyDescent="0.3">
      <c r="C6682"/>
      <c r="D6682"/>
      <c r="E6682"/>
      <c r="F6682"/>
      <c r="G6682"/>
      <c r="H6682"/>
    </row>
    <row r="6683" spans="3:8" x14ac:dyDescent="0.3">
      <c r="C6683"/>
      <c r="D6683"/>
      <c r="E6683"/>
      <c r="F6683"/>
      <c r="G6683"/>
      <c r="H6683"/>
    </row>
    <row r="6684" spans="3:8" x14ac:dyDescent="0.3">
      <c r="C6684"/>
      <c r="D6684"/>
      <c r="E6684"/>
      <c r="F6684"/>
      <c r="G6684"/>
      <c r="H6684"/>
    </row>
    <row r="6685" spans="3:8" x14ac:dyDescent="0.3">
      <c r="C6685"/>
      <c r="D6685"/>
      <c r="E6685"/>
      <c r="F6685"/>
      <c r="G6685"/>
      <c r="H6685"/>
    </row>
    <row r="6686" spans="3:8" x14ac:dyDescent="0.3">
      <c r="C6686"/>
      <c r="D6686"/>
      <c r="E6686"/>
      <c r="F6686"/>
      <c r="G6686"/>
      <c r="H6686"/>
    </row>
    <row r="6687" spans="3:8" x14ac:dyDescent="0.3">
      <c r="C6687"/>
      <c r="D6687"/>
      <c r="E6687"/>
      <c r="F6687"/>
      <c r="G6687"/>
      <c r="H6687"/>
    </row>
    <row r="6688" spans="3:8" x14ac:dyDescent="0.3">
      <c r="C6688"/>
      <c r="D6688"/>
      <c r="E6688"/>
      <c r="F6688"/>
      <c r="G6688"/>
      <c r="H6688"/>
    </row>
    <row r="6689" spans="3:8" x14ac:dyDescent="0.3">
      <c r="C6689"/>
      <c r="D6689"/>
      <c r="E6689"/>
      <c r="F6689"/>
      <c r="G6689"/>
      <c r="H6689"/>
    </row>
    <row r="6690" spans="3:8" x14ac:dyDescent="0.3">
      <c r="C6690"/>
      <c r="D6690"/>
      <c r="E6690"/>
      <c r="F6690"/>
      <c r="G6690"/>
      <c r="H6690"/>
    </row>
    <row r="6691" spans="3:8" x14ac:dyDescent="0.3">
      <c r="C6691"/>
      <c r="D6691"/>
      <c r="E6691"/>
      <c r="F6691"/>
      <c r="G6691"/>
      <c r="H6691"/>
    </row>
    <row r="6692" spans="3:8" x14ac:dyDescent="0.3">
      <c r="C6692"/>
      <c r="D6692"/>
      <c r="E6692"/>
      <c r="F6692"/>
      <c r="G6692"/>
      <c r="H6692"/>
    </row>
    <row r="6693" spans="3:8" x14ac:dyDescent="0.3">
      <c r="C6693"/>
      <c r="D6693"/>
      <c r="E6693"/>
      <c r="F6693"/>
      <c r="G6693"/>
      <c r="H6693"/>
    </row>
    <row r="6694" spans="3:8" x14ac:dyDescent="0.3">
      <c r="C6694"/>
      <c r="D6694"/>
      <c r="E6694"/>
      <c r="F6694"/>
      <c r="G6694"/>
      <c r="H6694"/>
    </row>
    <row r="6695" spans="3:8" x14ac:dyDescent="0.3">
      <c r="C6695"/>
      <c r="D6695"/>
      <c r="E6695"/>
      <c r="F6695"/>
      <c r="G6695"/>
      <c r="H6695"/>
    </row>
    <row r="6696" spans="3:8" x14ac:dyDescent="0.3">
      <c r="C6696"/>
      <c r="D6696"/>
      <c r="E6696"/>
      <c r="F6696"/>
      <c r="G6696"/>
      <c r="H6696"/>
    </row>
    <row r="6697" spans="3:8" x14ac:dyDescent="0.3">
      <c r="C6697"/>
      <c r="D6697"/>
      <c r="E6697"/>
      <c r="F6697"/>
      <c r="G6697"/>
      <c r="H6697"/>
    </row>
    <row r="6698" spans="3:8" x14ac:dyDescent="0.3">
      <c r="C6698"/>
      <c r="D6698"/>
      <c r="E6698"/>
      <c r="F6698"/>
      <c r="G6698"/>
      <c r="H6698"/>
    </row>
    <row r="6699" spans="3:8" x14ac:dyDescent="0.3">
      <c r="C6699"/>
      <c r="D6699"/>
      <c r="E6699"/>
      <c r="F6699"/>
      <c r="G6699"/>
      <c r="H6699"/>
    </row>
    <row r="6700" spans="3:8" x14ac:dyDescent="0.3">
      <c r="C6700"/>
      <c r="D6700"/>
      <c r="E6700"/>
      <c r="F6700"/>
      <c r="G6700"/>
      <c r="H6700"/>
    </row>
    <row r="6701" spans="3:8" x14ac:dyDescent="0.3">
      <c r="C6701"/>
      <c r="D6701"/>
      <c r="E6701"/>
      <c r="F6701"/>
      <c r="G6701"/>
      <c r="H6701"/>
    </row>
    <row r="6702" spans="3:8" x14ac:dyDescent="0.3">
      <c r="C6702"/>
      <c r="D6702"/>
      <c r="E6702"/>
      <c r="F6702"/>
      <c r="G6702"/>
      <c r="H6702"/>
    </row>
    <row r="6703" spans="3:8" x14ac:dyDescent="0.3">
      <c r="C6703"/>
      <c r="D6703"/>
      <c r="E6703"/>
      <c r="F6703"/>
      <c r="G6703"/>
      <c r="H6703"/>
    </row>
    <row r="6704" spans="3:8" x14ac:dyDescent="0.3">
      <c r="C6704"/>
      <c r="D6704"/>
      <c r="E6704"/>
      <c r="F6704"/>
      <c r="G6704"/>
      <c r="H6704"/>
    </row>
    <row r="6705" spans="3:8" x14ac:dyDescent="0.3">
      <c r="C6705"/>
      <c r="D6705"/>
      <c r="E6705"/>
      <c r="F6705"/>
      <c r="G6705"/>
      <c r="H6705"/>
    </row>
    <row r="6706" spans="3:8" x14ac:dyDescent="0.3">
      <c r="C6706"/>
      <c r="D6706"/>
      <c r="E6706"/>
      <c r="F6706"/>
      <c r="G6706"/>
      <c r="H6706"/>
    </row>
    <row r="6707" spans="3:8" x14ac:dyDescent="0.3">
      <c r="C6707"/>
      <c r="D6707"/>
      <c r="E6707"/>
      <c r="F6707"/>
      <c r="G6707"/>
      <c r="H6707"/>
    </row>
    <row r="6708" spans="3:8" x14ac:dyDescent="0.3">
      <c r="C6708"/>
      <c r="D6708"/>
      <c r="E6708"/>
      <c r="F6708"/>
      <c r="G6708"/>
      <c r="H6708"/>
    </row>
    <row r="6709" spans="3:8" x14ac:dyDescent="0.3">
      <c r="C6709"/>
      <c r="D6709"/>
      <c r="E6709"/>
      <c r="F6709"/>
      <c r="G6709"/>
      <c r="H6709"/>
    </row>
    <row r="6710" spans="3:8" x14ac:dyDescent="0.3">
      <c r="C6710"/>
      <c r="D6710"/>
      <c r="E6710"/>
      <c r="F6710"/>
      <c r="G6710"/>
      <c r="H6710"/>
    </row>
    <row r="6711" spans="3:8" x14ac:dyDescent="0.3">
      <c r="C6711"/>
      <c r="D6711"/>
      <c r="E6711"/>
      <c r="F6711"/>
      <c r="G6711"/>
      <c r="H6711"/>
    </row>
    <row r="6712" spans="3:8" x14ac:dyDescent="0.3">
      <c r="C6712"/>
      <c r="D6712"/>
      <c r="E6712"/>
      <c r="F6712"/>
      <c r="G6712"/>
      <c r="H6712"/>
    </row>
    <row r="6713" spans="3:8" x14ac:dyDescent="0.3">
      <c r="C6713"/>
      <c r="D6713"/>
      <c r="E6713"/>
      <c r="F6713"/>
      <c r="G6713"/>
      <c r="H6713"/>
    </row>
    <row r="6714" spans="3:8" x14ac:dyDescent="0.3">
      <c r="C6714"/>
      <c r="D6714"/>
      <c r="E6714"/>
      <c r="F6714"/>
      <c r="G6714"/>
      <c r="H6714"/>
    </row>
    <row r="6715" spans="3:8" x14ac:dyDescent="0.3">
      <c r="C6715"/>
      <c r="D6715"/>
      <c r="E6715"/>
      <c r="F6715"/>
      <c r="G6715"/>
      <c r="H6715"/>
    </row>
    <row r="6716" spans="3:8" x14ac:dyDescent="0.3">
      <c r="C6716"/>
      <c r="D6716"/>
      <c r="E6716"/>
      <c r="F6716"/>
      <c r="G6716"/>
      <c r="H6716"/>
    </row>
    <row r="6717" spans="3:8" x14ac:dyDescent="0.3">
      <c r="C6717"/>
      <c r="D6717"/>
      <c r="E6717"/>
      <c r="F6717"/>
      <c r="G6717"/>
      <c r="H6717"/>
    </row>
    <row r="6718" spans="3:8" x14ac:dyDescent="0.3">
      <c r="C6718"/>
      <c r="D6718"/>
      <c r="E6718"/>
      <c r="F6718"/>
      <c r="G6718"/>
      <c r="H6718"/>
    </row>
    <row r="6719" spans="3:8" x14ac:dyDescent="0.3">
      <c r="C6719"/>
      <c r="D6719"/>
      <c r="E6719"/>
      <c r="F6719"/>
      <c r="G6719"/>
      <c r="H6719"/>
    </row>
    <row r="6720" spans="3:8" x14ac:dyDescent="0.3">
      <c r="C6720"/>
      <c r="D6720"/>
      <c r="E6720"/>
      <c r="F6720"/>
      <c r="G6720"/>
      <c r="H6720"/>
    </row>
    <row r="6721" spans="3:8" x14ac:dyDescent="0.3">
      <c r="C6721"/>
      <c r="D6721"/>
      <c r="E6721"/>
      <c r="F6721"/>
      <c r="G6721"/>
      <c r="H6721"/>
    </row>
    <row r="6722" spans="3:8" x14ac:dyDescent="0.3">
      <c r="C6722"/>
      <c r="D6722"/>
      <c r="E6722"/>
      <c r="F6722"/>
      <c r="G6722"/>
      <c r="H6722"/>
    </row>
    <row r="6723" spans="3:8" x14ac:dyDescent="0.3">
      <c r="C6723"/>
      <c r="D6723"/>
      <c r="E6723"/>
      <c r="F6723"/>
      <c r="G6723"/>
      <c r="H6723"/>
    </row>
    <row r="6724" spans="3:8" x14ac:dyDescent="0.3">
      <c r="C6724"/>
      <c r="D6724"/>
      <c r="E6724"/>
      <c r="F6724"/>
      <c r="G6724"/>
      <c r="H6724"/>
    </row>
    <row r="6725" spans="3:8" x14ac:dyDescent="0.3">
      <c r="C6725"/>
      <c r="D6725"/>
      <c r="E6725"/>
      <c r="F6725"/>
      <c r="G6725"/>
      <c r="H6725"/>
    </row>
    <row r="6726" spans="3:8" x14ac:dyDescent="0.3">
      <c r="C6726"/>
      <c r="D6726"/>
      <c r="E6726"/>
      <c r="F6726"/>
      <c r="G6726"/>
      <c r="H6726"/>
    </row>
    <row r="6727" spans="3:8" x14ac:dyDescent="0.3">
      <c r="C6727"/>
      <c r="D6727"/>
      <c r="E6727"/>
      <c r="F6727"/>
      <c r="G6727"/>
      <c r="H6727"/>
    </row>
    <row r="6728" spans="3:8" x14ac:dyDescent="0.3">
      <c r="C6728"/>
      <c r="D6728"/>
      <c r="E6728"/>
      <c r="F6728"/>
      <c r="G6728"/>
      <c r="H6728"/>
    </row>
    <row r="6729" spans="3:8" x14ac:dyDescent="0.3">
      <c r="C6729"/>
      <c r="D6729"/>
      <c r="E6729"/>
      <c r="F6729"/>
      <c r="G6729"/>
      <c r="H6729"/>
    </row>
    <row r="6730" spans="3:8" x14ac:dyDescent="0.3">
      <c r="C6730"/>
      <c r="D6730"/>
      <c r="E6730"/>
      <c r="F6730"/>
      <c r="G6730"/>
      <c r="H6730"/>
    </row>
    <row r="6731" spans="3:8" x14ac:dyDescent="0.3">
      <c r="C6731"/>
      <c r="D6731"/>
      <c r="E6731"/>
      <c r="F6731"/>
      <c r="G6731"/>
      <c r="H6731"/>
    </row>
    <row r="6732" spans="3:8" x14ac:dyDescent="0.3">
      <c r="C6732"/>
      <c r="D6732"/>
      <c r="E6732"/>
      <c r="F6732"/>
      <c r="G6732"/>
      <c r="H6732"/>
    </row>
    <row r="6733" spans="3:8" x14ac:dyDescent="0.3">
      <c r="C6733"/>
      <c r="D6733"/>
      <c r="E6733"/>
      <c r="F6733"/>
      <c r="G6733"/>
      <c r="H6733"/>
    </row>
    <row r="6734" spans="3:8" x14ac:dyDescent="0.3">
      <c r="C6734"/>
      <c r="D6734"/>
      <c r="E6734"/>
      <c r="F6734"/>
      <c r="G6734"/>
      <c r="H6734"/>
    </row>
    <row r="6735" spans="3:8" x14ac:dyDescent="0.3">
      <c r="C6735"/>
      <c r="D6735"/>
      <c r="E6735"/>
      <c r="F6735"/>
      <c r="G6735"/>
      <c r="H6735"/>
    </row>
    <row r="6736" spans="3:8" x14ac:dyDescent="0.3">
      <c r="C6736"/>
      <c r="D6736"/>
      <c r="E6736"/>
      <c r="F6736"/>
      <c r="G6736"/>
      <c r="H6736"/>
    </row>
    <row r="6737" spans="3:8" x14ac:dyDescent="0.3">
      <c r="C6737"/>
      <c r="D6737"/>
      <c r="E6737"/>
      <c r="F6737"/>
      <c r="G6737"/>
      <c r="H6737"/>
    </row>
    <row r="6738" spans="3:8" x14ac:dyDescent="0.3">
      <c r="C6738"/>
      <c r="D6738"/>
      <c r="E6738"/>
      <c r="F6738"/>
      <c r="G6738"/>
      <c r="H6738"/>
    </row>
    <row r="6739" spans="3:8" x14ac:dyDescent="0.3">
      <c r="C6739"/>
      <c r="D6739"/>
      <c r="E6739"/>
      <c r="F6739"/>
      <c r="G6739"/>
      <c r="H6739"/>
    </row>
    <row r="6740" spans="3:8" x14ac:dyDescent="0.3">
      <c r="C6740"/>
      <c r="D6740"/>
      <c r="E6740"/>
      <c r="F6740"/>
      <c r="G6740"/>
      <c r="H6740"/>
    </row>
    <row r="6741" spans="3:8" x14ac:dyDescent="0.3">
      <c r="C6741"/>
      <c r="D6741"/>
      <c r="E6741"/>
      <c r="F6741"/>
      <c r="G6741"/>
      <c r="H6741"/>
    </row>
    <row r="6742" spans="3:8" x14ac:dyDescent="0.3">
      <c r="C6742"/>
      <c r="D6742"/>
      <c r="E6742"/>
      <c r="F6742"/>
      <c r="G6742"/>
      <c r="H6742"/>
    </row>
    <row r="6743" spans="3:8" x14ac:dyDescent="0.3">
      <c r="C6743"/>
      <c r="D6743"/>
      <c r="E6743"/>
      <c r="F6743"/>
      <c r="G6743"/>
      <c r="H6743"/>
    </row>
    <row r="6744" spans="3:8" x14ac:dyDescent="0.3">
      <c r="C6744"/>
      <c r="D6744"/>
      <c r="E6744"/>
      <c r="F6744"/>
      <c r="G6744"/>
      <c r="H6744"/>
    </row>
    <row r="6745" spans="3:8" x14ac:dyDescent="0.3">
      <c r="C6745"/>
      <c r="D6745"/>
      <c r="E6745"/>
      <c r="F6745"/>
      <c r="G6745"/>
      <c r="H6745"/>
    </row>
    <row r="6746" spans="3:8" x14ac:dyDescent="0.3">
      <c r="C6746"/>
      <c r="D6746"/>
      <c r="E6746"/>
      <c r="F6746"/>
      <c r="G6746"/>
      <c r="H6746"/>
    </row>
    <row r="6747" spans="3:8" x14ac:dyDescent="0.3">
      <c r="C6747"/>
      <c r="D6747"/>
      <c r="E6747"/>
      <c r="F6747"/>
      <c r="G6747"/>
      <c r="H6747"/>
    </row>
    <row r="6748" spans="3:8" x14ac:dyDescent="0.3">
      <c r="C6748"/>
      <c r="D6748"/>
      <c r="E6748"/>
      <c r="F6748"/>
      <c r="G6748"/>
      <c r="H6748"/>
    </row>
    <row r="6749" spans="3:8" x14ac:dyDescent="0.3">
      <c r="C6749"/>
      <c r="D6749"/>
      <c r="E6749"/>
      <c r="F6749"/>
      <c r="G6749"/>
      <c r="H6749"/>
    </row>
    <row r="6750" spans="3:8" x14ac:dyDescent="0.3">
      <c r="C6750"/>
      <c r="D6750"/>
      <c r="E6750"/>
      <c r="F6750"/>
      <c r="G6750"/>
      <c r="H6750"/>
    </row>
    <row r="6751" spans="3:8" x14ac:dyDescent="0.3">
      <c r="C6751"/>
      <c r="D6751"/>
      <c r="E6751"/>
      <c r="F6751"/>
      <c r="G6751"/>
      <c r="H6751"/>
    </row>
    <row r="6752" spans="3:8" x14ac:dyDescent="0.3">
      <c r="C6752"/>
      <c r="D6752"/>
      <c r="E6752"/>
      <c r="F6752"/>
      <c r="G6752"/>
      <c r="H6752"/>
    </row>
    <row r="6753" spans="3:8" x14ac:dyDescent="0.3">
      <c r="C6753"/>
      <c r="D6753"/>
      <c r="E6753"/>
      <c r="F6753"/>
      <c r="G6753"/>
      <c r="H6753"/>
    </row>
    <row r="6754" spans="3:8" x14ac:dyDescent="0.3">
      <c r="C6754"/>
      <c r="D6754"/>
      <c r="E6754"/>
      <c r="F6754"/>
      <c r="G6754"/>
      <c r="H6754"/>
    </row>
    <row r="6755" spans="3:8" x14ac:dyDescent="0.3">
      <c r="C6755"/>
      <c r="D6755"/>
      <c r="E6755"/>
      <c r="F6755"/>
      <c r="G6755"/>
      <c r="H6755"/>
    </row>
    <row r="6756" spans="3:8" x14ac:dyDescent="0.3">
      <c r="C6756"/>
      <c r="D6756"/>
      <c r="E6756"/>
      <c r="F6756"/>
      <c r="G6756"/>
      <c r="H6756"/>
    </row>
    <row r="6757" spans="3:8" x14ac:dyDescent="0.3">
      <c r="C6757"/>
      <c r="D6757"/>
      <c r="E6757"/>
      <c r="F6757"/>
      <c r="G6757"/>
      <c r="H6757"/>
    </row>
    <row r="6758" spans="3:8" x14ac:dyDescent="0.3">
      <c r="C6758"/>
      <c r="D6758"/>
      <c r="E6758"/>
      <c r="F6758"/>
      <c r="G6758"/>
      <c r="H6758"/>
    </row>
    <row r="6759" spans="3:8" x14ac:dyDescent="0.3">
      <c r="C6759"/>
      <c r="D6759"/>
      <c r="E6759"/>
      <c r="F6759"/>
      <c r="G6759"/>
      <c r="H6759"/>
    </row>
    <row r="6760" spans="3:8" x14ac:dyDescent="0.3">
      <c r="C6760"/>
      <c r="D6760"/>
      <c r="E6760"/>
      <c r="F6760"/>
      <c r="G6760"/>
      <c r="H6760"/>
    </row>
    <row r="6761" spans="3:8" x14ac:dyDescent="0.3">
      <c r="C6761"/>
      <c r="D6761"/>
      <c r="E6761"/>
      <c r="F6761"/>
      <c r="G6761"/>
      <c r="H6761"/>
    </row>
    <row r="6762" spans="3:8" x14ac:dyDescent="0.3">
      <c r="C6762"/>
      <c r="D6762"/>
      <c r="E6762"/>
      <c r="F6762"/>
      <c r="G6762"/>
      <c r="H6762"/>
    </row>
    <row r="6763" spans="3:8" x14ac:dyDescent="0.3">
      <c r="C6763"/>
      <c r="D6763"/>
      <c r="E6763"/>
      <c r="F6763"/>
      <c r="G6763"/>
      <c r="H6763"/>
    </row>
    <row r="6764" spans="3:8" x14ac:dyDescent="0.3">
      <c r="C6764"/>
      <c r="D6764"/>
      <c r="E6764"/>
      <c r="F6764"/>
      <c r="G6764"/>
      <c r="H6764"/>
    </row>
    <row r="6765" spans="3:8" x14ac:dyDescent="0.3">
      <c r="C6765"/>
      <c r="D6765"/>
      <c r="E6765"/>
      <c r="F6765"/>
      <c r="G6765"/>
      <c r="H6765"/>
    </row>
    <row r="6766" spans="3:8" x14ac:dyDescent="0.3">
      <c r="C6766"/>
      <c r="D6766"/>
      <c r="E6766"/>
      <c r="F6766"/>
      <c r="G6766"/>
      <c r="H6766"/>
    </row>
    <row r="6767" spans="3:8" x14ac:dyDescent="0.3">
      <c r="C6767"/>
      <c r="D6767"/>
      <c r="E6767"/>
      <c r="F6767"/>
      <c r="G6767"/>
      <c r="H6767"/>
    </row>
    <row r="6768" spans="3:8" x14ac:dyDescent="0.3">
      <c r="C6768"/>
      <c r="D6768"/>
      <c r="E6768"/>
      <c r="F6768"/>
      <c r="G6768"/>
      <c r="H6768"/>
    </row>
    <row r="6769" spans="3:8" x14ac:dyDescent="0.3">
      <c r="C6769"/>
      <c r="D6769"/>
      <c r="E6769"/>
      <c r="F6769"/>
      <c r="G6769"/>
      <c r="H6769"/>
    </row>
    <row r="6770" spans="3:8" x14ac:dyDescent="0.3">
      <c r="C6770"/>
      <c r="D6770"/>
      <c r="E6770"/>
      <c r="F6770"/>
      <c r="G6770"/>
      <c r="H6770"/>
    </row>
    <row r="6771" spans="3:8" x14ac:dyDescent="0.3">
      <c r="C6771"/>
      <c r="D6771"/>
      <c r="E6771"/>
      <c r="F6771"/>
      <c r="G6771"/>
      <c r="H6771"/>
    </row>
    <row r="6772" spans="3:8" x14ac:dyDescent="0.3">
      <c r="C6772"/>
      <c r="D6772"/>
      <c r="E6772"/>
      <c r="F6772"/>
      <c r="G6772"/>
      <c r="H6772"/>
    </row>
    <row r="6773" spans="3:8" x14ac:dyDescent="0.3">
      <c r="C6773"/>
      <c r="D6773"/>
      <c r="E6773"/>
      <c r="F6773"/>
      <c r="G6773"/>
      <c r="H6773"/>
    </row>
    <row r="6774" spans="3:8" x14ac:dyDescent="0.3">
      <c r="C6774"/>
      <c r="D6774"/>
      <c r="E6774"/>
      <c r="F6774"/>
      <c r="G6774"/>
      <c r="H6774"/>
    </row>
    <row r="6775" spans="3:8" x14ac:dyDescent="0.3">
      <c r="C6775"/>
      <c r="D6775"/>
      <c r="E6775"/>
      <c r="F6775"/>
      <c r="G6775"/>
      <c r="H6775"/>
    </row>
    <row r="6776" spans="3:8" x14ac:dyDescent="0.3">
      <c r="C6776"/>
      <c r="D6776"/>
      <c r="E6776"/>
      <c r="F6776"/>
      <c r="G6776"/>
      <c r="H6776"/>
    </row>
    <row r="6777" spans="3:8" x14ac:dyDescent="0.3">
      <c r="C6777"/>
      <c r="D6777"/>
      <c r="E6777"/>
      <c r="F6777"/>
      <c r="G6777"/>
      <c r="H6777"/>
    </row>
    <row r="6778" spans="3:8" x14ac:dyDescent="0.3">
      <c r="C6778"/>
      <c r="D6778"/>
      <c r="E6778"/>
      <c r="F6778"/>
      <c r="G6778"/>
      <c r="H6778"/>
    </row>
    <row r="6779" spans="3:8" x14ac:dyDescent="0.3">
      <c r="C6779"/>
      <c r="D6779"/>
      <c r="E6779"/>
      <c r="F6779"/>
      <c r="G6779"/>
      <c r="H6779"/>
    </row>
    <row r="6780" spans="3:8" x14ac:dyDescent="0.3">
      <c r="C6780"/>
      <c r="D6780"/>
      <c r="E6780"/>
      <c r="F6780"/>
      <c r="G6780"/>
      <c r="H6780"/>
    </row>
    <row r="6781" spans="3:8" x14ac:dyDescent="0.3">
      <c r="C6781"/>
      <c r="D6781"/>
      <c r="E6781"/>
      <c r="F6781"/>
      <c r="G6781"/>
      <c r="H6781"/>
    </row>
    <row r="6782" spans="3:8" x14ac:dyDescent="0.3">
      <c r="C6782"/>
      <c r="D6782"/>
      <c r="E6782"/>
      <c r="F6782"/>
      <c r="G6782"/>
      <c r="H6782"/>
    </row>
    <row r="6783" spans="3:8" x14ac:dyDescent="0.3">
      <c r="C6783"/>
      <c r="D6783"/>
      <c r="E6783"/>
      <c r="F6783"/>
      <c r="G6783"/>
      <c r="H6783"/>
    </row>
    <row r="6784" spans="3:8" x14ac:dyDescent="0.3">
      <c r="C6784"/>
      <c r="D6784"/>
      <c r="E6784"/>
      <c r="F6784"/>
      <c r="G6784"/>
      <c r="H6784"/>
    </row>
    <row r="6785" spans="3:8" x14ac:dyDescent="0.3">
      <c r="C6785"/>
      <c r="D6785"/>
      <c r="E6785"/>
      <c r="F6785"/>
      <c r="G6785"/>
      <c r="H6785"/>
    </row>
    <row r="6786" spans="3:8" x14ac:dyDescent="0.3">
      <c r="C6786"/>
      <c r="D6786"/>
      <c r="E6786"/>
      <c r="F6786"/>
      <c r="G6786"/>
      <c r="H6786"/>
    </row>
    <row r="6787" spans="3:8" x14ac:dyDescent="0.3">
      <c r="C6787"/>
      <c r="D6787"/>
      <c r="E6787"/>
      <c r="F6787"/>
      <c r="G6787"/>
      <c r="H6787"/>
    </row>
    <row r="6788" spans="3:8" x14ac:dyDescent="0.3">
      <c r="C6788"/>
      <c r="D6788"/>
      <c r="E6788"/>
      <c r="F6788"/>
      <c r="G6788"/>
      <c r="H6788"/>
    </row>
    <row r="6789" spans="3:8" x14ac:dyDescent="0.3">
      <c r="C6789"/>
      <c r="D6789"/>
      <c r="E6789"/>
      <c r="F6789"/>
      <c r="G6789"/>
      <c r="H6789"/>
    </row>
    <row r="6790" spans="3:8" x14ac:dyDescent="0.3">
      <c r="C6790"/>
      <c r="D6790"/>
      <c r="E6790"/>
      <c r="F6790"/>
      <c r="G6790"/>
      <c r="H6790"/>
    </row>
    <row r="6791" spans="3:8" x14ac:dyDescent="0.3">
      <c r="C6791"/>
      <c r="D6791"/>
      <c r="E6791"/>
      <c r="F6791"/>
      <c r="G6791"/>
      <c r="H6791"/>
    </row>
    <row r="6792" spans="3:8" x14ac:dyDescent="0.3">
      <c r="C6792"/>
      <c r="D6792"/>
      <c r="E6792"/>
      <c r="F6792"/>
      <c r="G6792"/>
      <c r="H6792"/>
    </row>
    <row r="6793" spans="3:8" x14ac:dyDescent="0.3">
      <c r="C6793"/>
      <c r="D6793"/>
      <c r="E6793"/>
      <c r="F6793"/>
      <c r="G6793"/>
      <c r="H6793"/>
    </row>
    <row r="6794" spans="3:8" x14ac:dyDescent="0.3">
      <c r="C6794"/>
      <c r="D6794"/>
      <c r="E6794"/>
      <c r="F6794"/>
      <c r="G6794"/>
      <c r="H6794"/>
    </row>
    <row r="6795" spans="3:8" x14ac:dyDescent="0.3">
      <c r="C6795"/>
      <c r="D6795"/>
      <c r="E6795"/>
      <c r="F6795"/>
      <c r="G6795"/>
      <c r="H6795"/>
    </row>
    <row r="6796" spans="3:8" x14ac:dyDescent="0.3">
      <c r="C6796"/>
      <c r="D6796"/>
      <c r="E6796"/>
      <c r="F6796"/>
      <c r="G6796"/>
      <c r="H6796"/>
    </row>
    <row r="6797" spans="3:8" x14ac:dyDescent="0.3">
      <c r="C6797"/>
      <c r="D6797"/>
      <c r="E6797"/>
      <c r="F6797"/>
      <c r="G6797"/>
      <c r="H6797"/>
    </row>
    <row r="6798" spans="3:8" x14ac:dyDescent="0.3">
      <c r="C6798"/>
      <c r="D6798"/>
      <c r="E6798"/>
      <c r="F6798"/>
      <c r="G6798"/>
      <c r="H6798"/>
    </row>
    <row r="6799" spans="3:8" x14ac:dyDescent="0.3">
      <c r="C6799"/>
      <c r="D6799"/>
      <c r="E6799"/>
      <c r="F6799"/>
      <c r="G6799"/>
      <c r="H6799"/>
    </row>
    <row r="6800" spans="3:8" x14ac:dyDescent="0.3">
      <c r="C6800"/>
      <c r="D6800"/>
      <c r="E6800"/>
      <c r="F6800"/>
      <c r="G6800"/>
      <c r="H6800"/>
    </row>
    <row r="6801" spans="3:8" x14ac:dyDescent="0.3">
      <c r="C6801"/>
      <c r="D6801"/>
      <c r="E6801"/>
      <c r="F6801"/>
      <c r="G6801"/>
      <c r="H6801"/>
    </row>
    <row r="6802" spans="3:8" x14ac:dyDescent="0.3">
      <c r="C6802"/>
      <c r="D6802"/>
      <c r="E6802"/>
      <c r="F6802"/>
      <c r="G6802"/>
      <c r="H6802"/>
    </row>
    <row r="6803" spans="3:8" x14ac:dyDescent="0.3">
      <c r="C6803"/>
      <c r="D6803"/>
      <c r="E6803"/>
      <c r="F6803"/>
      <c r="G6803"/>
      <c r="H6803"/>
    </row>
    <row r="6804" spans="3:8" x14ac:dyDescent="0.3">
      <c r="C6804"/>
      <c r="D6804"/>
      <c r="E6804"/>
      <c r="F6804"/>
      <c r="G6804"/>
      <c r="H6804"/>
    </row>
    <row r="6805" spans="3:8" x14ac:dyDescent="0.3">
      <c r="C6805"/>
      <c r="D6805"/>
      <c r="E6805"/>
      <c r="F6805"/>
      <c r="G6805"/>
      <c r="H6805"/>
    </row>
    <row r="6806" spans="3:8" x14ac:dyDescent="0.3">
      <c r="C6806"/>
      <c r="D6806"/>
      <c r="E6806"/>
      <c r="F6806"/>
      <c r="G6806"/>
      <c r="H6806"/>
    </row>
    <row r="6807" spans="3:8" x14ac:dyDescent="0.3">
      <c r="C6807"/>
      <c r="D6807"/>
      <c r="E6807"/>
      <c r="F6807"/>
      <c r="G6807"/>
      <c r="H6807"/>
    </row>
    <row r="6808" spans="3:8" x14ac:dyDescent="0.3">
      <c r="C6808"/>
      <c r="D6808"/>
      <c r="E6808"/>
      <c r="F6808"/>
      <c r="G6808"/>
      <c r="H6808"/>
    </row>
    <row r="6809" spans="3:8" x14ac:dyDescent="0.3">
      <c r="C6809"/>
      <c r="D6809"/>
      <c r="E6809"/>
      <c r="F6809"/>
      <c r="G6809"/>
      <c r="H6809"/>
    </row>
    <row r="6810" spans="3:8" x14ac:dyDescent="0.3">
      <c r="C6810"/>
      <c r="D6810"/>
      <c r="E6810"/>
      <c r="F6810"/>
      <c r="G6810"/>
      <c r="H6810"/>
    </row>
    <row r="6811" spans="3:8" x14ac:dyDescent="0.3">
      <c r="C6811"/>
      <c r="D6811"/>
      <c r="E6811"/>
      <c r="F6811"/>
      <c r="G6811"/>
      <c r="H6811"/>
    </row>
    <row r="6812" spans="3:8" x14ac:dyDescent="0.3">
      <c r="C6812"/>
      <c r="D6812"/>
      <c r="E6812"/>
      <c r="F6812"/>
      <c r="G6812"/>
      <c r="H6812"/>
    </row>
    <row r="6813" spans="3:8" x14ac:dyDescent="0.3">
      <c r="C6813"/>
      <c r="D6813"/>
      <c r="E6813"/>
      <c r="F6813"/>
      <c r="G6813"/>
      <c r="H6813"/>
    </row>
    <row r="6814" spans="3:8" x14ac:dyDescent="0.3">
      <c r="C6814"/>
      <c r="D6814"/>
      <c r="E6814"/>
      <c r="F6814"/>
      <c r="G6814"/>
      <c r="H6814"/>
    </row>
    <row r="6815" spans="3:8" x14ac:dyDescent="0.3">
      <c r="C6815"/>
      <c r="D6815"/>
      <c r="E6815"/>
      <c r="F6815"/>
      <c r="G6815"/>
      <c r="H6815"/>
    </row>
    <row r="6816" spans="3:8" x14ac:dyDescent="0.3">
      <c r="C6816"/>
      <c r="D6816"/>
      <c r="E6816"/>
      <c r="F6816"/>
      <c r="G6816"/>
      <c r="H6816"/>
    </row>
    <row r="6817" spans="3:8" x14ac:dyDescent="0.3">
      <c r="C6817"/>
      <c r="D6817"/>
      <c r="E6817"/>
      <c r="F6817"/>
      <c r="G6817"/>
      <c r="H6817"/>
    </row>
    <row r="6818" spans="3:8" x14ac:dyDescent="0.3">
      <c r="C6818"/>
      <c r="D6818"/>
      <c r="E6818"/>
      <c r="F6818"/>
      <c r="G6818"/>
      <c r="H6818"/>
    </row>
    <row r="6819" spans="3:8" x14ac:dyDescent="0.3">
      <c r="C6819"/>
      <c r="D6819"/>
      <c r="E6819"/>
      <c r="F6819"/>
      <c r="G6819"/>
      <c r="H6819"/>
    </row>
    <row r="6820" spans="3:8" x14ac:dyDescent="0.3">
      <c r="C6820"/>
      <c r="D6820"/>
      <c r="E6820"/>
      <c r="F6820"/>
      <c r="G6820"/>
      <c r="H6820"/>
    </row>
    <row r="6821" spans="3:8" x14ac:dyDescent="0.3">
      <c r="C6821"/>
      <c r="D6821"/>
      <c r="E6821"/>
      <c r="F6821"/>
      <c r="G6821"/>
      <c r="H6821"/>
    </row>
    <row r="6822" spans="3:8" x14ac:dyDescent="0.3">
      <c r="C6822"/>
      <c r="D6822"/>
      <c r="E6822"/>
      <c r="F6822"/>
      <c r="G6822"/>
      <c r="H6822"/>
    </row>
    <row r="6823" spans="3:8" x14ac:dyDescent="0.3">
      <c r="C6823"/>
      <c r="D6823"/>
      <c r="E6823"/>
      <c r="F6823"/>
      <c r="G6823"/>
      <c r="H6823"/>
    </row>
    <row r="6824" spans="3:8" x14ac:dyDescent="0.3">
      <c r="C6824"/>
      <c r="D6824"/>
      <c r="E6824"/>
      <c r="F6824"/>
      <c r="G6824"/>
      <c r="H6824"/>
    </row>
    <row r="6825" spans="3:8" x14ac:dyDescent="0.3">
      <c r="C6825"/>
      <c r="D6825"/>
      <c r="E6825"/>
      <c r="F6825"/>
      <c r="G6825"/>
      <c r="H6825"/>
    </row>
    <row r="6826" spans="3:8" x14ac:dyDescent="0.3">
      <c r="C6826"/>
      <c r="D6826"/>
      <c r="E6826"/>
      <c r="F6826"/>
      <c r="G6826"/>
      <c r="H6826"/>
    </row>
    <row r="6827" spans="3:8" x14ac:dyDescent="0.3">
      <c r="C6827"/>
      <c r="D6827"/>
      <c r="E6827"/>
      <c r="F6827"/>
      <c r="G6827"/>
      <c r="H6827"/>
    </row>
    <row r="6828" spans="3:8" x14ac:dyDescent="0.3">
      <c r="C6828"/>
      <c r="D6828"/>
      <c r="E6828"/>
      <c r="F6828"/>
      <c r="G6828"/>
      <c r="H6828"/>
    </row>
    <row r="6829" spans="3:8" x14ac:dyDescent="0.3">
      <c r="C6829"/>
      <c r="D6829"/>
      <c r="E6829"/>
      <c r="F6829"/>
      <c r="G6829"/>
      <c r="H6829"/>
    </row>
    <row r="6830" spans="3:8" x14ac:dyDescent="0.3">
      <c r="C6830"/>
      <c r="D6830"/>
      <c r="E6830"/>
      <c r="F6830"/>
      <c r="G6830"/>
      <c r="H6830"/>
    </row>
    <row r="6831" spans="3:8" x14ac:dyDescent="0.3">
      <c r="C6831"/>
      <c r="D6831"/>
      <c r="E6831"/>
      <c r="F6831"/>
      <c r="G6831"/>
      <c r="H6831"/>
    </row>
    <row r="6832" spans="3:8" x14ac:dyDescent="0.3">
      <c r="C6832"/>
      <c r="D6832"/>
      <c r="E6832"/>
      <c r="F6832"/>
      <c r="G6832"/>
      <c r="H6832"/>
    </row>
    <row r="6833" spans="3:8" x14ac:dyDescent="0.3">
      <c r="C6833"/>
      <c r="D6833"/>
      <c r="E6833"/>
      <c r="F6833"/>
      <c r="G6833"/>
      <c r="H6833"/>
    </row>
    <row r="6834" spans="3:8" x14ac:dyDescent="0.3">
      <c r="C6834"/>
      <c r="D6834"/>
      <c r="E6834"/>
      <c r="F6834"/>
      <c r="G6834"/>
      <c r="H6834"/>
    </row>
    <row r="6835" spans="3:8" x14ac:dyDescent="0.3">
      <c r="C6835"/>
      <c r="D6835"/>
      <c r="E6835"/>
      <c r="F6835"/>
      <c r="G6835"/>
      <c r="H6835"/>
    </row>
    <row r="6836" spans="3:8" x14ac:dyDescent="0.3">
      <c r="C6836"/>
      <c r="D6836"/>
      <c r="E6836"/>
      <c r="F6836"/>
      <c r="G6836"/>
      <c r="H6836"/>
    </row>
    <row r="6837" spans="3:8" x14ac:dyDescent="0.3">
      <c r="C6837"/>
      <c r="D6837"/>
      <c r="E6837"/>
      <c r="F6837"/>
      <c r="G6837"/>
      <c r="H6837"/>
    </row>
    <row r="6838" spans="3:8" x14ac:dyDescent="0.3">
      <c r="C6838"/>
      <c r="D6838"/>
      <c r="E6838"/>
      <c r="F6838"/>
      <c r="G6838"/>
      <c r="H6838"/>
    </row>
    <row r="6839" spans="3:8" x14ac:dyDescent="0.3">
      <c r="C6839"/>
      <c r="D6839"/>
      <c r="E6839"/>
      <c r="F6839"/>
      <c r="G6839"/>
      <c r="H6839"/>
    </row>
    <row r="6840" spans="3:8" x14ac:dyDescent="0.3">
      <c r="C6840"/>
      <c r="D6840"/>
      <c r="E6840"/>
      <c r="F6840"/>
      <c r="G6840"/>
      <c r="H6840"/>
    </row>
    <row r="6841" spans="3:8" x14ac:dyDescent="0.3">
      <c r="C6841"/>
      <c r="D6841"/>
      <c r="E6841"/>
      <c r="F6841"/>
      <c r="G6841"/>
      <c r="H6841"/>
    </row>
    <row r="6842" spans="3:8" x14ac:dyDescent="0.3">
      <c r="C6842"/>
      <c r="D6842"/>
      <c r="E6842"/>
      <c r="F6842"/>
      <c r="G6842"/>
      <c r="H6842"/>
    </row>
    <row r="6843" spans="3:8" x14ac:dyDescent="0.3">
      <c r="C6843"/>
      <c r="D6843"/>
      <c r="E6843"/>
      <c r="F6843"/>
      <c r="G6843"/>
      <c r="H6843"/>
    </row>
    <row r="6844" spans="3:8" x14ac:dyDescent="0.3">
      <c r="C6844"/>
      <c r="D6844"/>
      <c r="E6844"/>
      <c r="F6844"/>
      <c r="G6844"/>
      <c r="H6844"/>
    </row>
    <row r="6845" spans="3:8" x14ac:dyDescent="0.3">
      <c r="C6845"/>
      <c r="D6845"/>
      <c r="E6845"/>
      <c r="F6845"/>
      <c r="G6845"/>
      <c r="H6845"/>
    </row>
    <row r="6846" spans="3:8" x14ac:dyDescent="0.3">
      <c r="C6846"/>
      <c r="D6846"/>
      <c r="E6846"/>
      <c r="F6846"/>
      <c r="G6846"/>
      <c r="H6846"/>
    </row>
    <row r="6847" spans="3:8" x14ac:dyDescent="0.3">
      <c r="C6847"/>
      <c r="D6847"/>
      <c r="E6847"/>
      <c r="F6847"/>
      <c r="G6847"/>
      <c r="H6847"/>
    </row>
    <row r="6848" spans="3:8" x14ac:dyDescent="0.3">
      <c r="C6848"/>
      <c r="D6848"/>
      <c r="E6848"/>
      <c r="F6848"/>
      <c r="G6848"/>
      <c r="H6848"/>
    </row>
    <row r="6849" spans="3:8" x14ac:dyDescent="0.3">
      <c r="C6849"/>
      <c r="D6849"/>
      <c r="E6849"/>
      <c r="F6849"/>
      <c r="G6849"/>
      <c r="H6849"/>
    </row>
    <row r="6850" spans="3:8" x14ac:dyDescent="0.3">
      <c r="C6850"/>
      <c r="D6850"/>
      <c r="E6850"/>
      <c r="F6850"/>
      <c r="G6850"/>
      <c r="H6850"/>
    </row>
    <row r="6851" spans="3:8" x14ac:dyDescent="0.3">
      <c r="C6851"/>
      <c r="D6851"/>
      <c r="E6851"/>
      <c r="F6851"/>
      <c r="G6851"/>
      <c r="H6851"/>
    </row>
    <row r="6852" spans="3:8" x14ac:dyDescent="0.3">
      <c r="C6852"/>
      <c r="D6852"/>
      <c r="E6852"/>
      <c r="F6852"/>
      <c r="G6852"/>
      <c r="H6852"/>
    </row>
    <row r="6853" spans="3:8" x14ac:dyDescent="0.3">
      <c r="C6853"/>
      <c r="D6853"/>
      <c r="E6853"/>
      <c r="F6853"/>
      <c r="G6853"/>
      <c r="H6853"/>
    </row>
    <row r="6854" spans="3:8" x14ac:dyDescent="0.3">
      <c r="C6854"/>
      <c r="D6854"/>
      <c r="E6854"/>
      <c r="F6854"/>
      <c r="G6854"/>
      <c r="H6854"/>
    </row>
    <row r="6855" spans="3:8" x14ac:dyDescent="0.3">
      <c r="C6855"/>
      <c r="D6855"/>
      <c r="E6855"/>
      <c r="F6855"/>
      <c r="G6855"/>
      <c r="H6855"/>
    </row>
    <row r="6856" spans="3:8" x14ac:dyDescent="0.3">
      <c r="C6856"/>
      <c r="D6856"/>
      <c r="E6856"/>
      <c r="F6856"/>
      <c r="G6856"/>
      <c r="H6856"/>
    </row>
    <row r="6857" spans="3:8" x14ac:dyDescent="0.3">
      <c r="C6857"/>
      <c r="D6857"/>
      <c r="E6857"/>
      <c r="F6857"/>
      <c r="G6857"/>
      <c r="H6857"/>
    </row>
    <row r="6858" spans="3:8" x14ac:dyDescent="0.3">
      <c r="C6858"/>
      <c r="D6858"/>
      <c r="E6858"/>
      <c r="F6858"/>
      <c r="G6858"/>
      <c r="H6858"/>
    </row>
    <row r="6859" spans="3:8" x14ac:dyDescent="0.3">
      <c r="C6859"/>
      <c r="D6859"/>
      <c r="E6859"/>
      <c r="F6859"/>
      <c r="G6859"/>
      <c r="H6859"/>
    </row>
    <row r="6860" spans="3:8" x14ac:dyDescent="0.3">
      <c r="C6860"/>
      <c r="D6860"/>
      <c r="E6860"/>
      <c r="F6860"/>
      <c r="G6860"/>
      <c r="H6860"/>
    </row>
    <row r="6861" spans="3:8" x14ac:dyDescent="0.3">
      <c r="C6861"/>
      <c r="D6861"/>
      <c r="E6861"/>
      <c r="F6861"/>
      <c r="G6861"/>
      <c r="H6861"/>
    </row>
    <row r="6862" spans="3:8" x14ac:dyDescent="0.3">
      <c r="C6862"/>
      <c r="D6862"/>
      <c r="E6862"/>
      <c r="F6862"/>
      <c r="G6862"/>
      <c r="H6862"/>
    </row>
    <row r="6863" spans="3:8" x14ac:dyDescent="0.3">
      <c r="C6863"/>
      <c r="D6863"/>
      <c r="E6863"/>
      <c r="F6863"/>
      <c r="G6863"/>
      <c r="H6863"/>
    </row>
    <row r="6864" spans="3:8" x14ac:dyDescent="0.3">
      <c r="C6864"/>
      <c r="D6864"/>
      <c r="E6864"/>
      <c r="F6864"/>
      <c r="G6864"/>
      <c r="H6864"/>
    </row>
    <row r="6865" spans="3:8" x14ac:dyDescent="0.3">
      <c r="C6865"/>
      <c r="D6865"/>
      <c r="E6865"/>
      <c r="F6865"/>
      <c r="G6865"/>
      <c r="H6865"/>
    </row>
    <row r="6866" spans="3:8" x14ac:dyDescent="0.3">
      <c r="C6866"/>
      <c r="D6866"/>
      <c r="E6866"/>
      <c r="F6866"/>
      <c r="G6866"/>
      <c r="H6866"/>
    </row>
    <row r="6867" spans="3:8" x14ac:dyDescent="0.3">
      <c r="C6867"/>
      <c r="D6867"/>
      <c r="E6867"/>
      <c r="F6867"/>
      <c r="G6867"/>
      <c r="H6867"/>
    </row>
    <row r="6868" spans="3:8" x14ac:dyDescent="0.3">
      <c r="C6868"/>
      <c r="D6868"/>
      <c r="E6868"/>
      <c r="F6868"/>
      <c r="G6868"/>
      <c r="H6868"/>
    </row>
    <row r="6869" spans="3:8" x14ac:dyDescent="0.3">
      <c r="C6869"/>
      <c r="D6869"/>
      <c r="E6869"/>
      <c r="F6869"/>
      <c r="G6869"/>
      <c r="H6869"/>
    </row>
    <row r="6870" spans="3:8" x14ac:dyDescent="0.3">
      <c r="C6870"/>
      <c r="D6870"/>
      <c r="E6870"/>
      <c r="F6870"/>
      <c r="G6870"/>
      <c r="H6870"/>
    </row>
    <row r="6871" spans="3:8" x14ac:dyDescent="0.3">
      <c r="C6871"/>
      <c r="D6871"/>
      <c r="E6871"/>
      <c r="F6871"/>
      <c r="G6871"/>
      <c r="H6871"/>
    </row>
    <row r="6872" spans="3:8" x14ac:dyDescent="0.3">
      <c r="C6872"/>
      <c r="D6872"/>
      <c r="E6872"/>
      <c r="F6872"/>
      <c r="G6872"/>
      <c r="H6872"/>
    </row>
    <row r="6873" spans="3:8" x14ac:dyDescent="0.3">
      <c r="C6873"/>
      <c r="D6873"/>
      <c r="E6873"/>
      <c r="F6873"/>
      <c r="G6873"/>
      <c r="H6873"/>
    </row>
    <row r="6874" spans="3:8" x14ac:dyDescent="0.3">
      <c r="C6874"/>
      <c r="D6874"/>
      <c r="E6874"/>
      <c r="F6874"/>
      <c r="G6874"/>
      <c r="H6874"/>
    </row>
    <row r="6875" spans="3:8" x14ac:dyDescent="0.3">
      <c r="C6875"/>
      <c r="D6875"/>
      <c r="E6875"/>
      <c r="F6875"/>
      <c r="G6875"/>
      <c r="H6875"/>
    </row>
    <row r="6876" spans="3:8" x14ac:dyDescent="0.3">
      <c r="C6876"/>
      <c r="D6876"/>
      <c r="E6876"/>
      <c r="F6876"/>
      <c r="G6876"/>
      <c r="H6876"/>
    </row>
    <row r="6877" spans="3:8" x14ac:dyDescent="0.3">
      <c r="C6877"/>
      <c r="D6877"/>
      <c r="E6877"/>
      <c r="F6877"/>
      <c r="G6877"/>
      <c r="H6877"/>
    </row>
    <row r="6878" spans="3:8" x14ac:dyDescent="0.3">
      <c r="C6878"/>
      <c r="D6878"/>
      <c r="E6878"/>
      <c r="F6878"/>
      <c r="G6878"/>
      <c r="H6878"/>
    </row>
    <row r="6879" spans="3:8" x14ac:dyDescent="0.3">
      <c r="C6879"/>
      <c r="D6879"/>
      <c r="E6879"/>
      <c r="F6879"/>
      <c r="G6879"/>
      <c r="H6879"/>
    </row>
    <row r="6880" spans="3:8" x14ac:dyDescent="0.3">
      <c r="C6880"/>
      <c r="D6880"/>
      <c r="E6880"/>
      <c r="F6880"/>
      <c r="G6880"/>
      <c r="H6880"/>
    </row>
    <row r="6881" spans="3:8" x14ac:dyDescent="0.3">
      <c r="C6881"/>
      <c r="D6881"/>
      <c r="E6881"/>
      <c r="F6881"/>
      <c r="G6881"/>
      <c r="H6881"/>
    </row>
    <row r="6882" spans="3:8" x14ac:dyDescent="0.3">
      <c r="C6882"/>
      <c r="D6882"/>
      <c r="E6882"/>
      <c r="F6882"/>
      <c r="G6882"/>
      <c r="H6882"/>
    </row>
    <row r="6883" spans="3:8" x14ac:dyDescent="0.3">
      <c r="C6883"/>
      <c r="D6883"/>
      <c r="E6883"/>
      <c r="F6883"/>
      <c r="G6883"/>
      <c r="H6883"/>
    </row>
    <row r="6884" spans="3:8" x14ac:dyDescent="0.3">
      <c r="C6884"/>
      <c r="D6884"/>
      <c r="E6884"/>
      <c r="F6884"/>
      <c r="G6884"/>
      <c r="H6884"/>
    </row>
    <row r="6885" spans="3:8" x14ac:dyDescent="0.3">
      <c r="C6885"/>
      <c r="D6885"/>
      <c r="E6885"/>
      <c r="F6885"/>
      <c r="G6885"/>
      <c r="H6885"/>
    </row>
    <row r="6886" spans="3:8" x14ac:dyDescent="0.3">
      <c r="C6886"/>
      <c r="D6886"/>
      <c r="E6886"/>
      <c r="F6886"/>
      <c r="G6886"/>
      <c r="H6886"/>
    </row>
    <row r="6887" spans="3:8" x14ac:dyDescent="0.3">
      <c r="C6887"/>
      <c r="D6887"/>
      <c r="E6887"/>
      <c r="F6887"/>
      <c r="G6887"/>
      <c r="H6887"/>
    </row>
    <row r="6888" spans="3:8" x14ac:dyDescent="0.3">
      <c r="C6888"/>
      <c r="D6888"/>
      <c r="E6888"/>
      <c r="F6888"/>
      <c r="G6888"/>
      <c r="H6888"/>
    </row>
    <row r="6889" spans="3:8" x14ac:dyDescent="0.3">
      <c r="C6889"/>
      <c r="D6889"/>
      <c r="E6889"/>
      <c r="F6889"/>
      <c r="G6889"/>
      <c r="H6889"/>
    </row>
    <row r="6890" spans="3:8" x14ac:dyDescent="0.3">
      <c r="C6890"/>
      <c r="D6890"/>
      <c r="E6890"/>
      <c r="F6890"/>
      <c r="G6890"/>
      <c r="H6890"/>
    </row>
    <row r="6891" spans="3:8" x14ac:dyDescent="0.3">
      <c r="C6891"/>
      <c r="D6891"/>
      <c r="E6891"/>
      <c r="F6891"/>
      <c r="G6891"/>
      <c r="H6891"/>
    </row>
    <row r="6892" spans="3:8" x14ac:dyDescent="0.3">
      <c r="C6892"/>
      <c r="D6892"/>
      <c r="E6892"/>
      <c r="F6892"/>
      <c r="G6892"/>
      <c r="H6892"/>
    </row>
    <row r="6893" spans="3:8" x14ac:dyDescent="0.3">
      <c r="C6893"/>
      <c r="D6893"/>
      <c r="E6893"/>
      <c r="F6893"/>
      <c r="G6893"/>
      <c r="H6893"/>
    </row>
    <row r="6894" spans="3:8" x14ac:dyDescent="0.3">
      <c r="C6894"/>
      <c r="D6894"/>
      <c r="E6894"/>
      <c r="F6894"/>
      <c r="G6894"/>
      <c r="H6894"/>
    </row>
    <row r="6895" spans="3:8" x14ac:dyDescent="0.3">
      <c r="C6895"/>
      <c r="D6895"/>
      <c r="E6895"/>
      <c r="F6895"/>
      <c r="G6895"/>
      <c r="H6895"/>
    </row>
    <row r="6896" spans="3:8" x14ac:dyDescent="0.3">
      <c r="C6896"/>
      <c r="D6896"/>
      <c r="E6896"/>
      <c r="F6896"/>
      <c r="G6896"/>
      <c r="H6896"/>
    </row>
    <row r="6897" spans="3:8" x14ac:dyDescent="0.3">
      <c r="C6897"/>
      <c r="D6897"/>
      <c r="E6897"/>
      <c r="F6897"/>
      <c r="G6897"/>
      <c r="H6897"/>
    </row>
    <row r="6898" spans="3:8" x14ac:dyDescent="0.3">
      <c r="C6898"/>
      <c r="D6898"/>
      <c r="E6898"/>
      <c r="F6898"/>
      <c r="G6898"/>
      <c r="H6898"/>
    </row>
    <row r="6899" spans="3:8" x14ac:dyDescent="0.3">
      <c r="C6899"/>
      <c r="D6899"/>
      <c r="E6899"/>
      <c r="F6899"/>
      <c r="G6899"/>
      <c r="H6899"/>
    </row>
    <row r="6900" spans="3:8" x14ac:dyDescent="0.3">
      <c r="C6900"/>
      <c r="D6900"/>
      <c r="E6900"/>
      <c r="F6900"/>
      <c r="G6900"/>
      <c r="H6900"/>
    </row>
    <row r="6901" spans="3:8" x14ac:dyDescent="0.3">
      <c r="C6901"/>
      <c r="D6901"/>
      <c r="E6901"/>
      <c r="F6901"/>
      <c r="G6901"/>
      <c r="H6901"/>
    </row>
    <row r="6902" spans="3:8" x14ac:dyDescent="0.3">
      <c r="C6902"/>
      <c r="D6902"/>
      <c r="E6902"/>
      <c r="F6902"/>
      <c r="G6902"/>
      <c r="H6902"/>
    </row>
    <row r="6903" spans="3:8" x14ac:dyDescent="0.3">
      <c r="C6903"/>
      <c r="D6903"/>
      <c r="E6903"/>
      <c r="F6903"/>
      <c r="G6903"/>
      <c r="H6903"/>
    </row>
    <row r="6904" spans="3:8" x14ac:dyDescent="0.3">
      <c r="C6904"/>
      <c r="D6904"/>
      <c r="E6904"/>
      <c r="F6904"/>
      <c r="G6904"/>
      <c r="H6904"/>
    </row>
    <row r="6905" spans="3:8" x14ac:dyDescent="0.3">
      <c r="C6905"/>
      <c r="D6905"/>
      <c r="E6905"/>
      <c r="F6905"/>
      <c r="G6905"/>
      <c r="H6905"/>
    </row>
    <row r="6906" spans="3:8" x14ac:dyDescent="0.3">
      <c r="C6906"/>
      <c r="D6906"/>
      <c r="E6906"/>
      <c r="F6906"/>
      <c r="G6906"/>
      <c r="H6906"/>
    </row>
    <row r="6907" spans="3:8" x14ac:dyDescent="0.3">
      <c r="C6907"/>
      <c r="D6907"/>
      <c r="E6907"/>
      <c r="F6907"/>
      <c r="G6907"/>
      <c r="H6907"/>
    </row>
    <row r="6908" spans="3:8" x14ac:dyDescent="0.3">
      <c r="C6908"/>
      <c r="D6908"/>
      <c r="E6908"/>
      <c r="F6908"/>
      <c r="G6908"/>
      <c r="H6908"/>
    </row>
    <row r="6909" spans="3:8" x14ac:dyDescent="0.3">
      <c r="C6909"/>
      <c r="D6909"/>
      <c r="E6909"/>
      <c r="F6909"/>
      <c r="G6909"/>
      <c r="H6909"/>
    </row>
    <row r="6910" spans="3:8" x14ac:dyDescent="0.3">
      <c r="C6910"/>
      <c r="D6910"/>
      <c r="E6910"/>
      <c r="F6910"/>
      <c r="G6910"/>
      <c r="H6910"/>
    </row>
    <row r="6911" spans="3:8" x14ac:dyDescent="0.3">
      <c r="C6911"/>
      <c r="D6911"/>
      <c r="E6911"/>
      <c r="F6911"/>
      <c r="G6911"/>
      <c r="H6911"/>
    </row>
    <row r="6912" spans="3:8" x14ac:dyDescent="0.3">
      <c r="C6912"/>
      <c r="D6912"/>
      <c r="E6912"/>
      <c r="F6912"/>
      <c r="G6912"/>
      <c r="H6912"/>
    </row>
    <row r="6913" spans="3:8" x14ac:dyDescent="0.3">
      <c r="C6913"/>
      <c r="D6913"/>
      <c r="E6913"/>
      <c r="F6913"/>
      <c r="G6913"/>
      <c r="H6913"/>
    </row>
    <row r="6914" spans="3:8" x14ac:dyDescent="0.3">
      <c r="C6914"/>
      <c r="D6914"/>
      <c r="E6914"/>
      <c r="F6914"/>
      <c r="G6914"/>
      <c r="H6914"/>
    </row>
    <row r="6915" spans="3:8" x14ac:dyDescent="0.3">
      <c r="C6915"/>
      <c r="D6915"/>
      <c r="E6915"/>
      <c r="F6915"/>
      <c r="G6915"/>
      <c r="H6915"/>
    </row>
    <row r="6916" spans="3:8" x14ac:dyDescent="0.3">
      <c r="C6916"/>
      <c r="D6916"/>
      <c r="E6916"/>
      <c r="F6916"/>
      <c r="G6916"/>
      <c r="H6916"/>
    </row>
    <row r="6917" spans="3:8" x14ac:dyDescent="0.3">
      <c r="C6917"/>
      <c r="D6917"/>
      <c r="E6917"/>
      <c r="F6917"/>
      <c r="G6917"/>
      <c r="H6917"/>
    </row>
    <row r="6918" spans="3:8" x14ac:dyDescent="0.3">
      <c r="C6918"/>
      <c r="D6918"/>
      <c r="E6918"/>
      <c r="F6918"/>
      <c r="G6918"/>
      <c r="H6918"/>
    </row>
    <row r="6919" spans="3:8" x14ac:dyDescent="0.3">
      <c r="C6919"/>
      <c r="D6919"/>
      <c r="E6919"/>
      <c r="F6919"/>
      <c r="G6919"/>
      <c r="H6919"/>
    </row>
    <row r="6920" spans="3:8" x14ac:dyDescent="0.3">
      <c r="C6920"/>
      <c r="D6920"/>
      <c r="E6920"/>
      <c r="F6920"/>
      <c r="G6920"/>
      <c r="H6920"/>
    </row>
    <row r="6921" spans="3:8" x14ac:dyDescent="0.3">
      <c r="C6921"/>
      <c r="D6921"/>
      <c r="E6921"/>
      <c r="F6921"/>
      <c r="G6921"/>
      <c r="H6921"/>
    </row>
    <row r="6922" spans="3:8" x14ac:dyDescent="0.3">
      <c r="C6922"/>
      <c r="D6922"/>
      <c r="E6922"/>
      <c r="F6922"/>
      <c r="G6922"/>
      <c r="H6922"/>
    </row>
    <row r="6923" spans="3:8" x14ac:dyDescent="0.3">
      <c r="C6923"/>
      <c r="D6923"/>
      <c r="E6923"/>
      <c r="F6923"/>
      <c r="G6923"/>
      <c r="H6923"/>
    </row>
    <row r="6924" spans="3:8" x14ac:dyDescent="0.3">
      <c r="C6924"/>
      <c r="D6924"/>
      <c r="E6924"/>
      <c r="F6924"/>
      <c r="G6924"/>
      <c r="H6924"/>
    </row>
    <row r="6925" spans="3:8" x14ac:dyDescent="0.3">
      <c r="C6925"/>
      <c r="D6925"/>
      <c r="E6925"/>
      <c r="F6925"/>
      <c r="G6925"/>
      <c r="H6925"/>
    </row>
    <row r="6926" spans="3:8" x14ac:dyDescent="0.3">
      <c r="C6926"/>
      <c r="D6926"/>
      <c r="E6926"/>
      <c r="F6926"/>
      <c r="G6926"/>
      <c r="H6926"/>
    </row>
    <row r="6927" spans="3:8" x14ac:dyDescent="0.3">
      <c r="C6927"/>
      <c r="D6927"/>
      <c r="E6927"/>
      <c r="F6927"/>
      <c r="G6927"/>
      <c r="H6927"/>
    </row>
    <row r="6928" spans="3:8" x14ac:dyDescent="0.3">
      <c r="C6928"/>
      <c r="D6928"/>
      <c r="E6928"/>
      <c r="F6928"/>
      <c r="G6928"/>
      <c r="H6928"/>
    </row>
    <row r="6929" spans="3:8" x14ac:dyDescent="0.3">
      <c r="C6929"/>
      <c r="D6929"/>
      <c r="E6929"/>
      <c r="F6929"/>
      <c r="G6929"/>
      <c r="H6929"/>
    </row>
    <row r="6930" spans="3:8" x14ac:dyDescent="0.3">
      <c r="C6930"/>
      <c r="D6930"/>
      <c r="E6930"/>
      <c r="F6930"/>
      <c r="G6930"/>
      <c r="H6930"/>
    </row>
    <row r="6931" spans="3:8" x14ac:dyDescent="0.3">
      <c r="C6931"/>
      <c r="D6931"/>
      <c r="E6931"/>
      <c r="F6931"/>
      <c r="G6931"/>
      <c r="H6931"/>
    </row>
    <row r="6932" spans="3:8" x14ac:dyDescent="0.3">
      <c r="C6932"/>
      <c r="D6932"/>
      <c r="E6932"/>
      <c r="F6932"/>
      <c r="G6932"/>
      <c r="H6932"/>
    </row>
    <row r="6933" spans="3:8" x14ac:dyDescent="0.3">
      <c r="C6933"/>
      <c r="D6933"/>
      <c r="E6933"/>
      <c r="F6933"/>
      <c r="G6933"/>
      <c r="H6933"/>
    </row>
    <row r="6934" spans="3:8" x14ac:dyDescent="0.3">
      <c r="C6934"/>
      <c r="D6934"/>
      <c r="E6934"/>
      <c r="F6934"/>
      <c r="G6934"/>
      <c r="H6934"/>
    </row>
    <row r="6935" spans="3:8" x14ac:dyDescent="0.3">
      <c r="C6935"/>
      <c r="D6935"/>
      <c r="E6935"/>
      <c r="F6935"/>
      <c r="G6935"/>
      <c r="H6935"/>
    </row>
    <row r="6936" spans="3:8" x14ac:dyDescent="0.3">
      <c r="C6936"/>
      <c r="D6936"/>
      <c r="E6936"/>
      <c r="F6936"/>
      <c r="G6936"/>
      <c r="H6936"/>
    </row>
    <row r="6937" spans="3:8" x14ac:dyDescent="0.3">
      <c r="C6937"/>
      <c r="D6937"/>
      <c r="E6937"/>
      <c r="F6937"/>
      <c r="G6937"/>
      <c r="H6937"/>
    </row>
    <row r="6938" spans="3:8" x14ac:dyDescent="0.3">
      <c r="C6938"/>
      <c r="D6938"/>
      <c r="E6938"/>
      <c r="F6938"/>
      <c r="G6938"/>
      <c r="H6938"/>
    </row>
    <row r="6939" spans="3:8" x14ac:dyDescent="0.3">
      <c r="C6939"/>
      <c r="D6939"/>
      <c r="E6939"/>
      <c r="F6939"/>
      <c r="G6939"/>
      <c r="H6939"/>
    </row>
    <row r="6940" spans="3:8" x14ac:dyDescent="0.3">
      <c r="C6940"/>
      <c r="D6940"/>
      <c r="E6940"/>
      <c r="F6940"/>
      <c r="G6940"/>
      <c r="H6940"/>
    </row>
    <row r="6941" spans="3:8" x14ac:dyDescent="0.3">
      <c r="C6941"/>
      <c r="D6941"/>
      <c r="E6941"/>
      <c r="F6941"/>
      <c r="G6941"/>
      <c r="H6941"/>
    </row>
    <row r="6942" spans="3:8" x14ac:dyDescent="0.3">
      <c r="C6942"/>
      <c r="D6942"/>
      <c r="E6942"/>
      <c r="F6942"/>
      <c r="G6942"/>
      <c r="H6942"/>
    </row>
    <row r="6943" spans="3:8" x14ac:dyDescent="0.3">
      <c r="C6943"/>
      <c r="D6943"/>
      <c r="E6943"/>
      <c r="F6943"/>
      <c r="G6943"/>
      <c r="H6943"/>
    </row>
    <row r="6944" spans="3:8" x14ac:dyDescent="0.3">
      <c r="C6944"/>
      <c r="D6944"/>
      <c r="E6944"/>
      <c r="F6944"/>
      <c r="G6944"/>
      <c r="H6944"/>
    </row>
    <row r="6945" spans="3:8" x14ac:dyDescent="0.3">
      <c r="C6945"/>
      <c r="D6945"/>
      <c r="E6945"/>
      <c r="F6945"/>
      <c r="G6945"/>
      <c r="H6945"/>
    </row>
    <row r="6946" spans="3:8" x14ac:dyDescent="0.3">
      <c r="C6946"/>
      <c r="D6946"/>
      <c r="E6946"/>
      <c r="F6946"/>
      <c r="G6946"/>
      <c r="H6946"/>
    </row>
    <row r="6947" spans="3:8" x14ac:dyDescent="0.3">
      <c r="C6947"/>
      <c r="D6947"/>
      <c r="E6947"/>
      <c r="F6947"/>
      <c r="G6947"/>
      <c r="H6947"/>
    </row>
    <row r="6948" spans="3:8" x14ac:dyDescent="0.3">
      <c r="C6948"/>
      <c r="D6948"/>
      <c r="E6948"/>
      <c r="F6948"/>
      <c r="G6948"/>
      <c r="H6948"/>
    </row>
    <row r="6949" spans="3:8" x14ac:dyDescent="0.3">
      <c r="C6949"/>
      <c r="D6949"/>
      <c r="E6949"/>
      <c r="F6949"/>
      <c r="G6949"/>
      <c r="H6949"/>
    </row>
    <row r="6950" spans="3:8" x14ac:dyDescent="0.3">
      <c r="C6950"/>
      <c r="D6950"/>
      <c r="E6950"/>
      <c r="F6950"/>
      <c r="G6950"/>
      <c r="H6950"/>
    </row>
    <row r="6951" spans="3:8" x14ac:dyDescent="0.3">
      <c r="C6951"/>
      <c r="D6951"/>
      <c r="E6951"/>
      <c r="F6951"/>
      <c r="G6951"/>
      <c r="H6951"/>
    </row>
    <row r="6952" spans="3:8" x14ac:dyDescent="0.3">
      <c r="C6952"/>
      <c r="D6952"/>
      <c r="E6952"/>
      <c r="F6952"/>
      <c r="G6952"/>
      <c r="H6952"/>
    </row>
    <row r="6953" spans="3:8" x14ac:dyDescent="0.3">
      <c r="C6953"/>
      <c r="D6953"/>
      <c r="E6953"/>
      <c r="F6953"/>
      <c r="G6953"/>
      <c r="H6953"/>
    </row>
    <row r="6954" spans="3:8" x14ac:dyDescent="0.3">
      <c r="C6954"/>
      <c r="D6954"/>
      <c r="E6954"/>
      <c r="F6954"/>
      <c r="G6954"/>
      <c r="H6954"/>
    </row>
    <row r="6955" spans="3:8" x14ac:dyDescent="0.3">
      <c r="C6955"/>
      <c r="D6955"/>
      <c r="E6955"/>
      <c r="F6955"/>
      <c r="G6955"/>
      <c r="H6955"/>
    </row>
    <row r="6956" spans="3:8" x14ac:dyDescent="0.3">
      <c r="C6956"/>
      <c r="D6956"/>
      <c r="E6956"/>
      <c r="F6956"/>
      <c r="G6956"/>
      <c r="H6956"/>
    </row>
    <row r="6957" spans="3:8" x14ac:dyDescent="0.3">
      <c r="C6957"/>
      <c r="D6957"/>
      <c r="E6957"/>
      <c r="F6957"/>
      <c r="G6957"/>
      <c r="H6957"/>
    </row>
    <row r="6958" spans="3:8" x14ac:dyDescent="0.3">
      <c r="C6958"/>
      <c r="D6958"/>
      <c r="E6958"/>
      <c r="F6958"/>
      <c r="G6958"/>
      <c r="H6958"/>
    </row>
    <row r="6959" spans="3:8" x14ac:dyDescent="0.3">
      <c r="C6959"/>
      <c r="D6959"/>
      <c r="E6959"/>
      <c r="F6959"/>
      <c r="G6959"/>
      <c r="H6959"/>
    </row>
    <row r="6960" spans="3:8" x14ac:dyDescent="0.3">
      <c r="C6960"/>
      <c r="D6960"/>
      <c r="E6960"/>
      <c r="F6960"/>
      <c r="G6960"/>
      <c r="H6960"/>
    </row>
    <row r="6961" spans="3:8" x14ac:dyDescent="0.3">
      <c r="C6961"/>
      <c r="D6961"/>
      <c r="E6961"/>
      <c r="F6961"/>
      <c r="G6961"/>
      <c r="H6961"/>
    </row>
    <row r="6962" spans="3:8" x14ac:dyDescent="0.3">
      <c r="C6962"/>
      <c r="D6962"/>
      <c r="E6962"/>
      <c r="F6962"/>
      <c r="G6962"/>
      <c r="H6962"/>
    </row>
    <row r="6963" spans="3:8" x14ac:dyDescent="0.3">
      <c r="C6963"/>
      <c r="D6963"/>
      <c r="E6963"/>
      <c r="F6963"/>
      <c r="G6963"/>
      <c r="H6963"/>
    </row>
    <row r="6964" spans="3:8" x14ac:dyDescent="0.3">
      <c r="C6964"/>
      <c r="D6964"/>
      <c r="E6964"/>
      <c r="F6964"/>
      <c r="G6964"/>
      <c r="H6964"/>
    </row>
    <row r="6965" spans="3:8" x14ac:dyDescent="0.3">
      <c r="C6965"/>
      <c r="D6965"/>
      <c r="E6965"/>
      <c r="F6965"/>
      <c r="G6965"/>
      <c r="H6965"/>
    </row>
    <row r="6966" spans="3:8" x14ac:dyDescent="0.3">
      <c r="C6966"/>
      <c r="D6966"/>
      <c r="E6966"/>
      <c r="F6966"/>
      <c r="G6966"/>
      <c r="H6966"/>
    </row>
    <row r="6967" spans="3:8" x14ac:dyDescent="0.3">
      <c r="C6967"/>
      <c r="D6967"/>
      <c r="E6967"/>
      <c r="F6967"/>
      <c r="G6967"/>
      <c r="H6967"/>
    </row>
    <row r="6968" spans="3:8" x14ac:dyDescent="0.3">
      <c r="C6968"/>
      <c r="D6968"/>
      <c r="E6968"/>
      <c r="F6968"/>
      <c r="G6968"/>
      <c r="H6968"/>
    </row>
    <row r="6969" spans="3:8" x14ac:dyDescent="0.3">
      <c r="C6969"/>
      <c r="D6969"/>
      <c r="E6969"/>
      <c r="F6969"/>
      <c r="G6969"/>
      <c r="H6969"/>
    </row>
    <row r="6970" spans="3:8" x14ac:dyDescent="0.3">
      <c r="C6970"/>
      <c r="D6970"/>
      <c r="E6970"/>
      <c r="F6970"/>
      <c r="G6970"/>
      <c r="H6970"/>
    </row>
    <row r="6971" spans="3:8" x14ac:dyDescent="0.3">
      <c r="C6971"/>
      <c r="D6971"/>
      <c r="E6971"/>
      <c r="F6971"/>
      <c r="G6971"/>
      <c r="H6971"/>
    </row>
    <row r="6972" spans="3:8" x14ac:dyDescent="0.3">
      <c r="C6972"/>
      <c r="D6972"/>
      <c r="E6972"/>
      <c r="F6972"/>
      <c r="G6972"/>
      <c r="H6972"/>
    </row>
    <row r="6973" spans="3:8" x14ac:dyDescent="0.3">
      <c r="C6973"/>
      <c r="D6973"/>
      <c r="E6973"/>
      <c r="F6973"/>
      <c r="G6973"/>
      <c r="H6973"/>
    </row>
    <row r="6974" spans="3:8" x14ac:dyDescent="0.3">
      <c r="C6974"/>
      <c r="D6974"/>
      <c r="E6974"/>
      <c r="F6974"/>
      <c r="G6974"/>
      <c r="H6974"/>
    </row>
    <row r="6975" spans="3:8" x14ac:dyDescent="0.3">
      <c r="C6975"/>
      <c r="D6975"/>
      <c r="E6975"/>
      <c r="F6975"/>
      <c r="G6975"/>
      <c r="H6975"/>
    </row>
    <row r="6976" spans="3:8" x14ac:dyDescent="0.3">
      <c r="C6976"/>
      <c r="D6976"/>
      <c r="E6976"/>
      <c r="F6976"/>
      <c r="G6976"/>
      <c r="H6976"/>
    </row>
    <row r="6977" spans="3:8" x14ac:dyDescent="0.3">
      <c r="C6977"/>
      <c r="D6977"/>
      <c r="E6977"/>
      <c r="F6977"/>
      <c r="G6977"/>
      <c r="H6977"/>
    </row>
    <row r="6978" spans="3:8" x14ac:dyDescent="0.3">
      <c r="C6978"/>
      <c r="D6978"/>
      <c r="E6978"/>
      <c r="F6978"/>
      <c r="G6978"/>
      <c r="H6978"/>
    </row>
    <row r="6979" spans="3:8" x14ac:dyDescent="0.3">
      <c r="C6979"/>
      <c r="D6979"/>
      <c r="E6979"/>
      <c r="F6979"/>
      <c r="G6979"/>
      <c r="H6979"/>
    </row>
    <row r="6980" spans="3:8" x14ac:dyDescent="0.3">
      <c r="C6980"/>
      <c r="D6980"/>
      <c r="E6980"/>
      <c r="F6980"/>
      <c r="G6980"/>
      <c r="H6980"/>
    </row>
    <row r="6981" spans="3:8" x14ac:dyDescent="0.3">
      <c r="C6981"/>
      <c r="D6981"/>
      <c r="E6981"/>
      <c r="F6981"/>
      <c r="G6981"/>
      <c r="H6981"/>
    </row>
    <row r="6982" spans="3:8" x14ac:dyDescent="0.3">
      <c r="C6982"/>
      <c r="D6982"/>
      <c r="E6982"/>
      <c r="F6982"/>
      <c r="G6982"/>
      <c r="H6982"/>
    </row>
    <row r="6983" spans="3:8" x14ac:dyDescent="0.3">
      <c r="C6983"/>
      <c r="D6983"/>
      <c r="E6983"/>
      <c r="F6983"/>
      <c r="G6983"/>
      <c r="H6983"/>
    </row>
    <row r="6984" spans="3:8" x14ac:dyDescent="0.3">
      <c r="C6984"/>
      <c r="D6984"/>
      <c r="E6984"/>
      <c r="F6984"/>
      <c r="G6984"/>
      <c r="H6984"/>
    </row>
    <row r="6985" spans="3:8" x14ac:dyDescent="0.3">
      <c r="C6985"/>
      <c r="D6985"/>
      <c r="E6985"/>
      <c r="F6985"/>
      <c r="G6985"/>
      <c r="H6985"/>
    </row>
    <row r="6986" spans="3:8" x14ac:dyDescent="0.3">
      <c r="C6986"/>
      <c r="D6986"/>
      <c r="E6986"/>
      <c r="F6986"/>
      <c r="G6986"/>
      <c r="H6986"/>
    </row>
    <row r="6987" spans="3:8" x14ac:dyDescent="0.3">
      <c r="C6987"/>
      <c r="D6987"/>
      <c r="E6987"/>
      <c r="F6987"/>
      <c r="G6987"/>
      <c r="H6987"/>
    </row>
    <row r="6988" spans="3:8" x14ac:dyDescent="0.3">
      <c r="C6988"/>
      <c r="D6988"/>
      <c r="E6988"/>
      <c r="F6988"/>
      <c r="G6988"/>
      <c r="H6988"/>
    </row>
    <row r="6989" spans="3:8" x14ac:dyDescent="0.3">
      <c r="C6989"/>
      <c r="D6989"/>
      <c r="E6989"/>
      <c r="F6989"/>
      <c r="G6989"/>
      <c r="H6989"/>
    </row>
    <row r="6990" spans="3:8" x14ac:dyDescent="0.3">
      <c r="C6990"/>
      <c r="D6990"/>
      <c r="E6990"/>
      <c r="F6990"/>
      <c r="G6990"/>
      <c r="H6990"/>
    </row>
    <row r="6991" spans="3:8" x14ac:dyDescent="0.3">
      <c r="C6991"/>
      <c r="D6991"/>
      <c r="E6991"/>
      <c r="F6991"/>
      <c r="G6991"/>
      <c r="H6991"/>
    </row>
    <row r="6992" spans="3:8" x14ac:dyDescent="0.3">
      <c r="C6992"/>
      <c r="D6992"/>
      <c r="E6992"/>
      <c r="F6992"/>
      <c r="G6992"/>
      <c r="H6992"/>
    </row>
    <row r="6993" spans="3:8" x14ac:dyDescent="0.3">
      <c r="C6993"/>
      <c r="D6993"/>
      <c r="E6993"/>
      <c r="F6993"/>
      <c r="G6993"/>
      <c r="H6993"/>
    </row>
    <row r="6994" spans="3:8" x14ac:dyDescent="0.3">
      <c r="C6994"/>
      <c r="D6994"/>
      <c r="E6994"/>
      <c r="F6994"/>
      <c r="G6994"/>
      <c r="H6994"/>
    </row>
    <row r="6995" spans="3:8" x14ac:dyDescent="0.3">
      <c r="C6995"/>
      <c r="D6995"/>
      <c r="E6995"/>
      <c r="F6995"/>
      <c r="G6995"/>
      <c r="H6995"/>
    </row>
    <row r="6996" spans="3:8" x14ac:dyDescent="0.3">
      <c r="C6996"/>
      <c r="D6996"/>
      <c r="E6996"/>
      <c r="F6996"/>
      <c r="G6996"/>
      <c r="H6996"/>
    </row>
    <row r="6997" spans="3:8" x14ac:dyDescent="0.3">
      <c r="C6997"/>
      <c r="D6997"/>
      <c r="E6997"/>
      <c r="F6997"/>
      <c r="G6997"/>
      <c r="H6997"/>
    </row>
    <row r="6998" spans="3:8" x14ac:dyDescent="0.3">
      <c r="C6998"/>
      <c r="D6998"/>
      <c r="E6998"/>
      <c r="F6998"/>
      <c r="G6998"/>
      <c r="H6998"/>
    </row>
    <row r="6999" spans="3:8" x14ac:dyDescent="0.3">
      <c r="C6999"/>
      <c r="D6999"/>
      <c r="E6999"/>
      <c r="F6999"/>
      <c r="G6999"/>
      <c r="H6999"/>
    </row>
    <row r="7000" spans="3:8" x14ac:dyDescent="0.3">
      <c r="C7000"/>
      <c r="D7000"/>
      <c r="E7000"/>
      <c r="F7000"/>
      <c r="G7000"/>
      <c r="H7000"/>
    </row>
    <row r="7001" spans="3:8" x14ac:dyDescent="0.3">
      <c r="C7001"/>
      <c r="D7001"/>
      <c r="E7001"/>
      <c r="F7001"/>
      <c r="G7001"/>
      <c r="H7001"/>
    </row>
    <row r="7002" spans="3:8" x14ac:dyDescent="0.3">
      <c r="C7002"/>
      <c r="D7002"/>
      <c r="E7002"/>
      <c r="F7002"/>
      <c r="G7002"/>
      <c r="H7002"/>
    </row>
    <row r="7003" spans="3:8" x14ac:dyDescent="0.3">
      <c r="C7003"/>
      <c r="D7003"/>
      <c r="E7003"/>
      <c r="F7003"/>
      <c r="G7003"/>
      <c r="H7003"/>
    </row>
    <row r="7004" spans="3:8" x14ac:dyDescent="0.3">
      <c r="C7004"/>
      <c r="D7004"/>
      <c r="E7004"/>
      <c r="F7004"/>
      <c r="G7004"/>
      <c r="H7004"/>
    </row>
    <row r="7005" spans="3:8" x14ac:dyDescent="0.3">
      <c r="C7005"/>
      <c r="D7005"/>
      <c r="E7005"/>
      <c r="F7005"/>
      <c r="G7005"/>
      <c r="H7005"/>
    </row>
    <row r="7006" spans="3:8" x14ac:dyDescent="0.3">
      <c r="C7006"/>
      <c r="D7006"/>
      <c r="E7006"/>
      <c r="F7006"/>
      <c r="G7006"/>
      <c r="H7006"/>
    </row>
    <row r="7007" spans="3:8" x14ac:dyDescent="0.3">
      <c r="C7007"/>
      <c r="D7007"/>
      <c r="E7007"/>
      <c r="F7007"/>
      <c r="G7007"/>
      <c r="H7007"/>
    </row>
    <row r="7008" spans="3:8" x14ac:dyDescent="0.3">
      <c r="C7008"/>
      <c r="D7008"/>
      <c r="E7008"/>
      <c r="F7008"/>
      <c r="G7008"/>
      <c r="H7008"/>
    </row>
    <row r="7009" spans="3:8" x14ac:dyDescent="0.3">
      <c r="C7009"/>
      <c r="D7009"/>
      <c r="E7009"/>
      <c r="F7009"/>
      <c r="G7009"/>
      <c r="H7009"/>
    </row>
    <row r="7010" spans="3:8" x14ac:dyDescent="0.3">
      <c r="C7010"/>
      <c r="D7010"/>
      <c r="E7010"/>
      <c r="F7010"/>
      <c r="G7010"/>
      <c r="H7010"/>
    </row>
    <row r="7011" spans="3:8" x14ac:dyDescent="0.3">
      <c r="C7011"/>
      <c r="D7011"/>
      <c r="E7011"/>
      <c r="F7011"/>
      <c r="G7011"/>
      <c r="H7011"/>
    </row>
    <row r="7012" spans="3:8" x14ac:dyDescent="0.3">
      <c r="C7012"/>
      <c r="D7012"/>
      <c r="E7012"/>
      <c r="F7012"/>
      <c r="G7012"/>
      <c r="H7012"/>
    </row>
    <row r="7013" spans="3:8" x14ac:dyDescent="0.3">
      <c r="C7013"/>
      <c r="D7013"/>
      <c r="E7013"/>
      <c r="F7013"/>
      <c r="G7013"/>
      <c r="H7013"/>
    </row>
    <row r="7014" spans="3:8" x14ac:dyDescent="0.3">
      <c r="C7014"/>
      <c r="D7014"/>
      <c r="E7014"/>
      <c r="F7014"/>
      <c r="G7014"/>
      <c r="H7014"/>
    </row>
    <row r="7015" spans="3:8" x14ac:dyDescent="0.3">
      <c r="C7015"/>
      <c r="D7015"/>
      <c r="E7015"/>
      <c r="F7015"/>
      <c r="G7015"/>
      <c r="H7015"/>
    </row>
    <row r="7016" spans="3:8" x14ac:dyDescent="0.3">
      <c r="C7016"/>
      <c r="D7016"/>
      <c r="E7016"/>
      <c r="F7016"/>
      <c r="G7016"/>
      <c r="H7016"/>
    </row>
    <row r="7017" spans="3:8" x14ac:dyDescent="0.3">
      <c r="C7017"/>
      <c r="D7017"/>
      <c r="E7017"/>
      <c r="F7017"/>
      <c r="G7017"/>
      <c r="H7017"/>
    </row>
    <row r="7018" spans="3:8" x14ac:dyDescent="0.3">
      <c r="C7018"/>
      <c r="D7018"/>
      <c r="E7018"/>
      <c r="F7018"/>
      <c r="G7018"/>
      <c r="H7018"/>
    </row>
    <row r="7019" spans="3:8" x14ac:dyDescent="0.3">
      <c r="C7019"/>
      <c r="D7019"/>
      <c r="E7019"/>
      <c r="F7019"/>
      <c r="G7019"/>
      <c r="H7019"/>
    </row>
    <row r="7020" spans="3:8" x14ac:dyDescent="0.3">
      <c r="C7020"/>
      <c r="D7020"/>
      <c r="E7020"/>
      <c r="F7020"/>
      <c r="G7020"/>
      <c r="H7020"/>
    </row>
    <row r="7021" spans="3:8" x14ac:dyDescent="0.3">
      <c r="C7021"/>
      <c r="D7021"/>
      <c r="E7021"/>
      <c r="F7021"/>
      <c r="G7021"/>
      <c r="H7021"/>
    </row>
    <row r="7022" spans="3:8" x14ac:dyDescent="0.3">
      <c r="C7022"/>
      <c r="D7022"/>
      <c r="E7022"/>
      <c r="F7022"/>
      <c r="G7022"/>
      <c r="H7022"/>
    </row>
    <row r="7023" spans="3:8" x14ac:dyDescent="0.3">
      <c r="C7023"/>
      <c r="D7023"/>
      <c r="E7023"/>
      <c r="F7023"/>
      <c r="G7023"/>
      <c r="H7023"/>
    </row>
    <row r="7024" spans="3:8" x14ac:dyDescent="0.3">
      <c r="C7024"/>
      <c r="D7024"/>
      <c r="E7024"/>
      <c r="F7024"/>
      <c r="G7024"/>
      <c r="H7024"/>
    </row>
    <row r="7025" spans="3:8" x14ac:dyDescent="0.3">
      <c r="C7025"/>
      <c r="D7025"/>
      <c r="E7025"/>
      <c r="F7025"/>
      <c r="G7025"/>
      <c r="H7025"/>
    </row>
    <row r="7026" spans="3:8" x14ac:dyDescent="0.3">
      <c r="C7026"/>
      <c r="D7026"/>
      <c r="E7026"/>
      <c r="F7026"/>
      <c r="G7026"/>
      <c r="H7026"/>
    </row>
    <row r="7027" spans="3:8" x14ac:dyDescent="0.3">
      <c r="C7027"/>
      <c r="D7027"/>
      <c r="E7027"/>
      <c r="F7027"/>
      <c r="G7027"/>
      <c r="H7027"/>
    </row>
    <row r="7028" spans="3:8" x14ac:dyDescent="0.3">
      <c r="C7028"/>
      <c r="D7028"/>
      <c r="E7028"/>
      <c r="F7028"/>
      <c r="G7028"/>
      <c r="H7028"/>
    </row>
    <row r="7029" spans="3:8" x14ac:dyDescent="0.3">
      <c r="C7029"/>
      <c r="D7029"/>
      <c r="E7029"/>
      <c r="F7029"/>
      <c r="G7029"/>
      <c r="H7029"/>
    </row>
    <row r="7030" spans="3:8" x14ac:dyDescent="0.3">
      <c r="C7030"/>
      <c r="D7030"/>
      <c r="E7030"/>
      <c r="F7030"/>
      <c r="G7030"/>
      <c r="H7030"/>
    </row>
    <row r="7031" spans="3:8" x14ac:dyDescent="0.3">
      <c r="C7031"/>
      <c r="D7031"/>
      <c r="E7031"/>
      <c r="F7031"/>
      <c r="G7031"/>
      <c r="H7031"/>
    </row>
    <row r="7032" spans="3:8" x14ac:dyDescent="0.3">
      <c r="C7032"/>
      <c r="D7032"/>
      <c r="E7032"/>
      <c r="F7032"/>
      <c r="G7032"/>
      <c r="H7032"/>
    </row>
    <row r="7033" spans="3:8" x14ac:dyDescent="0.3">
      <c r="C7033"/>
      <c r="D7033"/>
      <c r="E7033"/>
      <c r="F7033"/>
      <c r="G7033"/>
      <c r="H7033"/>
    </row>
    <row r="7034" spans="3:8" x14ac:dyDescent="0.3">
      <c r="C7034"/>
      <c r="D7034"/>
      <c r="E7034"/>
      <c r="F7034"/>
      <c r="G7034"/>
      <c r="H7034"/>
    </row>
    <row r="7035" spans="3:8" x14ac:dyDescent="0.3">
      <c r="C7035"/>
      <c r="D7035"/>
      <c r="E7035"/>
      <c r="F7035"/>
      <c r="G7035"/>
      <c r="H7035"/>
    </row>
    <row r="7036" spans="3:8" x14ac:dyDescent="0.3">
      <c r="C7036"/>
      <c r="D7036"/>
      <c r="E7036"/>
      <c r="F7036"/>
      <c r="G7036"/>
      <c r="H7036"/>
    </row>
    <row r="7037" spans="3:8" x14ac:dyDescent="0.3">
      <c r="C7037"/>
      <c r="D7037"/>
      <c r="E7037"/>
      <c r="F7037"/>
      <c r="G7037"/>
      <c r="H7037"/>
    </row>
    <row r="7038" spans="3:8" x14ac:dyDescent="0.3">
      <c r="C7038"/>
      <c r="D7038"/>
      <c r="E7038"/>
      <c r="F7038"/>
      <c r="G7038"/>
      <c r="H7038"/>
    </row>
    <row r="7039" spans="3:8" x14ac:dyDescent="0.3">
      <c r="C7039"/>
      <c r="D7039"/>
      <c r="E7039"/>
      <c r="F7039"/>
      <c r="G7039"/>
      <c r="H7039"/>
    </row>
    <row r="7040" spans="3:8" x14ac:dyDescent="0.3">
      <c r="C7040"/>
      <c r="D7040"/>
      <c r="E7040"/>
      <c r="F7040"/>
      <c r="G7040"/>
      <c r="H7040"/>
    </row>
    <row r="7041" spans="3:8" x14ac:dyDescent="0.3">
      <c r="C7041"/>
      <c r="D7041"/>
      <c r="E7041"/>
      <c r="F7041"/>
      <c r="G7041"/>
      <c r="H7041"/>
    </row>
    <row r="7042" spans="3:8" x14ac:dyDescent="0.3">
      <c r="C7042"/>
      <c r="D7042"/>
      <c r="E7042"/>
      <c r="F7042"/>
      <c r="G7042"/>
      <c r="H7042"/>
    </row>
    <row r="7043" spans="3:8" x14ac:dyDescent="0.3">
      <c r="C7043"/>
      <c r="D7043"/>
      <c r="E7043"/>
      <c r="F7043"/>
      <c r="G7043"/>
      <c r="H7043"/>
    </row>
    <row r="7044" spans="3:8" x14ac:dyDescent="0.3">
      <c r="C7044"/>
      <c r="D7044"/>
      <c r="E7044"/>
      <c r="F7044"/>
      <c r="G7044"/>
      <c r="H7044"/>
    </row>
    <row r="7045" spans="3:8" x14ac:dyDescent="0.3">
      <c r="C7045"/>
      <c r="D7045"/>
      <c r="E7045"/>
      <c r="F7045"/>
      <c r="G7045"/>
      <c r="H7045"/>
    </row>
    <row r="7046" spans="3:8" x14ac:dyDescent="0.3">
      <c r="C7046"/>
      <c r="D7046"/>
      <c r="E7046"/>
      <c r="F7046"/>
      <c r="G7046"/>
      <c r="H7046"/>
    </row>
    <row r="7047" spans="3:8" x14ac:dyDescent="0.3">
      <c r="C7047"/>
      <c r="D7047"/>
      <c r="E7047"/>
      <c r="F7047"/>
      <c r="G7047"/>
      <c r="H7047"/>
    </row>
    <row r="7048" spans="3:8" x14ac:dyDescent="0.3">
      <c r="C7048"/>
      <c r="D7048"/>
      <c r="E7048"/>
      <c r="F7048"/>
      <c r="G7048"/>
      <c r="H7048"/>
    </row>
    <row r="7049" spans="3:8" x14ac:dyDescent="0.3">
      <c r="C7049"/>
      <c r="D7049"/>
      <c r="E7049"/>
      <c r="F7049"/>
      <c r="G7049"/>
      <c r="H7049"/>
    </row>
    <row r="7050" spans="3:8" x14ac:dyDescent="0.3">
      <c r="C7050"/>
      <c r="D7050"/>
      <c r="E7050"/>
      <c r="F7050"/>
      <c r="G7050"/>
      <c r="H7050"/>
    </row>
    <row r="7051" spans="3:8" x14ac:dyDescent="0.3">
      <c r="C7051"/>
      <c r="D7051"/>
      <c r="E7051"/>
      <c r="F7051"/>
      <c r="G7051"/>
      <c r="H7051"/>
    </row>
    <row r="7052" spans="3:8" x14ac:dyDescent="0.3">
      <c r="C7052"/>
      <c r="D7052"/>
      <c r="E7052"/>
      <c r="F7052"/>
      <c r="G7052"/>
      <c r="H7052"/>
    </row>
    <row r="7053" spans="3:8" x14ac:dyDescent="0.3">
      <c r="C7053"/>
      <c r="D7053"/>
      <c r="E7053"/>
      <c r="F7053"/>
      <c r="G7053"/>
      <c r="H7053"/>
    </row>
    <row r="7054" spans="3:8" x14ac:dyDescent="0.3">
      <c r="C7054"/>
      <c r="D7054"/>
      <c r="E7054"/>
      <c r="F7054"/>
      <c r="G7054"/>
      <c r="H7054"/>
    </row>
    <row r="7055" spans="3:8" x14ac:dyDescent="0.3">
      <c r="C7055"/>
      <c r="D7055"/>
      <c r="E7055"/>
      <c r="F7055"/>
      <c r="G7055"/>
      <c r="H7055"/>
    </row>
    <row r="7056" spans="3:8" x14ac:dyDescent="0.3">
      <c r="C7056"/>
      <c r="D7056"/>
      <c r="E7056"/>
      <c r="F7056"/>
      <c r="G7056"/>
      <c r="H7056"/>
    </row>
    <row r="7057" spans="3:8" x14ac:dyDescent="0.3">
      <c r="C7057"/>
      <c r="D7057"/>
      <c r="E7057"/>
      <c r="F7057"/>
      <c r="G7057"/>
      <c r="H7057"/>
    </row>
    <row r="7058" spans="3:8" x14ac:dyDescent="0.3">
      <c r="C7058"/>
      <c r="D7058"/>
      <c r="E7058"/>
      <c r="F7058"/>
      <c r="G7058"/>
      <c r="H7058"/>
    </row>
    <row r="7059" spans="3:8" x14ac:dyDescent="0.3">
      <c r="C7059"/>
      <c r="D7059"/>
      <c r="E7059"/>
      <c r="F7059"/>
      <c r="G7059"/>
      <c r="H7059"/>
    </row>
    <row r="7060" spans="3:8" x14ac:dyDescent="0.3">
      <c r="C7060"/>
      <c r="D7060"/>
      <c r="E7060"/>
      <c r="F7060"/>
      <c r="G7060"/>
      <c r="H7060"/>
    </row>
    <row r="7061" spans="3:8" x14ac:dyDescent="0.3">
      <c r="C7061"/>
      <c r="D7061"/>
      <c r="E7061"/>
      <c r="F7061"/>
      <c r="G7061"/>
      <c r="H7061"/>
    </row>
    <row r="7062" spans="3:8" x14ac:dyDescent="0.3">
      <c r="C7062"/>
      <c r="D7062"/>
      <c r="E7062"/>
      <c r="F7062"/>
      <c r="G7062"/>
      <c r="H7062"/>
    </row>
    <row r="7063" spans="3:8" x14ac:dyDescent="0.3">
      <c r="C7063"/>
      <c r="D7063"/>
      <c r="E7063"/>
      <c r="F7063"/>
      <c r="G7063"/>
      <c r="H7063"/>
    </row>
    <row r="7064" spans="3:8" x14ac:dyDescent="0.3">
      <c r="C7064"/>
      <c r="D7064"/>
      <c r="E7064"/>
      <c r="F7064"/>
      <c r="G7064"/>
      <c r="H7064"/>
    </row>
    <row r="7065" spans="3:8" x14ac:dyDescent="0.3">
      <c r="C7065"/>
      <c r="D7065"/>
      <c r="E7065"/>
      <c r="F7065"/>
      <c r="G7065"/>
      <c r="H7065"/>
    </row>
    <row r="7066" spans="3:8" x14ac:dyDescent="0.3">
      <c r="C7066"/>
      <c r="D7066"/>
      <c r="E7066"/>
      <c r="F7066"/>
      <c r="G7066"/>
      <c r="H7066"/>
    </row>
    <row r="7067" spans="3:8" x14ac:dyDescent="0.3">
      <c r="C7067"/>
      <c r="D7067"/>
      <c r="E7067"/>
      <c r="F7067"/>
      <c r="G7067"/>
      <c r="H7067"/>
    </row>
    <row r="7068" spans="3:8" x14ac:dyDescent="0.3">
      <c r="C7068"/>
      <c r="D7068"/>
      <c r="E7068"/>
      <c r="F7068"/>
      <c r="G7068"/>
      <c r="H7068"/>
    </row>
    <row r="7069" spans="3:8" x14ac:dyDescent="0.3">
      <c r="C7069"/>
      <c r="D7069"/>
      <c r="E7069"/>
      <c r="F7069"/>
      <c r="G7069"/>
      <c r="H7069"/>
    </row>
    <row r="7070" spans="3:8" x14ac:dyDescent="0.3">
      <c r="C7070"/>
      <c r="D7070"/>
      <c r="E7070"/>
      <c r="F7070"/>
      <c r="G7070"/>
      <c r="H7070"/>
    </row>
    <row r="7071" spans="3:8" x14ac:dyDescent="0.3">
      <c r="C7071"/>
      <c r="D7071"/>
      <c r="E7071"/>
      <c r="F7071"/>
      <c r="G7071"/>
      <c r="H7071"/>
    </row>
    <row r="7072" spans="3:8" x14ac:dyDescent="0.3">
      <c r="C7072"/>
      <c r="D7072"/>
      <c r="E7072"/>
      <c r="F7072"/>
      <c r="G7072"/>
      <c r="H7072"/>
    </row>
    <row r="7073" spans="3:8" x14ac:dyDescent="0.3">
      <c r="C7073"/>
      <c r="D7073"/>
      <c r="E7073"/>
      <c r="F7073"/>
      <c r="G7073"/>
      <c r="H7073"/>
    </row>
    <row r="7074" spans="3:8" x14ac:dyDescent="0.3">
      <c r="C7074"/>
      <c r="D7074"/>
      <c r="E7074"/>
      <c r="F7074"/>
      <c r="G7074"/>
      <c r="H7074"/>
    </row>
    <row r="7075" spans="3:8" x14ac:dyDescent="0.3">
      <c r="C7075"/>
      <c r="D7075"/>
      <c r="E7075"/>
      <c r="F7075"/>
      <c r="G7075"/>
      <c r="H7075"/>
    </row>
    <row r="7076" spans="3:8" x14ac:dyDescent="0.3">
      <c r="C7076"/>
      <c r="D7076"/>
      <c r="E7076"/>
      <c r="F7076"/>
      <c r="G7076"/>
      <c r="H7076"/>
    </row>
    <row r="7077" spans="3:8" x14ac:dyDescent="0.3">
      <c r="C7077"/>
      <c r="D7077"/>
      <c r="E7077"/>
      <c r="F7077"/>
      <c r="G7077"/>
      <c r="H7077"/>
    </row>
    <row r="7078" spans="3:8" x14ac:dyDescent="0.3">
      <c r="C7078"/>
      <c r="D7078"/>
      <c r="E7078"/>
      <c r="F7078"/>
      <c r="G7078"/>
      <c r="H7078"/>
    </row>
    <row r="7079" spans="3:8" x14ac:dyDescent="0.3">
      <c r="C7079"/>
      <c r="D7079"/>
      <c r="E7079"/>
      <c r="F7079"/>
      <c r="G7079"/>
      <c r="H7079"/>
    </row>
    <row r="7080" spans="3:8" x14ac:dyDescent="0.3">
      <c r="C7080"/>
      <c r="D7080"/>
      <c r="E7080"/>
      <c r="F7080"/>
      <c r="G7080"/>
      <c r="H7080"/>
    </row>
    <row r="7081" spans="3:8" x14ac:dyDescent="0.3">
      <c r="C7081"/>
      <c r="D7081"/>
      <c r="E7081"/>
      <c r="F7081"/>
      <c r="G7081"/>
      <c r="H7081"/>
    </row>
    <row r="7082" spans="3:8" x14ac:dyDescent="0.3">
      <c r="C7082"/>
      <c r="D7082"/>
      <c r="E7082"/>
      <c r="F7082"/>
      <c r="G7082"/>
      <c r="H7082"/>
    </row>
    <row r="7083" spans="3:8" x14ac:dyDescent="0.3">
      <c r="C7083"/>
      <c r="D7083"/>
      <c r="E7083"/>
      <c r="F7083"/>
      <c r="G7083"/>
      <c r="H7083"/>
    </row>
    <row r="7084" spans="3:8" x14ac:dyDescent="0.3">
      <c r="C7084"/>
      <c r="D7084"/>
      <c r="E7084"/>
      <c r="F7084"/>
      <c r="G7084"/>
      <c r="H7084"/>
    </row>
    <row r="7085" spans="3:8" x14ac:dyDescent="0.3">
      <c r="C7085"/>
      <c r="D7085"/>
      <c r="E7085"/>
      <c r="F7085"/>
      <c r="G7085"/>
      <c r="H7085"/>
    </row>
    <row r="7086" spans="3:8" x14ac:dyDescent="0.3">
      <c r="C7086"/>
      <c r="D7086"/>
      <c r="E7086"/>
      <c r="F7086"/>
      <c r="G7086"/>
      <c r="H7086"/>
    </row>
    <row r="7087" spans="3:8" x14ac:dyDescent="0.3">
      <c r="C7087"/>
      <c r="D7087"/>
      <c r="E7087"/>
      <c r="F7087"/>
      <c r="G7087"/>
      <c r="H7087"/>
    </row>
    <row r="7088" spans="3:8" x14ac:dyDescent="0.3">
      <c r="C7088"/>
      <c r="D7088"/>
      <c r="E7088"/>
      <c r="F7088"/>
      <c r="G7088"/>
      <c r="H7088"/>
    </row>
    <row r="7089" spans="3:8" x14ac:dyDescent="0.3">
      <c r="C7089"/>
      <c r="D7089"/>
      <c r="E7089"/>
      <c r="F7089"/>
      <c r="G7089"/>
      <c r="H7089"/>
    </row>
    <row r="7090" spans="3:8" x14ac:dyDescent="0.3">
      <c r="C7090"/>
      <c r="D7090"/>
      <c r="E7090"/>
      <c r="F7090"/>
      <c r="G7090"/>
      <c r="H7090"/>
    </row>
    <row r="7091" spans="3:8" x14ac:dyDescent="0.3">
      <c r="C7091"/>
      <c r="D7091"/>
      <c r="E7091"/>
      <c r="F7091"/>
      <c r="G7091"/>
      <c r="H7091"/>
    </row>
    <row r="7092" spans="3:8" x14ac:dyDescent="0.3">
      <c r="C7092"/>
      <c r="D7092"/>
      <c r="E7092"/>
      <c r="F7092"/>
      <c r="G7092"/>
      <c r="H7092"/>
    </row>
    <row r="7093" spans="3:8" x14ac:dyDescent="0.3">
      <c r="C7093"/>
      <c r="D7093"/>
      <c r="E7093"/>
      <c r="F7093"/>
      <c r="G7093"/>
      <c r="H7093"/>
    </row>
    <row r="7094" spans="3:8" x14ac:dyDescent="0.3">
      <c r="C7094"/>
      <c r="D7094"/>
      <c r="E7094"/>
      <c r="F7094"/>
      <c r="G7094"/>
      <c r="H7094"/>
    </row>
    <row r="7095" spans="3:8" x14ac:dyDescent="0.3">
      <c r="C7095"/>
      <c r="D7095"/>
      <c r="E7095"/>
      <c r="F7095"/>
      <c r="G7095"/>
      <c r="H7095"/>
    </row>
    <row r="7096" spans="3:8" x14ac:dyDescent="0.3">
      <c r="C7096"/>
      <c r="D7096"/>
      <c r="E7096"/>
      <c r="F7096"/>
      <c r="G7096"/>
      <c r="H7096"/>
    </row>
    <row r="7097" spans="3:8" x14ac:dyDescent="0.3">
      <c r="C7097"/>
      <c r="D7097"/>
      <c r="E7097"/>
      <c r="F7097"/>
      <c r="G7097"/>
      <c r="H7097"/>
    </row>
    <row r="7098" spans="3:8" x14ac:dyDescent="0.3">
      <c r="C7098"/>
      <c r="D7098"/>
      <c r="E7098"/>
      <c r="F7098"/>
      <c r="G7098"/>
      <c r="H7098"/>
    </row>
    <row r="7099" spans="3:8" x14ac:dyDescent="0.3">
      <c r="C7099"/>
      <c r="D7099"/>
      <c r="E7099"/>
      <c r="F7099"/>
      <c r="G7099"/>
      <c r="H7099"/>
    </row>
    <row r="7100" spans="3:8" x14ac:dyDescent="0.3">
      <c r="C7100"/>
      <c r="D7100"/>
      <c r="E7100"/>
      <c r="F7100"/>
      <c r="G7100"/>
      <c r="H7100"/>
    </row>
    <row r="7101" spans="3:8" x14ac:dyDescent="0.3">
      <c r="C7101"/>
      <c r="D7101"/>
      <c r="E7101"/>
      <c r="F7101"/>
      <c r="G7101"/>
      <c r="H7101"/>
    </row>
    <row r="7102" spans="3:8" x14ac:dyDescent="0.3">
      <c r="C7102"/>
      <c r="D7102"/>
      <c r="E7102"/>
      <c r="F7102"/>
      <c r="G7102"/>
      <c r="H7102"/>
    </row>
    <row r="7103" spans="3:8" x14ac:dyDescent="0.3">
      <c r="C7103"/>
      <c r="D7103"/>
      <c r="E7103"/>
      <c r="F7103"/>
      <c r="G7103"/>
      <c r="H7103"/>
    </row>
    <row r="7104" spans="3:8" x14ac:dyDescent="0.3">
      <c r="C7104"/>
      <c r="D7104"/>
      <c r="E7104"/>
      <c r="F7104"/>
      <c r="G7104"/>
      <c r="H7104"/>
    </row>
    <row r="7105" spans="3:8" x14ac:dyDescent="0.3">
      <c r="C7105"/>
      <c r="D7105"/>
      <c r="E7105"/>
      <c r="F7105"/>
      <c r="G7105"/>
      <c r="H7105"/>
    </row>
    <row r="7106" spans="3:8" x14ac:dyDescent="0.3">
      <c r="C7106"/>
      <c r="D7106"/>
      <c r="E7106"/>
      <c r="F7106"/>
      <c r="G7106"/>
      <c r="H7106"/>
    </row>
    <row r="7107" spans="3:8" x14ac:dyDescent="0.3">
      <c r="C7107"/>
      <c r="D7107"/>
      <c r="E7107"/>
      <c r="F7107"/>
      <c r="G7107"/>
      <c r="H7107"/>
    </row>
    <row r="7108" spans="3:8" x14ac:dyDescent="0.3">
      <c r="C7108"/>
      <c r="D7108"/>
      <c r="E7108"/>
      <c r="F7108"/>
      <c r="G7108"/>
      <c r="H7108"/>
    </row>
    <row r="7109" spans="3:8" x14ac:dyDescent="0.3">
      <c r="C7109"/>
      <c r="D7109"/>
      <c r="E7109"/>
      <c r="F7109"/>
      <c r="G7109"/>
      <c r="H7109"/>
    </row>
    <row r="7110" spans="3:8" x14ac:dyDescent="0.3">
      <c r="C7110"/>
      <c r="D7110"/>
      <c r="E7110"/>
      <c r="F7110"/>
      <c r="G7110"/>
      <c r="H7110"/>
    </row>
    <row r="7111" spans="3:8" x14ac:dyDescent="0.3">
      <c r="C7111"/>
      <c r="D7111"/>
      <c r="E7111"/>
      <c r="F7111"/>
      <c r="G7111"/>
      <c r="H7111"/>
    </row>
    <row r="7112" spans="3:8" x14ac:dyDescent="0.3">
      <c r="C7112"/>
      <c r="D7112"/>
      <c r="E7112"/>
      <c r="F7112"/>
      <c r="G7112"/>
      <c r="H7112"/>
    </row>
    <row r="7113" spans="3:8" x14ac:dyDescent="0.3">
      <c r="C7113"/>
      <c r="D7113"/>
      <c r="E7113"/>
      <c r="F7113"/>
      <c r="G7113"/>
      <c r="H7113"/>
    </row>
    <row r="7114" spans="3:8" x14ac:dyDescent="0.3">
      <c r="C7114"/>
      <c r="D7114"/>
      <c r="E7114"/>
      <c r="F7114"/>
      <c r="G7114"/>
      <c r="H7114"/>
    </row>
    <row r="7115" spans="3:8" x14ac:dyDescent="0.3">
      <c r="C7115"/>
      <c r="D7115"/>
      <c r="E7115"/>
      <c r="F7115"/>
      <c r="G7115"/>
      <c r="H7115"/>
    </row>
    <row r="7116" spans="3:8" x14ac:dyDescent="0.3">
      <c r="C7116"/>
      <c r="D7116"/>
      <c r="E7116"/>
      <c r="F7116"/>
      <c r="G7116"/>
      <c r="H7116"/>
    </row>
    <row r="7117" spans="3:8" x14ac:dyDescent="0.3">
      <c r="C7117"/>
      <c r="D7117"/>
      <c r="E7117"/>
      <c r="F7117"/>
      <c r="G7117"/>
      <c r="H7117"/>
    </row>
    <row r="7118" spans="3:8" x14ac:dyDescent="0.3">
      <c r="C7118"/>
      <c r="D7118"/>
      <c r="E7118"/>
      <c r="F7118"/>
      <c r="G7118"/>
      <c r="H7118"/>
    </row>
    <row r="7119" spans="3:8" x14ac:dyDescent="0.3">
      <c r="C7119"/>
      <c r="D7119"/>
      <c r="E7119"/>
      <c r="F7119"/>
      <c r="G7119"/>
      <c r="H7119"/>
    </row>
    <row r="7120" spans="3:8" x14ac:dyDescent="0.3">
      <c r="C7120"/>
      <c r="D7120"/>
      <c r="E7120"/>
      <c r="F7120"/>
      <c r="G7120"/>
      <c r="H7120"/>
    </row>
    <row r="7121" spans="3:8" x14ac:dyDescent="0.3">
      <c r="C7121"/>
      <c r="D7121"/>
      <c r="E7121"/>
      <c r="F7121"/>
      <c r="G7121"/>
      <c r="H7121"/>
    </row>
    <row r="7122" spans="3:8" x14ac:dyDescent="0.3">
      <c r="C7122"/>
      <c r="D7122"/>
      <c r="E7122"/>
      <c r="F7122"/>
      <c r="G7122"/>
      <c r="H7122"/>
    </row>
    <row r="7123" spans="3:8" x14ac:dyDescent="0.3">
      <c r="C7123"/>
      <c r="D7123"/>
      <c r="E7123"/>
      <c r="F7123"/>
      <c r="G7123"/>
      <c r="H7123"/>
    </row>
    <row r="7124" spans="3:8" x14ac:dyDescent="0.3">
      <c r="C7124"/>
      <c r="D7124"/>
      <c r="E7124"/>
      <c r="F7124"/>
      <c r="G7124"/>
      <c r="H7124"/>
    </row>
    <row r="7125" spans="3:8" x14ac:dyDescent="0.3">
      <c r="C7125"/>
      <c r="D7125"/>
      <c r="E7125"/>
      <c r="F7125"/>
      <c r="G7125"/>
      <c r="H7125"/>
    </row>
    <row r="7126" spans="3:8" x14ac:dyDescent="0.3">
      <c r="C7126"/>
      <c r="D7126"/>
      <c r="E7126"/>
      <c r="F7126"/>
      <c r="G7126"/>
      <c r="H7126"/>
    </row>
    <row r="7127" spans="3:8" x14ac:dyDescent="0.3">
      <c r="C7127"/>
      <c r="D7127"/>
      <c r="E7127"/>
      <c r="F7127"/>
      <c r="G7127"/>
      <c r="H7127"/>
    </row>
    <row r="7128" spans="3:8" x14ac:dyDescent="0.3">
      <c r="C7128"/>
      <c r="D7128"/>
      <c r="E7128"/>
      <c r="F7128"/>
      <c r="G7128"/>
      <c r="H7128"/>
    </row>
    <row r="7129" spans="3:8" x14ac:dyDescent="0.3">
      <c r="C7129"/>
      <c r="D7129"/>
      <c r="E7129"/>
      <c r="F7129"/>
      <c r="G7129"/>
      <c r="H7129"/>
    </row>
    <row r="7130" spans="3:8" x14ac:dyDescent="0.3">
      <c r="C7130"/>
      <c r="D7130"/>
      <c r="E7130"/>
      <c r="F7130"/>
      <c r="G7130"/>
      <c r="H7130"/>
    </row>
    <row r="7131" spans="3:8" x14ac:dyDescent="0.3">
      <c r="C7131"/>
      <c r="D7131"/>
      <c r="E7131"/>
      <c r="F7131"/>
      <c r="G7131"/>
      <c r="H7131"/>
    </row>
    <row r="7132" spans="3:8" x14ac:dyDescent="0.3">
      <c r="C7132"/>
      <c r="D7132"/>
      <c r="E7132"/>
      <c r="F7132"/>
      <c r="G7132"/>
      <c r="H7132"/>
    </row>
    <row r="7133" spans="3:8" x14ac:dyDescent="0.3">
      <c r="C7133"/>
      <c r="D7133"/>
      <c r="E7133"/>
      <c r="F7133"/>
      <c r="G7133"/>
      <c r="H7133"/>
    </row>
    <row r="7134" spans="3:8" x14ac:dyDescent="0.3">
      <c r="C7134"/>
      <c r="D7134"/>
      <c r="E7134"/>
      <c r="F7134"/>
      <c r="G7134"/>
      <c r="H7134"/>
    </row>
    <row r="7135" spans="3:8" x14ac:dyDescent="0.3">
      <c r="C7135"/>
      <c r="D7135"/>
      <c r="E7135"/>
      <c r="F7135"/>
      <c r="G7135"/>
      <c r="H7135"/>
    </row>
    <row r="7136" spans="3:8" x14ac:dyDescent="0.3">
      <c r="C7136"/>
      <c r="D7136"/>
      <c r="E7136"/>
      <c r="F7136"/>
      <c r="G7136"/>
      <c r="H7136"/>
    </row>
    <row r="7137" spans="3:8" x14ac:dyDescent="0.3">
      <c r="C7137"/>
      <c r="D7137"/>
      <c r="E7137"/>
      <c r="F7137"/>
      <c r="G7137"/>
      <c r="H7137"/>
    </row>
    <row r="7138" spans="3:8" x14ac:dyDescent="0.3">
      <c r="C7138"/>
      <c r="D7138"/>
      <c r="E7138"/>
      <c r="F7138"/>
      <c r="G7138"/>
      <c r="H7138"/>
    </row>
    <row r="7139" spans="3:8" x14ac:dyDescent="0.3">
      <c r="C7139"/>
      <c r="D7139"/>
      <c r="E7139"/>
      <c r="F7139"/>
      <c r="G7139"/>
      <c r="H7139"/>
    </row>
    <row r="7140" spans="3:8" x14ac:dyDescent="0.3">
      <c r="C7140"/>
      <c r="D7140"/>
      <c r="E7140"/>
      <c r="F7140"/>
      <c r="G7140"/>
      <c r="H7140"/>
    </row>
    <row r="7141" spans="3:8" x14ac:dyDescent="0.3">
      <c r="C7141"/>
      <c r="D7141"/>
      <c r="E7141"/>
      <c r="F7141"/>
      <c r="G7141"/>
      <c r="H7141"/>
    </row>
    <row r="7142" spans="3:8" x14ac:dyDescent="0.3">
      <c r="C7142"/>
      <c r="D7142"/>
      <c r="E7142"/>
      <c r="F7142"/>
      <c r="G7142"/>
      <c r="H7142"/>
    </row>
    <row r="7143" spans="3:8" x14ac:dyDescent="0.3">
      <c r="C7143"/>
      <c r="D7143"/>
      <c r="E7143"/>
      <c r="F7143"/>
      <c r="G7143"/>
      <c r="H7143"/>
    </row>
    <row r="7144" spans="3:8" x14ac:dyDescent="0.3">
      <c r="C7144"/>
      <c r="D7144"/>
      <c r="E7144"/>
      <c r="F7144"/>
      <c r="G7144"/>
      <c r="H7144"/>
    </row>
    <row r="7145" spans="3:8" x14ac:dyDescent="0.3">
      <c r="C7145"/>
      <c r="D7145"/>
      <c r="E7145"/>
      <c r="F7145"/>
      <c r="G7145"/>
      <c r="H7145"/>
    </row>
    <row r="7146" spans="3:8" x14ac:dyDescent="0.3">
      <c r="C7146"/>
      <c r="D7146"/>
      <c r="E7146"/>
      <c r="F7146"/>
      <c r="G7146"/>
      <c r="H7146"/>
    </row>
    <row r="7147" spans="3:8" x14ac:dyDescent="0.3">
      <c r="C7147"/>
      <c r="D7147"/>
      <c r="E7147"/>
      <c r="F7147"/>
      <c r="G7147"/>
      <c r="H7147"/>
    </row>
    <row r="7148" spans="3:8" x14ac:dyDescent="0.3">
      <c r="C7148"/>
      <c r="D7148"/>
      <c r="E7148"/>
      <c r="F7148"/>
      <c r="G7148"/>
      <c r="H7148"/>
    </row>
    <row r="7149" spans="3:8" x14ac:dyDescent="0.3">
      <c r="C7149"/>
      <c r="D7149"/>
      <c r="E7149"/>
      <c r="F7149"/>
      <c r="G7149"/>
      <c r="H7149"/>
    </row>
    <row r="7150" spans="3:8" x14ac:dyDescent="0.3">
      <c r="C7150"/>
      <c r="D7150"/>
      <c r="E7150"/>
      <c r="F7150"/>
      <c r="G7150"/>
      <c r="H7150"/>
    </row>
    <row r="7151" spans="3:8" x14ac:dyDescent="0.3">
      <c r="C7151"/>
      <c r="D7151"/>
      <c r="E7151"/>
      <c r="F7151"/>
      <c r="G7151"/>
      <c r="H7151"/>
    </row>
    <row r="7152" spans="3:8" x14ac:dyDescent="0.3">
      <c r="C7152"/>
      <c r="D7152"/>
      <c r="E7152"/>
      <c r="F7152"/>
      <c r="G7152"/>
      <c r="H7152"/>
    </row>
    <row r="7153" spans="3:8" x14ac:dyDescent="0.3">
      <c r="C7153"/>
      <c r="D7153"/>
      <c r="E7153"/>
      <c r="F7153"/>
      <c r="G7153"/>
      <c r="H7153"/>
    </row>
    <row r="7154" spans="3:8" x14ac:dyDescent="0.3">
      <c r="C7154"/>
      <c r="D7154"/>
      <c r="E7154"/>
      <c r="F7154"/>
      <c r="G7154"/>
      <c r="H7154"/>
    </row>
    <row r="7155" spans="3:8" x14ac:dyDescent="0.3">
      <c r="C7155"/>
      <c r="D7155"/>
      <c r="E7155"/>
      <c r="F7155"/>
      <c r="G7155"/>
      <c r="H7155"/>
    </row>
    <row r="7156" spans="3:8" x14ac:dyDescent="0.3">
      <c r="C7156"/>
      <c r="D7156"/>
      <c r="E7156"/>
      <c r="F7156"/>
      <c r="G7156"/>
      <c r="H7156"/>
    </row>
    <row r="7157" spans="3:8" x14ac:dyDescent="0.3">
      <c r="C7157"/>
      <c r="D7157"/>
      <c r="E7157"/>
      <c r="F7157"/>
      <c r="G7157"/>
      <c r="H7157"/>
    </row>
    <row r="7158" spans="3:8" x14ac:dyDescent="0.3">
      <c r="C7158"/>
      <c r="D7158"/>
      <c r="E7158"/>
      <c r="F7158"/>
      <c r="G7158"/>
      <c r="H7158"/>
    </row>
    <row r="7159" spans="3:8" x14ac:dyDescent="0.3">
      <c r="C7159"/>
      <c r="D7159"/>
      <c r="E7159"/>
      <c r="F7159"/>
      <c r="G7159"/>
      <c r="H7159"/>
    </row>
    <row r="7160" spans="3:8" x14ac:dyDescent="0.3">
      <c r="C7160"/>
      <c r="D7160"/>
      <c r="E7160"/>
      <c r="F7160"/>
      <c r="G7160"/>
      <c r="H7160"/>
    </row>
    <row r="7161" spans="3:8" x14ac:dyDescent="0.3">
      <c r="C7161"/>
      <c r="D7161"/>
      <c r="E7161"/>
      <c r="F7161"/>
      <c r="G7161"/>
      <c r="H7161"/>
    </row>
    <row r="7162" spans="3:8" x14ac:dyDescent="0.3">
      <c r="C7162"/>
      <c r="D7162"/>
      <c r="E7162"/>
      <c r="F7162"/>
      <c r="G7162"/>
      <c r="H7162"/>
    </row>
    <row r="7163" spans="3:8" x14ac:dyDescent="0.3">
      <c r="C7163"/>
      <c r="D7163"/>
      <c r="E7163"/>
      <c r="F7163"/>
      <c r="G7163"/>
      <c r="H7163"/>
    </row>
    <row r="7164" spans="3:8" x14ac:dyDescent="0.3">
      <c r="C7164"/>
      <c r="D7164"/>
      <c r="E7164"/>
      <c r="F7164"/>
      <c r="G7164"/>
      <c r="H7164"/>
    </row>
    <row r="7165" spans="3:8" x14ac:dyDescent="0.3">
      <c r="C7165"/>
      <c r="D7165"/>
      <c r="E7165"/>
      <c r="F7165"/>
      <c r="G7165"/>
      <c r="H7165"/>
    </row>
    <row r="7166" spans="3:8" x14ac:dyDescent="0.3">
      <c r="C7166"/>
      <c r="D7166"/>
      <c r="E7166"/>
      <c r="F7166"/>
      <c r="G7166"/>
      <c r="H7166"/>
    </row>
    <row r="7167" spans="3:8" x14ac:dyDescent="0.3">
      <c r="C7167"/>
      <c r="D7167"/>
      <c r="E7167"/>
      <c r="F7167"/>
      <c r="G7167"/>
      <c r="H7167"/>
    </row>
    <row r="7168" spans="3:8" x14ac:dyDescent="0.3">
      <c r="C7168"/>
      <c r="D7168"/>
      <c r="E7168"/>
      <c r="F7168"/>
      <c r="G7168"/>
      <c r="H7168"/>
    </row>
    <row r="7169" spans="3:8" x14ac:dyDescent="0.3">
      <c r="C7169"/>
      <c r="D7169"/>
      <c r="E7169"/>
      <c r="F7169"/>
      <c r="G7169"/>
      <c r="H7169"/>
    </row>
    <row r="7170" spans="3:8" x14ac:dyDescent="0.3">
      <c r="C7170"/>
      <c r="D7170"/>
      <c r="E7170"/>
      <c r="F7170"/>
      <c r="G7170"/>
      <c r="H7170"/>
    </row>
    <row r="7171" spans="3:8" x14ac:dyDescent="0.3">
      <c r="C7171"/>
      <c r="D7171"/>
      <c r="E7171"/>
      <c r="F7171"/>
      <c r="G7171"/>
      <c r="H7171"/>
    </row>
    <row r="7172" spans="3:8" x14ac:dyDescent="0.3">
      <c r="C7172"/>
      <c r="D7172"/>
      <c r="E7172"/>
      <c r="F7172"/>
      <c r="G7172"/>
      <c r="H7172"/>
    </row>
    <row r="7173" spans="3:8" x14ac:dyDescent="0.3">
      <c r="C7173"/>
      <c r="D7173"/>
      <c r="E7173"/>
      <c r="F7173"/>
      <c r="G7173"/>
      <c r="H7173"/>
    </row>
    <row r="7174" spans="3:8" x14ac:dyDescent="0.3">
      <c r="C7174"/>
      <c r="D7174"/>
      <c r="E7174"/>
      <c r="F7174"/>
      <c r="G7174"/>
      <c r="H7174"/>
    </row>
    <row r="7175" spans="3:8" x14ac:dyDescent="0.3">
      <c r="C7175"/>
      <c r="D7175"/>
      <c r="E7175"/>
      <c r="F7175"/>
      <c r="G7175"/>
      <c r="H7175"/>
    </row>
    <row r="7176" spans="3:8" x14ac:dyDescent="0.3">
      <c r="C7176"/>
      <c r="D7176"/>
      <c r="E7176"/>
      <c r="F7176"/>
      <c r="G7176"/>
      <c r="H7176"/>
    </row>
    <row r="7177" spans="3:8" x14ac:dyDescent="0.3">
      <c r="C7177"/>
      <c r="D7177"/>
      <c r="E7177"/>
      <c r="F7177"/>
      <c r="G7177"/>
      <c r="H7177"/>
    </row>
    <row r="7178" spans="3:8" x14ac:dyDescent="0.3">
      <c r="C7178"/>
      <c r="D7178"/>
      <c r="E7178"/>
      <c r="F7178"/>
      <c r="G7178"/>
      <c r="H7178"/>
    </row>
    <row r="7179" spans="3:8" x14ac:dyDescent="0.3">
      <c r="C7179"/>
      <c r="D7179"/>
      <c r="E7179"/>
      <c r="F7179"/>
      <c r="G7179"/>
      <c r="H7179"/>
    </row>
    <row r="7180" spans="3:8" x14ac:dyDescent="0.3">
      <c r="C7180"/>
      <c r="D7180"/>
      <c r="E7180"/>
      <c r="F7180"/>
      <c r="G7180"/>
      <c r="H7180"/>
    </row>
    <row r="7181" spans="3:8" x14ac:dyDescent="0.3">
      <c r="C7181"/>
      <c r="D7181"/>
      <c r="E7181"/>
      <c r="F7181"/>
      <c r="G7181"/>
      <c r="H7181"/>
    </row>
    <row r="7182" spans="3:8" x14ac:dyDescent="0.3">
      <c r="C7182"/>
      <c r="D7182"/>
      <c r="E7182"/>
      <c r="F7182"/>
      <c r="G7182"/>
      <c r="H7182"/>
    </row>
    <row r="7183" spans="3:8" x14ac:dyDescent="0.3">
      <c r="C7183"/>
      <c r="D7183"/>
      <c r="E7183"/>
      <c r="F7183"/>
      <c r="G7183"/>
      <c r="H7183"/>
    </row>
    <row r="7184" spans="3:8" x14ac:dyDescent="0.3">
      <c r="C7184"/>
      <c r="D7184"/>
      <c r="E7184"/>
      <c r="F7184"/>
      <c r="G7184"/>
      <c r="H7184"/>
    </row>
    <row r="7185" spans="3:8" x14ac:dyDescent="0.3">
      <c r="C7185"/>
      <c r="D7185"/>
      <c r="E7185"/>
      <c r="F7185"/>
      <c r="G7185"/>
      <c r="H7185"/>
    </row>
    <row r="7186" spans="3:8" x14ac:dyDescent="0.3">
      <c r="C7186"/>
      <c r="D7186"/>
      <c r="E7186"/>
      <c r="F7186"/>
      <c r="G7186"/>
      <c r="H7186"/>
    </row>
    <row r="7187" spans="3:8" x14ac:dyDescent="0.3">
      <c r="C7187"/>
      <c r="D7187"/>
      <c r="E7187"/>
      <c r="F7187"/>
      <c r="G7187"/>
      <c r="H7187"/>
    </row>
    <row r="7188" spans="3:8" x14ac:dyDescent="0.3">
      <c r="C7188"/>
      <c r="D7188"/>
      <c r="E7188"/>
      <c r="F7188"/>
      <c r="G7188"/>
      <c r="H7188"/>
    </row>
    <row r="7189" spans="3:8" x14ac:dyDescent="0.3">
      <c r="C7189"/>
      <c r="D7189"/>
      <c r="E7189"/>
      <c r="F7189"/>
      <c r="G7189"/>
      <c r="H7189"/>
    </row>
    <row r="7190" spans="3:8" x14ac:dyDescent="0.3">
      <c r="C7190"/>
      <c r="D7190"/>
      <c r="E7190"/>
      <c r="F7190"/>
      <c r="G7190"/>
      <c r="H7190"/>
    </row>
    <row r="7191" spans="3:8" x14ac:dyDescent="0.3">
      <c r="C7191"/>
      <c r="D7191"/>
      <c r="E7191"/>
      <c r="F7191"/>
      <c r="G7191"/>
      <c r="H7191"/>
    </row>
    <row r="7192" spans="3:8" x14ac:dyDescent="0.3">
      <c r="C7192"/>
      <c r="D7192"/>
      <c r="E7192"/>
      <c r="F7192"/>
      <c r="G7192"/>
      <c r="H7192"/>
    </row>
    <row r="7193" spans="3:8" x14ac:dyDescent="0.3">
      <c r="C7193"/>
      <c r="D7193"/>
      <c r="E7193"/>
      <c r="F7193"/>
      <c r="G7193"/>
      <c r="H7193"/>
    </row>
    <row r="7194" spans="3:8" x14ac:dyDescent="0.3">
      <c r="C7194"/>
      <c r="D7194"/>
      <c r="E7194"/>
      <c r="F7194"/>
      <c r="G7194"/>
      <c r="H7194"/>
    </row>
    <row r="7195" spans="3:8" x14ac:dyDescent="0.3">
      <c r="C7195"/>
      <c r="D7195"/>
      <c r="E7195"/>
      <c r="F7195"/>
      <c r="G7195"/>
      <c r="H7195"/>
    </row>
    <row r="7196" spans="3:8" x14ac:dyDescent="0.3">
      <c r="C7196"/>
      <c r="D7196"/>
      <c r="E7196"/>
      <c r="F7196"/>
      <c r="G7196"/>
      <c r="H7196"/>
    </row>
    <row r="7197" spans="3:8" x14ac:dyDescent="0.3">
      <c r="C7197"/>
      <c r="D7197"/>
      <c r="E7197"/>
      <c r="F7197"/>
      <c r="G7197"/>
      <c r="H7197"/>
    </row>
    <row r="7198" spans="3:8" x14ac:dyDescent="0.3">
      <c r="C7198"/>
      <c r="D7198"/>
      <c r="E7198"/>
      <c r="F7198"/>
      <c r="G7198"/>
      <c r="H7198"/>
    </row>
    <row r="7199" spans="3:8" x14ac:dyDescent="0.3">
      <c r="C7199"/>
      <c r="D7199"/>
      <c r="E7199"/>
      <c r="F7199"/>
      <c r="G7199"/>
      <c r="H7199"/>
    </row>
    <row r="7200" spans="3:8" x14ac:dyDescent="0.3">
      <c r="C7200"/>
      <c r="D7200"/>
      <c r="E7200"/>
      <c r="F7200"/>
      <c r="G7200"/>
      <c r="H7200"/>
    </row>
    <row r="7201" spans="3:8" x14ac:dyDescent="0.3">
      <c r="C7201"/>
      <c r="D7201"/>
      <c r="E7201"/>
      <c r="F7201"/>
      <c r="G7201"/>
      <c r="H7201"/>
    </row>
    <row r="7202" spans="3:8" x14ac:dyDescent="0.3">
      <c r="C7202"/>
      <c r="D7202"/>
      <c r="E7202"/>
      <c r="F7202"/>
      <c r="G7202"/>
      <c r="H7202"/>
    </row>
    <row r="7203" spans="3:8" x14ac:dyDescent="0.3">
      <c r="C7203"/>
      <c r="D7203"/>
      <c r="E7203"/>
      <c r="F7203"/>
      <c r="G7203"/>
      <c r="H7203"/>
    </row>
    <row r="7204" spans="3:8" x14ac:dyDescent="0.3">
      <c r="C7204"/>
      <c r="D7204"/>
      <c r="E7204"/>
      <c r="F7204"/>
      <c r="G7204"/>
      <c r="H7204"/>
    </row>
    <row r="7205" spans="3:8" x14ac:dyDescent="0.3">
      <c r="C7205"/>
      <c r="D7205"/>
      <c r="E7205"/>
      <c r="F7205"/>
      <c r="G7205"/>
      <c r="H7205"/>
    </row>
    <row r="7206" spans="3:8" x14ac:dyDescent="0.3">
      <c r="C7206"/>
      <c r="D7206"/>
      <c r="E7206"/>
      <c r="F7206"/>
      <c r="G7206"/>
      <c r="H7206"/>
    </row>
    <row r="7207" spans="3:8" x14ac:dyDescent="0.3">
      <c r="C7207"/>
      <c r="D7207"/>
      <c r="E7207"/>
      <c r="F7207"/>
      <c r="G7207"/>
      <c r="H7207"/>
    </row>
    <row r="7208" spans="3:8" x14ac:dyDescent="0.3">
      <c r="C7208"/>
      <c r="D7208"/>
      <c r="E7208"/>
      <c r="F7208"/>
      <c r="G7208"/>
      <c r="H7208"/>
    </row>
    <row r="7209" spans="3:8" x14ac:dyDescent="0.3">
      <c r="C7209"/>
      <c r="D7209"/>
      <c r="E7209"/>
      <c r="F7209"/>
      <c r="G7209"/>
      <c r="H7209"/>
    </row>
    <row r="7210" spans="3:8" x14ac:dyDescent="0.3">
      <c r="C7210"/>
      <c r="D7210"/>
      <c r="E7210"/>
      <c r="F7210"/>
      <c r="G7210"/>
      <c r="H7210"/>
    </row>
    <row r="7211" spans="3:8" x14ac:dyDescent="0.3">
      <c r="C7211"/>
      <c r="D7211"/>
      <c r="E7211"/>
      <c r="F7211"/>
      <c r="G7211"/>
      <c r="H7211"/>
    </row>
    <row r="7212" spans="3:8" x14ac:dyDescent="0.3">
      <c r="C7212"/>
      <c r="D7212"/>
      <c r="E7212"/>
      <c r="F7212"/>
      <c r="G7212"/>
      <c r="H7212"/>
    </row>
    <row r="7213" spans="3:8" x14ac:dyDescent="0.3">
      <c r="C7213"/>
      <c r="D7213"/>
      <c r="E7213"/>
      <c r="F7213"/>
      <c r="G7213"/>
      <c r="H7213"/>
    </row>
    <row r="7214" spans="3:8" x14ac:dyDescent="0.3">
      <c r="C7214"/>
      <c r="D7214"/>
      <c r="E7214"/>
      <c r="F7214"/>
      <c r="G7214"/>
      <c r="H7214"/>
    </row>
    <row r="7215" spans="3:8" x14ac:dyDescent="0.3">
      <c r="C7215"/>
      <c r="D7215"/>
      <c r="E7215"/>
      <c r="F7215"/>
      <c r="G7215"/>
      <c r="H7215"/>
    </row>
    <row r="7216" spans="3:8" x14ac:dyDescent="0.3">
      <c r="C7216"/>
      <c r="D7216"/>
      <c r="E7216"/>
      <c r="F7216"/>
      <c r="G7216"/>
      <c r="H7216"/>
    </row>
    <row r="7217" spans="3:8" x14ac:dyDescent="0.3">
      <c r="C7217"/>
      <c r="D7217"/>
      <c r="E7217"/>
      <c r="F7217"/>
      <c r="G7217"/>
      <c r="H7217"/>
    </row>
    <row r="7218" spans="3:8" x14ac:dyDescent="0.3">
      <c r="C7218"/>
      <c r="D7218"/>
      <c r="E7218"/>
      <c r="F7218"/>
      <c r="G7218"/>
      <c r="H7218"/>
    </row>
    <row r="7219" spans="3:8" x14ac:dyDescent="0.3">
      <c r="C7219"/>
      <c r="D7219"/>
      <c r="E7219"/>
      <c r="F7219"/>
      <c r="G7219"/>
      <c r="H7219"/>
    </row>
    <row r="7220" spans="3:8" x14ac:dyDescent="0.3">
      <c r="C7220"/>
      <c r="D7220"/>
      <c r="E7220"/>
      <c r="F7220"/>
      <c r="G7220"/>
      <c r="H7220"/>
    </row>
    <row r="7221" spans="3:8" x14ac:dyDescent="0.3">
      <c r="C7221"/>
      <c r="D7221"/>
      <c r="E7221"/>
      <c r="F7221"/>
      <c r="G7221"/>
      <c r="H7221"/>
    </row>
    <row r="7222" spans="3:8" x14ac:dyDescent="0.3">
      <c r="C7222"/>
      <c r="D7222"/>
      <c r="E7222"/>
      <c r="F7222"/>
      <c r="G7222"/>
      <c r="H7222"/>
    </row>
    <row r="7223" spans="3:8" x14ac:dyDescent="0.3">
      <c r="C7223"/>
      <c r="D7223"/>
      <c r="E7223"/>
      <c r="F7223"/>
      <c r="G7223"/>
      <c r="H7223"/>
    </row>
    <row r="7224" spans="3:8" x14ac:dyDescent="0.3">
      <c r="C7224"/>
      <c r="D7224"/>
      <c r="E7224"/>
      <c r="F7224"/>
      <c r="G7224"/>
      <c r="H7224"/>
    </row>
    <row r="7225" spans="3:8" x14ac:dyDescent="0.3">
      <c r="C7225"/>
      <c r="D7225"/>
      <c r="E7225"/>
      <c r="F7225"/>
      <c r="G7225"/>
      <c r="H7225"/>
    </row>
    <row r="7226" spans="3:8" x14ac:dyDescent="0.3">
      <c r="C7226"/>
      <c r="D7226"/>
      <c r="E7226"/>
      <c r="F7226"/>
      <c r="G7226"/>
      <c r="H7226"/>
    </row>
    <row r="7227" spans="3:8" x14ac:dyDescent="0.3">
      <c r="C7227"/>
      <c r="D7227"/>
      <c r="E7227"/>
      <c r="F7227"/>
      <c r="G7227"/>
      <c r="H7227"/>
    </row>
    <row r="7228" spans="3:8" x14ac:dyDescent="0.3">
      <c r="C7228"/>
      <c r="D7228"/>
      <c r="E7228"/>
      <c r="F7228"/>
      <c r="G7228"/>
      <c r="H7228"/>
    </row>
    <row r="7229" spans="3:8" x14ac:dyDescent="0.3">
      <c r="C7229"/>
      <c r="D7229"/>
      <c r="E7229"/>
      <c r="F7229"/>
      <c r="G7229"/>
      <c r="H7229"/>
    </row>
    <row r="7230" spans="3:8" x14ac:dyDescent="0.3">
      <c r="C7230"/>
      <c r="D7230"/>
      <c r="E7230"/>
      <c r="F7230"/>
      <c r="G7230"/>
      <c r="H7230"/>
    </row>
    <row r="7231" spans="3:8" x14ac:dyDescent="0.3">
      <c r="C7231"/>
      <c r="D7231"/>
      <c r="E7231"/>
      <c r="F7231"/>
      <c r="G7231"/>
      <c r="H7231"/>
    </row>
    <row r="7232" spans="3:8" x14ac:dyDescent="0.3">
      <c r="C7232"/>
      <c r="D7232"/>
      <c r="E7232"/>
      <c r="F7232"/>
      <c r="G7232"/>
      <c r="H7232"/>
    </row>
    <row r="7233" spans="3:8" x14ac:dyDescent="0.3">
      <c r="C7233"/>
      <c r="D7233"/>
      <c r="E7233"/>
      <c r="F7233"/>
      <c r="G7233"/>
      <c r="H7233"/>
    </row>
    <row r="7234" spans="3:8" x14ac:dyDescent="0.3">
      <c r="C7234"/>
      <c r="D7234"/>
      <c r="E7234"/>
      <c r="F7234"/>
      <c r="G7234"/>
      <c r="H7234"/>
    </row>
    <row r="7235" spans="3:8" x14ac:dyDescent="0.3">
      <c r="C7235"/>
      <c r="D7235"/>
      <c r="E7235"/>
      <c r="F7235"/>
      <c r="G7235"/>
      <c r="H7235"/>
    </row>
    <row r="7236" spans="3:8" x14ac:dyDescent="0.3">
      <c r="C7236"/>
      <c r="D7236"/>
      <c r="E7236"/>
      <c r="F7236"/>
      <c r="G7236"/>
      <c r="H7236"/>
    </row>
    <row r="7237" spans="3:8" x14ac:dyDescent="0.3">
      <c r="C7237"/>
      <c r="D7237"/>
      <c r="E7237"/>
      <c r="F7237"/>
      <c r="G7237"/>
      <c r="H7237"/>
    </row>
    <row r="7238" spans="3:8" x14ac:dyDescent="0.3">
      <c r="C7238"/>
      <c r="D7238"/>
      <c r="E7238"/>
      <c r="F7238"/>
      <c r="G7238"/>
      <c r="H7238"/>
    </row>
    <row r="7239" spans="3:8" x14ac:dyDescent="0.3">
      <c r="C7239"/>
      <c r="D7239"/>
      <c r="E7239"/>
      <c r="F7239"/>
      <c r="G7239"/>
      <c r="H7239"/>
    </row>
    <row r="7240" spans="3:8" x14ac:dyDescent="0.3">
      <c r="C7240"/>
      <c r="D7240"/>
      <c r="E7240"/>
      <c r="F7240"/>
      <c r="G7240"/>
      <c r="H7240"/>
    </row>
    <row r="7241" spans="3:8" x14ac:dyDescent="0.3">
      <c r="C7241"/>
      <c r="D7241"/>
      <c r="E7241"/>
      <c r="F7241"/>
      <c r="G7241"/>
      <c r="H7241"/>
    </row>
    <row r="7242" spans="3:8" x14ac:dyDescent="0.3">
      <c r="C7242"/>
      <c r="D7242"/>
      <c r="E7242"/>
      <c r="F7242"/>
      <c r="G7242"/>
      <c r="H7242"/>
    </row>
    <row r="7243" spans="3:8" x14ac:dyDescent="0.3">
      <c r="C7243"/>
      <c r="D7243"/>
      <c r="E7243"/>
      <c r="F7243"/>
      <c r="G7243"/>
      <c r="H7243"/>
    </row>
    <row r="7244" spans="3:8" x14ac:dyDescent="0.3">
      <c r="C7244"/>
      <c r="D7244"/>
      <c r="E7244"/>
      <c r="F7244"/>
      <c r="G7244"/>
      <c r="H7244"/>
    </row>
    <row r="7245" spans="3:8" x14ac:dyDescent="0.3">
      <c r="C7245"/>
      <c r="D7245"/>
      <c r="E7245"/>
      <c r="F7245"/>
      <c r="G7245"/>
      <c r="H7245"/>
    </row>
    <row r="7246" spans="3:8" x14ac:dyDescent="0.3">
      <c r="C7246"/>
      <c r="D7246"/>
      <c r="E7246"/>
      <c r="F7246"/>
      <c r="G7246"/>
      <c r="H7246"/>
    </row>
    <row r="7247" spans="3:8" x14ac:dyDescent="0.3">
      <c r="C7247"/>
      <c r="D7247"/>
      <c r="E7247"/>
      <c r="F7247"/>
      <c r="G7247"/>
      <c r="H7247"/>
    </row>
    <row r="7248" spans="3:8" x14ac:dyDescent="0.3">
      <c r="C7248"/>
      <c r="D7248"/>
      <c r="E7248"/>
      <c r="F7248"/>
      <c r="G7248"/>
      <c r="H7248"/>
    </row>
    <row r="7249" spans="3:8" x14ac:dyDescent="0.3">
      <c r="C7249"/>
      <c r="D7249"/>
      <c r="E7249"/>
      <c r="F7249"/>
      <c r="G7249"/>
      <c r="H7249"/>
    </row>
    <row r="7250" spans="3:8" x14ac:dyDescent="0.3">
      <c r="C7250"/>
      <c r="D7250"/>
      <c r="E7250"/>
      <c r="F7250"/>
      <c r="G7250"/>
      <c r="H7250"/>
    </row>
    <row r="7251" spans="3:8" x14ac:dyDescent="0.3">
      <c r="C7251"/>
      <c r="D7251"/>
      <c r="E7251"/>
      <c r="F7251"/>
      <c r="G7251"/>
      <c r="H7251"/>
    </row>
    <row r="7252" spans="3:8" x14ac:dyDescent="0.3">
      <c r="C7252"/>
      <c r="D7252"/>
      <c r="E7252"/>
      <c r="F7252"/>
      <c r="G7252"/>
      <c r="H7252"/>
    </row>
    <row r="7253" spans="3:8" x14ac:dyDescent="0.3">
      <c r="C7253"/>
      <c r="D7253"/>
      <c r="E7253"/>
      <c r="F7253"/>
      <c r="G7253"/>
      <c r="H7253"/>
    </row>
    <row r="7254" spans="3:8" x14ac:dyDescent="0.3">
      <c r="C7254"/>
      <c r="D7254"/>
      <c r="E7254"/>
      <c r="F7254"/>
      <c r="G7254"/>
      <c r="H7254"/>
    </row>
    <row r="7255" spans="3:8" x14ac:dyDescent="0.3">
      <c r="C7255"/>
      <c r="D7255"/>
      <c r="E7255"/>
      <c r="F7255"/>
      <c r="G7255"/>
      <c r="H7255"/>
    </row>
    <row r="7256" spans="3:8" x14ac:dyDescent="0.3">
      <c r="C7256"/>
      <c r="D7256"/>
      <c r="E7256"/>
      <c r="F7256"/>
      <c r="G7256"/>
      <c r="H7256"/>
    </row>
    <row r="7257" spans="3:8" x14ac:dyDescent="0.3">
      <c r="C7257"/>
      <c r="D7257"/>
      <c r="E7257"/>
      <c r="F7257"/>
      <c r="G7257"/>
      <c r="H7257"/>
    </row>
    <row r="7258" spans="3:8" x14ac:dyDescent="0.3">
      <c r="C7258"/>
      <c r="D7258"/>
      <c r="E7258"/>
      <c r="F7258"/>
      <c r="G7258"/>
      <c r="H7258"/>
    </row>
    <row r="7259" spans="3:8" x14ac:dyDescent="0.3">
      <c r="C7259"/>
      <c r="D7259"/>
      <c r="E7259"/>
      <c r="F7259"/>
      <c r="G7259"/>
      <c r="H7259"/>
    </row>
    <row r="7260" spans="3:8" x14ac:dyDescent="0.3">
      <c r="C7260"/>
      <c r="D7260"/>
      <c r="E7260"/>
      <c r="F7260"/>
      <c r="G7260"/>
      <c r="H7260"/>
    </row>
    <row r="7261" spans="3:8" x14ac:dyDescent="0.3">
      <c r="C7261"/>
      <c r="D7261"/>
      <c r="E7261"/>
      <c r="F7261"/>
      <c r="G7261"/>
      <c r="H7261"/>
    </row>
    <row r="7262" spans="3:8" x14ac:dyDescent="0.3">
      <c r="C7262"/>
      <c r="D7262"/>
      <c r="E7262"/>
      <c r="F7262"/>
      <c r="G7262"/>
      <c r="H7262"/>
    </row>
    <row r="7263" spans="3:8" x14ac:dyDescent="0.3">
      <c r="C7263"/>
      <c r="D7263"/>
      <c r="E7263"/>
      <c r="F7263"/>
      <c r="G7263"/>
      <c r="H7263"/>
    </row>
    <row r="7264" spans="3:8" x14ac:dyDescent="0.3">
      <c r="C7264"/>
      <c r="D7264"/>
      <c r="E7264"/>
      <c r="F7264"/>
      <c r="G7264"/>
      <c r="H7264"/>
    </row>
    <row r="7265" spans="3:8" x14ac:dyDescent="0.3">
      <c r="C7265"/>
      <c r="D7265"/>
      <c r="E7265"/>
      <c r="F7265"/>
      <c r="G7265"/>
      <c r="H7265"/>
    </row>
    <row r="7266" spans="3:8" x14ac:dyDescent="0.3">
      <c r="C7266"/>
      <c r="D7266"/>
      <c r="E7266"/>
      <c r="F7266"/>
      <c r="G7266"/>
      <c r="H7266"/>
    </row>
    <row r="7267" spans="3:8" x14ac:dyDescent="0.3">
      <c r="C7267"/>
      <c r="D7267"/>
      <c r="E7267"/>
      <c r="F7267"/>
      <c r="G7267"/>
      <c r="H7267"/>
    </row>
    <row r="7268" spans="3:8" x14ac:dyDescent="0.3">
      <c r="C7268"/>
      <c r="D7268"/>
      <c r="E7268"/>
      <c r="F7268"/>
      <c r="G7268"/>
      <c r="H7268"/>
    </row>
    <row r="7269" spans="3:8" x14ac:dyDescent="0.3">
      <c r="C7269"/>
      <c r="D7269"/>
      <c r="E7269"/>
      <c r="F7269"/>
      <c r="G7269"/>
      <c r="H7269"/>
    </row>
    <row r="7270" spans="3:8" x14ac:dyDescent="0.3">
      <c r="C7270"/>
      <c r="D7270"/>
      <c r="E7270"/>
      <c r="F7270"/>
      <c r="G7270"/>
      <c r="H7270"/>
    </row>
    <row r="7271" spans="3:8" x14ac:dyDescent="0.3">
      <c r="C7271"/>
      <c r="D7271"/>
      <c r="E7271"/>
      <c r="F7271"/>
      <c r="G7271"/>
      <c r="H7271"/>
    </row>
    <row r="7272" spans="3:8" x14ac:dyDescent="0.3">
      <c r="C7272"/>
      <c r="D7272"/>
      <c r="E7272"/>
      <c r="F7272"/>
      <c r="G7272"/>
      <c r="H7272"/>
    </row>
    <row r="7273" spans="3:8" x14ac:dyDescent="0.3">
      <c r="C7273"/>
      <c r="D7273"/>
      <c r="E7273"/>
      <c r="F7273"/>
      <c r="G7273"/>
      <c r="H7273"/>
    </row>
    <row r="7274" spans="3:8" x14ac:dyDescent="0.3">
      <c r="C7274"/>
      <c r="D7274"/>
      <c r="E7274"/>
      <c r="F7274"/>
      <c r="G7274"/>
      <c r="H7274"/>
    </row>
    <row r="7275" spans="3:8" x14ac:dyDescent="0.3">
      <c r="C7275"/>
      <c r="D7275"/>
      <c r="E7275"/>
      <c r="F7275"/>
      <c r="G7275"/>
      <c r="H7275"/>
    </row>
    <row r="7276" spans="3:8" x14ac:dyDescent="0.3">
      <c r="C7276"/>
      <c r="D7276"/>
      <c r="E7276"/>
      <c r="F7276"/>
      <c r="G7276"/>
      <c r="H7276"/>
    </row>
    <row r="7277" spans="3:8" x14ac:dyDescent="0.3">
      <c r="C7277"/>
      <c r="D7277"/>
      <c r="E7277"/>
      <c r="F7277"/>
      <c r="G7277"/>
      <c r="H7277"/>
    </row>
    <row r="7278" spans="3:8" x14ac:dyDescent="0.3">
      <c r="C7278"/>
      <c r="D7278"/>
      <c r="E7278"/>
      <c r="F7278"/>
      <c r="G7278"/>
      <c r="H7278"/>
    </row>
    <row r="7279" spans="3:8" x14ac:dyDescent="0.3">
      <c r="C7279"/>
      <c r="D7279"/>
      <c r="E7279"/>
      <c r="F7279"/>
      <c r="G7279"/>
      <c r="H7279"/>
    </row>
    <row r="7280" spans="3:8" x14ac:dyDescent="0.3">
      <c r="C7280"/>
      <c r="D7280"/>
      <c r="E7280"/>
      <c r="F7280"/>
      <c r="G7280"/>
      <c r="H7280"/>
    </row>
    <row r="7281" spans="3:8" x14ac:dyDescent="0.3">
      <c r="C7281"/>
      <c r="D7281"/>
      <c r="E7281"/>
      <c r="F7281"/>
      <c r="G7281"/>
      <c r="H7281"/>
    </row>
    <row r="7282" spans="3:8" x14ac:dyDescent="0.3">
      <c r="C7282"/>
      <c r="D7282"/>
      <c r="E7282"/>
      <c r="F7282"/>
      <c r="G7282"/>
      <c r="H7282"/>
    </row>
    <row r="7283" spans="3:8" x14ac:dyDescent="0.3">
      <c r="C7283"/>
      <c r="D7283"/>
      <c r="E7283"/>
      <c r="F7283"/>
      <c r="G7283"/>
      <c r="H7283"/>
    </row>
    <row r="7284" spans="3:8" x14ac:dyDescent="0.3">
      <c r="C7284"/>
      <c r="D7284"/>
      <c r="E7284"/>
      <c r="F7284"/>
      <c r="G7284"/>
      <c r="H7284"/>
    </row>
    <row r="7285" spans="3:8" x14ac:dyDescent="0.3">
      <c r="C7285"/>
      <c r="D7285"/>
      <c r="E7285"/>
      <c r="F7285"/>
      <c r="G7285"/>
      <c r="H7285"/>
    </row>
    <row r="7286" spans="3:8" x14ac:dyDescent="0.3">
      <c r="C7286"/>
      <c r="D7286"/>
      <c r="E7286"/>
      <c r="F7286"/>
      <c r="G7286"/>
      <c r="H7286"/>
    </row>
    <row r="7287" spans="3:8" x14ac:dyDescent="0.3">
      <c r="C7287"/>
      <c r="D7287"/>
      <c r="E7287"/>
      <c r="F7287"/>
      <c r="G7287"/>
      <c r="H7287"/>
    </row>
    <row r="7288" spans="3:8" x14ac:dyDescent="0.3">
      <c r="C7288"/>
      <c r="D7288"/>
      <c r="E7288"/>
      <c r="F7288"/>
      <c r="G7288"/>
      <c r="H7288"/>
    </row>
    <row r="7289" spans="3:8" x14ac:dyDescent="0.3">
      <c r="C7289"/>
      <c r="D7289"/>
      <c r="E7289"/>
      <c r="F7289"/>
      <c r="G7289"/>
      <c r="H7289"/>
    </row>
    <row r="7290" spans="3:8" x14ac:dyDescent="0.3">
      <c r="C7290"/>
      <c r="D7290"/>
      <c r="E7290"/>
      <c r="F7290"/>
      <c r="G7290"/>
      <c r="H7290"/>
    </row>
    <row r="7291" spans="3:8" x14ac:dyDescent="0.3">
      <c r="C7291"/>
      <c r="D7291"/>
      <c r="E7291"/>
      <c r="F7291"/>
      <c r="G7291"/>
      <c r="H7291"/>
    </row>
    <row r="7292" spans="3:8" x14ac:dyDescent="0.3">
      <c r="C7292"/>
      <c r="D7292"/>
      <c r="E7292"/>
      <c r="F7292"/>
      <c r="G7292"/>
      <c r="H7292"/>
    </row>
    <row r="7293" spans="3:8" x14ac:dyDescent="0.3">
      <c r="C7293"/>
      <c r="D7293"/>
      <c r="E7293"/>
      <c r="F7293"/>
      <c r="G7293"/>
      <c r="H7293"/>
    </row>
    <row r="7294" spans="3:8" x14ac:dyDescent="0.3">
      <c r="C7294"/>
      <c r="D7294"/>
      <c r="E7294"/>
      <c r="F7294"/>
      <c r="G7294"/>
      <c r="H7294"/>
    </row>
    <row r="7295" spans="3:8" x14ac:dyDescent="0.3">
      <c r="C7295"/>
      <c r="D7295"/>
      <c r="E7295"/>
      <c r="F7295"/>
      <c r="G7295"/>
      <c r="H7295"/>
    </row>
    <row r="7296" spans="3:8" x14ac:dyDescent="0.3">
      <c r="C7296"/>
      <c r="D7296"/>
      <c r="E7296"/>
      <c r="F7296"/>
      <c r="G7296"/>
      <c r="H7296"/>
    </row>
    <row r="7297" spans="3:8" x14ac:dyDescent="0.3">
      <c r="C7297"/>
      <c r="D7297"/>
      <c r="E7297"/>
      <c r="F7297"/>
      <c r="G7297"/>
      <c r="H7297"/>
    </row>
    <row r="7298" spans="3:8" x14ac:dyDescent="0.3">
      <c r="C7298"/>
      <c r="D7298"/>
      <c r="E7298"/>
      <c r="F7298"/>
      <c r="G7298"/>
      <c r="H7298"/>
    </row>
    <row r="7299" spans="3:8" x14ac:dyDescent="0.3">
      <c r="C7299"/>
      <c r="D7299"/>
      <c r="E7299"/>
      <c r="F7299"/>
      <c r="G7299"/>
      <c r="H7299"/>
    </row>
    <row r="7300" spans="3:8" x14ac:dyDescent="0.3">
      <c r="C7300"/>
      <c r="D7300"/>
      <c r="E7300"/>
      <c r="F7300"/>
      <c r="G7300"/>
      <c r="H7300"/>
    </row>
    <row r="7301" spans="3:8" x14ac:dyDescent="0.3">
      <c r="C7301"/>
      <c r="D7301"/>
      <c r="E7301"/>
      <c r="F7301"/>
      <c r="G7301"/>
      <c r="H7301"/>
    </row>
    <row r="7302" spans="3:8" x14ac:dyDescent="0.3">
      <c r="C7302"/>
      <c r="D7302"/>
      <c r="E7302"/>
      <c r="F7302"/>
      <c r="G7302"/>
      <c r="H7302"/>
    </row>
    <row r="7303" spans="3:8" x14ac:dyDescent="0.3">
      <c r="C7303"/>
      <c r="D7303"/>
      <c r="E7303"/>
      <c r="F7303"/>
      <c r="G7303"/>
      <c r="H7303"/>
    </row>
    <row r="7304" spans="3:8" x14ac:dyDescent="0.3">
      <c r="C7304"/>
      <c r="D7304"/>
      <c r="E7304"/>
      <c r="F7304"/>
      <c r="G7304"/>
      <c r="H7304"/>
    </row>
    <row r="7305" spans="3:8" x14ac:dyDescent="0.3">
      <c r="C7305"/>
      <c r="D7305"/>
      <c r="E7305"/>
      <c r="F7305"/>
      <c r="G7305"/>
      <c r="H7305"/>
    </row>
    <row r="7306" spans="3:8" x14ac:dyDescent="0.3">
      <c r="C7306"/>
      <c r="D7306"/>
      <c r="E7306"/>
      <c r="F7306"/>
      <c r="G7306"/>
      <c r="H7306"/>
    </row>
    <row r="7307" spans="3:8" x14ac:dyDescent="0.3">
      <c r="C7307"/>
      <c r="D7307"/>
      <c r="E7307"/>
      <c r="F7307"/>
      <c r="G7307"/>
      <c r="H7307"/>
    </row>
    <row r="7308" spans="3:8" x14ac:dyDescent="0.3">
      <c r="C7308"/>
      <c r="D7308"/>
      <c r="E7308"/>
      <c r="F7308"/>
      <c r="G7308"/>
      <c r="H7308"/>
    </row>
    <row r="7309" spans="3:8" x14ac:dyDescent="0.3">
      <c r="C7309"/>
      <c r="D7309"/>
      <c r="E7309"/>
      <c r="F7309"/>
      <c r="G7309"/>
      <c r="H7309"/>
    </row>
    <row r="7310" spans="3:8" x14ac:dyDescent="0.3">
      <c r="C7310"/>
      <c r="D7310"/>
      <c r="E7310"/>
      <c r="F7310"/>
      <c r="G7310"/>
      <c r="H7310"/>
    </row>
    <row r="7311" spans="3:8" x14ac:dyDescent="0.3">
      <c r="C7311"/>
      <c r="D7311"/>
      <c r="E7311"/>
      <c r="F7311"/>
      <c r="G7311"/>
      <c r="H7311"/>
    </row>
    <row r="7312" spans="3:8" x14ac:dyDescent="0.3">
      <c r="C7312"/>
      <c r="D7312"/>
      <c r="E7312"/>
      <c r="F7312"/>
      <c r="G7312"/>
      <c r="H7312"/>
    </row>
    <row r="7313" spans="3:8" x14ac:dyDescent="0.3">
      <c r="C7313"/>
      <c r="D7313"/>
      <c r="E7313"/>
      <c r="F7313"/>
      <c r="G7313"/>
      <c r="H7313"/>
    </row>
    <row r="7314" spans="3:8" x14ac:dyDescent="0.3">
      <c r="C7314"/>
      <c r="D7314"/>
      <c r="E7314"/>
      <c r="F7314"/>
      <c r="G7314"/>
      <c r="H7314"/>
    </row>
    <row r="7315" spans="3:8" x14ac:dyDescent="0.3">
      <c r="C7315"/>
      <c r="D7315"/>
      <c r="E7315"/>
      <c r="F7315"/>
      <c r="G7315"/>
      <c r="H7315"/>
    </row>
    <row r="7316" spans="3:8" x14ac:dyDescent="0.3">
      <c r="C7316"/>
      <c r="D7316"/>
      <c r="E7316"/>
      <c r="F7316"/>
      <c r="G7316"/>
      <c r="H7316"/>
    </row>
    <row r="7317" spans="3:8" x14ac:dyDescent="0.3">
      <c r="C7317"/>
      <c r="D7317"/>
      <c r="E7317"/>
      <c r="F7317"/>
      <c r="G7317"/>
      <c r="H7317"/>
    </row>
    <row r="7318" spans="3:8" x14ac:dyDescent="0.3">
      <c r="C7318"/>
      <c r="D7318"/>
      <c r="E7318"/>
      <c r="F7318"/>
      <c r="G7318"/>
      <c r="H7318"/>
    </row>
    <row r="7319" spans="3:8" x14ac:dyDescent="0.3">
      <c r="C7319"/>
      <c r="D7319"/>
      <c r="E7319"/>
      <c r="F7319"/>
      <c r="G7319"/>
      <c r="H7319"/>
    </row>
    <row r="7320" spans="3:8" x14ac:dyDescent="0.3">
      <c r="C7320"/>
      <c r="D7320"/>
      <c r="E7320"/>
      <c r="F7320"/>
      <c r="G7320"/>
      <c r="H7320"/>
    </row>
    <row r="7321" spans="3:8" x14ac:dyDescent="0.3">
      <c r="C7321"/>
      <c r="D7321"/>
      <c r="E7321"/>
      <c r="F7321"/>
      <c r="G7321"/>
      <c r="H7321"/>
    </row>
    <row r="7322" spans="3:8" x14ac:dyDescent="0.3">
      <c r="C7322"/>
      <c r="D7322"/>
      <c r="E7322"/>
      <c r="F7322"/>
      <c r="G7322"/>
      <c r="H7322"/>
    </row>
    <row r="7323" spans="3:8" x14ac:dyDescent="0.3">
      <c r="C7323"/>
      <c r="D7323"/>
      <c r="E7323"/>
      <c r="F7323"/>
      <c r="G7323"/>
      <c r="H7323"/>
    </row>
    <row r="7324" spans="3:8" x14ac:dyDescent="0.3">
      <c r="C7324"/>
      <c r="D7324"/>
      <c r="E7324"/>
      <c r="F7324"/>
      <c r="G7324"/>
      <c r="H7324"/>
    </row>
    <row r="7325" spans="3:8" x14ac:dyDescent="0.3">
      <c r="C7325"/>
      <c r="D7325"/>
      <c r="E7325"/>
      <c r="F7325"/>
      <c r="G7325"/>
      <c r="H7325"/>
    </row>
    <row r="7326" spans="3:8" x14ac:dyDescent="0.3">
      <c r="C7326"/>
      <c r="D7326"/>
      <c r="E7326"/>
      <c r="F7326"/>
      <c r="G7326"/>
      <c r="H7326"/>
    </row>
    <row r="7327" spans="3:8" x14ac:dyDescent="0.3">
      <c r="C7327"/>
      <c r="D7327"/>
      <c r="E7327"/>
      <c r="F7327"/>
      <c r="G7327"/>
      <c r="H7327"/>
    </row>
    <row r="7328" spans="3:8" x14ac:dyDescent="0.3">
      <c r="C7328"/>
      <c r="D7328"/>
      <c r="E7328"/>
      <c r="F7328"/>
      <c r="G7328"/>
      <c r="H7328"/>
    </row>
    <row r="7329" spans="3:8" x14ac:dyDescent="0.3">
      <c r="C7329"/>
      <c r="D7329"/>
      <c r="E7329"/>
      <c r="F7329"/>
      <c r="G7329"/>
      <c r="H7329"/>
    </row>
    <row r="7330" spans="3:8" x14ac:dyDescent="0.3">
      <c r="C7330"/>
      <c r="D7330"/>
      <c r="E7330"/>
      <c r="F7330"/>
      <c r="G7330"/>
      <c r="H7330"/>
    </row>
    <row r="7331" spans="3:8" x14ac:dyDescent="0.3">
      <c r="C7331"/>
      <c r="D7331"/>
      <c r="E7331"/>
      <c r="F7331"/>
      <c r="G7331"/>
      <c r="H7331"/>
    </row>
    <row r="7332" spans="3:8" x14ac:dyDescent="0.3">
      <c r="C7332"/>
      <c r="D7332"/>
      <c r="E7332"/>
      <c r="F7332"/>
      <c r="G7332"/>
      <c r="H7332"/>
    </row>
    <row r="7333" spans="3:8" x14ac:dyDescent="0.3">
      <c r="C7333"/>
      <c r="D7333"/>
      <c r="E7333"/>
      <c r="F7333"/>
      <c r="G7333"/>
      <c r="H7333"/>
    </row>
    <row r="7334" spans="3:8" x14ac:dyDescent="0.3">
      <c r="C7334"/>
      <c r="D7334"/>
      <c r="E7334"/>
      <c r="F7334"/>
      <c r="G7334"/>
      <c r="H7334"/>
    </row>
    <row r="7335" spans="3:8" x14ac:dyDescent="0.3">
      <c r="C7335"/>
      <c r="D7335"/>
      <c r="E7335"/>
      <c r="F7335"/>
      <c r="G7335"/>
      <c r="H7335"/>
    </row>
    <row r="7336" spans="3:8" x14ac:dyDescent="0.3">
      <c r="C7336"/>
      <c r="D7336"/>
      <c r="E7336"/>
      <c r="F7336"/>
      <c r="G7336"/>
      <c r="H7336"/>
    </row>
    <row r="7337" spans="3:8" x14ac:dyDescent="0.3">
      <c r="C7337"/>
      <c r="D7337"/>
      <c r="E7337"/>
      <c r="F7337"/>
      <c r="G7337"/>
      <c r="H7337"/>
    </row>
    <row r="7338" spans="3:8" x14ac:dyDescent="0.3">
      <c r="C7338"/>
      <c r="D7338"/>
      <c r="E7338"/>
      <c r="F7338"/>
      <c r="G7338"/>
      <c r="H7338"/>
    </row>
    <row r="7339" spans="3:8" x14ac:dyDescent="0.3">
      <c r="C7339"/>
      <c r="D7339"/>
      <c r="E7339"/>
      <c r="F7339"/>
      <c r="G7339"/>
      <c r="H7339"/>
    </row>
    <row r="7340" spans="3:8" x14ac:dyDescent="0.3">
      <c r="C7340"/>
      <c r="D7340"/>
      <c r="E7340"/>
      <c r="F7340"/>
      <c r="G7340"/>
      <c r="H7340"/>
    </row>
    <row r="7341" spans="3:8" x14ac:dyDescent="0.3">
      <c r="C7341"/>
      <c r="D7341"/>
      <c r="E7341"/>
      <c r="F7341"/>
      <c r="G7341"/>
      <c r="H7341"/>
    </row>
    <row r="7342" spans="3:8" x14ac:dyDescent="0.3">
      <c r="C7342"/>
      <c r="D7342"/>
      <c r="E7342"/>
      <c r="F7342"/>
      <c r="G7342"/>
      <c r="H7342"/>
    </row>
    <row r="7343" spans="3:8" x14ac:dyDescent="0.3">
      <c r="C7343"/>
      <c r="D7343"/>
      <c r="E7343"/>
      <c r="F7343"/>
      <c r="G7343"/>
      <c r="H7343"/>
    </row>
    <row r="7344" spans="3:8" x14ac:dyDescent="0.3">
      <c r="C7344"/>
      <c r="D7344"/>
      <c r="E7344"/>
      <c r="F7344"/>
      <c r="G7344"/>
      <c r="H7344"/>
    </row>
    <row r="7345" spans="3:8" x14ac:dyDescent="0.3">
      <c r="C7345"/>
      <c r="D7345"/>
      <c r="E7345"/>
      <c r="F7345"/>
      <c r="G7345"/>
      <c r="H7345"/>
    </row>
    <row r="7346" spans="3:8" x14ac:dyDescent="0.3">
      <c r="C7346"/>
      <c r="D7346"/>
      <c r="E7346"/>
      <c r="F7346"/>
      <c r="G7346"/>
      <c r="H7346"/>
    </row>
    <row r="7347" spans="3:8" x14ac:dyDescent="0.3">
      <c r="C7347"/>
      <c r="D7347"/>
      <c r="E7347"/>
      <c r="F7347"/>
      <c r="G7347"/>
      <c r="H7347"/>
    </row>
    <row r="7348" spans="3:8" x14ac:dyDescent="0.3">
      <c r="C7348"/>
      <c r="D7348"/>
      <c r="E7348"/>
      <c r="F7348"/>
      <c r="G7348"/>
      <c r="H7348"/>
    </row>
    <row r="7349" spans="3:8" x14ac:dyDescent="0.3">
      <c r="C7349"/>
      <c r="D7349"/>
      <c r="E7349"/>
      <c r="F7349"/>
      <c r="G7349"/>
      <c r="H7349"/>
    </row>
    <row r="7350" spans="3:8" x14ac:dyDescent="0.3">
      <c r="C7350"/>
      <c r="D7350"/>
      <c r="E7350"/>
      <c r="F7350"/>
      <c r="G7350"/>
      <c r="H7350"/>
    </row>
    <row r="7351" spans="3:8" x14ac:dyDescent="0.3">
      <c r="C7351"/>
      <c r="D7351"/>
      <c r="E7351"/>
      <c r="F7351"/>
      <c r="G7351"/>
      <c r="H7351"/>
    </row>
    <row r="7352" spans="3:8" x14ac:dyDescent="0.3">
      <c r="C7352"/>
      <c r="D7352"/>
      <c r="E7352"/>
      <c r="F7352"/>
      <c r="G7352"/>
      <c r="H7352"/>
    </row>
    <row r="7353" spans="3:8" x14ac:dyDescent="0.3">
      <c r="C7353"/>
      <c r="D7353"/>
      <c r="E7353"/>
      <c r="F7353"/>
      <c r="G7353"/>
      <c r="H7353"/>
    </row>
    <row r="7354" spans="3:8" x14ac:dyDescent="0.3">
      <c r="C7354"/>
      <c r="D7354"/>
      <c r="E7354"/>
      <c r="F7354"/>
      <c r="G7354"/>
      <c r="H7354"/>
    </row>
    <row r="7355" spans="3:8" x14ac:dyDescent="0.3">
      <c r="C7355"/>
      <c r="D7355"/>
      <c r="E7355"/>
      <c r="F7355"/>
      <c r="G7355"/>
      <c r="H7355"/>
    </row>
    <row r="7356" spans="3:8" x14ac:dyDescent="0.3">
      <c r="C7356"/>
      <c r="D7356"/>
      <c r="E7356"/>
      <c r="F7356"/>
      <c r="G7356"/>
      <c r="H7356"/>
    </row>
    <row r="7357" spans="3:8" x14ac:dyDescent="0.3">
      <c r="C7357"/>
      <c r="D7357"/>
      <c r="E7357"/>
      <c r="F7357"/>
      <c r="G7357"/>
      <c r="H7357"/>
    </row>
    <row r="7358" spans="3:8" x14ac:dyDescent="0.3">
      <c r="C7358"/>
      <c r="D7358"/>
      <c r="E7358"/>
      <c r="F7358"/>
      <c r="G7358"/>
      <c r="H7358"/>
    </row>
    <row r="7359" spans="3:8" x14ac:dyDescent="0.3">
      <c r="C7359"/>
      <c r="D7359"/>
      <c r="E7359"/>
      <c r="F7359"/>
      <c r="G7359"/>
      <c r="H7359"/>
    </row>
    <row r="7360" spans="3:8" x14ac:dyDescent="0.3">
      <c r="C7360"/>
      <c r="D7360"/>
      <c r="E7360"/>
      <c r="F7360"/>
      <c r="G7360"/>
      <c r="H7360"/>
    </row>
    <row r="7361" spans="3:8" x14ac:dyDescent="0.3">
      <c r="C7361"/>
      <c r="D7361"/>
      <c r="E7361"/>
      <c r="F7361"/>
      <c r="G7361"/>
      <c r="H7361"/>
    </row>
    <row r="7362" spans="3:8" x14ac:dyDescent="0.3">
      <c r="C7362"/>
      <c r="D7362"/>
      <c r="E7362"/>
      <c r="F7362"/>
      <c r="G7362"/>
      <c r="H7362"/>
    </row>
    <row r="7363" spans="3:8" x14ac:dyDescent="0.3">
      <c r="C7363"/>
      <c r="D7363"/>
      <c r="E7363"/>
      <c r="F7363"/>
      <c r="G7363"/>
      <c r="H7363"/>
    </row>
    <row r="7364" spans="3:8" x14ac:dyDescent="0.3">
      <c r="C7364"/>
      <c r="D7364"/>
      <c r="E7364"/>
      <c r="F7364"/>
      <c r="G7364"/>
      <c r="H7364"/>
    </row>
    <row r="7365" spans="3:8" x14ac:dyDescent="0.3">
      <c r="C7365"/>
      <c r="D7365"/>
      <c r="E7365"/>
      <c r="F7365"/>
      <c r="G7365"/>
      <c r="H7365"/>
    </row>
    <row r="7366" spans="3:8" x14ac:dyDescent="0.3">
      <c r="C7366"/>
      <c r="D7366"/>
      <c r="E7366"/>
      <c r="F7366"/>
      <c r="G7366"/>
      <c r="H7366"/>
    </row>
    <row r="7367" spans="3:8" x14ac:dyDescent="0.3">
      <c r="C7367"/>
      <c r="D7367"/>
      <c r="E7367"/>
      <c r="F7367"/>
      <c r="G7367"/>
      <c r="H7367"/>
    </row>
    <row r="7368" spans="3:8" x14ac:dyDescent="0.3">
      <c r="C7368"/>
      <c r="D7368"/>
      <c r="E7368"/>
      <c r="F7368"/>
      <c r="G7368"/>
      <c r="H7368"/>
    </row>
    <row r="7369" spans="3:8" x14ac:dyDescent="0.3">
      <c r="C7369"/>
      <c r="D7369"/>
      <c r="E7369"/>
      <c r="F7369"/>
      <c r="G7369"/>
      <c r="H7369"/>
    </row>
    <row r="7370" spans="3:8" x14ac:dyDescent="0.3">
      <c r="C7370"/>
      <c r="D7370"/>
      <c r="E7370"/>
      <c r="F7370"/>
      <c r="G7370"/>
      <c r="H7370"/>
    </row>
    <row r="7371" spans="3:8" x14ac:dyDescent="0.3">
      <c r="C7371"/>
      <c r="D7371"/>
      <c r="E7371"/>
      <c r="F7371"/>
      <c r="G7371"/>
      <c r="H7371"/>
    </row>
    <row r="7372" spans="3:8" x14ac:dyDescent="0.3">
      <c r="C7372"/>
      <c r="D7372"/>
      <c r="E7372"/>
      <c r="F7372"/>
      <c r="G7372"/>
      <c r="H7372"/>
    </row>
    <row r="7373" spans="3:8" x14ac:dyDescent="0.3">
      <c r="C7373"/>
      <c r="D7373"/>
      <c r="E7373"/>
      <c r="F7373"/>
      <c r="G7373"/>
      <c r="H7373"/>
    </row>
    <row r="7374" spans="3:8" x14ac:dyDescent="0.3">
      <c r="C7374"/>
      <c r="D7374"/>
      <c r="E7374"/>
      <c r="F7374"/>
      <c r="G7374"/>
      <c r="H7374"/>
    </row>
    <row r="7375" spans="3:8" x14ac:dyDescent="0.3">
      <c r="C7375"/>
      <c r="D7375"/>
      <c r="E7375"/>
      <c r="F7375"/>
      <c r="G7375"/>
      <c r="H7375"/>
    </row>
    <row r="7376" spans="3:8" x14ac:dyDescent="0.3">
      <c r="C7376"/>
      <c r="D7376"/>
      <c r="E7376"/>
      <c r="F7376"/>
      <c r="G7376"/>
      <c r="H7376"/>
    </row>
    <row r="7377" spans="3:8" x14ac:dyDescent="0.3">
      <c r="C7377"/>
      <c r="D7377"/>
      <c r="E7377"/>
      <c r="F7377"/>
      <c r="G7377"/>
      <c r="H7377"/>
    </row>
    <row r="7378" spans="3:8" x14ac:dyDescent="0.3">
      <c r="C7378"/>
      <c r="D7378"/>
      <c r="E7378"/>
      <c r="F7378"/>
      <c r="G7378"/>
      <c r="H7378"/>
    </row>
    <row r="7379" spans="3:8" x14ac:dyDescent="0.3">
      <c r="C7379"/>
      <c r="D7379"/>
      <c r="E7379"/>
      <c r="F7379"/>
      <c r="G7379"/>
      <c r="H7379"/>
    </row>
    <row r="7380" spans="3:8" x14ac:dyDescent="0.3">
      <c r="C7380"/>
      <c r="D7380"/>
      <c r="E7380"/>
      <c r="F7380"/>
      <c r="G7380"/>
      <c r="H7380"/>
    </row>
    <row r="7381" spans="3:8" x14ac:dyDescent="0.3">
      <c r="C7381"/>
      <c r="D7381"/>
      <c r="E7381"/>
      <c r="F7381"/>
      <c r="G7381"/>
      <c r="H7381"/>
    </row>
    <row r="7382" spans="3:8" x14ac:dyDescent="0.3">
      <c r="C7382"/>
      <c r="D7382"/>
      <c r="E7382"/>
      <c r="F7382"/>
      <c r="G7382"/>
      <c r="H7382"/>
    </row>
    <row r="7383" spans="3:8" x14ac:dyDescent="0.3">
      <c r="C7383"/>
      <c r="D7383"/>
      <c r="E7383"/>
      <c r="F7383"/>
      <c r="G7383"/>
      <c r="H7383"/>
    </row>
    <row r="7384" spans="3:8" x14ac:dyDescent="0.3">
      <c r="C7384"/>
      <c r="D7384"/>
      <c r="E7384"/>
      <c r="F7384"/>
      <c r="G7384"/>
      <c r="H7384"/>
    </row>
    <row r="7385" spans="3:8" x14ac:dyDescent="0.3">
      <c r="C7385"/>
      <c r="D7385"/>
      <c r="E7385"/>
      <c r="F7385"/>
      <c r="G7385"/>
      <c r="H7385"/>
    </row>
    <row r="7386" spans="3:8" x14ac:dyDescent="0.3">
      <c r="C7386"/>
      <c r="D7386"/>
      <c r="E7386"/>
      <c r="F7386"/>
      <c r="G7386"/>
      <c r="H7386"/>
    </row>
    <row r="7387" spans="3:8" x14ac:dyDescent="0.3">
      <c r="C7387"/>
      <c r="D7387"/>
      <c r="E7387"/>
      <c r="F7387"/>
      <c r="G7387"/>
      <c r="H7387"/>
    </row>
    <row r="7388" spans="3:8" x14ac:dyDescent="0.3">
      <c r="C7388"/>
      <c r="D7388"/>
      <c r="E7388"/>
      <c r="F7388"/>
      <c r="G7388"/>
      <c r="H7388"/>
    </row>
    <row r="7389" spans="3:8" x14ac:dyDescent="0.3">
      <c r="C7389"/>
      <c r="D7389"/>
      <c r="E7389"/>
      <c r="F7389"/>
      <c r="G7389"/>
      <c r="H7389"/>
    </row>
    <row r="7390" spans="3:8" x14ac:dyDescent="0.3">
      <c r="C7390"/>
      <c r="D7390"/>
      <c r="E7390"/>
      <c r="F7390"/>
      <c r="G7390"/>
      <c r="H7390"/>
    </row>
    <row r="7391" spans="3:8" x14ac:dyDescent="0.3">
      <c r="C7391"/>
      <c r="D7391"/>
      <c r="E7391"/>
      <c r="F7391"/>
      <c r="G7391"/>
      <c r="H7391"/>
    </row>
    <row r="7392" spans="3:8" x14ac:dyDescent="0.3">
      <c r="C7392"/>
      <c r="D7392"/>
      <c r="E7392"/>
      <c r="F7392"/>
      <c r="G7392"/>
      <c r="H7392"/>
    </row>
    <row r="7393" spans="3:8" x14ac:dyDescent="0.3">
      <c r="C7393"/>
      <c r="D7393"/>
      <c r="E7393"/>
      <c r="F7393"/>
      <c r="G7393"/>
      <c r="H7393"/>
    </row>
    <row r="7394" spans="3:8" x14ac:dyDescent="0.3">
      <c r="C7394"/>
      <c r="D7394"/>
      <c r="E7394"/>
      <c r="F7394"/>
      <c r="G7394"/>
      <c r="H7394"/>
    </row>
    <row r="7395" spans="3:8" x14ac:dyDescent="0.3">
      <c r="C7395"/>
      <c r="D7395"/>
      <c r="E7395"/>
      <c r="F7395"/>
      <c r="G7395"/>
      <c r="H7395"/>
    </row>
    <row r="7396" spans="3:8" x14ac:dyDescent="0.3">
      <c r="C7396"/>
      <c r="D7396"/>
      <c r="E7396"/>
      <c r="F7396"/>
      <c r="G7396"/>
      <c r="H7396"/>
    </row>
    <row r="7397" spans="3:8" x14ac:dyDescent="0.3">
      <c r="C7397"/>
      <c r="D7397"/>
      <c r="E7397"/>
      <c r="F7397"/>
      <c r="G7397"/>
      <c r="H7397"/>
    </row>
    <row r="7398" spans="3:8" x14ac:dyDescent="0.3">
      <c r="C7398"/>
      <c r="D7398"/>
      <c r="E7398"/>
      <c r="F7398"/>
      <c r="G7398"/>
      <c r="H7398"/>
    </row>
    <row r="7399" spans="3:8" x14ac:dyDescent="0.3">
      <c r="C7399"/>
      <c r="D7399"/>
      <c r="E7399"/>
      <c r="F7399"/>
      <c r="G7399"/>
      <c r="H7399"/>
    </row>
    <row r="7400" spans="3:8" x14ac:dyDescent="0.3">
      <c r="C7400"/>
      <c r="D7400"/>
      <c r="E7400"/>
      <c r="F7400"/>
      <c r="G7400"/>
      <c r="H7400"/>
    </row>
    <row r="7401" spans="3:8" x14ac:dyDescent="0.3">
      <c r="C7401"/>
      <c r="D7401"/>
      <c r="E7401"/>
      <c r="F7401"/>
      <c r="G7401"/>
      <c r="H7401"/>
    </row>
    <row r="7402" spans="3:8" x14ac:dyDescent="0.3">
      <c r="C7402"/>
      <c r="D7402"/>
      <c r="E7402"/>
      <c r="F7402"/>
      <c r="G7402"/>
      <c r="H7402"/>
    </row>
    <row r="7403" spans="3:8" x14ac:dyDescent="0.3">
      <c r="C7403"/>
      <c r="D7403"/>
      <c r="E7403"/>
      <c r="F7403"/>
      <c r="G7403"/>
      <c r="H7403"/>
    </row>
    <row r="7404" spans="3:8" x14ac:dyDescent="0.3">
      <c r="C7404"/>
      <c r="D7404"/>
      <c r="E7404"/>
      <c r="F7404"/>
      <c r="G7404"/>
      <c r="H7404"/>
    </row>
    <row r="7405" spans="3:8" x14ac:dyDescent="0.3">
      <c r="C7405"/>
      <c r="D7405"/>
      <c r="E7405"/>
      <c r="F7405"/>
      <c r="G7405"/>
      <c r="H7405"/>
    </row>
    <row r="7406" spans="3:8" x14ac:dyDescent="0.3">
      <c r="C7406"/>
      <c r="D7406"/>
      <c r="E7406"/>
      <c r="F7406"/>
      <c r="G7406"/>
      <c r="H7406"/>
    </row>
    <row r="7407" spans="3:8" x14ac:dyDescent="0.3">
      <c r="C7407"/>
      <c r="D7407"/>
      <c r="E7407"/>
      <c r="F7407"/>
      <c r="G7407"/>
      <c r="H7407"/>
    </row>
    <row r="7408" spans="3:8" x14ac:dyDescent="0.3">
      <c r="C7408"/>
      <c r="D7408"/>
      <c r="E7408"/>
      <c r="F7408"/>
      <c r="G7408"/>
      <c r="H7408"/>
    </row>
    <row r="7409" spans="3:8" x14ac:dyDescent="0.3">
      <c r="C7409"/>
      <c r="D7409"/>
      <c r="E7409"/>
      <c r="F7409"/>
      <c r="G7409"/>
      <c r="H7409"/>
    </row>
    <row r="7410" spans="3:8" x14ac:dyDescent="0.3">
      <c r="C7410"/>
      <c r="D7410"/>
      <c r="E7410"/>
      <c r="F7410"/>
      <c r="G7410"/>
      <c r="H7410"/>
    </row>
    <row r="7411" spans="3:8" x14ac:dyDescent="0.3">
      <c r="C7411"/>
      <c r="D7411"/>
      <c r="E7411"/>
      <c r="F7411"/>
      <c r="G7411"/>
      <c r="H7411"/>
    </row>
    <row r="7412" spans="3:8" x14ac:dyDescent="0.3">
      <c r="C7412"/>
      <c r="D7412"/>
      <c r="E7412"/>
      <c r="F7412"/>
      <c r="G7412"/>
      <c r="H7412"/>
    </row>
    <row r="7413" spans="3:8" x14ac:dyDescent="0.3">
      <c r="C7413"/>
      <c r="D7413"/>
      <c r="E7413"/>
      <c r="F7413"/>
      <c r="G7413"/>
      <c r="H7413"/>
    </row>
    <row r="7414" spans="3:8" x14ac:dyDescent="0.3">
      <c r="C7414"/>
      <c r="D7414"/>
      <c r="E7414"/>
      <c r="F7414"/>
      <c r="G7414"/>
      <c r="H7414"/>
    </row>
    <row r="7415" spans="3:8" x14ac:dyDescent="0.3">
      <c r="C7415"/>
      <c r="D7415"/>
      <c r="E7415"/>
      <c r="F7415"/>
      <c r="G7415"/>
      <c r="H7415"/>
    </row>
    <row r="7416" spans="3:8" x14ac:dyDescent="0.3">
      <c r="C7416"/>
      <c r="D7416"/>
      <c r="E7416"/>
      <c r="F7416"/>
      <c r="G7416"/>
      <c r="H7416"/>
    </row>
    <row r="7417" spans="3:8" x14ac:dyDescent="0.3">
      <c r="C7417"/>
      <c r="D7417"/>
      <c r="E7417"/>
      <c r="F7417"/>
      <c r="G7417"/>
      <c r="H7417"/>
    </row>
    <row r="7418" spans="3:8" x14ac:dyDescent="0.3">
      <c r="C7418"/>
      <c r="D7418"/>
      <c r="E7418"/>
      <c r="F7418"/>
      <c r="G7418"/>
      <c r="H7418"/>
    </row>
    <row r="7419" spans="3:8" x14ac:dyDescent="0.3">
      <c r="C7419"/>
      <c r="D7419"/>
      <c r="E7419"/>
      <c r="F7419"/>
      <c r="G7419"/>
      <c r="H7419"/>
    </row>
    <row r="7420" spans="3:8" x14ac:dyDescent="0.3">
      <c r="C7420"/>
      <c r="D7420"/>
      <c r="E7420"/>
      <c r="F7420"/>
      <c r="G7420"/>
      <c r="H7420"/>
    </row>
    <row r="7421" spans="3:8" x14ac:dyDescent="0.3">
      <c r="C7421"/>
      <c r="D7421"/>
      <c r="E7421"/>
      <c r="F7421"/>
      <c r="G7421"/>
      <c r="H7421"/>
    </row>
    <row r="7422" spans="3:8" x14ac:dyDescent="0.3">
      <c r="C7422"/>
      <c r="D7422"/>
      <c r="E7422"/>
      <c r="F7422"/>
      <c r="G7422"/>
      <c r="H7422"/>
    </row>
    <row r="7423" spans="3:8" x14ac:dyDescent="0.3">
      <c r="C7423"/>
      <c r="D7423"/>
      <c r="E7423"/>
      <c r="F7423"/>
      <c r="G7423"/>
      <c r="H7423"/>
    </row>
    <row r="7424" spans="3:8" x14ac:dyDescent="0.3">
      <c r="C7424"/>
      <c r="D7424"/>
      <c r="E7424"/>
      <c r="F7424"/>
      <c r="G7424"/>
      <c r="H7424"/>
    </row>
    <row r="7425" spans="3:8" x14ac:dyDescent="0.3">
      <c r="C7425"/>
      <c r="D7425"/>
      <c r="E7425"/>
      <c r="F7425"/>
      <c r="G7425"/>
      <c r="H7425"/>
    </row>
    <row r="7426" spans="3:8" x14ac:dyDescent="0.3">
      <c r="C7426"/>
      <c r="D7426"/>
      <c r="E7426"/>
      <c r="F7426"/>
      <c r="G7426"/>
      <c r="H7426"/>
    </row>
    <row r="7427" spans="3:8" x14ac:dyDescent="0.3">
      <c r="C7427"/>
      <c r="D7427"/>
      <c r="E7427"/>
      <c r="F7427"/>
      <c r="G7427"/>
      <c r="H7427"/>
    </row>
    <row r="7428" spans="3:8" x14ac:dyDescent="0.3">
      <c r="C7428"/>
      <c r="D7428"/>
      <c r="E7428"/>
      <c r="F7428"/>
      <c r="G7428"/>
      <c r="H7428"/>
    </row>
    <row r="7429" spans="3:8" x14ac:dyDescent="0.3">
      <c r="C7429"/>
      <c r="D7429"/>
      <c r="E7429"/>
      <c r="F7429"/>
      <c r="G7429"/>
      <c r="H7429"/>
    </row>
    <row r="7430" spans="3:8" x14ac:dyDescent="0.3">
      <c r="C7430"/>
      <c r="D7430"/>
      <c r="E7430"/>
      <c r="F7430"/>
      <c r="G7430"/>
      <c r="H7430"/>
    </row>
    <row r="7431" spans="3:8" x14ac:dyDescent="0.3">
      <c r="C7431"/>
      <c r="D7431"/>
      <c r="E7431"/>
      <c r="F7431"/>
      <c r="G7431"/>
      <c r="H7431"/>
    </row>
    <row r="7432" spans="3:8" x14ac:dyDescent="0.3">
      <c r="C7432"/>
      <c r="D7432"/>
      <c r="E7432"/>
      <c r="F7432"/>
      <c r="G7432"/>
      <c r="H7432"/>
    </row>
    <row r="7433" spans="3:8" x14ac:dyDescent="0.3">
      <c r="C7433"/>
      <c r="D7433"/>
      <c r="E7433"/>
      <c r="F7433"/>
      <c r="G7433"/>
      <c r="H7433"/>
    </row>
    <row r="7434" spans="3:8" x14ac:dyDescent="0.3">
      <c r="C7434"/>
      <c r="D7434"/>
      <c r="E7434"/>
      <c r="F7434"/>
      <c r="G7434"/>
      <c r="H7434"/>
    </row>
    <row r="7435" spans="3:8" x14ac:dyDescent="0.3">
      <c r="C7435"/>
      <c r="D7435"/>
      <c r="E7435"/>
      <c r="F7435"/>
      <c r="G7435"/>
      <c r="H7435"/>
    </row>
    <row r="7436" spans="3:8" x14ac:dyDescent="0.3">
      <c r="C7436"/>
      <c r="D7436"/>
      <c r="E7436"/>
      <c r="F7436"/>
      <c r="G7436"/>
      <c r="H7436"/>
    </row>
    <row r="7437" spans="3:8" x14ac:dyDescent="0.3">
      <c r="C7437"/>
      <c r="D7437"/>
      <c r="E7437"/>
      <c r="F7437"/>
      <c r="G7437"/>
      <c r="H7437"/>
    </row>
    <row r="7438" spans="3:8" x14ac:dyDescent="0.3">
      <c r="C7438"/>
      <c r="D7438"/>
      <c r="E7438"/>
      <c r="F7438"/>
      <c r="G7438"/>
      <c r="H7438"/>
    </row>
    <row r="7439" spans="3:8" x14ac:dyDescent="0.3">
      <c r="C7439"/>
      <c r="D7439"/>
      <c r="E7439"/>
      <c r="F7439"/>
      <c r="G7439"/>
      <c r="H7439"/>
    </row>
    <row r="7440" spans="3:8" x14ac:dyDescent="0.3">
      <c r="C7440"/>
      <c r="D7440"/>
      <c r="E7440"/>
      <c r="F7440"/>
      <c r="G7440"/>
      <c r="H7440"/>
    </row>
    <row r="7441" spans="3:8" x14ac:dyDescent="0.3">
      <c r="C7441"/>
      <c r="D7441"/>
      <c r="E7441"/>
      <c r="F7441"/>
      <c r="G7441"/>
      <c r="H7441"/>
    </row>
    <row r="7442" spans="3:8" x14ac:dyDescent="0.3">
      <c r="C7442"/>
      <c r="D7442"/>
      <c r="E7442"/>
      <c r="F7442"/>
      <c r="G7442"/>
      <c r="H7442"/>
    </row>
    <row r="7443" spans="3:8" x14ac:dyDescent="0.3">
      <c r="C7443"/>
      <c r="D7443"/>
      <c r="E7443"/>
      <c r="F7443"/>
      <c r="G7443"/>
      <c r="H7443"/>
    </row>
    <row r="7444" spans="3:8" x14ac:dyDescent="0.3">
      <c r="C7444"/>
      <c r="D7444"/>
      <c r="E7444"/>
      <c r="F7444"/>
      <c r="G7444"/>
      <c r="H7444"/>
    </row>
    <row r="7445" spans="3:8" x14ac:dyDescent="0.3">
      <c r="C7445"/>
      <c r="D7445"/>
      <c r="E7445"/>
      <c r="F7445"/>
      <c r="G7445"/>
      <c r="H7445"/>
    </row>
    <row r="7446" spans="3:8" x14ac:dyDescent="0.3">
      <c r="C7446"/>
      <c r="D7446"/>
      <c r="E7446"/>
      <c r="F7446"/>
      <c r="G7446"/>
      <c r="H7446"/>
    </row>
    <row r="7447" spans="3:8" x14ac:dyDescent="0.3">
      <c r="C7447"/>
      <c r="D7447"/>
      <c r="E7447"/>
      <c r="F7447"/>
      <c r="G7447"/>
      <c r="H7447"/>
    </row>
    <row r="7448" spans="3:8" x14ac:dyDescent="0.3">
      <c r="C7448"/>
      <c r="D7448"/>
      <c r="E7448"/>
      <c r="F7448"/>
      <c r="G7448"/>
      <c r="H7448"/>
    </row>
    <row r="7449" spans="3:8" x14ac:dyDescent="0.3">
      <c r="C7449"/>
      <c r="D7449"/>
      <c r="E7449"/>
      <c r="F7449"/>
      <c r="G7449"/>
      <c r="H7449"/>
    </row>
    <row r="7450" spans="3:8" x14ac:dyDescent="0.3">
      <c r="C7450"/>
      <c r="D7450"/>
      <c r="E7450"/>
      <c r="F7450"/>
      <c r="G7450"/>
      <c r="H7450"/>
    </row>
    <row r="7451" spans="3:8" x14ac:dyDescent="0.3">
      <c r="C7451"/>
      <c r="D7451"/>
      <c r="E7451"/>
      <c r="F7451"/>
      <c r="G7451"/>
      <c r="H7451"/>
    </row>
    <row r="7452" spans="3:8" x14ac:dyDescent="0.3">
      <c r="C7452"/>
      <c r="D7452"/>
      <c r="E7452"/>
      <c r="F7452"/>
      <c r="G7452"/>
      <c r="H7452"/>
    </row>
    <row r="7453" spans="3:8" x14ac:dyDescent="0.3">
      <c r="C7453"/>
      <c r="D7453"/>
      <c r="E7453"/>
      <c r="F7453"/>
      <c r="G7453"/>
      <c r="H7453"/>
    </row>
    <row r="7454" spans="3:8" x14ac:dyDescent="0.3">
      <c r="C7454"/>
      <c r="D7454"/>
      <c r="E7454"/>
      <c r="F7454"/>
      <c r="G7454"/>
      <c r="H7454"/>
    </row>
    <row r="7455" spans="3:8" x14ac:dyDescent="0.3">
      <c r="C7455"/>
      <c r="D7455"/>
      <c r="E7455"/>
      <c r="F7455"/>
      <c r="G7455"/>
      <c r="H7455"/>
    </row>
    <row r="7456" spans="3:8" x14ac:dyDescent="0.3">
      <c r="C7456"/>
      <c r="D7456"/>
      <c r="E7456"/>
      <c r="F7456"/>
      <c r="G7456"/>
      <c r="H7456"/>
    </row>
    <row r="7457" spans="3:8" x14ac:dyDescent="0.3">
      <c r="C7457"/>
      <c r="D7457"/>
      <c r="E7457"/>
      <c r="F7457"/>
      <c r="G7457"/>
      <c r="H7457"/>
    </row>
    <row r="7458" spans="3:8" x14ac:dyDescent="0.3">
      <c r="C7458"/>
      <c r="D7458"/>
      <c r="E7458"/>
      <c r="F7458"/>
      <c r="G7458"/>
      <c r="H7458"/>
    </row>
    <row r="7459" spans="3:8" x14ac:dyDescent="0.3">
      <c r="C7459"/>
      <c r="D7459"/>
      <c r="E7459"/>
      <c r="F7459"/>
      <c r="G7459"/>
      <c r="H7459"/>
    </row>
    <row r="7460" spans="3:8" x14ac:dyDescent="0.3">
      <c r="C7460"/>
      <c r="D7460"/>
      <c r="E7460"/>
      <c r="F7460"/>
      <c r="G7460"/>
      <c r="H7460"/>
    </row>
    <row r="7461" spans="3:8" x14ac:dyDescent="0.3">
      <c r="C7461"/>
      <c r="D7461"/>
      <c r="E7461"/>
      <c r="F7461"/>
      <c r="G7461"/>
      <c r="H7461"/>
    </row>
    <row r="7462" spans="3:8" x14ac:dyDescent="0.3">
      <c r="C7462"/>
      <c r="D7462"/>
      <c r="E7462"/>
      <c r="F7462"/>
      <c r="G7462"/>
      <c r="H7462"/>
    </row>
    <row r="7463" spans="3:8" x14ac:dyDescent="0.3">
      <c r="C7463"/>
      <c r="D7463"/>
      <c r="E7463"/>
      <c r="F7463"/>
      <c r="G7463"/>
      <c r="H7463"/>
    </row>
    <row r="7464" spans="3:8" x14ac:dyDescent="0.3">
      <c r="C7464"/>
      <c r="D7464"/>
      <c r="E7464"/>
      <c r="F7464"/>
      <c r="G7464"/>
      <c r="H7464"/>
    </row>
    <row r="7465" spans="3:8" x14ac:dyDescent="0.3">
      <c r="C7465"/>
      <c r="D7465"/>
      <c r="E7465"/>
      <c r="F7465"/>
      <c r="G7465"/>
      <c r="H7465"/>
    </row>
    <row r="7466" spans="3:8" x14ac:dyDescent="0.3">
      <c r="C7466"/>
      <c r="D7466"/>
      <c r="E7466"/>
      <c r="F7466"/>
      <c r="G7466"/>
      <c r="H7466"/>
    </row>
    <row r="7467" spans="3:8" x14ac:dyDescent="0.3">
      <c r="C7467"/>
      <c r="D7467"/>
      <c r="E7467"/>
      <c r="F7467"/>
      <c r="G7467"/>
      <c r="H7467"/>
    </row>
    <row r="7468" spans="3:8" x14ac:dyDescent="0.3">
      <c r="C7468"/>
      <c r="D7468"/>
      <c r="E7468"/>
      <c r="F7468"/>
      <c r="G7468"/>
      <c r="H7468"/>
    </row>
    <row r="7469" spans="3:8" x14ac:dyDescent="0.3">
      <c r="C7469"/>
      <c r="D7469"/>
      <c r="E7469"/>
      <c r="F7469"/>
      <c r="G7469"/>
      <c r="H7469"/>
    </row>
    <row r="7470" spans="3:8" x14ac:dyDescent="0.3">
      <c r="C7470"/>
      <c r="D7470"/>
      <c r="E7470"/>
      <c r="F7470"/>
      <c r="G7470"/>
      <c r="H7470"/>
    </row>
    <row r="7471" spans="3:8" x14ac:dyDescent="0.3">
      <c r="C7471"/>
      <c r="D7471"/>
      <c r="E7471"/>
      <c r="F7471"/>
      <c r="G7471"/>
      <c r="H7471"/>
    </row>
    <row r="7472" spans="3:8" x14ac:dyDescent="0.3">
      <c r="C7472"/>
      <c r="D7472"/>
      <c r="E7472"/>
      <c r="F7472"/>
      <c r="G7472"/>
      <c r="H7472"/>
    </row>
    <row r="7473" spans="3:8" x14ac:dyDescent="0.3">
      <c r="C7473"/>
      <c r="D7473"/>
      <c r="E7473"/>
      <c r="F7473"/>
      <c r="G7473"/>
      <c r="H7473"/>
    </row>
    <row r="7474" spans="3:8" x14ac:dyDescent="0.3">
      <c r="C7474"/>
      <c r="D7474"/>
      <c r="E7474"/>
      <c r="F7474"/>
      <c r="G7474"/>
      <c r="H7474"/>
    </row>
    <row r="7475" spans="3:8" x14ac:dyDescent="0.3">
      <c r="C7475"/>
      <c r="D7475"/>
      <c r="E7475"/>
      <c r="F7475"/>
      <c r="G7475"/>
      <c r="H7475"/>
    </row>
    <row r="7476" spans="3:8" x14ac:dyDescent="0.3">
      <c r="C7476"/>
      <c r="D7476"/>
      <c r="E7476"/>
      <c r="F7476"/>
      <c r="G7476"/>
      <c r="H7476"/>
    </row>
    <row r="7477" spans="3:8" x14ac:dyDescent="0.3">
      <c r="C7477"/>
      <c r="D7477"/>
      <c r="E7477"/>
      <c r="F7477"/>
      <c r="G7477"/>
      <c r="H7477"/>
    </row>
    <row r="7478" spans="3:8" x14ac:dyDescent="0.3">
      <c r="C7478"/>
      <c r="D7478"/>
      <c r="E7478"/>
      <c r="F7478"/>
      <c r="G7478"/>
      <c r="H7478"/>
    </row>
    <row r="7479" spans="3:8" x14ac:dyDescent="0.3">
      <c r="C7479"/>
      <c r="D7479"/>
      <c r="E7479"/>
      <c r="F7479"/>
      <c r="G7479"/>
      <c r="H7479"/>
    </row>
    <row r="7480" spans="3:8" x14ac:dyDescent="0.3">
      <c r="C7480"/>
      <c r="D7480"/>
      <c r="E7480"/>
      <c r="F7480"/>
      <c r="G7480"/>
      <c r="H7480"/>
    </row>
    <row r="7481" spans="3:8" x14ac:dyDescent="0.3">
      <c r="C7481"/>
      <c r="D7481"/>
      <c r="E7481"/>
      <c r="F7481"/>
      <c r="G7481"/>
      <c r="H7481"/>
    </row>
    <row r="7482" spans="3:8" x14ac:dyDescent="0.3">
      <c r="C7482"/>
      <c r="D7482"/>
      <c r="E7482"/>
      <c r="F7482"/>
      <c r="G7482"/>
      <c r="H7482"/>
    </row>
    <row r="7483" spans="3:8" x14ac:dyDescent="0.3">
      <c r="C7483"/>
      <c r="D7483"/>
      <c r="E7483"/>
      <c r="F7483"/>
      <c r="G7483"/>
      <c r="H7483"/>
    </row>
    <row r="7484" spans="3:8" x14ac:dyDescent="0.3">
      <c r="C7484"/>
      <c r="D7484"/>
      <c r="E7484"/>
      <c r="F7484"/>
      <c r="G7484"/>
      <c r="H7484"/>
    </row>
    <row r="7485" spans="3:8" x14ac:dyDescent="0.3">
      <c r="C7485"/>
      <c r="D7485"/>
      <c r="E7485"/>
      <c r="F7485"/>
      <c r="G7485"/>
      <c r="H7485"/>
    </row>
    <row r="7486" spans="3:8" x14ac:dyDescent="0.3">
      <c r="C7486"/>
      <c r="D7486"/>
      <c r="E7486"/>
      <c r="F7486"/>
      <c r="G7486"/>
      <c r="H7486"/>
    </row>
    <row r="7487" spans="3:8" x14ac:dyDescent="0.3">
      <c r="C7487"/>
      <c r="D7487"/>
      <c r="E7487"/>
      <c r="F7487"/>
      <c r="G7487"/>
      <c r="H7487"/>
    </row>
    <row r="7488" spans="3:8" x14ac:dyDescent="0.3">
      <c r="C7488"/>
      <c r="D7488"/>
      <c r="E7488"/>
      <c r="F7488"/>
      <c r="G7488"/>
      <c r="H7488"/>
    </row>
    <row r="7489" spans="3:8" x14ac:dyDescent="0.3">
      <c r="C7489"/>
      <c r="D7489"/>
      <c r="E7489"/>
      <c r="F7489"/>
      <c r="G7489"/>
      <c r="H7489"/>
    </row>
    <row r="7490" spans="3:8" x14ac:dyDescent="0.3">
      <c r="C7490"/>
      <c r="D7490"/>
      <c r="E7490"/>
      <c r="F7490"/>
      <c r="G7490"/>
      <c r="H7490"/>
    </row>
    <row r="7491" spans="3:8" x14ac:dyDescent="0.3">
      <c r="C7491"/>
      <c r="D7491"/>
      <c r="E7491"/>
      <c r="F7491"/>
      <c r="G7491"/>
      <c r="H7491"/>
    </row>
    <row r="7492" spans="3:8" x14ac:dyDescent="0.3">
      <c r="C7492"/>
      <c r="D7492"/>
      <c r="E7492"/>
      <c r="F7492"/>
      <c r="G7492"/>
      <c r="H7492"/>
    </row>
    <row r="7493" spans="3:8" x14ac:dyDescent="0.3">
      <c r="C7493"/>
      <c r="D7493"/>
      <c r="E7493"/>
      <c r="F7493"/>
      <c r="G7493"/>
      <c r="H7493"/>
    </row>
    <row r="7494" spans="3:8" x14ac:dyDescent="0.3">
      <c r="C7494"/>
      <c r="D7494"/>
      <c r="E7494"/>
      <c r="F7494"/>
      <c r="G7494"/>
      <c r="H7494"/>
    </row>
    <row r="7495" spans="3:8" x14ac:dyDescent="0.3">
      <c r="C7495"/>
      <c r="D7495"/>
      <c r="E7495"/>
      <c r="F7495"/>
      <c r="G7495"/>
      <c r="H7495"/>
    </row>
    <row r="7496" spans="3:8" x14ac:dyDescent="0.3">
      <c r="C7496"/>
      <c r="D7496"/>
      <c r="E7496"/>
      <c r="F7496"/>
      <c r="G7496"/>
      <c r="H7496"/>
    </row>
    <row r="7497" spans="3:8" x14ac:dyDescent="0.3">
      <c r="C7497"/>
      <c r="D7497"/>
      <c r="E7497"/>
      <c r="F7497"/>
      <c r="G7497"/>
      <c r="H7497"/>
    </row>
    <row r="7498" spans="3:8" x14ac:dyDescent="0.3">
      <c r="C7498"/>
      <c r="D7498"/>
      <c r="E7498"/>
      <c r="F7498"/>
      <c r="G7498"/>
      <c r="H7498"/>
    </row>
    <row r="7499" spans="3:8" x14ac:dyDescent="0.3">
      <c r="C7499"/>
      <c r="D7499"/>
      <c r="E7499"/>
      <c r="F7499"/>
      <c r="G7499"/>
      <c r="H7499"/>
    </row>
    <row r="7500" spans="3:8" x14ac:dyDescent="0.3">
      <c r="C7500"/>
      <c r="D7500"/>
      <c r="E7500"/>
      <c r="F7500"/>
      <c r="G7500"/>
      <c r="H7500"/>
    </row>
    <row r="7501" spans="3:8" x14ac:dyDescent="0.3">
      <c r="C7501"/>
      <c r="D7501"/>
      <c r="E7501"/>
      <c r="F7501"/>
      <c r="G7501"/>
      <c r="H7501"/>
    </row>
    <row r="7502" spans="3:8" x14ac:dyDescent="0.3">
      <c r="C7502"/>
      <c r="D7502"/>
      <c r="E7502"/>
      <c r="F7502"/>
      <c r="G7502"/>
      <c r="H7502"/>
    </row>
    <row r="7503" spans="3:8" x14ac:dyDescent="0.3">
      <c r="C7503"/>
      <c r="D7503"/>
      <c r="E7503"/>
      <c r="F7503"/>
      <c r="G7503"/>
      <c r="H7503"/>
    </row>
    <row r="7504" spans="3:8" x14ac:dyDescent="0.3">
      <c r="C7504"/>
      <c r="D7504"/>
      <c r="E7504"/>
      <c r="F7504"/>
      <c r="G7504"/>
      <c r="H7504"/>
    </row>
    <row r="7505" spans="3:8" x14ac:dyDescent="0.3">
      <c r="C7505"/>
      <c r="D7505"/>
      <c r="E7505"/>
      <c r="F7505"/>
      <c r="G7505"/>
      <c r="H7505"/>
    </row>
    <row r="7506" spans="3:8" x14ac:dyDescent="0.3">
      <c r="C7506"/>
      <c r="D7506"/>
      <c r="E7506"/>
      <c r="F7506"/>
      <c r="G7506"/>
      <c r="H7506"/>
    </row>
    <row r="7507" spans="3:8" x14ac:dyDescent="0.3">
      <c r="C7507"/>
      <c r="D7507"/>
      <c r="E7507"/>
      <c r="F7507"/>
      <c r="G7507"/>
      <c r="H7507"/>
    </row>
    <row r="7508" spans="3:8" x14ac:dyDescent="0.3">
      <c r="C7508"/>
      <c r="D7508"/>
      <c r="E7508"/>
      <c r="F7508"/>
      <c r="G7508"/>
      <c r="H7508"/>
    </row>
    <row r="7509" spans="3:8" x14ac:dyDescent="0.3">
      <c r="C7509"/>
      <c r="D7509"/>
      <c r="E7509"/>
      <c r="F7509"/>
      <c r="G7509"/>
      <c r="H7509"/>
    </row>
    <row r="7510" spans="3:8" x14ac:dyDescent="0.3">
      <c r="C7510"/>
      <c r="D7510"/>
      <c r="E7510"/>
      <c r="F7510"/>
      <c r="G7510"/>
      <c r="H7510"/>
    </row>
    <row r="7511" spans="3:8" x14ac:dyDescent="0.3">
      <c r="C7511"/>
      <c r="D7511"/>
      <c r="E7511"/>
      <c r="F7511"/>
      <c r="G7511"/>
      <c r="H7511"/>
    </row>
    <row r="7512" spans="3:8" x14ac:dyDescent="0.3">
      <c r="C7512"/>
      <c r="D7512"/>
      <c r="E7512"/>
      <c r="F7512"/>
      <c r="G7512"/>
      <c r="H7512"/>
    </row>
    <row r="7513" spans="3:8" x14ac:dyDescent="0.3">
      <c r="C7513"/>
      <c r="D7513"/>
      <c r="E7513"/>
      <c r="F7513"/>
      <c r="G7513"/>
      <c r="H7513"/>
    </row>
    <row r="7514" spans="3:8" x14ac:dyDescent="0.3">
      <c r="C7514"/>
      <c r="D7514"/>
      <c r="E7514"/>
      <c r="F7514"/>
      <c r="G7514"/>
      <c r="H7514"/>
    </row>
    <row r="7515" spans="3:8" x14ac:dyDescent="0.3">
      <c r="C7515"/>
      <c r="D7515"/>
      <c r="E7515"/>
      <c r="F7515"/>
      <c r="G7515"/>
      <c r="H7515"/>
    </row>
    <row r="7516" spans="3:8" x14ac:dyDescent="0.3">
      <c r="C7516"/>
      <c r="D7516"/>
      <c r="E7516"/>
      <c r="F7516"/>
      <c r="G7516"/>
      <c r="H7516"/>
    </row>
    <row r="7517" spans="3:8" x14ac:dyDescent="0.3">
      <c r="C7517"/>
      <c r="D7517"/>
      <c r="E7517"/>
      <c r="F7517"/>
      <c r="G7517"/>
      <c r="H7517"/>
    </row>
    <row r="7518" spans="3:8" x14ac:dyDescent="0.3">
      <c r="C7518"/>
      <c r="D7518"/>
      <c r="E7518"/>
      <c r="F7518"/>
      <c r="G7518"/>
      <c r="H7518"/>
    </row>
    <row r="7519" spans="3:8" x14ac:dyDescent="0.3">
      <c r="C7519"/>
      <c r="D7519"/>
      <c r="E7519"/>
      <c r="F7519"/>
      <c r="G7519"/>
      <c r="H7519"/>
    </row>
    <row r="7520" spans="3:8" x14ac:dyDescent="0.3">
      <c r="C7520"/>
      <c r="D7520"/>
      <c r="E7520"/>
      <c r="F7520"/>
      <c r="G7520"/>
      <c r="H7520"/>
    </row>
    <row r="7521" spans="3:8" x14ac:dyDescent="0.3">
      <c r="C7521"/>
      <c r="D7521"/>
      <c r="E7521"/>
      <c r="F7521"/>
      <c r="G7521"/>
      <c r="H7521"/>
    </row>
    <row r="7522" spans="3:8" x14ac:dyDescent="0.3">
      <c r="C7522"/>
      <c r="D7522"/>
      <c r="E7522"/>
      <c r="F7522"/>
      <c r="G7522"/>
      <c r="H7522"/>
    </row>
    <row r="7523" spans="3:8" x14ac:dyDescent="0.3">
      <c r="C7523"/>
      <c r="D7523"/>
      <c r="E7523"/>
      <c r="F7523"/>
      <c r="G7523"/>
      <c r="H7523"/>
    </row>
    <row r="7524" spans="3:8" x14ac:dyDescent="0.3">
      <c r="C7524"/>
      <c r="D7524"/>
      <c r="E7524"/>
      <c r="F7524"/>
      <c r="G7524"/>
      <c r="H7524"/>
    </row>
    <row r="7525" spans="3:8" x14ac:dyDescent="0.3">
      <c r="C7525"/>
      <c r="D7525"/>
      <c r="E7525"/>
      <c r="F7525"/>
      <c r="G7525"/>
      <c r="H7525"/>
    </row>
    <row r="7526" spans="3:8" x14ac:dyDescent="0.3">
      <c r="C7526"/>
      <c r="D7526"/>
      <c r="E7526"/>
      <c r="F7526"/>
      <c r="G7526"/>
      <c r="H7526"/>
    </row>
    <row r="7527" spans="3:8" x14ac:dyDescent="0.3">
      <c r="C7527"/>
      <c r="D7527"/>
      <c r="E7527"/>
      <c r="F7527"/>
      <c r="G7527"/>
      <c r="H7527"/>
    </row>
    <row r="7528" spans="3:8" x14ac:dyDescent="0.3">
      <c r="C7528"/>
      <c r="D7528"/>
      <c r="E7528"/>
      <c r="F7528"/>
      <c r="G7528"/>
      <c r="H7528"/>
    </row>
    <row r="7529" spans="3:8" x14ac:dyDescent="0.3">
      <c r="C7529"/>
      <c r="D7529"/>
      <c r="E7529"/>
      <c r="F7529"/>
      <c r="G7529"/>
      <c r="H7529"/>
    </row>
    <row r="7530" spans="3:8" x14ac:dyDescent="0.3">
      <c r="C7530"/>
      <c r="D7530"/>
      <c r="E7530"/>
      <c r="F7530"/>
      <c r="G7530"/>
      <c r="H7530"/>
    </row>
    <row r="7531" spans="3:8" x14ac:dyDescent="0.3">
      <c r="C7531"/>
      <c r="D7531"/>
      <c r="E7531"/>
      <c r="F7531"/>
      <c r="G7531"/>
      <c r="H7531"/>
    </row>
    <row r="7532" spans="3:8" x14ac:dyDescent="0.3">
      <c r="C7532"/>
      <c r="D7532"/>
      <c r="E7532"/>
      <c r="F7532"/>
      <c r="G7532"/>
      <c r="H7532"/>
    </row>
    <row r="7533" spans="3:8" x14ac:dyDescent="0.3">
      <c r="C7533"/>
      <c r="D7533"/>
      <c r="E7533"/>
      <c r="F7533"/>
      <c r="G7533"/>
      <c r="H7533"/>
    </row>
    <row r="7534" spans="3:8" x14ac:dyDescent="0.3">
      <c r="C7534"/>
      <c r="D7534"/>
      <c r="E7534"/>
      <c r="F7534"/>
      <c r="G7534"/>
      <c r="H7534"/>
    </row>
    <row r="7535" spans="3:8" x14ac:dyDescent="0.3">
      <c r="C7535"/>
      <c r="D7535"/>
      <c r="E7535"/>
      <c r="F7535"/>
      <c r="G7535"/>
      <c r="H7535"/>
    </row>
    <row r="7536" spans="3:8" x14ac:dyDescent="0.3">
      <c r="C7536"/>
      <c r="D7536"/>
      <c r="E7536"/>
      <c r="F7536"/>
      <c r="G7536"/>
      <c r="H7536"/>
    </row>
    <row r="7537" spans="3:8" x14ac:dyDescent="0.3">
      <c r="C7537"/>
      <c r="D7537"/>
      <c r="E7537"/>
      <c r="F7537"/>
      <c r="G7537"/>
      <c r="H7537"/>
    </row>
    <row r="7538" spans="3:8" x14ac:dyDescent="0.3">
      <c r="C7538"/>
      <c r="D7538"/>
      <c r="E7538"/>
      <c r="F7538"/>
      <c r="G7538"/>
      <c r="H7538"/>
    </row>
    <row r="7539" spans="3:8" x14ac:dyDescent="0.3">
      <c r="C7539"/>
      <c r="D7539"/>
      <c r="E7539"/>
      <c r="F7539"/>
      <c r="G7539"/>
      <c r="H7539"/>
    </row>
    <row r="7540" spans="3:8" x14ac:dyDescent="0.3">
      <c r="C7540"/>
      <c r="D7540"/>
      <c r="E7540"/>
      <c r="F7540"/>
      <c r="G7540"/>
      <c r="H7540"/>
    </row>
    <row r="7541" spans="3:8" x14ac:dyDescent="0.3">
      <c r="C7541"/>
      <c r="D7541"/>
      <c r="E7541"/>
      <c r="F7541"/>
      <c r="G7541"/>
      <c r="H7541"/>
    </row>
    <row r="7542" spans="3:8" x14ac:dyDescent="0.3">
      <c r="C7542"/>
      <c r="D7542"/>
      <c r="E7542"/>
      <c r="F7542"/>
      <c r="G7542"/>
      <c r="H7542"/>
    </row>
    <row r="7543" spans="3:8" x14ac:dyDescent="0.3">
      <c r="C7543"/>
      <c r="D7543"/>
      <c r="E7543"/>
      <c r="F7543"/>
      <c r="G7543"/>
      <c r="H7543"/>
    </row>
    <row r="7544" spans="3:8" x14ac:dyDescent="0.3">
      <c r="C7544"/>
      <c r="D7544"/>
      <c r="E7544"/>
      <c r="F7544"/>
      <c r="G7544"/>
      <c r="H7544"/>
    </row>
    <row r="7545" spans="3:8" x14ac:dyDescent="0.3">
      <c r="C7545"/>
      <c r="D7545"/>
      <c r="E7545"/>
      <c r="F7545"/>
      <c r="G7545"/>
      <c r="H7545"/>
    </row>
    <row r="7546" spans="3:8" x14ac:dyDescent="0.3">
      <c r="C7546"/>
      <c r="D7546"/>
      <c r="E7546"/>
      <c r="F7546"/>
      <c r="G7546"/>
      <c r="H7546"/>
    </row>
    <row r="7547" spans="3:8" x14ac:dyDescent="0.3">
      <c r="C7547"/>
      <c r="D7547"/>
      <c r="E7547"/>
      <c r="F7547"/>
      <c r="G7547"/>
      <c r="H7547"/>
    </row>
    <row r="7548" spans="3:8" x14ac:dyDescent="0.3">
      <c r="C7548"/>
      <c r="D7548"/>
      <c r="E7548"/>
      <c r="F7548"/>
      <c r="G7548"/>
      <c r="H7548"/>
    </row>
    <row r="7549" spans="3:8" x14ac:dyDescent="0.3">
      <c r="C7549"/>
      <c r="D7549"/>
      <c r="E7549"/>
      <c r="F7549"/>
      <c r="G7549"/>
      <c r="H7549"/>
    </row>
    <row r="7550" spans="3:8" x14ac:dyDescent="0.3">
      <c r="C7550"/>
      <c r="D7550"/>
      <c r="E7550"/>
      <c r="F7550"/>
      <c r="G7550"/>
      <c r="H7550"/>
    </row>
    <row r="7551" spans="3:8" x14ac:dyDescent="0.3">
      <c r="C7551"/>
      <c r="D7551"/>
      <c r="E7551"/>
      <c r="F7551"/>
      <c r="G7551"/>
      <c r="H7551"/>
    </row>
    <row r="7552" spans="3:8" x14ac:dyDescent="0.3">
      <c r="C7552"/>
      <c r="D7552"/>
      <c r="E7552"/>
      <c r="F7552"/>
      <c r="G7552"/>
      <c r="H7552"/>
    </row>
    <row r="7553" spans="3:8" x14ac:dyDescent="0.3">
      <c r="C7553"/>
      <c r="D7553"/>
      <c r="E7553"/>
      <c r="F7553"/>
      <c r="G7553"/>
      <c r="H7553"/>
    </row>
    <row r="7554" spans="3:8" x14ac:dyDescent="0.3">
      <c r="C7554"/>
      <c r="D7554"/>
      <c r="E7554"/>
      <c r="F7554"/>
      <c r="G7554"/>
      <c r="H7554"/>
    </row>
    <row r="7555" spans="3:8" x14ac:dyDescent="0.3">
      <c r="C7555"/>
      <c r="D7555"/>
      <c r="E7555"/>
      <c r="F7555"/>
      <c r="G7555"/>
      <c r="H7555"/>
    </row>
    <row r="7556" spans="3:8" x14ac:dyDescent="0.3">
      <c r="C7556"/>
      <c r="D7556"/>
      <c r="E7556"/>
      <c r="F7556"/>
      <c r="G7556"/>
      <c r="H7556"/>
    </row>
    <row r="7557" spans="3:8" x14ac:dyDescent="0.3">
      <c r="C7557"/>
      <c r="D7557"/>
      <c r="E7557"/>
      <c r="F7557"/>
      <c r="G7557"/>
      <c r="H7557"/>
    </row>
    <row r="7558" spans="3:8" x14ac:dyDescent="0.3">
      <c r="C7558"/>
      <c r="D7558"/>
      <c r="E7558"/>
      <c r="F7558"/>
      <c r="G7558"/>
      <c r="H7558"/>
    </row>
    <row r="7559" spans="3:8" x14ac:dyDescent="0.3">
      <c r="C7559"/>
      <c r="D7559"/>
      <c r="E7559"/>
      <c r="F7559"/>
      <c r="G7559"/>
      <c r="H7559"/>
    </row>
    <row r="7560" spans="3:8" x14ac:dyDescent="0.3">
      <c r="C7560"/>
      <c r="D7560"/>
      <c r="E7560"/>
      <c r="F7560"/>
      <c r="G7560"/>
      <c r="H7560"/>
    </row>
    <row r="7561" spans="3:8" x14ac:dyDescent="0.3">
      <c r="C7561"/>
      <c r="D7561"/>
      <c r="E7561"/>
      <c r="F7561"/>
      <c r="G7561"/>
      <c r="H7561"/>
    </row>
    <row r="7562" spans="3:8" x14ac:dyDescent="0.3">
      <c r="C7562"/>
      <c r="D7562"/>
      <c r="E7562"/>
      <c r="F7562"/>
      <c r="G7562"/>
      <c r="H7562"/>
    </row>
    <row r="7563" spans="3:8" x14ac:dyDescent="0.3">
      <c r="C7563"/>
      <c r="D7563"/>
      <c r="E7563"/>
      <c r="F7563"/>
      <c r="G7563"/>
      <c r="H7563"/>
    </row>
    <row r="7564" spans="3:8" x14ac:dyDescent="0.3">
      <c r="C7564"/>
      <c r="D7564"/>
      <c r="E7564"/>
      <c r="F7564"/>
      <c r="G7564"/>
      <c r="H7564"/>
    </row>
    <row r="7565" spans="3:8" x14ac:dyDescent="0.3">
      <c r="C7565"/>
      <c r="D7565"/>
      <c r="E7565"/>
      <c r="F7565"/>
      <c r="G7565"/>
      <c r="H7565"/>
    </row>
    <row r="7566" spans="3:8" x14ac:dyDescent="0.3">
      <c r="C7566"/>
      <c r="D7566"/>
      <c r="E7566"/>
      <c r="F7566"/>
      <c r="G7566"/>
      <c r="H7566"/>
    </row>
    <row r="7567" spans="3:8" x14ac:dyDescent="0.3">
      <c r="C7567"/>
      <c r="D7567"/>
      <c r="E7567"/>
      <c r="F7567"/>
      <c r="G7567"/>
      <c r="H7567"/>
    </row>
    <row r="7568" spans="3:8" x14ac:dyDescent="0.3">
      <c r="C7568"/>
      <c r="D7568"/>
      <c r="E7568"/>
      <c r="F7568"/>
      <c r="G7568"/>
      <c r="H7568"/>
    </row>
    <row r="7569" spans="3:8" x14ac:dyDescent="0.3">
      <c r="C7569"/>
      <c r="D7569"/>
      <c r="E7569"/>
      <c r="F7569"/>
      <c r="G7569"/>
      <c r="H7569"/>
    </row>
    <row r="7570" spans="3:8" x14ac:dyDescent="0.3">
      <c r="C7570"/>
      <c r="D7570"/>
      <c r="E7570"/>
      <c r="F7570"/>
      <c r="G7570"/>
      <c r="H7570"/>
    </row>
    <row r="7571" spans="3:8" x14ac:dyDescent="0.3">
      <c r="C7571"/>
      <c r="D7571"/>
      <c r="E7571"/>
      <c r="F7571"/>
      <c r="G7571"/>
      <c r="H7571"/>
    </row>
    <row r="7572" spans="3:8" x14ac:dyDescent="0.3">
      <c r="C7572"/>
      <c r="D7572"/>
      <c r="E7572"/>
      <c r="F7572"/>
      <c r="G7572"/>
      <c r="H7572"/>
    </row>
    <row r="7573" spans="3:8" x14ac:dyDescent="0.3">
      <c r="C7573"/>
      <c r="D7573"/>
      <c r="E7573"/>
      <c r="F7573"/>
      <c r="G7573"/>
      <c r="H7573"/>
    </row>
    <row r="7574" spans="3:8" x14ac:dyDescent="0.3">
      <c r="C7574"/>
      <c r="D7574"/>
      <c r="E7574"/>
      <c r="F7574"/>
      <c r="G7574"/>
      <c r="H7574"/>
    </row>
    <row r="7575" spans="3:8" x14ac:dyDescent="0.3">
      <c r="C7575"/>
      <c r="D7575"/>
      <c r="E7575"/>
      <c r="F7575"/>
      <c r="G7575"/>
      <c r="H7575"/>
    </row>
    <row r="7576" spans="3:8" x14ac:dyDescent="0.3">
      <c r="C7576"/>
      <c r="D7576"/>
      <c r="E7576"/>
      <c r="F7576"/>
      <c r="G7576"/>
      <c r="H7576"/>
    </row>
    <row r="7577" spans="3:8" x14ac:dyDescent="0.3">
      <c r="C7577"/>
      <c r="D7577"/>
      <c r="E7577"/>
      <c r="F7577"/>
      <c r="G7577"/>
      <c r="H7577"/>
    </row>
    <row r="7578" spans="3:8" x14ac:dyDescent="0.3">
      <c r="C7578"/>
      <c r="D7578"/>
      <c r="E7578"/>
      <c r="F7578"/>
      <c r="G7578"/>
      <c r="H7578"/>
    </row>
    <row r="7579" spans="3:8" x14ac:dyDescent="0.3">
      <c r="C7579"/>
      <c r="D7579"/>
      <c r="E7579"/>
      <c r="F7579"/>
      <c r="G7579"/>
      <c r="H7579"/>
    </row>
    <row r="7580" spans="3:8" x14ac:dyDescent="0.3">
      <c r="C7580"/>
      <c r="D7580"/>
      <c r="E7580"/>
      <c r="F7580"/>
      <c r="G7580"/>
      <c r="H7580"/>
    </row>
    <row r="7581" spans="3:8" x14ac:dyDescent="0.3">
      <c r="C7581"/>
      <c r="D7581"/>
      <c r="E7581"/>
      <c r="F7581"/>
      <c r="G7581"/>
      <c r="H7581"/>
    </row>
    <row r="7582" spans="3:8" x14ac:dyDescent="0.3">
      <c r="C7582"/>
      <c r="D7582"/>
      <c r="E7582"/>
      <c r="F7582"/>
      <c r="G7582"/>
      <c r="H7582"/>
    </row>
    <row r="7583" spans="3:8" x14ac:dyDescent="0.3">
      <c r="C7583"/>
      <c r="D7583"/>
      <c r="E7583"/>
      <c r="F7583"/>
      <c r="G7583"/>
      <c r="H7583"/>
    </row>
    <row r="7584" spans="3:8" x14ac:dyDescent="0.3">
      <c r="C7584"/>
      <c r="D7584"/>
      <c r="E7584"/>
      <c r="F7584"/>
      <c r="G7584"/>
      <c r="H7584"/>
    </row>
    <row r="7585" spans="3:8" x14ac:dyDescent="0.3">
      <c r="C7585"/>
      <c r="D7585"/>
      <c r="E7585"/>
      <c r="F7585"/>
      <c r="G7585"/>
      <c r="H7585"/>
    </row>
    <row r="7586" spans="3:8" x14ac:dyDescent="0.3">
      <c r="C7586"/>
      <c r="D7586"/>
      <c r="E7586"/>
      <c r="F7586"/>
      <c r="G7586"/>
      <c r="H7586"/>
    </row>
    <row r="7587" spans="3:8" x14ac:dyDescent="0.3">
      <c r="C7587"/>
      <c r="D7587"/>
      <c r="E7587"/>
      <c r="F7587"/>
      <c r="G7587"/>
      <c r="H7587"/>
    </row>
    <row r="7588" spans="3:8" x14ac:dyDescent="0.3">
      <c r="C7588"/>
      <c r="D7588"/>
      <c r="E7588"/>
      <c r="F7588"/>
      <c r="G7588"/>
      <c r="H7588"/>
    </row>
    <row r="7589" spans="3:8" x14ac:dyDescent="0.3">
      <c r="C7589"/>
      <c r="D7589"/>
      <c r="E7589"/>
      <c r="F7589"/>
      <c r="G7589"/>
      <c r="H7589"/>
    </row>
    <row r="7590" spans="3:8" x14ac:dyDescent="0.3">
      <c r="C7590"/>
      <c r="D7590"/>
      <c r="E7590"/>
      <c r="F7590"/>
      <c r="G7590"/>
      <c r="H7590"/>
    </row>
    <row r="7591" spans="3:8" x14ac:dyDescent="0.3">
      <c r="C7591"/>
      <c r="D7591"/>
      <c r="E7591"/>
      <c r="F7591"/>
      <c r="G7591"/>
      <c r="H7591"/>
    </row>
    <row r="7592" spans="3:8" x14ac:dyDescent="0.3">
      <c r="C7592"/>
      <c r="D7592"/>
      <c r="E7592"/>
      <c r="F7592"/>
      <c r="G7592"/>
      <c r="H7592"/>
    </row>
    <row r="7593" spans="3:8" x14ac:dyDescent="0.3">
      <c r="C7593"/>
      <c r="D7593"/>
      <c r="E7593"/>
      <c r="F7593"/>
      <c r="G7593"/>
      <c r="H7593"/>
    </row>
    <row r="7594" spans="3:8" x14ac:dyDescent="0.3">
      <c r="C7594"/>
      <c r="D7594"/>
      <c r="E7594"/>
      <c r="F7594"/>
      <c r="G7594"/>
      <c r="H7594"/>
    </row>
    <row r="7595" spans="3:8" x14ac:dyDescent="0.3">
      <c r="C7595"/>
      <c r="D7595"/>
      <c r="E7595"/>
      <c r="F7595"/>
      <c r="G7595"/>
      <c r="H7595"/>
    </row>
    <row r="7596" spans="3:8" x14ac:dyDescent="0.3">
      <c r="C7596"/>
      <c r="D7596"/>
      <c r="E7596"/>
      <c r="F7596"/>
      <c r="G7596"/>
      <c r="H7596"/>
    </row>
    <row r="7597" spans="3:8" x14ac:dyDescent="0.3">
      <c r="C7597"/>
      <c r="D7597"/>
      <c r="E7597"/>
      <c r="F7597"/>
      <c r="G7597"/>
      <c r="H7597"/>
    </row>
    <row r="7598" spans="3:8" x14ac:dyDescent="0.3">
      <c r="C7598"/>
      <c r="D7598"/>
      <c r="E7598"/>
      <c r="F7598"/>
      <c r="G7598"/>
      <c r="H7598"/>
    </row>
    <row r="7599" spans="3:8" x14ac:dyDescent="0.3">
      <c r="C7599"/>
      <c r="D7599"/>
      <c r="E7599"/>
      <c r="F7599"/>
      <c r="G7599"/>
      <c r="H7599"/>
    </row>
    <row r="7600" spans="3:8" x14ac:dyDescent="0.3">
      <c r="C7600"/>
      <c r="D7600"/>
      <c r="E7600"/>
      <c r="F7600"/>
      <c r="G7600"/>
      <c r="H7600"/>
    </row>
    <row r="7601" spans="3:8" x14ac:dyDescent="0.3">
      <c r="C7601"/>
      <c r="D7601"/>
      <c r="E7601"/>
      <c r="F7601"/>
      <c r="G7601"/>
      <c r="H7601"/>
    </row>
    <row r="7602" spans="3:8" x14ac:dyDescent="0.3">
      <c r="C7602"/>
      <c r="D7602"/>
      <c r="E7602"/>
      <c r="F7602"/>
      <c r="G7602"/>
      <c r="H7602"/>
    </row>
    <row r="7603" spans="3:8" x14ac:dyDescent="0.3">
      <c r="C7603"/>
      <c r="D7603"/>
      <c r="E7603"/>
      <c r="F7603"/>
      <c r="G7603"/>
      <c r="H7603"/>
    </row>
    <row r="7604" spans="3:8" x14ac:dyDescent="0.3">
      <c r="C7604"/>
      <c r="D7604"/>
      <c r="E7604"/>
      <c r="F7604"/>
      <c r="G7604"/>
      <c r="H7604"/>
    </row>
    <row r="7605" spans="3:8" x14ac:dyDescent="0.3">
      <c r="C7605"/>
      <c r="D7605"/>
      <c r="E7605"/>
      <c r="F7605"/>
      <c r="G7605"/>
      <c r="H7605"/>
    </row>
    <row r="7606" spans="3:8" x14ac:dyDescent="0.3">
      <c r="C7606"/>
      <c r="D7606"/>
      <c r="E7606"/>
      <c r="F7606"/>
      <c r="G7606"/>
      <c r="H7606"/>
    </row>
    <row r="7607" spans="3:8" x14ac:dyDescent="0.3">
      <c r="C7607"/>
      <c r="D7607"/>
      <c r="E7607"/>
      <c r="F7607"/>
      <c r="G7607"/>
      <c r="H7607"/>
    </row>
    <row r="7608" spans="3:8" x14ac:dyDescent="0.3">
      <c r="C7608"/>
      <c r="D7608"/>
      <c r="E7608"/>
      <c r="F7608"/>
      <c r="G7608"/>
      <c r="H7608"/>
    </row>
    <row r="7609" spans="3:8" x14ac:dyDescent="0.3">
      <c r="C7609"/>
      <c r="D7609"/>
      <c r="E7609"/>
      <c r="F7609"/>
      <c r="G7609"/>
      <c r="H7609"/>
    </row>
    <row r="7610" spans="3:8" x14ac:dyDescent="0.3">
      <c r="C7610"/>
      <c r="D7610"/>
      <c r="E7610"/>
      <c r="F7610"/>
      <c r="G7610"/>
      <c r="H7610"/>
    </row>
    <row r="7611" spans="3:8" x14ac:dyDescent="0.3">
      <c r="C7611"/>
      <c r="D7611"/>
      <c r="E7611"/>
      <c r="F7611"/>
      <c r="G7611"/>
      <c r="H7611"/>
    </row>
    <row r="7612" spans="3:8" x14ac:dyDescent="0.3">
      <c r="C7612"/>
      <c r="D7612"/>
      <c r="E7612"/>
      <c r="F7612"/>
      <c r="G7612"/>
      <c r="H7612"/>
    </row>
    <row r="7613" spans="3:8" x14ac:dyDescent="0.3">
      <c r="C7613"/>
      <c r="D7613"/>
      <c r="E7613"/>
      <c r="F7613"/>
      <c r="G7613"/>
      <c r="H7613"/>
    </row>
    <row r="7614" spans="3:8" x14ac:dyDescent="0.3">
      <c r="C7614"/>
      <c r="D7614"/>
      <c r="E7614"/>
      <c r="F7614"/>
      <c r="G7614"/>
      <c r="H7614"/>
    </row>
    <row r="7615" spans="3:8" x14ac:dyDescent="0.3">
      <c r="C7615"/>
      <c r="D7615"/>
      <c r="E7615"/>
      <c r="F7615"/>
      <c r="G7615"/>
      <c r="H7615"/>
    </row>
    <row r="7616" spans="3:8" x14ac:dyDescent="0.3">
      <c r="C7616"/>
      <c r="D7616"/>
      <c r="E7616"/>
      <c r="F7616"/>
      <c r="G7616"/>
      <c r="H7616"/>
    </row>
    <row r="7617" spans="3:8" x14ac:dyDescent="0.3">
      <c r="C7617"/>
      <c r="D7617"/>
      <c r="E7617"/>
      <c r="F7617"/>
      <c r="G7617"/>
      <c r="H7617"/>
    </row>
    <row r="7618" spans="3:8" x14ac:dyDescent="0.3">
      <c r="C7618"/>
      <c r="D7618"/>
      <c r="E7618"/>
      <c r="F7618"/>
      <c r="G7618"/>
      <c r="H7618"/>
    </row>
    <row r="7619" spans="3:8" x14ac:dyDescent="0.3">
      <c r="C7619"/>
      <c r="D7619"/>
      <c r="E7619"/>
      <c r="F7619"/>
      <c r="G7619"/>
      <c r="H7619"/>
    </row>
    <row r="7620" spans="3:8" x14ac:dyDescent="0.3">
      <c r="C7620"/>
      <c r="D7620"/>
      <c r="E7620"/>
      <c r="F7620"/>
      <c r="G7620"/>
      <c r="H7620"/>
    </row>
    <row r="7621" spans="3:8" x14ac:dyDescent="0.3">
      <c r="C7621"/>
      <c r="D7621"/>
      <c r="E7621"/>
      <c r="F7621"/>
      <c r="G7621"/>
      <c r="H7621"/>
    </row>
    <row r="7622" spans="3:8" x14ac:dyDescent="0.3">
      <c r="C7622"/>
      <c r="D7622"/>
      <c r="E7622"/>
      <c r="F7622"/>
      <c r="G7622"/>
      <c r="H7622"/>
    </row>
    <row r="7623" spans="3:8" x14ac:dyDescent="0.3">
      <c r="C7623"/>
      <c r="D7623"/>
      <c r="E7623"/>
      <c r="F7623"/>
      <c r="G7623"/>
      <c r="H7623"/>
    </row>
    <row r="7624" spans="3:8" x14ac:dyDescent="0.3">
      <c r="C7624"/>
      <c r="D7624"/>
      <c r="E7624"/>
      <c r="F7624"/>
      <c r="G7624"/>
      <c r="H7624"/>
    </row>
    <row r="7625" spans="3:8" x14ac:dyDescent="0.3">
      <c r="C7625"/>
      <c r="D7625"/>
      <c r="E7625"/>
      <c r="F7625"/>
      <c r="G7625"/>
      <c r="H7625"/>
    </row>
    <row r="7626" spans="3:8" x14ac:dyDescent="0.3">
      <c r="C7626"/>
      <c r="D7626"/>
      <c r="E7626"/>
      <c r="F7626"/>
      <c r="G7626"/>
      <c r="H7626"/>
    </row>
    <row r="7627" spans="3:8" x14ac:dyDescent="0.3">
      <c r="C7627"/>
      <c r="D7627"/>
      <c r="E7627"/>
      <c r="F7627"/>
      <c r="G7627"/>
      <c r="H7627"/>
    </row>
    <row r="7628" spans="3:8" x14ac:dyDescent="0.3">
      <c r="C7628"/>
      <c r="D7628"/>
      <c r="E7628"/>
      <c r="F7628"/>
      <c r="G7628"/>
      <c r="H7628"/>
    </row>
    <row r="7629" spans="3:8" x14ac:dyDescent="0.3">
      <c r="C7629"/>
      <c r="D7629"/>
      <c r="E7629"/>
      <c r="F7629"/>
      <c r="G7629"/>
      <c r="H7629"/>
    </row>
    <row r="7630" spans="3:8" x14ac:dyDescent="0.3">
      <c r="C7630"/>
      <c r="D7630"/>
      <c r="E7630"/>
      <c r="F7630"/>
      <c r="G7630"/>
      <c r="H7630"/>
    </row>
    <row r="7631" spans="3:8" x14ac:dyDescent="0.3">
      <c r="C7631"/>
      <c r="D7631"/>
      <c r="E7631"/>
      <c r="F7631"/>
      <c r="G7631"/>
      <c r="H7631"/>
    </row>
    <row r="7632" spans="3:8" x14ac:dyDescent="0.3">
      <c r="C7632"/>
      <c r="D7632"/>
      <c r="E7632"/>
      <c r="F7632"/>
      <c r="G7632"/>
      <c r="H7632"/>
    </row>
    <row r="7633" spans="3:8" x14ac:dyDescent="0.3">
      <c r="C7633"/>
      <c r="D7633"/>
      <c r="E7633"/>
      <c r="F7633"/>
      <c r="G7633"/>
      <c r="H7633"/>
    </row>
    <row r="7634" spans="3:8" x14ac:dyDescent="0.3">
      <c r="C7634"/>
      <c r="D7634"/>
      <c r="E7634"/>
      <c r="F7634"/>
      <c r="G7634"/>
      <c r="H7634"/>
    </row>
    <row r="7635" spans="3:8" x14ac:dyDescent="0.3">
      <c r="C7635"/>
      <c r="D7635"/>
      <c r="E7635"/>
      <c r="F7635"/>
      <c r="G7635"/>
      <c r="H7635"/>
    </row>
    <row r="7636" spans="3:8" x14ac:dyDescent="0.3">
      <c r="C7636"/>
      <c r="D7636"/>
      <c r="E7636"/>
      <c r="F7636"/>
      <c r="G7636"/>
      <c r="H7636"/>
    </row>
    <row r="7637" spans="3:8" x14ac:dyDescent="0.3">
      <c r="C7637"/>
      <c r="D7637"/>
      <c r="E7637"/>
      <c r="F7637"/>
      <c r="G7637"/>
      <c r="H7637"/>
    </row>
    <row r="7638" spans="3:8" x14ac:dyDescent="0.3">
      <c r="C7638"/>
      <c r="D7638"/>
      <c r="E7638"/>
      <c r="F7638"/>
      <c r="G7638"/>
      <c r="H7638"/>
    </row>
    <row r="7639" spans="3:8" x14ac:dyDescent="0.3">
      <c r="C7639"/>
      <c r="D7639"/>
      <c r="E7639"/>
      <c r="F7639"/>
      <c r="G7639"/>
      <c r="H7639"/>
    </row>
    <row r="7640" spans="3:8" x14ac:dyDescent="0.3">
      <c r="C7640"/>
      <c r="D7640"/>
      <c r="E7640"/>
      <c r="F7640"/>
      <c r="G7640"/>
      <c r="H7640"/>
    </row>
    <row r="7641" spans="3:8" x14ac:dyDescent="0.3">
      <c r="C7641"/>
      <c r="D7641"/>
      <c r="E7641"/>
      <c r="F7641"/>
      <c r="G7641"/>
      <c r="H7641"/>
    </row>
    <row r="7642" spans="3:8" x14ac:dyDescent="0.3">
      <c r="C7642"/>
      <c r="D7642"/>
      <c r="E7642"/>
      <c r="F7642"/>
      <c r="G7642"/>
      <c r="H7642"/>
    </row>
    <row r="7643" spans="3:8" x14ac:dyDescent="0.3">
      <c r="C7643"/>
      <c r="D7643"/>
      <c r="E7643"/>
      <c r="F7643"/>
      <c r="G7643"/>
      <c r="H7643"/>
    </row>
    <row r="7644" spans="3:8" x14ac:dyDescent="0.3">
      <c r="C7644"/>
      <c r="D7644"/>
      <c r="E7644"/>
      <c r="F7644"/>
      <c r="G7644"/>
      <c r="H7644"/>
    </row>
    <row r="7645" spans="3:8" x14ac:dyDescent="0.3">
      <c r="C7645"/>
      <c r="D7645"/>
      <c r="E7645"/>
      <c r="F7645"/>
      <c r="G7645"/>
      <c r="H7645"/>
    </row>
    <row r="7646" spans="3:8" x14ac:dyDescent="0.3">
      <c r="C7646"/>
      <c r="D7646"/>
      <c r="E7646"/>
      <c r="F7646"/>
      <c r="G7646"/>
      <c r="H7646"/>
    </row>
    <row r="7647" spans="3:8" x14ac:dyDescent="0.3">
      <c r="C7647"/>
      <c r="D7647"/>
      <c r="E7647"/>
      <c r="F7647"/>
      <c r="G7647"/>
      <c r="H7647"/>
    </row>
    <row r="7648" spans="3:8" x14ac:dyDescent="0.3">
      <c r="C7648"/>
      <c r="D7648"/>
      <c r="E7648"/>
      <c r="F7648"/>
      <c r="G7648"/>
      <c r="H7648"/>
    </row>
    <row r="7649" spans="3:8" x14ac:dyDescent="0.3">
      <c r="C7649"/>
      <c r="D7649"/>
      <c r="E7649"/>
      <c r="F7649"/>
      <c r="G7649"/>
      <c r="H7649"/>
    </row>
    <row r="7650" spans="3:8" x14ac:dyDescent="0.3">
      <c r="C7650"/>
      <c r="D7650"/>
      <c r="E7650"/>
      <c r="F7650"/>
      <c r="G7650"/>
      <c r="H7650"/>
    </row>
    <row r="7651" spans="3:8" x14ac:dyDescent="0.3">
      <c r="C7651"/>
      <c r="D7651"/>
      <c r="E7651"/>
      <c r="F7651"/>
      <c r="G7651"/>
      <c r="H7651"/>
    </row>
    <row r="7652" spans="3:8" x14ac:dyDescent="0.3">
      <c r="C7652"/>
      <c r="D7652"/>
      <c r="E7652"/>
      <c r="F7652"/>
      <c r="G7652"/>
      <c r="H7652"/>
    </row>
    <row r="7653" spans="3:8" x14ac:dyDescent="0.3">
      <c r="C7653"/>
      <c r="D7653"/>
      <c r="E7653"/>
      <c r="F7653"/>
      <c r="G7653"/>
      <c r="H7653"/>
    </row>
    <row r="7654" spans="3:8" x14ac:dyDescent="0.3">
      <c r="C7654"/>
      <c r="D7654"/>
      <c r="E7654"/>
      <c r="F7654"/>
      <c r="G7654"/>
      <c r="H7654"/>
    </row>
    <row r="7655" spans="3:8" x14ac:dyDescent="0.3">
      <c r="C7655"/>
      <c r="D7655"/>
      <c r="E7655"/>
      <c r="F7655"/>
      <c r="G7655"/>
      <c r="H7655"/>
    </row>
    <row r="7656" spans="3:8" x14ac:dyDescent="0.3">
      <c r="C7656"/>
      <c r="D7656"/>
      <c r="E7656"/>
      <c r="F7656"/>
      <c r="G7656"/>
      <c r="H7656"/>
    </row>
    <row r="7657" spans="3:8" x14ac:dyDescent="0.3">
      <c r="C7657"/>
      <c r="D7657"/>
      <c r="E7657"/>
      <c r="F7657"/>
      <c r="G7657"/>
      <c r="H7657"/>
    </row>
    <row r="7658" spans="3:8" x14ac:dyDescent="0.3">
      <c r="C7658"/>
      <c r="D7658"/>
      <c r="E7658"/>
      <c r="F7658"/>
      <c r="G7658"/>
      <c r="H7658"/>
    </row>
    <row r="7659" spans="3:8" x14ac:dyDescent="0.3">
      <c r="C7659"/>
      <c r="D7659"/>
      <c r="E7659"/>
      <c r="F7659"/>
      <c r="G7659"/>
      <c r="H7659"/>
    </row>
    <row r="7660" spans="3:8" x14ac:dyDescent="0.3">
      <c r="C7660"/>
      <c r="D7660"/>
      <c r="E7660"/>
      <c r="F7660"/>
      <c r="G7660"/>
      <c r="H7660"/>
    </row>
    <row r="7661" spans="3:8" x14ac:dyDescent="0.3">
      <c r="C7661"/>
      <c r="D7661"/>
      <c r="E7661"/>
      <c r="F7661"/>
      <c r="G7661"/>
      <c r="H7661"/>
    </row>
    <row r="7662" spans="3:8" x14ac:dyDescent="0.3">
      <c r="C7662"/>
      <c r="D7662"/>
      <c r="E7662"/>
      <c r="F7662"/>
      <c r="G7662"/>
      <c r="H7662"/>
    </row>
    <row r="7663" spans="3:8" x14ac:dyDescent="0.3">
      <c r="C7663"/>
      <c r="D7663"/>
      <c r="E7663"/>
      <c r="F7663"/>
      <c r="G7663"/>
      <c r="H7663"/>
    </row>
    <row r="7664" spans="3:8" x14ac:dyDescent="0.3">
      <c r="C7664"/>
      <c r="D7664"/>
      <c r="E7664"/>
      <c r="F7664"/>
      <c r="G7664"/>
      <c r="H7664"/>
    </row>
    <row r="7665" spans="3:8" x14ac:dyDescent="0.3">
      <c r="C7665"/>
      <c r="D7665"/>
      <c r="E7665"/>
      <c r="F7665"/>
      <c r="G7665"/>
      <c r="H7665"/>
    </row>
    <row r="7666" spans="3:8" x14ac:dyDescent="0.3">
      <c r="C7666"/>
      <c r="D7666"/>
      <c r="E7666"/>
      <c r="F7666"/>
      <c r="G7666"/>
      <c r="H7666"/>
    </row>
    <row r="7667" spans="3:8" x14ac:dyDescent="0.3">
      <c r="C7667"/>
      <c r="D7667"/>
      <c r="E7667"/>
      <c r="F7667"/>
      <c r="G7667"/>
      <c r="H7667"/>
    </row>
    <row r="7668" spans="3:8" x14ac:dyDescent="0.3">
      <c r="C7668"/>
      <c r="D7668"/>
      <c r="E7668"/>
      <c r="F7668"/>
      <c r="G7668"/>
      <c r="H7668"/>
    </row>
    <row r="7669" spans="3:8" x14ac:dyDescent="0.3">
      <c r="C7669"/>
      <c r="D7669"/>
      <c r="E7669"/>
      <c r="F7669"/>
      <c r="G7669"/>
      <c r="H7669"/>
    </row>
    <row r="7670" spans="3:8" x14ac:dyDescent="0.3">
      <c r="C7670"/>
      <c r="D7670"/>
      <c r="E7670"/>
      <c r="F7670"/>
      <c r="G7670"/>
      <c r="H7670"/>
    </row>
    <row r="7671" spans="3:8" x14ac:dyDescent="0.3">
      <c r="C7671"/>
      <c r="D7671"/>
      <c r="E7671"/>
      <c r="F7671"/>
      <c r="G7671"/>
      <c r="H7671"/>
    </row>
    <row r="7672" spans="3:8" x14ac:dyDescent="0.3">
      <c r="C7672"/>
      <c r="D7672"/>
      <c r="E7672"/>
      <c r="F7672"/>
      <c r="G7672"/>
      <c r="H7672"/>
    </row>
    <row r="7673" spans="3:8" x14ac:dyDescent="0.3">
      <c r="C7673"/>
      <c r="D7673"/>
      <c r="E7673"/>
      <c r="F7673"/>
      <c r="G7673"/>
      <c r="H7673"/>
    </row>
    <row r="7674" spans="3:8" x14ac:dyDescent="0.3">
      <c r="C7674"/>
      <c r="D7674"/>
      <c r="E7674"/>
      <c r="F7674"/>
      <c r="G7674"/>
      <c r="H7674"/>
    </row>
    <row r="7675" spans="3:8" x14ac:dyDescent="0.3">
      <c r="C7675"/>
      <c r="D7675"/>
      <c r="E7675"/>
      <c r="F7675"/>
      <c r="G7675"/>
      <c r="H7675"/>
    </row>
    <row r="7676" spans="3:8" x14ac:dyDescent="0.3">
      <c r="C7676"/>
      <c r="D7676"/>
      <c r="E7676"/>
      <c r="F7676"/>
      <c r="G7676"/>
      <c r="H7676"/>
    </row>
    <row r="7677" spans="3:8" x14ac:dyDescent="0.3">
      <c r="C7677"/>
      <c r="D7677"/>
      <c r="E7677"/>
      <c r="F7677"/>
      <c r="G7677"/>
      <c r="H7677"/>
    </row>
    <row r="7678" spans="3:8" x14ac:dyDescent="0.3">
      <c r="C7678"/>
      <c r="D7678"/>
      <c r="E7678"/>
      <c r="F7678"/>
      <c r="G7678"/>
      <c r="H7678"/>
    </row>
    <row r="7679" spans="3:8" x14ac:dyDescent="0.3">
      <c r="C7679"/>
      <c r="D7679"/>
      <c r="E7679"/>
      <c r="F7679"/>
      <c r="G7679"/>
      <c r="H7679"/>
    </row>
    <row r="7680" spans="3:8" x14ac:dyDescent="0.3">
      <c r="C7680"/>
      <c r="D7680"/>
      <c r="E7680"/>
      <c r="F7680"/>
      <c r="G7680"/>
      <c r="H7680"/>
    </row>
    <row r="7681" spans="3:8" x14ac:dyDescent="0.3">
      <c r="C7681"/>
      <c r="D7681"/>
      <c r="E7681"/>
      <c r="F7681"/>
      <c r="G7681"/>
      <c r="H7681"/>
    </row>
    <row r="7682" spans="3:8" x14ac:dyDescent="0.3">
      <c r="C7682"/>
      <c r="D7682"/>
      <c r="E7682"/>
      <c r="F7682"/>
      <c r="G7682"/>
      <c r="H7682"/>
    </row>
    <row r="7683" spans="3:8" x14ac:dyDescent="0.3">
      <c r="C7683"/>
      <c r="D7683"/>
      <c r="E7683"/>
      <c r="F7683"/>
      <c r="G7683"/>
      <c r="H7683"/>
    </row>
    <row r="7684" spans="3:8" x14ac:dyDescent="0.3">
      <c r="C7684"/>
      <c r="D7684"/>
      <c r="E7684"/>
      <c r="F7684"/>
      <c r="G7684"/>
      <c r="H7684"/>
    </row>
    <row r="7685" spans="3:8" x14ac:dyDescent="0.3">
      <c r="C7685"/>
      <c r="D7685"/>
      <c r="E7685"/>
      <c r="F7685"/>
      <c r="G7685"/>
      <c r="H7685"/>
    </row>
    <row r="7686" spans="3:8" x14ac:dyDescent="0.3">
      <c r="C7686"/>
      <c r="D7686"/>
      <c r="E7686"/>
      <c r="F7686"/>
      <c r="G7686"/>
      <c r="H7686"/>
    </row>
    <row r="7687" spans="3:8" x14ac:dyDescent="0.3">
      <c r="C7687"/>
      <c r="D7687"/>
      <c r="E7687"/>
      <c r="F7687"/>
      <c r="G7687"/>
      <c r="H7687"/>
    </row>
    <row r="7688" spans="3:8" x14ac:dyDescent="0.3">
      <c r="C7688"/>
      <c r="D7688"/>
      <c r="E7688"/>
      <c r="F7688"/>
      <c r="G7688"/>
      <c r="H7688"/>
    </row>
    <row r="7689" spans="3:8" x14ac:dyDescent="0.3">
      <c r="C7689"/>
      <c r="D7689"/>
      <c r="E7689"/>
      <c r="F7689"/>
      <c r="G7689"/>
      <c r="H7689"/>
    </row>
    <row r="7690" spans="3:8" x14ac:dyDescent="0.3">
      <c r="C7690"/>
      <c r="D7690"/>
      <c r="E7690"/>
      <c r="F7690"/>
      <c r="G7690"/>
      <c r="H7690"/>
    </row>
    <row r="7691" spans="3:8" x14ac:dyDescent="0.3">
      <c r="C7691"/>
      <c r="D7691"/>
      <c r="E7691"/>
      <c r="F7691"/>
      <c r="G7691"/>
      <c r="H7691"/>
    </row>
    <row r="7692" spans="3:8" x14ac:dyDescent="0.3">
      <c r="C7692"/>
      <c r="D7692"/>
      <c r="E7692"/>
      <c r="F7692"/>
      <c r="G7692"/>
      <c r="H7692"/>
    </row>
    <row r="7693" spans="3:8" x14ac:dyDescent="0.3">
      <c r="C7693"/>
      <c r="D7693"/>
      <c r="E7693"/>
      <c r="F7693"/>
      <c r="G7693"/>
      <c r="H7693"/>
    </row>
    <row r="7694" spans="3:8" x14ac:dyDescent="0.3">
      <c r="C7694"/>
      <c r="D7694"/>
      <c r="E7694"/>
      <c r="F7694"/>
      <c r="G7694"/>
      <c r="H7694"/>
    </row>
    <row r="7695" spans="3:8" x14ac:dyDescent="0.3">
      <c r="C7695"/>
      <c r="D7695"/>
      <c r="E7695"/>
      <c r="F7695"/>
      <c r="G7695"/>
      <c r="H7695"/>
    </row>
    <row r="7696" spans="3:8" x14ac:dyDescent="0.3">
      <c r="C7696"/>
      <c r="D7696"/>
      <c r="E7696"/>
      <c r="F7696"/>
      <c r="G7696"/>
      <c r="H7696"/>
    </row>
    <row r="7697" spans="3:8" x14ac:dyDescent="0.3">
      <c r="C7697"/>
      <c r="D7697"/>
      <c r="E7697"/>
      <c r="F7697"/>
      <c r="G7697"/>
      <c r="H7697"/>
    </row>
    <row r="7698" spans="3:8" x14ac:dyDescent="0.3">
      <c r="C7698"/>
      <c r="D7698"/>
      <c r="E7698"/>
      <c r="F7698"/>
      <c r="G7698"/>
      <c r="H7698"/>
    </row>
    <row r="7699" spans="3:8" x14ac:dyDescent="0.3">
      <c r="C7699"/>
      <c r="D7699"/>
      <c r="E7699"/>
      <c r="F7699"/>
      <c r="G7699"/>
      <c r="H7699"/>
    </row>
    <row r="7700" spans="3:8" x14ac:dyDescent="0.3">
      <c r="C7700"/>
      <c r="D7700"/>
      <c r="E7700"/>
      <c r="F7700"/>
      <c r="G7700"/>
      <c r="H7700"/>
    </row>
    <row r="7701" spans="3:8" x14ac:dyDescent="0.3">
      <c r="C7701"/>
      <c r="D7701"/>
      <c r="E7701"/>
      <c r="F7701"/>
      <c r="G7701"/>
      <c r="H7701"/>
    </row>
    <row r="7702" spans="3:8" x14ac:dyDescent="0.3">
      <c r="C7702"/>
      <c r="D7702"/>
      <c r="E7702"/>
      <c r="F7702"/>
      <c r="G7702"/>
      <c r="H7702"/>
    </row>
    <row r="7703" spans="3:8" x14ac:dyDescent="0.3">
      <c r="C7703"/>
      <c r="D7703"/>
      <c r="E7703"/>
      <c r="F7703"/>
      <c r="G7703"/>
      <c r="H7703"/>
    </row>
    <row r="7704" spans="3:8" x14ac:dyDescent="0.3">
      <c r="C7704"/>
      <c r="D7704"/>
      <c r="E7704"/>
      <c r="F7704"/>
      <c r="G7704"/>
      <c r="H7704"/>
    </row>
    <row r="7705" spans="3:8" x14ac:dyDescent="0.3">
      <c r="C7705"/>
      <c r="D7705"/>
      <c r="E7705"/>
      <c r="F7705"/>
      <c r="G7705"/>
      <c r="H7705"/>
    </row>
    <row r="7706" spans="3:8" x14ac:dyDescent="0.3">
      <c r="C7706"/>
      <c r="D7706"/>
      <c r="E7706"/>
      <c r="F7706"/>
      <c r="G7706"/>
      <c r="H7706"/>
    </row>
    <row r="7707" spans="3:8" x14ac:dyDescent="0.3">
      <c r="C7707"/>
      <c r="D7707"/>
      <c r="E7707"/>
      <c r="F7707"/>
      <c r="G7707"/>
      <c r="H7707"/>
    </row>
    <row r="7708" spans="3:8" x14ac:dyDescent="0.3">
      <c r="C7708"/>
      <c r="D7708"/>
      <c r="E7708"/>
      <c r="F7708"/>
      <c r="G7708"/>
      <c r="H7708"/>
    </row>
    <row r="7709" spans="3:8" x14ac:dyDescent="0.3">
      <c r="C7709"/>
      <c r="D7709"/>
      <c r="E7709"/>
      <c r="F7709"/>
      <c r="G7709"/>
      <c r="H7709"/>
    </row>
    <row r="7710" spans="3:8" x14ac:dyDescent="0.3">
      <c r="C7710"/>
      <c r="D7710"/>
      <c r="E7710"/>
      <c r="F7710"/>
      <c r="G7710"/>
      <c r="H7710"/>
    </row>
    <row r="7711" spans="3:8" x14ac:dyDescent="0.3">
      <c r="C7711"/>
      <c r="D7711"/>
      <c r="E7711"/>
      <c r="F7711"/>
      <c r="G7711"/>
      <c r="H7711"/>
    </row>
    <row r="7712" spans="3:8" x14ac:dyDescent="0.3">
      <c r="C7712"/>
      <c r="D7712"/>
      <c r="E7712"/>
      <c r="F7712"/>
      <c r="G7712"/>
      <c r="H7712"/>
    </row>
    <row r="7713" spans="3:8" x14ac:dyDescent="0.3">
      <c r="C7713"/>
      <c r="D7713"/>
      <c r="E7713"/>
      <c r="F7713"/>
      <c r="G7713"/>
      <c r="H7713"/>
    </row>
    <row r="7714" spans="3:8" x14ac:dyDescent="0.3">
      <c r="C7714"/>
      <c r="D7714"/>
      <c r="E7714"/>
      <c r="F7714"/>
      <c r="G7714"/>
      <c r="H7714"/>
    </row>
    <row r="7715" spans="3:8" x14ac:dyDescent="0.3">
      <c r="C7715"/>
      <c r="D7715"/>
      <c r="E7715"/>
      <c r="F7715"/>
      <c r="G7715"/>
      <c r="H7715"/>
    </row>
    <row r="7716" spans="3:8" x14ac:dyDescent="0.3">
      <c r="C7716"/>
      <c r="D7716"/>
      <c r="E7716"/>
      <c r="F7716"/>
      <c r="G7716"/>
      <c r="H7716"/>
    </row>
    <row r="7717" spans="3:8" x14ac:dyDescent="0.3">
      <c r="C7717"/>
      <c r="D7717"/>
      <c r="E7717"/>
      <c r="F7717"/>
      <c r="G7717"/>
      <c r="H7717"/>
    </row>
    <row r="7718" spans="3:8" x14ac:dyDescent="0.3">
      <c r="C7718"/>
      <c r="D7718"/>
      <c r="E7718"/>
      <c r="F7718"/>
      <c r="G7718"/>
      <c r="H7718"/>
    </row>
    <row r="7719" spans="3:8" x14ac:dyDescent="0.3">
      <c r="C7719"/>
      <c r="D7719"/>
      <c r="E7719"/>
      <c r="F7719"/>
      <c r="G7719"/>
      <c r="H7719"/>
    </row>
    <row r="7720" spans="3:8" x14ac:dyDescent="0.3">
      <c r="C7720"/>
      <c r="D7720"/>
      <c r="E7720"/>
      <c r="F7720"/>
      <c r="G7720"/>
      <c r="H7720"/>
    </row>
    <row r="7721" spans="3:8" x14ac:dyDescent="0.3">
      <c r="C7721"/>
      <c r="D7721"/>
      <c r="E7721"/>
      <c r="F7721"/>
      <c r="G7721"/>
      <c r="H7721"/>
    </row>
    <row r="7722" spans="3:8" x14ac:dyDescent="0.3">
      <c r="C7722"/>
      <c r="D7722"/>
      <c r="E7722"/>
      <c r="F7722"/>
      <c r="G7722"/>
      <c r="H7722"/>
    </row>
    <row r="7723" spans="3:8" x14ac:dyDescent="0.3">
      <c r="C7723"/>
      <c r="D7723"/>
      <c r="E7723"/>
      <c r="F7723"/>
      <c r="G7723"/>
      <c r="H7723"/>
    </row>
    <row r="7724" spans="3:8" x14ac:dyDescent="0.3">
      <c r="C7724"/>
      <c r="D7724"/>
      <c r="E7724"/>
      <c r="F7724"/>
      <c r="G7724"/>
      <c r="H7724"/>
    </row>
    <row r="7725" spans="3:8" x14ac:dyDescent="0.3">
      <c r="C7725"/>
      <c r="D7725"/>
      <c r="E7725"/>
      <c r="F7725"/>
      <c r="G7725"/>
      <c r="H7725"/>
    </row>
    <row r="7726" spans="3:8" x14ac:dyDescent="0.3">
      <c r="C7726"/>
      <c r="D7726"/>
      <c r="E7726"/>
      <c r="F7726"/>
      <c r="G7726"/>
      <c r="H7726"/>
    </row>
    <row r="7727" spans="3:8" x14ac:dyDescent="0.3">
      <c r="C7727"/>
      <c r="D7727"/>
      <c r="E7727"/>
      <c r="F7727"/>
      <c r="G7727"/>
      <c r="H7727"/>
    </row>
    <row r="7728" spans="3:8" x14ac:dyDescent="0.3">
      <c r="C7728"/>
      <c r="D7728"/>
      <c r="E7728"/>
      <c r="F7728"/>
      <c r="G7728"/>
      <c r="H7728"/>
    </row>
    <row r="7729" spans="3:8" x14ac:dyDescent="0.3">
      <c r="C7729"/>
      <c r="D7729"/>
      <c r="E7729"/>
      <c r="F7729"/>
      <c r="G7729"/>
      <c r="H7729"/>
    </row>
    <row r="7730" spans="3:8" x14ac:dyDescent="0.3">
      <c r="C7730"/>
      <c r="D7730"/>
      <c r="E7730"/>
      <c r="F7730"/>
      <c r="G7730"/>
      <c r="H7730"/>
    </row>
    <row r="7731" spans="3:8" x14ac:dyDescent="0.3">
      <c r="C7731"/>
      <c r="D7731"/>
      <c r="E7731"/>
      <c r="F7731"/>
      <c r="G7731"/>
      <c r="H7731"/>
    </row>
    <row r="7732" spans="3:8" x14ac:dyDescent="0.3">
      <c r="C7732"/>
      <c r="D7732"/>
      <c r="E7732"/>
      <c r="F7732"/>
      <c r="G7732"/>
      <c r="H7732"/>
    </row>
    <row r="7733" spans="3:8" x14ac:dyDescent="0.3">
      <c r="C7733"/>
      <c r="D7733"/>
      <c r="E7733"/>
      <c r="F7733"/>
      <c r="G7733"/>
      <c r="H7733"/>
    </row>
    <row r="7734" spans="3:8" x14ac:dyDescent="0.3">
      <c r="C7734"/>
      <c r="D7734"/>
      <c r="E7734"/>
      <c r="F7734"/>
      <c r="G7734"/>
      <c r="H7734"/>
    </row>
    <row r="7735" spans="3:8" x14ac:dyDescent="0.3">
      <c r="C7735"/>
      <c r="D7735"/>
      <c r="E7735"/>
      <c r="F7735"/>
      <c r="G7735"/>
      <c r="H7735"/>
    </row>
    <row r="7736" spans="3:8" x14ac:dyDescent="0.3">
      <c r="C7736"/>
      <c r="D7736"/>
      <c r="E7736"/>
      <c r="F7736"/>
      <c r="G7736"/>
      <c r="H7736"/>
    </row>
    <row r="7737" spans="3:8" x14ac:dyDescent="0.3">
      <c r="C7737"/>
      <c r="D7737"/>
      <c r="E7737"/>
      <c r="F7737"/>
      <c r="G7737"/>
      <c r="H7737"/>
    </row>
    <row r="7738" spans="3:8" x14ac:dyDescent="0.3">
      <c r="C7738"/>
      <c r="D7738"/>
      <c r="E7738"/>
      <c r="F7738"/>
      <c r="G7738"/>
      <c r="H7738"/>
    </row>
    <row r="7739" spans="3:8" x14ac:dyDescent="0.3">
      <c r="C7739"/>
      <c r="D7739"/>
      <c r="E7739"/>
      <c r="F7739"/>
      <c r="G7739"/>
      <c r="H7739"/>
    </row>
    <row r="7740" spans="3:8" x14ac:dyDescent="0.3">
      <c r="C7740"/>
      <c r="D7740"/>
      <c r="E7740"/>
      <c r="F7740"/>
      <c r="G7740"/>
      <c r="H7740"/>
    </row>
    <row r="7741" spans="3:8" x14ac:dyDescent="0.3">
      <c r="C7741"/>
      <c r="D7741"/>
      <c r="E7741"/>
      <c r="F7741"/>
      <c r="G7741"/>
      <c r="H7741"/>
    </row>
    <row r="7742" spans="3:8" x14ac:dyDescent="0.3">
      <c r="C7742"/>
      <c r="D7742"/>
      <c r="E7742"/>
      <c r="F7742"/>
      <c r="G7742"/>
      <c r="H7742"/>
    </row>
    <row r="7743" spans="3:8" x14ac:dyDescent="0.3">
      <c r="C7743"/>
      <c r="D7743"/>
      <c r="E7743"/>
      <c r="F7743"/>
      <c r="G7743"/>
      <c r="H7743"/>
    </row>
    <row r="7744" spans="3:8" x14ac:dyDescent="0.3">
      <c r="C7744"/>
      <c r="D7744"/>
      <c r="E7744"/>
      <c r="F7744"/>
      <c r="G7744"/>
      <c r="H7744"/>
    </row>
    <row r="7745" spans="3:8" x14ac:dyDescent="0.3">
      <c r="C7745"/>
      <c r="D7745"/>
      <c r="E7745"/>
      <c r="F7745"/>
      <c r="G7745"/>
      <c r="H7745"/>
    </row>
    <row r="7746" spans="3:8" x14ac:dyDescent="0.3">
      <c r="C7746"/>
      <c r="D7746"/>
      <c r="E7746"/>
      <c r="F7746"/>
      <c r="G7746"/>
      <c r="H7746"/>
    </row>
    <row r="7747" spans="3:8" x14ac:dyDescent="0.3">
      <c r="C7747"/>
      <c r="D7747"/>
      <c r="E7747"/>
      <c r="F7747"/>
      <c r="G7747"/>
      <c r="H7747"/>
    </row>
    <row r="7748" spans="3:8" x14ac:dyDescent="0.3">
      <c r="C7748"/>
      <c r="D7748"/>
      <c r="E7748"/>
      <c r="F7748"/>
      <c r="G7748"/>
      <c r="H7748"/>
    </row>
    <row r="7749" spans="3:8" x14ac:dyDescent="0.3">
      <c r="C7749"/>
      <c r="D7749"/>
      <c r="E7749"/>
      <c r="F7749"/>
      <c r="G7749"/>
      <c r="H7749"/>
    </row>
    <row r="7750" spans="3:8" x14ac:dyDescent="0.3">
      <c r="C7750"/>
      <c r="D7750"/>
      <c r="E7750"/>
      <c r="F7750"/>
      <c r="G7750"/>
      <c r="H7750"/>
    </row>
    <row r="7751" spans="3:8" x14ac:dyDescent="0.3">
      <c r="C7751"/>
      <c r="D7751"/>
      <c r="E7751"/>
      <c r="F7751"/>
      <c r="G7751"/>
      <c r="H7751"/>
    </row>
    <row r="7752" spans="3:8" x14ac:dyDescent="0.3">
      <c r="C7752"/>
      <c r="D7752"/>
      <c r="E7752"/>
      <c r="F7752"/>
      <c r="G7752"/>
      <c r="H7752"/>
    </row>
    <row r="7753" spans="3:8" x14ac:dyDescent="0.3">
      <c r="C7753"/>
      <c r="D7753"/>
      <c r="E7753"/>
      <c r="F7753"/>
      <c r="G7753"/>
      <c r="H7753"/>
    </row>
    <row r="7754" spans="3:8" x14ac:dyDescent="0.3">
      <c r="C7754"/>
      <c r="D7754"/>
      <c r="E7754"/>
      <c r="F7754"/>
      <c r="G7754"/>
      <c r="H7754"/>
    </row>
    <row r="7755" spans="3:8" x14ac:dyDescent="0.3">
      <c r="C7755"/>
      <c r="D7755"/>
      <c r="E7755"/>
      <c r="F7755"/>
      <c r="G7755"/>
      <c r="H7755"/>
    </row>
    <row r="7756" spans="3:8" x14ac:dyDescent="0.3">
      <c r="C7756"/>
      <c r="D7756"/>
      <c r="E7756"/>
      <c r="F7756"/>
      <c r="G7756"/>
      <c r="H7756"/>
    </row>
    <row r="7757" spans="3:8" x14ac:dyDescent="0.3">
      <c r="C7757"/>
      <c r="D7757"/>
      <c r="E7757"/>
      <c r="F7757"/>
      <c r="G7757"/>
      <c r="H7757"/>
    </row>
    <row r="7758" spans="3:8" x14ac:dyDescent="0.3">
      <c r="C7758"/>
      <c r="D7758"/>
      <c r="E7758"/>
      <c r="F7758"/>
      <c r="G7758"/>
      <c r="H7758"/>
    </row>
    <row r="7759" spans="3:8" x14ac:dyDescent="0.3">
      <c r="C7759"/>
      <c r="D7759"/>
      <c r="E7759"/>
      <c r="F7759"/>
      <c r="G7759"/>
      <c r="H7759"/>
    </row>
    <row r="7760" spans="3:8" x14ac:dyDescent="0.3">
      <c r="C7760"/>
      <c r="D7760"/>
      <c r="E7760"/>
      <c r="F7760"/>
      <c r="G7760"/>
      <c r="H7760"/>
    </row>
    <row r="7761" spans="3:8" x14ac:dyDescent="0.3">
      <c r="C7761"/>
      <c r="D7761"/>
      <c r="E7761"/>
      <c r="F7761"/>
      <c r="G7761"/>
      <c r="H7761"/>
    </row>
    <row r="7762" spans="3:8" x14ac:dyDescent="0.3">
      <c r="C7762"/>
      <c r="D7762"/>
      <c r="E7762"/>
      <c r="F7762"/>
      <c r="G7762"/>
      <c r="H7762"/>
    </row>
    <row r="7763" spans="3:8" x14ac:dyDescent="0.3">
      <c r="C7763"/>
      <c r="D7763"/>
      <c r="E7763"/>
      <c r="F7763"/>
      <c r="G7763"/>
      <c r="H7763"/>
    </row>
    <row r="7764" spans="3:8" x14ac:dyDescent="0.3">
      <c r="C7764"/>
      <c r="D7764"/>
      <c r="E7764"/>
      <c r="F7764"/>
      <c r="G7764"/>
      <c r="H7764"/>
    </row>
    <row r="7765" spans="3:8" x14ac:dyDescent="0.3">
      <c r="C7765"/>
      <c r="D7765"/>
      <c r="E7765"/>
      <c r="F7765"/>
      <c r="G7765"/>
      <c r="H7765"/>
    </row>
    <row r="7766" spans="3:8" x14ac:dyDescent="0.3">
      <c r="C7766"/>
      <c r="D7766"/>
      <c r="E7766"/>
      <c r="F7766"/>
      <c r="G7766"/>
      <c r="H7766"/>
    </row>
    <row r="7767" spans="3:8" x14ac:dyDescent="0.3">
      <c r="C7767"/>
      <c r="D7767"/>
      <c r="E7767"/>
      <c r="F7767"/>
      <c r="G7767"/>
      <c r="H7767"/>
    </row>
    <row r="7768" spans="3:8" x14ac:dyDescent="0.3">
      <c r="C7768"/>
      <c r="D7768"/>
      <c r="E7768"/>
      <c r="F7768"/>
      <c r="G7768"/>
      <c r="H7768"/>
    </row>
    <row r="7769" spans="3:8" x14ac:dyDescent="0.3">
      <c r="C7769"/>
      <c r="D7769"/>
      <c r="E7769"/>
      <c r="F7769"/>
      <c r="G7769"/>
      <c r="H7769"/>
    </row>
    <row r="7770" spans="3:8" x14ac:dyDescent="0.3">
      <c r="C7770"/>
      <c r="D7770"/>
      <c r="E7770"/>
      <c r="F7770"/>
      <c r="G7770"/>
      <c r="H7770"/>
    </row>
    <row r="7771" spans="3:8" x14ac:dyDescent="0.3">
      <c r="C7771"/>
      <c r="D7771"/>
      <c r="E7771"/>
      <c r="F7771"/>
      <c r="G7771"/>
      <c r="H7771"/>
    </row>
    <row r="7772" spans="3:8" x14ac:dyDescent="0.3">
      <c r="C7772"/>
      <c r="D7772"/>
      <c r="E7772"/>
      <c r="F7772"/>
      <c r="G7772"/>
      <c r="H7772"/>
    </row>
    <row r="7773" spans="3:8" x14ac:dyDescent="0.3">
      <c r="C7773"/>
      <c r="D7773"/>
      <c r="E7773"/>
      <c r="F7773"/>
      <c r="G7773"/>
      <c r="H7773"/>
    </row>
    <row r="7774" spans="3:8" x14ac:dyDescent="0.3">
      <c r="C7774"/>
      <c r="D7774"/>
      <c r="E7774"/>
      <c r="F7774"/>
      <c r="G7774"/>
      <c r="H7774"/>
    </row>
    <row r="7775" spans="3:8" x14ac:dyDescent="0.3">
      <c r="C7775"/>
      <c r="D7775"/>
      <c r="E7775"/>
      <c r="F7775"/>
      <c r="G7775"/>
      <c r="H7775"/>
    </row>
    <row r="7776" spans="3:8" x14ac:dyDescent="0.3">
      <c r="C7776"/>
      <c r="D7776"/>
      <c r="E7776"/>
      <c r="F7776"/>
      <c r="G7776"/>
      <c r="H7776"/>
    </row>
    <row r="7777" spans="3:8" x14ac:dyDescent="0.3">
      <c r="C7777"/>
      <c r="D7777"/>
      <c r="E7777"/>
      <c r="F7777"/>
      <c r="G7777"/>
      <c r="H7777"/>
    </row>
    <row r="7778" spans="3:8" x14ac:dyDescent="0.3">
      <c r="C7778"/>
      <c r="D7778"/>
      <c r="E7778"/>
      <c r="F7778"/>
      <c r="G7778"/>
      <c r="H7778"/>
    </row>
    <row r="7779" spans="3:8" x14ac:dyDescent="0.3">
      <c r="C7779"/>
      <c r="D7779"/>
      <c r="E7779"/>
      <c r="F7779"/>
      <c r="G7779"/>
      <c r="H7779"/>
    </row>
    <row r="7780" spans="3:8" x14ac:dyDescent="0.3">
      <c r="C7780"/>
      <c r="D7780"/>
      <c r="E7780"/>
      <c r="F7780"/>
      <c r="G7780"/>
      <c r="H7780"/>
    </row>
    <row r="7781" spans="3:8" x14ac:dyDescent="0.3">
      <c r="C7781"/>
      <c r="D7781"/>
      <c r="E7781"/>
      <c r="F7781"/>
      <c r="G7781"/>
      <c r="H7781"/>
    </row>
    <row r="7782" spans="3:8" x14ac:dyDescent="0.3">
      <c r="C7782"/>
      <c r="D7782"/>
      <c r="E7782"/>
      <c r="F7782"/>
      <c r="G7782"/>
      <c r="H7782"/>
    </row>
    <row r="7783" spans="3:8" x14ac:dyDescent="0.3">
      <c r="C7783"/>
      <c r="D7783"/>
      <c r="E7783"/>
      <c r="F7783"/>
      <c r="G7783"/>
      <c r="H7783"/>
    </row>
    <row r="7784" spans="3:8" x14ac:dyDescent="0.3">
      <c r="C7784"/>
      <c r="D7784"/>
      <c r="E7784"/>
      <c r="F7784"/>
      <c r="G7784"/>
      <c r="H7784"/>
    </row>
    <row r="7785" spans="3:8" x14ac:dyDescent="0.3">
      <c r="C7785"/>
      <c r="D7785"/>
      <c r="E7785"/>
      <c r="F7785"/>
      <c r="G7785"/>
      <c r="H7785"/>
    </row>
    <row r="7786" spans="3:8" x14ac:dyDescent="0.3">
      <c r="C7786"/>
      <c r="D7786"/>
      <c r="E7786"/>
      <c r="F7786"/>
      <c r="G7786"/>
      <c r="H7786"/>
    </row>
    <row r="7787" spans="3:8" x14ac:dyDescent="0.3">
      <c r="C7787"/>
      <c r="D7787"/>
      <c r="E7787"/>
      <c r="F7787"/>
      <c r="G7787"/>
      <c r="H7787"/>
    </row>
    <row r="7788" spans="3:8" x14ac:dyDescent="0.3">
      <c r="C7788"/>
      <c r="D7788"/>
      <c r="E7788"/>
      <c r="F7788"/>
      <c r="G7788"/>
      <c r="H7788"/>
    </row>
    <row r="7789" spans="3:8" x14ac:dyDescent="0.3">
      <c r="C7789"/>
      <c r="D7789"/>
      <c r="E7789"/>
      <c r="F7789"/>
      <c r="G7789"/>
      <c r="H7789"/>
    </row>
    <row r="7790" spans="3:8" x14ac:dyDescent="0.3">
      <c r="C7790"/>
      <c r="D7790"/>
      <c r="E7790"/>
      <c r="F7790"/>
      <c r="G7790"/>
      <c r="H7790"/>
    </row>
    <row r="7791" spans="3:8" x14ac:dyDescent="0.3">
      <c r="C7791"/>
      <c r="D7791"/>
      <c r="E7791"/>
      <c r="F7791"/>
      <c r="G7791"/>
      <c r="H7791"/>
    </row>
    <row r="7792" spans="3:8" x14ac:dyDescent="0.3">
      <c r="C7792"/>
      <c r="D7792"/>
      <c r="E7792"/>
      <c r="F7792"/>
      <c r="G7792"/>
      <c r="H7792"/>
    </row>
    <row r="7793" spans="3:8" x14ac:dyDescent="0.3">
      <c r="C7793"/>
      <c r="D7793"/>
      <c r="E7793"/>
      <c r="F7793"/>
      <c r="G7793"/>
      <c r="H7793"/>
    </row>
    <row r="7794" spans="3:8" x14ac:dyDescent="0.3">
      <c r="C7794"/>
      <c r="D7794"/>
      <c r="E7794"/>
      <c r="F7794"/>
      <c r="G7794"/>
      <c r="H7794"/>
    </row>
    <row r="7795" spans="3:8" x14ac:dyDescent="0.3">
      <c r="C7795"/>
      <c r="D7795"/>
      <c r="E7795"/>
      <c r="F7795"/>
      <c r="G7795"/>
      <c r="H7795"/>
    </row>
    <row r="7796" spans="3:8" x14ac:dyDescent="0.3">
      <c r="C7796"/>
      <c r="D7796"/>
      <c r="E7796"/>
      <c r="F7796"/>
      <c r="G7796"/>
      <c r="H7796"/>
    </row>
    <row r="7797" spans="3:8" x14ac:dyDescent="0.3">
      <c r="C7797"/>
      <c r="D7797"/>
      <c r="E7797"/>
      <c r="F7797"/>
      <c r="G7797"/>
      <c r="H7797"/>
    </row>
    <row r="7798" spans="3:8" x14ac:dyDescent="0.3">
      <c r="C7798"/>
      <c r="D7798"/>
      <c r="E7798"/>
      <c r="F7798"/>
      <c r="G7798"/>
      <c r="H7798"/>
    </row>
    <row r="7799" spans="3:8" x14ac:dyDescent="0.3">
      <c r="C7799"/>
      <c r="D7799"/>
      <c r="E7799"/>
      <c r="F7799"/>
      <c r="G7799"/>
      <c r="H7799"/>
    </row>
    <row r="7800" spans="3:8" x14ac:dyDescent="0.3">
      <c r="C7800"/>
      <c r="D7800"/>
      <c r="E7800"/>
      <c r="F7800"/>
      <c r="G7800"/>
      <c r="H7800"/>
    </row>
    <row r="7801" spans="3:8" x14ac:dyDescent="0.3">
      <c r="C7801"/>
      <c r="D7801"/>
      <c r="E7801"/>
      <c r="F7801"/>
      <c r="G7801"/>
      <c r="H7801"/>
    </row>
    <row r="7802" spans="3:8" x14ac:dyDescent="0.3">
      <c r="C7802"/>
      <c r="D7802"/>
      <c r="E7802"/>
      <c r="F7802"/>
      <c r="G7802"/>
      <c r="H7802"/>
    </row>
    <row r="7803" spans="3:8" x14ac:dyDescent="0.3">
      <c r="C7803"/>
      <c r="D7803"/>
      <c r="E7803"/>
      <c r="F7803"/>
      <c r="G7803"/>
      <c r="H7803"/>
    </row>
    <row r="7804" spans="3:8" x14ac:dyDescent="0.3">
      <c r="C7804"/>
      <c r="D7804"/>
      <c r="E7804"/>
      <c r="F7804"/>
      <c r="G7804"/>
      <c r="H7804"/>
    </row>
    <row r="7805" spans="3:8" x14ac:dyDescent="0.3">
      <c r="C7805"/>
      <c r="D7805"/>
      <c r="E7805"/>
      <c r="F7805"/>
      <c r="G7805"/>
      <c r="H7805"/>
    </row>
    <row r="7806" spans="3:8" x14ac:dyDescent="0.3">
      <c r="C7806"/>
      <c r="D7806"/>
      <c r="E7806"/>
      <c r="F7806"/>
      <c r="G7806"/>
      <c r="H7806"/>
    </row>
    <row r="7807" spans="3:8" x14ac:dyDescent="0.3">
      <c r="C7807"/>
      <c r="D7807"/>
      <c r="E7807"/>
      <c r="F7807"/>
      <c r="G7807"/>
      <c r="H7807"/>
    </row>
    <row r="7808" spans="3:8" x14ac:dyDescent="0.3">
      <c r="C7808"/>
      <c r="D7808"/>
      <c r="E7808"/>
      <c r="F7808"/>
      <c r="G7808"/>
      <c r="H7808"/>
    </row>
    <row r="7809" spans="3:8" x14ac:dyDescent="0.3">
      <c r="C7809"/>
      <c r="D7809"/>
      <c r="E7809"/>
      <c r="F7809"/>
      <c r="G7809"/>
      <c r="H7809"/>
    </row>
    <row r="7810" spans="3:8" x14ac:dyDescent="0.3">
      <c r="C7810"/>
      <c r="D7810"/>
      <c r="E7810"/>
      <c r="F7810"/>
      <c r="G7810"/>
      <c r="H7810"/>
    </row>
    <row r="7811" spans="3:8" x14ac:dyDescent="0.3">
      <c r="C7811"/>
      <c r="D7811"/>
      <c r="E7811"/>
      <c r="F7811"/>
      <c r="G7811"/>
      <c r="H7811"/>
    </row>
    <row r="7812" spans="3:8" x14ac:dyDescent="0.3">
      <c r="C7812"/>
      <c r="D7812"/>
      <c r="E7812"/>
      <c r="F7812"/>
      <c r="G7812"/>
      <c r="H7812"/>
    </row>
    <row r="7813" spans="3:8" x14ac:dyDescent="0.3">
      <c r="C7813"/>
      <c r="D7813"/>
      <c r="E7813"/>
      <c r="F7813"/>
      <c r="G7813"/>
      <c r="H7813"/>
    </row>
    <row r="7814" spans="3:8" x14ac:dyDescent="0.3">
      <c r="C7814"/>
      <c r="D7814"/>
      <c r="E7814"/>
      <c r="F7814"/>
      <c r="G7814"/>
      <c r="H7814"/>
    </row>
    <row r="7815" spans="3:8" x14ac:dyDescent="0.3">
      <c r="C7815"/>
      <c r="D7815"/>
      <c r="E7815"/>
      <c r="F7815"/>
      <c r="G7815"/>
      <c r="H7815"/>
    </row>
    <row r="7816" spans="3:8" x14ac:dyDescent="0.3">
      <c r="C7816"/>
      <c r="D7816"/>
      <c r="E7816"/>
      <c r="F7816"/>
      <c r="G7816"/>
      <c r="H7816"/>
    </row>
    <row r="7817" spans="3:8" x14ac:dyDescent="0.3">
      <c r="C7817"/>
      <c r="D7817"/>
      <c r="E7817"/>
      <c r="F7817"/>
      <c r="G7817"/>
      <c r="H7817"/>
    </row>
    <row r="7818" spans="3:8" x14ac:dyDescent="0.3">
      <c r="C7818"/>
      <c r="D7818"/>
      <c r="E7818"/>
      <c r="F7818"/>
      <c r="G7818"/>
      <c r="H7818"/>
    </row>
    <row r="7819" spans="3:8" x14ac:dyDescent="0.3">
      <c r="C7819"/>
      <c r="D7819"/>
      <c r="E7819"/>
      <c r="F7819"/>
      <c r="G7819"/>
      <c r="H7819"/>
    </row>
    <row r="7820" spans="3:8" x14ac:dyDescent="0.3">
      <c r="C7820"/>
      <c r="D7820"/>
      <c r="E7820"/>
      <c r="F7820"/>
      <c r="G7820"/>
      <c r="H7820"/>
    </row>
    <row r="7821" spans="3:8" x14ac:dyDescent="0.3">
      <c r="C7821"/>
      <c r="D7821"/>
      <c r="E7821"/>
      <c r="F7821"/>
      <c r="G7821"/>
      <c r="H7821"/>
    </row>
    <row r="7822" spans="3:8" x14ac:dyDescent="0.3">
      <c r="C7822"/>
      <c r="D7822"/>
      <c r="E7822"/>
      <c r="F7822"/>
      <c r="G7822"/>
      <c r="H7822"/>
    </row>
    <row r="7823" spans="3:8" x14ac:dyDescent="0.3">
      <c r="C7823"/>
      <c r="D7823"/>
      <c r="E7823"/>
      <c r="F7823"/>
      <c r="G7823"/>
      <c r="H7823"/>
    </row>
    <row r="7824" spans="3:8" x14ac:dyDescent="0.3">
      <c r="C7824"/>
      <c r="D7824"/>
      <c r="E7824"/>
      <c r="F7824"/>
      <c r="G7824"/>
      <c r="H7824"/>
    </row>
    <row r="7825" spans="3:8" x14ac:dyDescent="0.3">
      <c r="C7825"/>
      <c r="D7825"/>
      <c r="E7825"/>
      <c r="F7825"/>
      <c r="G7825"/>
      <c r="H7825"/>
    </row>
    <row r="7826" spans="3:8" x14ac:dyDescent="0.3">
      <c r="C7826"/>
      <c r="D7826"/>
      <c r="E7826"/>
      <c r="F7826"/>
      <c r="G7826"/>
      <c r="H7826"/>
    </row>
    <row r="7827" spans="3:8" x14ac:dyDescent="0.3">
      <c r="C7827"/>
      <c r="D7827"/>
      <c r="E7827"/>
      <c r="F7827"/>
      <c r="G7827"/>
      <c r="H7827"/>
    </row>
    <row r="7828" spans="3:8" x14ac:dyDescent="0.3">
      <c r="C7828"/>
      <c r="D7828"/>
      <c r="E7828"/>
      <c r="F7828"/>
      <c r="G7828"/>
      <c r="H7828"/>
    </row>
    <row r="7829" spans="3:8" x14ac:dyDescent="0.3">
      <c r="C7829"/>
      <c r="D7829"/>
      <c r="E7829"/>
      <c r="F7829"/>
      <c r="G7829"/>
      <c r="H7829"/>
    </row>
    <row r="7830" spans="3:8" x14ac:dyDescent="0.3">
      <c r="C7830"/>
      <c r="D7830"/>
      <c r="E7830"/>
      <c r="F7830"/>
      <c r="G7830"/>
      <c r="H7830"/>
    </row>
    <row r="7831" spans="3:8" x14ac:dyDescent="0.3">
      <c r="C7831"/>
      <c r="D7831"/>
      <c r="E7831"/>
      <c r="F7831"/>
      <c r="G7831"/>
      <c r="H7831"/>
    </row>
    <row r="7832" spans="3:8" x14ac:dyDescent="0.3">
      <c r="C7832"/>
      <c r="D7832"/>
      <c r="E7832"/>
      <c r="F7832"/>
      <c r="G7832"/>
      <c r="H7832"/>
    </row>
    <row r="7833" spans="3:8" x14ac:dyDescent="0.3">
      <c r="C7833"/>
      <c r="D7833"/>
      <c r="E7833"/>
      <c r="F7833"/>
      <c r="G7833"/>
      <c r="H7833"/>
    </row>
    <row r="7834" spans="3:8" x14ac:dyDescent="0.3">
      <c r="C7834"/>
      <c r="D7834"/>
      <c r="E7834"/>
      <c r="F7834"/>
      <c r="G7834"/>
      <c r="H7834"/>
    </row>
    <row r="7835" spans="3:8" x14ac:dyDescent="0.3">
      <c r="C7835"/>
      <c r="D7835"/>
      <c r="E7835"/>
      <c r="F7835"/>
      <c r="G7835"/>
      <c r="H7835"/>
    </row>
    <row r="7836" spans="3:8" x14ac:dyDescent="0.3">
      <c r="C7836"/>
      <c r="D7836"/>
      <c r="E7836"/>
      <c r="F7836"/>
      <c r="G7836"/>
      <c r="H7836"/>
    </row>
    <row r="7837" spans="3:8" x14ac:dyDescent="0.3">
      <c r="C7837"/>
      <c r="D7837"/>
      <c r="E7837"/>
      <c r="F7837"/>
      <c r="G7837"/>
      <c r="H7837"/>
    </row>
    <row r="7838" spans="3:8" x14ac:dyDescent="0.3">
      <c r="C7838"/>
      <c r="D7838"/>
      <c r="E7838"/>
      <c r="F7838"/>
      <c r="G7838"/>
      <c r="H7838"/>
    </row>
    <row r="7839" spans="3:8" x14ac:dyDescent="0.3">
      <c r="C7839"/>
      <c r="D7839"/>
      <c r="E7839"/>
      <c r="F7839"/>
      <c r="G7839"/>
      <c r="H7839"/>
    </row>
    <row r="7840" spans="3:8" x14ac:dyDescent="0.3">
      <c r="C7840"/>
      <c r="D7840"/>
      <c r="E7840"/>
      <c r="F7840"/>
      <c r="G7840"/>
      <c r="H7840"/>
    </row>
    <row r="7841" spans="3:8" x14ac:dyDescent="0.3">
      <c r="C7841"/>
      <c r="D7841"/>
      <c r="E7841"/>
      <c r="F7841"/>
      <c r="G7841"/>
      <c r="H7841"/>
    </row>
    <row r="7842" spans="3:8" x14ac:dyDescent="0.3">
      <c r="C7842"/>
      <c r="D7842"/>
      <c r="E7842"/>
      <c r="F7842"/>
      <c r="G7842"/>
      <c r="H7842"/>
    </row>
    <row r="7843" spans="3:8" x14ac:dyDescent="0.3">
      <c r="C7843"/>
      <c r="D7843"/>
      <c r="E7843"/>
      <c r="F7843"/>
      <c r="G7843"/>
      <c r="H7843"/>
    </row>
    <row r="7844" spans="3:8" x14ac:dyDescent="0.3">
      <c r="C7844"/>
      <c r="D7844"/>
      <c r="E7844"/>
      <c r="F7844"/>
      <c r="G7844"/>
      <c r="H7844"/>
    </row>
    <row r="7845" spans="3:8" x14ac:dyDescent="0.3">
      <c r="C7845"/>
      <c r="D7845"/>
      <c r="E7845"/>
      <c r="F7845"/>
      <c r="G7845"/>
      <c r="H7845"/>
    </row>
    <row r="7846" spans="3:8" x14ac:dyDescent="0.3">
      <c r="C7846"/>
      <c r="D7846"/>
      <c r="E7846"/>
      <c r="F7846"/>
      <c r="G7846"/>
      <c r="H7846"/>
    </row>
    <row r="7847" spans="3:8" x14ac:dyDescent="0.3">
      <c r="C7847"/>
      <c r="D7847"/>
      <c r="E7847"/>
      <c r="F7847"/>
      <c r="G7847"/>
      <c r="H7847"/>
    </row>
    <row r="7848" spans="3:8" x14ac:dyDescent="0.3">
      <c r="C7848"/>
      <c r="D7848"/>
      <c r="E7848"/>
      <c r="F7848"/>
      <c r="G7848"/>
      <c r="H7848"/>
    </row>
    <row r="7849" spans="3:8" x14ac:dyDescent="0.3">
      <c r="C7849"/>
      <c r="D7849"/>
      <c r="E7849"/>
      <c r="F7849"/>
      <c r="G7849"/>
      <c r="H7849"/>
    </row>
    <row r="7850" spans="3:8" x14ac:dyDescent="0.3">
      <c r="C7850"/>
      <c r="D7850"/>
      <c r="E7850"/>
      <c r="F7850"/>
      <c r="G7850"/>
      <c r="H7850"/>
    </row>
    <row r="7851" spans="3:8" x14ac:dyDescent="0.3">
      <c r="C7851"/>
      <c r="D7851"/>
      <c r="E7851"/>
      <c r="F7851"/>
      <c r="G7851"/>
      <c r="H7851"/>
    </row>
    <row r="7852" spans="3:8" x14ac:dyDescent="0.3">
      <c r="C7852"/>
      <c r="D7852"/>
      <c r="E7852"/>
      <c r="F7852"/>
      <c r="G7852"/>
      <c r="H7852"/>
    </row>
    <row r="7853" spans="3:8" x14ac:dyDescent="0.3">
      <c r="C7853"/>
      <c r="D7853"/>
      <c r="E7853"/>
      <c r="F7853"/>
      <c r="G7853"/>
      <c r="H7853"/>
    </row>
    <row r="7854" spans="3:8" x14ac:dyDescent="0.3">
      <c r="C7854"/>
      <c r="D7854"/>
      <c r="E7854"/>
      <c r="F7854"/>
      <c r="G7854"/>
      <c r="H7854"/>
    </row>
    <row r="7855" spans="3:8" x14ac:dyDescent="0.3">
      <c r="C7855"/>
      <c r="D7855"/>
      <c r="E7855"/>
      <c r="F7855"/>
      <c r="G7855"/>
      <c r="H7855"/>
    </row>
    <row r="7856" spans="3:8" x14ac:dyDescent="0.3">
      <c r="C7856"/>
      <c r="D7856"/>
      <c r="E7856"/>
      <c r="F7856"/>
      <c r="G7856"/>
      <c r="H7856"/>
    </row>
    <row r="7857" spans="3:8" x14ac:dyDescent="0.3">
      <c r="C7857"/>
      <c r="D7857"/>
      <c r="E7857"/>
      <c r="F7857"/>
      <c r="G7857"/>
      <c r="H7857"/>
    </row>
    <row r="7858" spans="3:8" x14ac:dyDescent="0.3">
      <c r="C7858"/>
      <c r="D7858"/>
      <c r="E7858"/>
      <c r="F7858"/>
      <c r="G7858"/>
      <c r="H7858"/>
    </row>
    <row r="7859" spans="3:8" x14ac:dyDescent="0.3">
      <c r="C7859"/>
      <c r="D7859"/>
      <c r="E7859"/>
      <c r="F7859"/>
      <c r="G7859"/>
      <c r="H7859"/>
    </row>
    <row r="7860" spans="3:8" x14ac:dyDescent="0.3">
      <c r="C7860"/>
      <c r="D7860"/>
      <c r="E7860"/>
      <c r="F7860"/>
      <c r="G7860"/>
      <c r="H7860"/>
    </row>
    <row r="7861" spans="3:8" x14ac:dyDescent="0.3">
      <c r="C7861"/>
      <c r="D7861"/>
      <c r="E7861"/>
      <c r="F7861"/>
      <c r="G7861"/>
      <c r="H7861"/>
    </row>
    <row r="7862" spans="3:8" x14ac:dyDescent="0.3">
      <c r="C7862"/>
      <c r="D7862"/>
      <c r="E7862"/>
      <c r="F7862"/>
      <c r="G7862"/>
      <c r="H7862"/>
    </row>
    <row r="7863" spans="3:8" x14ac:dyDescent="0.3">
      <c r="C7863"/>
      <c r="D7863"/>
      <c r="E7863"/>
      <c r="F7863"/>
      <c r="G7863"/>
      <c r="H7863"/>
    </row>
    <row r="7864" spans="3:8" x14ac:dyDescent="0.3">
      <c r="C7864"/>
      <c r="D7864"/>
      <c r="E7864"/>
      <c r="F7864"/>
      <c r="G7864"/>
      <c r="H7864"/>
    </row>
    <row r="7865" spans="3:8" x14ac:dyDescent="0.3">
      <c r="C7865"/>
      <c r="D7865"/>
      <c r="E7865"/>
      <c r="F7865"/>
      <c r="G7865"/>
      <c r="H7865"/>
    </row>
    <row r="7866" spans="3:8" x14ac:dyDescent="0.3">
      <c r="C7866"/>
      <c r="D7866"/>
      <c r="E7866"/>
      <c r="F7866"/>
      <c r="G7866"/>
      <c r="H7866"/>
    </row>
    <row r="7867" spans="3:8" x14ac:dyDescent="0.3">
      <c r="C7867"/>
      <c r="D7867"/>
      <c r="E7867"/>
      <c r="F7867"/>
      <c r="G7867"/>
      <c r="H7867"/>
    </row>
    <row r="7868" spans="3:8" x14ac:dyDescent="0.3">
      <c r="C7868"/>
      <c r="D7868"/>
      <c r="E7868"/>
      <c r="F7868"/>
      <c r="G7868"/>
      <c r="H7868"/>
    </row>
    <row r="7869" spans="3:8" x14ac:dyDescent="0.3">
      <c r="C7869"/>
      <c r="D7869"/>
      <c r="E7869"/>
      <c r="F7869"/>
      <c r="G7869"/>
      <c r="H7869"/>
    </row>
    <row r="7870" spans="3:8" x14ac:dyDescent="0.3">
      <c r="C7870"/>
      <c r="D7870"/>
      <c r="E7870"/>
      <c r="F7870"/>
      <c r="G7870"/>
      <c r="H7870"/>
    </row>
    <row r="7871" spans="3:8" x14ac:dyDescent="0.3">
      <c r="C7871"/>
      <c r="D7871"/>
      <c r="E7871"/>
      <c r="F7871"/>
      <c r="G7871"/>
      <c r="H7871"/>
    </row>
    <row r="7872" spans="3:8" x14ac:dyDescent="0.3">
      <c r="C7872"/>
      <c r="D7872"/>
      <c r="E7872"/>
      <c r="F7872"/>
      <c r="G7872"/>
      <c r="H7872"/>
    </row>
    <row r="7873" spans="3:8" x14ac:dyDescent="0.3">
      <c r="C7873"/>
      <c r="D7873"/>
      <c r="E7873"/>
      <c r="F7873"/>
      <c r="G7873"/>
      <c r="H7873"/>
    </row>
    <row r="7874" spans="3:8" x14ac:dyDescent="0.3">
      <c r="C7874"/>
      <c r="D7874"/>
      <c r="E7874"/>
      <c r="F7874"/>
      <c r="G7874"/>
      <c r="H7874"/>
    </row>
    <row r="7875" spans="3:8" x14ac:dyDescent="0.3">
      <c r="C7875"/>
      <c r="D7875"/>
      <c r="E7875"/>
      <c r="F7875"/>
      <c r="G7875"/>
      <c r="H7875"/>
    </row>
    <row r="7876" spans="3:8" x14ac:dyDescent="0.3">
      <c r="C7876"/>
      <c r="D7876"/>
      <c r="E7876"/>
      <c r="F7876"/>
      <c r="G7876"/>
      <c r="H7876"/>
    </row>
    <row r="7877" spans="3:8" x14ac:dyDescent="0.3">
      <c r="C7877"/>
      <c r="D7877"/>
      <c r="E7877"/>
      <c r="F7877"/>
      <c r="G7877"/>
      <c r="H7877"/>
    </row>
    <row r="7878" spans="3:8" x14ac:dyDescent="0.3">
      <c r="C7878"/>
      <c r="D7878"/>
      <c r="E7878"/>
      <c r="F7878"/>
      <c r="G7878"/>
      <c r="H7878"/>
    </row>
    <row r="7879" spans="3:8" x14ac:dyDescent="0.3">
      <c r="C7879"/>
      <c r="D7879"/>
      <c r="E7879"/>
      <c r="F7879"/>
      <c r="G7879"/>
      <c r="H7879"/>
    </row>
    <row r="7880" spans="3:8" x14ac:dyDescent="0.3">
      <c r="C7880"/>
      <c r="D7880"/>
      <c r="E7880"/>
      <c r="F7880"/>
      <c r="G7880"/>
      <c r="H7880"/>
    </row>
    <row r="7881" spans="3:8" x14ac:dyDescent="0.3">
      <c r="C7881"/>
      <c r="D7881"/>
      <c r="E7881"/>
      <c r="F7881"/>
      <c r="G7881"/>
      <c r="H7881"/>
    </row>
    <row r="7882" spans="3:8" x14ac:dyDescent="0.3">
      <c r="C7882"/>
      <c r="D7882"/>
      <c r="E7882"/>
      <c r="F7882"/>
      <c r="G7882"/>
      <c r="H7882"/>
    </row>
    <row r="7883" spans="3:8" x14ac:dyDescent="0.3">
      <c r="C7883"/>
      <c r="D7883"/>
      <c r="E7883"/>
      <c r="F7883"/>
      <c r="G7883"/>
      <c r="H7883"/>
    </row>
    <row r="7884" spans="3:8" x14ac:dyDescent="0.3">
      <c r="C7884"/>
      <c r="D7884"/>
      <c r="E7884"/>
      <c r="F7884"/>
      <c r="G7884"/>
      <c r="H7884"/>
    </row>
    <row r="7885" spans="3:8" x14ac:dyDescent="0.3">
      <c r="C7885"/>
      <c r="D7885"/>
      <c r="E7885"/>
      <c r="F7885"/>
      <c r="G7885"/>
      <c r="H7885"/>
    </row>
    <row r="7886" spans="3:8" x14ac:dyDescent="0.3">
      <c r="C7886"/>
      <c r="D7886"/>
      <c r="E7886"/>
      <c r="F7886"/>
      <c r="G7886"/>
      <c r="H7886"/>
    </row>
    <row r="7887" spans="3:8" x14ac:dyDescent="0.3">
      <c r="C7887"/>
      <c r="D7887"/>
      <c r="E7887"/>
      <c r="F7887"/>
      <c r="G7887"/>
      <c r="H7887"/>
    </row>
    <row r="7888" spans="3:8" x14ac:dyDescent="0.3">
      <c r="C7888"/>
      <c r="D7888"/>
      <c r="E7888"/>
      <c r="F7888"/>
      <c r="G7888"/>
      <c r="H7888"/>
    </row>
    <row r="7889" spans="3:8" x14ac:dyDescent="0.3">
      <c r="C7889"/>
      <c r="D7889"/>
      <c r="E7889"/>
      <c r="F7889"/>
      <c r="G7889"/>
      <c r="H7889"/>
    </row>
    <row r="7890" spans="3:8" x14ac:dyDescent="0.3">
      <c r="C7890"/>
      <c r="D7890"/>
      <c r="E7890"/>
      <c r="F7890"/>
      <c r="G7890"/>
      <c r="H7890"/>
    </row>
    <row r="7891" spans="3:8" x14ac:dyDescent="0.3">
      <c r="C7891"/>
      <c r="D7891"/>
      <c r="E7891"/>
      <c r="F7891"/>
      <c r="G7891"/>
      <c r="H7891"/>
    </row>
    <row r="7892" spans="3:8" x14ac:dyDescent="0.3">
      <c r="C7892"/>
      <c r="D7892"/>
      <c r="E7892"/>
      <c r="F7892"/>
      <c r="G7892"/>
      <c r="H7892"/>
    </row>
    <row r="7893" spans="3:8" x14ac:dyDescent="0.3">
      <c r="C7893"/>
      <c r="D7893"/>
      <c r="E7893"/>
      <c r="F7893"/>
      <c r="G7893"/>
      <c r="H7893"/>
    </row>
    <row r="7894" spans="3:8" x14ac:dyDescent="0.3">
      <c r="C7894"/>
      <c r="D7894"/>
      <c r="E7894"/>
      <c r="F7894"/>
      <c r="G7894"/>
      <c r="H7894"/>
    </row>
    <row r="7895" spans="3:8" x14ac:dyDescent="0.3">
      <c r="C7895"/>
      <c r="D7895"/>
      <c r="E7895"/>
      <c r="F7895"/>
      <c r="G7895"/>
      <c r="H7895"/>
    </row>
    <row r="7896" spans="3:8" x14ac:dyDescent="0.3">
      <c r="C7896"/>
      <c r="D7896"/>
      <c r="E7896"/>
      <c r="F7896"/>
      <c r="G7896"/>
      <c r="H7896"/>
    </row>
    <row r="7897" spans="3:8" x14ac:dyDescent="0.3">
      <c r="C7897"/>
      <c r="D7897"/>
      <c r="E7897"/>
      <c r="F7897"/>
      <c r="G7897"/>
      <c r="H7897"/>
    </row>
    <row r="7898" spans="3:8" x14ac:dyDescent="0.3">
      <c r="C7898"/>
      <c r="D7898"/>
      <c r="E7898"/>
      <c r="F7898"/>
      <c r="G7898"/>
      <c r="H7898"/>
    </row>
    <row r="7899" spans="3:8" x14ac:dyDescent="0.3">
      <c r="C7899"/>
      <c r="D7899"/>
      <c r="E7899"/>
      <c r="F7899"/>
      <c r="G7899"/>
      <c r="H7899"/>
    </row>
    <row r="7900" spans="3:8" x14ac:dyDescent="0.3">
      <c r="C7900"/>
      <c r="D7900"/>
      <c r="E7900"/>
      <c r="F7900"/>
      <c r="G7900"/>
      <c r="H7900"/>
    </row>
    <row r="7901" spans="3:8" x14ac:dyDescent="0.3">
      <c r="C7901"/>
      <c r="D7901"/>
      <c r="E7901"/>
      <c r="F7901"/>
      <c r="G7901"/>
      <c r="H7901"/>
    </row>
    <row r="7902" spans="3:8" x14ac:dyDescent="0.3">
      <c r="C7902"/>
      <c r="D7902"/>
      <c r="E7902"/>
      <c r="F7902"/>
      <c r="G7902"/>
      <c r="H7902"/>
    </row>
    <row r="7903" spans="3:8" x14ac:dyDescent="0.3">
      <c r="C7903"/>
      <c r="D7903"/>
      <c r="E7903"/>
      <c r="F7903"/>
      <c r="G7903"/>
      <c r="H7903"/>
    </row>
    <row r="7904" spans="3:8" x14ac:dyDescent="0.3">
      <c r="C7904"/>
      <c r="D7904"/>
      <c r="E7904"/>
      <c r="F7904"/>
      <c r="G7904"/>
      <c r="H7904"/>
    </row>
    <row r="7905" spans="3:8" x14ac:dyDescent="0.3">
      <c r="C7905"/>
      <c r="D7905"/>
      <c r="E7905"/>
      <c r="F7905"/>
      <c r="G7905"/>
      <c r="H7905"/>
    </row>
    <row r="7906" spans="3:8" x14ac:dyDescent="0.3">
      <c r="C7906"/>
      <c r="D7906"/>
      <c r="E7906"/>
      <c r="F7906"/>
      <c r="G7906"/>
      <c r="H7906"/>
    </row>
    <row r="7907" spans="3:8" x14ac:dyDescent="0.3">
      <c r="C7907"/>
      <c r="D7907"/>
      <c r="E7907"/>
      <c r="F7907"/>
      <c r="G7907"/>
      <c r="H7907"/>
    </row>
    <row r="7908" spans="3:8" x14ac:dyDescent="0.3">
      <c r="C7908"/>
      <c r="D7908"/>
      <c r="E7908"/>
      <c r="F7908"/>
      <c r="G7908"/>
      <c r="H7908"/>
    </row>
    <row r="7909" spans="3:8" x14ac:dyDescent="0.3">
      <c r="C7909"/>
      <c r="D7909"/>
      <c r="E7909"/>
      <c r="F7909"/>
      <c r="G7909"/>
      <c r="H7909"/>
    </row>
    <row r="7910" spans="3:8" x14ac:dyDescent="0.3">
      <c r="C7910"/>
      <c r="D7910"/>
      <c r="E7910"/>
      <c r="F7910"/>
      <c r="G7910"/>
      <c r="H7910"/>
    </row>
    <row r="7911" spans="3:8" x14ac:dyDescent="0.3">
      <c r="C7911"/>
      <c r="D7911"/>
      <c r="E7911"/>
      <c r="F7911"/>
      <c r="G7911"/>
      <c r="H7911"/>
    </row>
    <row r="7912" spans="3:8" x14ac:dyDescent="0.3">
      <c r="C7912"/>
      <c r="D7912"/>
      <c r="E7912"/>
      <c r="F7912"/>
      <c r="G7912"/>
      <c r="H7912"/>
    </row>
    <row r="7913" spans="3:8" x14ac:dyDescent="0.3">
      <c r="C7913"/>
      <c r="D7913"/>
      <c r="E7913"/>
      <c r="F7913"/>
      <c r="G7913"/>
      <c r="H7913"/>
    </row>
    <row r="7914" spans="3:8" x14ac:dyDescent="0.3">
      <c r="C7914"/>
      <c r="D7914"/>
      <c r="E7914"/>
      <c r="F7914"/>
      <c r="G7914"/>
      <c r="H7914"/>
    </row>
    <row r="7915" spans="3:8" x14ac:dyDescent="0.3">
      <c r="C7915"/>
      <c r="D7915"/>
      <c r="E7915"/>
      <c r="F7915"/>
      <c r="G7915"/>
      <c r="H7915"/>
    </row>
    <row r="7916" spans="3:8" x14ac:dyDescent="0.3">
      <c r="C7916"/>
      <c r="D7916"/>
      <c r="E7916"/>
      <c r="F7916"/>
      <c r="G7916"/>
      <c r="H7916"/>
    </row>
    <row r="7917" spans="3:8" x14ac:dyDescent="0.3">
      <c r="C7917"/>
      <c r="D7917"/>
      <c r="E7917"/>
      <c r="F7917"/>
      <c r="G7917"/>
      <c r="H7917"/>
    </row>
    <row r="7918" spans="3:8" x14ac:dyDescent="0.3">
      <c r="C7918"/>
      <c r="D7918"/>
      <c r="E7918"/>
      <c r="F7918"/>
      <c r="G7918"/>
      <c r="H7918"/>
    </row>
    <row r="7919" spans="3:8" x14ac:dyDescent="0.3">
      <c r="C7919"/>
      <c r="D7919"/>
      <c r="E7919"/>
      <c r="F7919"/>
      <c r="G7919"/>
      <c r="H7919"/>
    </row>
    <row r="7920" spans="3:8" x14ac:dyDescent="0.3">
      <c r="C7920"/>
      <c r="D7920"/>
      <c r="E7920"/>
      <c r="F7920"/>
      <c r="G7920"/>
      <c r="H7920"/>
    </row>
    <row r="7921" spans="3:8" x14ac:dyDescent="0.3">
      <c r="C7921"/>
      <c r="D7921"/>
      <c r="E7921"/>
      <c r="F7921"/>
      <c r="G7921"/>
      <c r="H7921"/>
    </row>
    <row r="7922" spans="3:8" x14ac:dyDescent="0.3">
      <c r="C7922"/>
      <c r="D7922"/>
      <c r="E7922"/>
      <c r="F7922"/>
      <c r="G7922"/>
      <c r="H7922"/>
    </row>
    <row r="7923" spans="3:8" x14ac:dyDescent="0.3">
      <c r="C7923"/>
      <c r="D7923"/>
      <c r="E7923"/>
      <c r="F7923"/>
      <c r="G7923"/>
      <c r="H7923"/>
    </row>
    <row r="7924" spans="3:8" x14ac:dyDescent="0.3">
      <c r="C7924"/>
      <c r="D7924"/>
      <c r="E7924"/>
      <c r="F7924"/>
      <c r="G7924"/>
      <c r="H7924"/>
    </row>
    <row r="7925" spans="3:8" x14ac:dyDescent="0.3">
      <c r="C7925"/>
      <c r="D7925"/>
      <c r="E7925"/>
      <c r="F7925"/>
      <c r="G7925"/>
      <c r="H7925"/>
    </row>
    <row r="7926" spans="3:8" x14ac:dyDescent="0.3">
      <c r="C7926"/>
      <c r="D7926"/>
      <c r="E7926"/>
      <c r="F7926"/>
      <c r="G7926"/>
      <c r="H7926"/>
    </row>
    <row r="7927" spans="3:8" x14ac:dyDescent="0.3">
      <c r="C7927"/>
      <c r="D7927"/>
      <c r="E7927"/>
      <c r="F7927"/>
      <c r="G7927"/>
      <c r="H7927"/>
    </row>
    <row r="7928" spans="3:8" x14ac:dyDescent="0.3">
      <c r="C7928"/>
      <c r="D7928"/>
      <c r="E7928"/>
      <c r="F7928"/>
      <c r="G7928"/>
      <c r="H7928"/>
    </row>
    <row r="7929" spans="3:8" x14ac:dyDescent="0.3">
      <c r="C7929"/>
      <c r="D7929"/>
      <c r="E7929"/>
      <c r="F7929"/>
      <c r="G7929"/>
      <c r="H7929"/>
    </row>
    <row r="7930" spans="3:8" x14ac:dyDescent="0.3">
      <c r="C7930"/>
      <c r="D7930"/>
      <c r="E7930"/>
      <c r="F7930"/>
      <c r="G7930"/>
      <c r="H7930"/>
    </row>
    <row r="7931" spans="3:8" x14ac:dyDescent="0.3">
      <c r="C7931"/>
      <c r="D7931"/>
      <c r="E7931"/>
      <c r="F7931"/>
      <c r="G7931"/>
      <c r="H7931"/>
    </row>
    <row r="7932" spans="3:8" x14ac:dyDescent="0.3">
      <c r="C7932"/>
      <c r="D7932"/>
      <c r="E7932"/>
      <c r="F7932"/>
      <c r="G7932"/>
      <c r="H7932"/>
    </row>
    <row r="7933" spans="3:8" x14ac:dyDescent="0.3">
      <c r="C7933"/>
      <c r="D7933"/>
      <c r="E7933"/>
      <c r="F7933"/>
      <c r="G7933"/>
      <c r="H7933"/>
    </row>
    <row r="7934" spans="3:8" x14ac:dyDescent="0.3">
      <c r="C7934"/>
      <c r="D7934"/>
      <c r="E7934"/>
      <c r="F7934"/>
      <c r="G7934"/>
      <c r="H7934"/>
    </row>
    <row r="7935" spans="3:8" x14ac:dyDescent="0.3">
      <c r="C7935"/>
      <c r="D7935"/>
      <c r="E7935"/>
      <c r="F7935"/>
      <c r="G7935"/>
      <c r="H7935"/>
    </row>
    <row r="7936" spans="3:8" x14ac:dyDescent="0.3">
      <c r="C7936"/>
      <c r="D7936"/>
      <c r="E7936"/>
      <c r="F7936"/>
      <c r="G7936"/>
      <c r="H7936"/>
    </row>
    <row r="7937" spans="3:8" x14ac:dyDescent="0.3">
      <c r="C7937"/>
      <c r="D7937"/>
      <c r="E7937"/>
      <c r="F7937"/>
      <c r="G7937"/>
      <c r="H7937"/>
    </row>
    <row r="7938" spans="3:8" x14ac:dyDescent="0.3">
      <c r="C7938"/>
      <c r="D7938"/>
      <c r="E7938"/>
      <c r="F7938"/>
      <c r="G7938"/>
      <c r="H7938"/>
    </row>
    <row r="7939" spans="3:8" x14ac:dyDescent="0.3">
      <c r="C7939"/>
      <c r="D7939"/>
      <c r="E7939"/>
      <c r="F7939"/>
      <c r="G7939"/>
      <c r="H7939"/>
    </row>
    <row r="7940" spans="3:8" x14ac:dyDescent="0.3">
      <c r="C7940"/>
      <c r="D7940"/>
      <c r="E7940"/>
      <c r="F7940"/>
      <c r="G7940"/>
      <c r="H7940"/>
    </row>
    <row r="7941" spans="3:8" x14ac:dyDescent="0.3">
      <c r="C7941"/>
      <c r="D7941"/>
      <c r="E7941"/>
      <c r="F7941"/>
      <c r="G7941"/>
      <c r="H7941"/>
    </row>
    <row r="7942" spans="3:8" x14ac:dyDescent="0.3">
      <c r="C7942"/>
      <c r="D7942"/>
      <c r="E7942"/>
      <c r="F7942"/>
      <c r="G7942"/>
      <c r="H7942"/>
    </row>
    <row r="7943" spans="3:8" x14ac:dyDescent="0.3">
      <c r="C7943"/>
      <c r="D7943"/>
      <c r="E7943"/>
      <c r="F7943"/>
      <c r="G7943"/>
      <c r="H7943"/>
    </row>
    <row r="7944" spans="3:8" x14ac:dyDescent="0.3">
      <c r="C7944"/>
      <c r="D7944"/>
      <c r="E7944"/>
      <c r="F7944"/>
      <c r="G7944"/>
      <c r="H7944"/>
    </row>
    <row r="7945" spans="3:8" x14ac:dyDescent="0.3">
      <c r="C7945"/>
      <c r="D7945"/>
      <c r="E7945"/>
      <c r="F7945"/>
      <c r="G7945"/>
      <c r="H7945"/>
    </row>
    <row r="7946" spans="3:8" x14ac:dyDescent="0.3">
      <c r="C7946"/>
      <c r="D7946"/>
      <c r="E7946"/>
      <c r="F7946"/>
      <c r="G7946"/>
      <c r="H7946"/>
    </row>
    <row r="7947" spans="3:8" x14ac:dyDescent="0.3">
      <c r="C7947"/>
      <c r="D7947"/>
      <c r="E7947"/>
      <c r="F7947"/>
      <c r="G7947"/>
      <c r="H7947"/>
    </row>
    <row r="7948" spans="3:8" x14ac:dyDescent="0.3">
      <c r="C7948"/>
      <c r="D7948"/>
      <c r="E7948"/>
      <c r="F7948"/>
      <c r="G7948"/>
      <c r="H7948"/>
    </row>
    <row r="7949" spans="3:8" x14ac:dyDescent="0.3">
      <c r="C7949"/>
      <c r="D7949"/>
      <c r="E7949"/>
      <c r="F7949"/>
      <c r="G7949"/>
      <c r="H7949"/>
    </row>
    <row r="7950" spans="3:8" x14ac:dyDescent="0.3">
      <c r="C7950"/>
      <c r="D7950"/>
      <c r="E7950"/>
      <c r="F7950"/>
      <c r="G7950"/>
      <c r="H7950"/>
    </row>
    <row r="7951" spans="3:8" x14ac:dyDescent="0.3">
      <c r="C7951"/>
      <c r="D7951"/>
      <c r="E7951"/>
      <c r="F7951"/>
      <c r="G7951"/>
      <c r="H7951"/>
    </row>
    <row r="7952" spans="3:8" x14ac:dyDescent="0.3">
      <c r="C7952"/>
      <c r="D7952"/>
      <c r="E7952"/>
      <c r="F7952"/>
      <c r="G7952"/>
      <c r="H7952"/>
    </row>
    <row r="7953" spans="3:8" x14ac:dyDescent="0.3">
      <c r="C7953"/>
      <c r="D7953"/>
      <c r="E7953"/>
      <c r="F7953"/>
      <c r="G7953"/>
      <c r="H7953"/>
    </row>
    <row r="7954" spans="3:8" x14ac:dyDescent="0.3">
      <c r="C7954"/>
      <c r="D7954"/>
      <c r="E7954"/>
      <c r="F7954"/>
      <c r="G7954"/>
      <c r="H7954"/>
    </row>
    <row r="7955" spans="3:8" x14ac:dyDescent="0.3">
      <c r="C7955"/>
      <c r="D7955"/>
      <c r="E7955"/>
      <c r="F7955"/>
      <c r="G7955"/>
      <c r="H7955"/>
    </row>
    <row r="7956" spans="3:8" x14ac:dyDescent="0.3">
      <c r="C7956"/>
      <c r="D7956"/>
      <c r="E7956"/>
      <c r="F7956"/>
      <c r="G7956"/>
      <c r="H7956"/>
    </row>
    <row r="7957" spans="3:8" x14ac:dyDescent="0.3">
      <c r="C7957"/>
      <c r="D7957"/>
      <c r="E7957"/>
      <c r="F7957"/>
      <c r="G7957"/>
      <c r="H7957"/>
    </row>
    <row r="7958" spans="3:8" x14ac:dyDescent="0.3">
      <c r="C7958"/>
      <c r="D7958"/>
      <c r="E7958"/>
      <c r="F7958"/>
      <c r="G7958"/>
      <c r="H7958"/>
    </row>
    <row r="7959" spans="3:8" x14ac:dyDescent="0.3">
      <c r="C7959"/>
      <c r="D7959"/>
      <c r="E7959"/>
      <c r="F7959"/>
      <c r="G7959"/>
      <c r="H7959"/>
    </row>
    <row r="7960" spans="3:8" x14ac:dyDescent="0.3">
      <c r="C7960"/>
      <c r="D7960"/>
      <c r="E7960"/>
      <c r="F7960"/>
      <c r="G7960"/>
      <c r="H7960"/>
    </row>
    <row r="7961" spans="3:8" x14ac:dyDescent="0.3">
      <c r="C7961"/>
      <c r="D7961"/>
      <c r="E7961"/>
      <c r="F7961"/>
      <c r="G7961"/>
      <c r="H7961"/>
    </row>
    <row r="7962" spans="3:8" x14ac:dyDescent="0.3">
      <c r="C7962"/>
      <c r="D7962"/>
      <c r="E7962"/>
      <c r="F7962"/>
      <c r="G7962"/>
      <c r="H7962"/>
    </row>
    <row r="7963" spans="3:8" x14ac:dyDescent="0.3">
      <c r="C7963"/>
      <c r="D7963"/>
      <c r="E7963"/>
      <c r="F7963"/>
      <c r="G7963"/>
      <c r="H7963"/>
    </row>
    <row r="7964" spans="3:8" x14ac:dyDescent="0.3">
      <c r="C7964"/>
      <c r="D7964"/>
      <c r="E7964"/>
      <c r="F7964"/>
      <c r="G7964"/>
      <c r="H7964"/>
    </row>
    <row r="7965" spans="3:8" x14ac:dyDescent="0.3">
      <c r="C7965"/>
      <c r="D7965"/>
      <c r="E7965"/>
      <c r="F7965"/>
      <c r="G7965"/>
      <c r="H7965"/>
    </row>
    <row r="7966" spans="3:8" x14ac:dyDescent="0.3">
      <c r="C7966"/>
      <c r="D7966"/>
      <c r="E7966"/>
      <c r="F7966"/>
      <c r="G7966"/>
      <c r="H7966"/>
    </row>
    <row r="7967" spans="3:8" x14ac:dyDescent="0.3">
      <c r="C7967"/>
      <c r="D7967"/>
      <c r="E7967"/>
      <c r="F7967"/>
      <c r="G7967"/>
      <c r="H7967"/>
    </row>
    <row r="7968" spans="3:8" x14ac:dyDescent="0.3">
      <c r="C7968"/>
      <c r="D7968"/>
      <c r="E7968"/>
      <c r="F7968"/>
      <c r="G7968"/>
      <c r="H7968"/>
    </row>
    <row r="7969" spans="3:8" x14ac:dyDescent="0.3">
      <c r="C7969"/>
      <c r="D7969"/>
      <c r="E7969"/>
      <c r="F7969"/>
      <c r="G7969"/>
      <c r="H7969"/>
    </row>
    <row r="7970" spans="3:8" x14ac:dyDescent="0.3">
      <c r="C7970"/>
      <c r="D7970"/>
      <c r="E7970"/>
      <c r="F7970"/>
      <c r="G7970"/>
      <c r="H7970"/>
    </row>
    <row r="7971" spans="3:8" x14ac:dyDescent="0.3">
      <c r="C7971"/>
      <c r="D7971"/>
      <c r="E7971"/>
      <c r="F7971"/>
      <c r="G7971"/>
      <c r="H7971"/>
    </row>
    <row r="7972" spans="3:8" x14ac:dyDescent="0.3">
      <c r="C7972"/>
      <c r="D7972"/>
      <c r="E7972"/>
      <c r="F7972"/>
      <c r="G7972"/>
      <c r="H7972"/>
    </row>
    <row r="7973" spans="3:8" x14ac:dyDescent="0.3">
      <c r="C7973"/>
      <c r="D7973"/>
      <c r="E7973"/>
      <c r="F7973"/>
      <c r="G7973"/>
      <c r="H7973"/>
    </row>
    <row r="7974" spans="3:8" x14ac:dyDescent="0.3">
      <c r="C7974"/>
      <c r="D7974"/>
      <c r="E7974"/>
      <c r="F7974"/>
      <c r="G7974"/>
      <c r="H7974"/>
    </row>
    <row r="7975" spans="3:8" x14ac:dyDescent="0.3">
      <c r="C7975"/>
      <c r="D7975"/>
      <c r="E7975"/>
      <c r="F7975"/>
      <c r="G7975"/>
      <c r="H7975"/>
    </row>
    <row r="7976" spans="3:8" x14ac:dyDescent="0.3">
      <c r="C7976"/>
      <c r="D7976"/>
      <c r="E7976"/>
      <c r="F7976"/>
      <c r="G7976"/>
      <c r="H7976"/>
    </row>
    <row r="7977" spans="3:8" x14ac:dyDescent="0.3">
      <c r="C7977"/>
      <c r="D7977"/>
      <c r="E7977"/>
      <c r="F7977"/>
      <c r="G7977"/>
      <c r="H7977"/>
    </row>
    <row r="7978" spans="3:8" x14ac:dyDescent="0.3">
      <c r="C7978"/>
      <c r="D7978"/>
      <c r="E7978"/>
      <c r="F7978"/>
      <c r="G7978"/>
      <c r="H7978"/>
    </row>
    <row r="7979" spans="3:8" x14ac:dyDescent="0.3">
      <c r="C7979"/>
      <c r="D7979"/>
      <c r="E7979"/>
      <c r="F7979"/>
      <c r="G7979"/>
      <c r="H7979"/>
    </row>
    <row r="7980" spans="3:8" x14ac:dyDescent="0.3">
      <c r="C7980"/>
      <c r="D7980"/>
      <c r="E7980"/>
      <c r="F7980"/>
      <c r="G7980"/>
      <c r="H7980"/>
    </row>
    <row r="7981" spans="3:8" x14ac:dyDescent="0.3">
      <c r="C7981"/>
      <c r="D7981"/>
      <c r="E7981"/>
      <c r="F7981"/>
      <c r="G7981"/>
      <c r="H7981"/>
    </row>
    <row r="7982" spans="3:8" x14ac:dyDescent="0.3">
      <c r="C7982"/>
      <c r="D7982"/>
      <c r="E7982"/>
      <c r="F7982"/>
      <c r="G7982"/>
      <c r="H7982"/>
    </row>
    <row r="7983" spans="3:8" x14ac:dyDescent="0.3">
      <c r="C7983"/>
      <c r="D7983"/>
      <c r="E7983"/>
      <c r="F7983"/>
      <c r="G7983"/>
      <c r="H7983"/>
    </row>
    <row r="7984" spans="3:8" x14ac:dyDescent="0.3">
      <c r="C7984"/>
      <c r="D7984"/>
      <c r="E7984"/>
      <c r="F7984"/>
      <c r="G7984"/>
      <c r="H7984"/>
    </row>
    <row r="7985" spans="3:8" x14ac:dyDescent="0.3">
      <c r="C7985"/>
      <c r="D7985"/>
      <c r="E7985"/>
      <c r="F7985"/>
      <c r="G7985"/>
      <c r="H7985"/>
    </row>
    <row r="7986" spans="3:8" x14ac:dyDescent="0.3">
      <c r="C7986"/>
      <c r="D7986"/>
      <c r="E7986"/>
      <c r="F7986"/>
      <c r="G7986"/>
      <c r="H7986"/>
    </row>
    <row r="7987" spans="3:8" x14ac:dyDescent="0.3">
      <c r="C7987"/>
      <c r="D7987"/>
      <c r="E7987"/>
      <c r="F7987"/>
      <c r="G7987"/>
      <c r="H7987"/>
    </row>
    <row r="7988" spans="3:8" x14ac:dyDescent="0.3">
      <c r="C7988"/>
      <c r="D7988"/>
      <c r="E7988"/>
      <c r="F7988"/>
      <c r="G7988"/>
      <c r="H7988"/>
    </row>
    <row r="7989" spans="3:8" x14ac:dyDescent="0.3">
      <c r="C7989"/>
      <c r="D7989"/>
      <c r="E7989"/>
      <c r="F7989"/>
      <c r="G7989"/>
      <c r="H7989"/>
    </row>
    <row r="7990" spans="3:8" x14ac:dyDescent="0.3">
      <c r="C7990"/>
      <c r="D7990"/>
      <c r="E7990"/>
      <c r="F7990"/>
      <c r="G7990"/>
      <c r="H7990"/>
    </row>
    <row r="7991" spans="3:8" x14ac:dyDescent="0.3">
      <c r="C7991"/>
      <c r="D7991"/>
      <c r="E7991"/>
      <c r="F7991"/>
      <c r="G7991"/>
      <c r="H7991"/>
    </row>
    <row r="7992" spans="3:8" x14ac:dyDescent="0.3">
      <c r="C7992"/>
      <c r="D7992"/>
      <c r="E7992"/>
      <c r="F7992"/>
      <c r="G7992"/>
      <c r="H7992"/>
    </row>
    <row r="7993" spans="3:8" x14ac:dyDescent="0.3">
      <c r="C7993"/>
      <c r="D7993"/>
      <c r="E7993"/>
      <c r="F7993"/>
      <c r="G7993"/>
      <c r="H7993"/>
    </row>
    <row r="7994" spans="3:8" x14ac:dyDescent="0.3">
      <c r="C7994"/>
      <c r="D7994"/>
      <c r="E7994"/>
      <c r="F7994"/>
      <c r="G7994"/>
      <c r="H7994"/>
    </row>
    <row r="7995" spans="3:8" x14ac:dyDescent="0.3">
      <c r="C7995"/>
      <c r="D7995"/>
      <c r="E7995"/>
      <c r="F7995"/>
      <c r="G7995"/>
      <c r="H7995"/>
    </row>
    <row r="7996" spans="3:8" x14ac:dyDescent="0.3">
      <c r="C7996"/>
      <c r="D7996"/>
      <c r="E7996"/>
      <c r="F7996"/>
      <c r="G7996"/>
      <c r="H7996"/>
    </row>
    <row r="7997" spans="3:8" x14ac:dyDescent="0.3">
      <c r="C7997"/>
      <c r="D7997"/>
      <c r="E7997"/>
      <c r="F7997"/>
      <c r="G7997"/>
      <c r="H7997"/>
    </row>
    <row r="7998" spans="3:8" x14ac:dyDescent="0.3">
      <c r="C7998"/>
      <c r="D7998"/>
      <c r="E7998"/>
      <c r="F7998"/>
      <c r="G7998"/>
      <c r="H7998"/>
    </row>
    <row r="7999" spans="3:8" x14ac:dyDescent="0.3">
      <c r="C7999"/>
      <c r="D7999"/>
      <c r="E7999"/>
      <c r="F7999"/>
      <c r="G7999"/>
      <c r="H7999"/>
    </row>
    <row r="8000" spans="3:8" x14ac:dyDescent="0.3">
      <c r="C8000"/>
      <c r="D8000"/>
      <c r="E8000"/>
      <c r="F8000"/>
      <c r="G8000"/>
      <c r="H8000"/>
    </row>
    <row r="8001" spans="3:8" x14ac:dyDescent="0.3">
      <c r="C8001"/>
      <c r="D8001"/>
      <c r="E8001"/>
      <c r="F8001"/>
      <c r="G8001"/>
      <c r="H8001"/>
    </row>
    <row r="8002" spans="3:8" x14ac:dyDescent="0.3">
      <c r="C8002"/>
      <c r="D8002"/>
      <c r="E8002"/>
      <c r="F8002"/>
      <c r="G8002"/>
      <c r="H8002"/>
    </row>
    <row r="8003" spans="3:8" x14ac:dyDescent="0.3">
      <c r="C8003"/>
      <c r="D8003"/>
      <c r="E8003"/>
      <c r="F8003"/>
      <c r="G8003"/>
      <c r="H8003"/>
    </row>
    <row r="8004" spans="3:8" x14ac:dyDescent="0.3">
      <c r="C8004"/>
      <c r="D8004"/>
      <c r="E8004"/>
      <c r="F8004"/>
      <c r="G8004"/>
      <c r="H8004"/>
    </row>
    <row r="8005" spans="3:8" x14ac:dyDescent="0.3">
      <c r="C8005"/>
      <c r="D8005"/>
      <c r="E8005"/>
      <c r="F8005"/>
      <c r="G8005"/>
      <c r="H8005"/>
    </row>
    <row r="8006" spans="3:8" x14ac:dyDescent="0.3">
      <c r="C8006"/>
      <c r="D8006"/>
      <c r="E8006"/>
      <c r="F8006"/>
      <c r="G8006"/>
      <c r="H8006"/>
    </row>
    <row r="8007" spans="3:8" x14ac:dyDescent="0.3">
      <c r="C8007"/>
      <c r="D8007"/>
      <c r="E8007"/>
      <c r="F8007"/>
      <c r="G8007"/>
      <c r="H8007"/>
    </row>
    <row r="8008" spans="3:8" x14ac:dyDescent="0.3">
      <c r="C8008"/>
      <c r="D8008"/>
      <c r="E8008"/>
      <c r="F8008"/>
      <c r="G8008"/>
      <c r="H8008"/>
    </row>
    <row r="8009" spans="3:8" x14ac:dyDescent="0.3">
      <c r="C8009"/>
      <c r="D8009"/>
      <c r="E8009"/>
      <c r="F8009"/>
      <c r="G8009"/>
      <c r="H8009"/>
    </row>
    <row r="8010" spans="3:8" x14ac:dyDescent="0.3">
      <c r="C8010"/>
      <c r="D8010"/>
      <c r="E8010"/>
      <c r="F8010"/>
      <c r="G8010"/>
      <c r="H8010"/>
    </row>
    <row r="8011" spans="3:8" x14ac:dyDescent="0.3">
      <c r="C8011"/>
      <c r="D8011"/>
      <c r="E8011"/>
      <c r="F8011"/>
      <c r="G8011"/>
      <c r="H8011"/>
    </row>
    <row r="8012" spans="3:8" x14ac:dyDescent="0.3">
      <c r="C8012"/>
      <c r="D8012"/>
      <c r="E8012"/>
      <c r="F8012"/>
      <c r="G8012"/>
      <c r="H8012"/>
    </row>
    <row r="8013" spans="3:8" x14ac:dyDescent="0.3">
      <c r="C8013"/>
      <c r="D8013"/>
      <c r="E8013"/>
      <c r="F8013"/>
      <c r="G8013"/>
      <c r="H8013"/>
    </row>
    <row r="8014" spans="3:8" x14ac:dyDescent="0.3">
      <c r="C8014"/>
      <c r="D8014"/>
      <c r="E8014"/>
      <c r="F8014"/>
      <c r="G8014"/>
      <c r="H8014"/>
    </row>
    <row r="8015" spans="3:8" x14ac:dyDescent="0.3">
      <c r="C8015"/>
      <c r="D8015"/>
      <c r="E8015"/>
      <c r="F8015"/>
      <c r="G8015"/>
      <c r="H8015"/>
    </row>
    <row r="8016" spans="3:8" x14ac:dyDescent="0.3">
      <c r="C8016"/>
      <c r="D8016"/>
      <c r="E8016"/>
      <c r="F8016"/>
      <c r="G8016"/>
      <c r="H8016"/>
    </row>
    <row r="8017" spans="3:8" x14ac:dyDescent="0.3">
      <c r="C8017"/>
      <c r="D8017"/>
      <c r="E8017"/>
      <c r="F8017"/>
      <c r="G8017"/>
      <c r="H8017"/>
    </row>
    <row r="8018" spans="3:8" x14ac:dyDescent="0.3">
      <c r="C8018"/>
      <c r="D8018"/>
      <c r="E8018"/>
      <c r="F8018"/>
      <c r="G8018"/>
      <c r="H8018"/>
    </row>
    <row r="8019" spans="3:8" x14ac:dyDescent="0.3">
      <c r="C8019"/>
      <c r="D8019"/>
      <c r="E8019"/>
      <c r="F8019"/>
      <c r="G8019"/>
      <c r="H8019"/>
    </row>
    <row r="8020" spans="3:8" x14ac:dyDescent="0.3">
      <c r="C8020"/>
      <c r="D8020"/>
      <c r="E8020"/>
      <c r="F8020"/>
      <c r="G8020"/>
      <c r="H8020"/>
    </row>
    <row r="8021" spans="3:8" x14ac:dyDescent="0.3">
      <c r="C8021"/>
      <c r="D8021"/>
      <c r="E8021"/>
      <c r="F8021"/>
      <c r="G8021"/>
      <c r="H8021"/>
    </row>
    <row r="8022" spans="3:8" x14ac:dyDescent="0.3">
      <c r="C8022"/>
      <c r="D8022"/>
      <c r="E8022"/>
      <c r="F8022"/>
      <c r="G8022"/>
      <c r="H8022"/>
    </row>
    <row r="8023" spans="3:8" x14ac:dyDescent="0.3">
      <c r="C8023"/>
      <c r="D8023"/>
      <c r="E8023"/>
      <c r="F8023"/>
      <c r="G8023"/>
      <c r="H8023"/>
    </row>
    <row r="8024" spans="3:8" x14ac:dyDescent="0.3">
      <c r="C8024"/>
      <c r="D8024"/>
      <c r="E8024"/>
      <c r="F8024"/>
      <c r="G8024"/>
      <c r="H8024"/>
    </row>
    <row r="8025" spans="3:8" x14ac:dyDescent="0.3">
      <c r="C8025"/>
      <c r="D8025"/>
      <c r="E8025"/>
      <c r="F8025"/>
      <c r="G8025"/>
      <c r="H8025"/>
    </row>
    <row r="8026" spans="3:8" x14ac:dyDescent="0.3">
      <c r="C8026"/>
      <c r="D8026"/>
      <c r="E8026"/>
      <c r="F8026"/>
      <c r="G8026"/>
      <c r="H8026"/>
    </row>
    <row r="8027" spans="3:8" x14ac:dyDescent="0.3">
      <c r="C8027"/>
      <c r="D8027"/>
      <c r="E8027"/>
      <c r="F8027"/>
      <c r="G8027"/>
      <c r="H8027"/>
    </row>
    <row r="8028" spans="3:8" x14ac:dyDescent="0.3">
      <c r="C8028"/>
      <c r="D8028"/>
      <c r="E8028"/>
      <c r="F8028"/>
      <c r="G8028"/>
      <c r="H8028"/>
    </row>
    <row r="8029" spans="3:8" x14ac:dyDescent="0.3">
      <c r="C8029"/>
      <c r="D8029"/>
      <c r="E8029"/>
      <c r="F8029"/>
      <c r="G8029"/>
      <c r="H8029"/>
    </row>
    <row r="8030" spans="3:8" x14ac:dyDescent="0.3">
      <c r="C8030"/>
      <c r="D8030"/>
      <c r="E8030"/>
      <c r="F8030"/>
      <c r="G8030"/>
      <c r="H8030"/>
    </row>
    <row r="8031" spans="3:8" x14ac:dyDescent="0.3">
      <c r="C8031"/>
      <c r="D8031"/>
      <c r="E8031"/>
      <c r="F8031"/>
      <c r="G8031"/>
      <c r="H8031"/>
    </row>
    <row r="8032" spans="3:8" x14ac:dyDescent="0.3">
      <c r="C8032"/>
      <c r="D8032"/>
      <c r="E8032"/>
      <c r="F8032"/>
      <c r="G8032"/>
      <c r="H8032"/>
    </row>
    <row r="8033" spans="3:8" x14ac:dyDescent="0.3">
      <c r="C8033"/>
      <c r="D8033"/>
      <c r="E8033"/>
      <c r="F8033"/>
      <c r="G8033"/>
      <c r="H8033"/>
    </row>
    <row r="8034" spans="3:8" x14ac:dyDescent="0.3">
      <c r="C8034"/>
      <c r="D8034"/>
      <c r="E8034"/>
      <c r="F8034"/>
      <c r="G8034"/>
      <c r="H8034"/>
    </row>
    <row r="8035" spans="3:8" x14ac:dyDescent="0.3">
      <c r="C8035"/>
      <c r="D8035"/>
      <c r="E8035"/>
      <c r="F8035"/>
      <c r="G8035"/>
      <c r="H8035"/>
    </row>
    <row r="8036" spans="3:8" x14ac:dyDescent="0.3">
      <c r="C8036"/>
      <c r="D8036"/>
      <c r="E8036"/>
      <c r="F8036"/>
      <c r="G8036"/>
      <c r="H8036"/>
    </row>
    <row r="8037" spans="3:8" x14ac:dyDescent="0.3">
      <c r="C8037"/>
      <c r="D8037"/>
      <c r="E8037"/>
      <c r="F8037"/>
      <c r="G8037"/>
      <c r="H8037"/>
    </row>
    <row r="8038" spans="3:8" x14ac:dyDescent="0.3">
      <c r="C8038"/>
      <c r="D8038"/>
      <c r="E8038"/>
      <c r="F8038"/>
      <c r="G8038"/>
      <c r="H8038"/>
    </row>
    <row r="8039" spans="3:8" x14ac:dyDescent="0.3">
      <c r="C8039"/>
      <c r="D8039"/>
      <c r="E8039"/>
      <c r="F8039"/>
      <c r="G8039"/>
      <c r="H8039"/>
    </row>
    <row r="8040" spans="3:8" x14ac:dyDescent="0.3">
      <c r="C8040"/>
      <c r="D8040"/>
      <c r="E8040"/>
      <c r="F8040"/>
      <c r="G8040"/>
      <c r="H8040"/>
    </row>
    <row r="8041" spans="3:8" x14ac:dyDescent="0.3">
      <c r="C8041"/>
      <c r="D8041"/>
      <c r="E8041"/>
      <c r="F8041"/>
      <c r="G8041"/>
      <c r="H8041"/>
    </row>
    <row r="8042" spans="3:8" x14ac:dyDescent="0.3">
      <c r="C8042"/>
      <c r="D8042"/>
      <c r="E8042"/>
      <c r="F8042"/>
      <c r="G8042"/>
      <c r="H8042"/>
    </row>
    <row r="8043" spans="3:8" x14ac:dyDescent="0.3">
      <c r="C8043"/>
      <c r="D8043"/>
      <c r="E8043"/>
      <c r="F8043"/>
      <c r="G8043"/>
      <c r="H8043"/>
    </row>
    <row r="8044" spans="3:8" x14ac:dyDescent="0.3">
      <c r="C8044"/>
      <c r="D8044"/>
      <c r="E8044"/>
      <c r="F8044"/>
      <c r="G8044"/>
      <c r="H8044"/>
    </row>
    <row r="8045" spans="3:8" x14ac:dyDescent="0.3">
      <c r="C8045"/>
      <c r="D8045"/>
      <c r="E8045"/>
      <c r="F8045"/>
      <c r="G8045"/>
      <c r="H8045"/>
    </row>
    <row r="8046" spans="3:8" x14ac:dyDescent="0.3">
      <c r="C8046"/>
      <c r="D8046"/>
      <c r="E8046"/>
      <c r="F8046"/>
      <c r="G8046"/>
      <c r="H8046"/>
    </row>
    <row r="8047" spans="3:8" x14ac:dyDescent="0.3">
      <c r="C8047"/>
      <c r="D8047"/>
      <c r="E8047"/>
      <c r="F8047"/>
      <c r="G8047"/>
      <c r="H8047"/>
    </row>
    <row r="8048" spans="3:8" x14ac:dyDescent="0.3">
      <c r="C8048"/>
      <c r="D8048"/>
      <c r="E8048"/>
      <c r="F8048"/>
      <c r="G8048"/>
      <c r="H8048"/>
    </row>
    <row r="8049" spans="3:8" x14ac:dyDescent="0.3">
      <c r="C8049"/>
      <c r="D8049"/>
      <c r="E8049"/>
      <c r="F8049"/>
      <c r="G8049"/>
      <c r="H8049"/>
    </row>
    <row r="8050" spans="3:8" x14ac:dyDescent="0.3">
      <c r="C8050"/>
      <c r="D8050"/>
      <c r="E8050"/>
      <c r="F8050"/>
      <c r="G8050"/>
      <c r="H8050"/>
    </row>
    <row r="8051" spans="3:8" x14ac:dyDescent="0.3">
      <c r="C8051"/>
      <c r="D8051"/>
      <c r="E8051"/>
      <c r="F8051"/>
      <c r="G8051"/>
      <c r="H8051"/>
    </row>
    <row r="8052" spans="3:8" x14ac:dyDescent="0.3">
      <c r="C8052"/>
      <c r="D8052"/>
      <c r="E8052"/>
      <c r="F8052"/>
      <c r="G8052"/>
      <c r="H8052"/>
    </row>
    <row r="8053" spans="3:8" x14ac:dyDescent="0.3">
      <c r="C8053"/>
      <c r="D8053"/>
      <c r="E8053"/>
      <c r="F8053"/>
      <c r="G8053"/>
      <c r="H8053"/>
    </row>
    <row r="8054" spans="3:8" x14ac:dyDescent="0.3">
      <c r="C8054"/>
      <c r="D8054"/>
      <c r="E8054"/>
      <c r="F8054"/>
      <c r="G8054"/>
      <c r="H8054"/>
    </row>
    <row r="8055" spans="3:8" x14ac:dyDescent="0.3">
      <c r="C8055"/>
      <c r="D8055"/>
      <c r="E8055"/>
      <c r="F8055"/>
      <c r="G8055"/>
      <c r="H8055"/>
    </row>
    <row r="8056" spans="3:8" x14ac:dyDescent="0.3">
      <c r="C8056"/>
      <c r="D8056"/>
      <c r="E8056"/>
      <c r="F8056"/>
      <c r="G8056"/>
      <c r="H8056"/>
    </row>
    <row r="8057" spans="3:8" x14ac:dyDescent="0.3">
      <c r="C8057"/>
      <c r="D8057"/>
      <c r="E8057"/>
      <c r="F8057"/>
      <c r="G8057"/>
      <c r="H8057"/>
    </row>
    <row r="8058" spans="3:8" x14ac:dyDescent="0.3">
      <c r="C8058"/>
      <c r="D8058"/>
      <c r="E8058"/>
      <c r="F8058"/>
      <c r="G8058"/>
      <c r="H8058"/>
    </row>
    <row r="8059" spans="3:8" x14ac:dyDescent="0.3">
      <c r="C8059"/>
      <c r="D8059"/>
      <c r="E8059"/>
      <c r="F8059"/>
      <c r="G8059"/>
      <c r="H8059"/>
    </row>
    <row r="8060" spans="3:8" x14ac:dyDescent="0.3">
      <c r="C8060"/>
      <c r="D8060"/>
      <c r="E8060"/>
      <c r="F8060"/>
      <c r="G8060"/>
      <c r="H8060"/>
    </row>
    <row r="8061" spans="3:8" x14ac:dyDescent="0.3">
      <c r="C8061"/>
      <c r="D8061"/>
      <c r="E8061"/>
      <c r="F8061"/>
      <c r="G8061"/>
      <c r="H8061"/>
    </row>
    <row r="8062" spans="3:8" x14ac:dyDescent="0.3">
      <c r="C8062"/>
      <c r="D8062"/>
      <c r="E8062"/>
      <c r="F8062"/>
      <c r="G8062"/>
      <c r="H8062"/>
    </row>
    <row r="8063" spans="3:8" x14ac:dyDescent="0.3">
      <c r="C8063"/>
      <c r="D8063"/>
      <c r="E8063"/>
      <c r="F8063"/>
      <c r="G8063"/>
      <c r="H8063"/>
    </row>
    <row r="8064" spans="3:8" x14ac:dyDescent="0.3">
      <c r="C8064"/>
      <c r="D8064"/>
      <c r="E8064"/>
      <c r="F8064"/>
      <c r="G8064"/>
      <c r="H8064"/>
    </row>
    <row r="8065" spans="3:8" x14ac:dyDescent="0.3">
      <c r="C8065"/>
      <c r="D8065"/>
      <c r="E8065"/>
      <c r="F8065"/>
      <c r="G8065"/>
      <c r="H8065"/>
    </row>
    <row r="8066" spans="3:8" x14ac:dyDescent="0.3">
      <c r="C8066"/>
      <c r="D8066"/>
      <c r="E8066"/>
      <c r="F8066"/>
      <c r="G8066"/>
      <c r="H8066"/>
    </row>
    <row r="8067" spans="3:8" x14ac:dyDescent="0.3">
      <c r="C8067"/>
      <c r="D8067"/>
      <c r="E8067"/>
      <c r="F8067"/>
      <c r="G8067"/>
      <c r="H8067"/>
    </row>
    <row r="8068" spans="3:8" x14ac:dyDescent="0.3">
      <c r="C8068"/>
      <c r="D8068"/>
      <c r="E8068"/>
      <c r="F8068"/>
      <c r="G8068"/>
      <c r="H8068"/>
    </row>
    <row r="8069" spans="3:8" x14ac:dyDescent="0.3">
      <c r="C8069"/>
      <c r="D8069"/>
      <c r="E8069"/>
      <c r="F8069"/>
      <c r="G8069"/>
      <c r="H8069"/>
    </row>
    <row r="8070" spans="3:8" x14ac:dyDescent="0.3">
      <c r="C8070"/>
      <c r="D8070"/>
      <c r="E8070"/>
      <c r="F8070"/>
      <c r="G8070"/>
      <c r="H8070"/>
    </row>
    <row r="8071" spans="3:8" x14ac:dyDescent="0.3">
      <c r="C8071"/>
      <c r="D8071"/>
      <c r="E8071"/>
      <c r="F8071"/>
      <c r="G8071"/>
      <c r="H8071"/>
    </row>
    <row r="8072" spans="3:8" x14ac:dyDescent="0.3">
      <c r="C8072"/>
      <c r="D8072"/>
      <c r="E8072"/>
      <c r="F8072"/>
      <c r="G8072"/>
      <c r="H8072"/>
    </row>
    <row r="8073" spans="3:8" x14ac:dyDescent="0.3">
      <c r="C8073"/>
      <c r="D8073"/>
      <c r="E8073"/>
      <c r="F8073"/>
      <c r="G8073"/>
      <c r="H8073"/>
    </row>
    <row r="8074" spans="3:8" x14ac:dyDescent="0.3">
      <c r="C8074"/>
      <c r="D8074"/>
      <c r="E8074"/>
      <c r="F8074"/>
      <c r="G8074"/>
      <c r="H8074"/>
    </row>
    <row r="8075" spans="3:8" x14ac:dyDescent="0.3">
      <c r="C8075"/>
      <c r="D8075"/>
      <c r="E8075"/>
      <c r="F8075"/>
      <c r="G8075"/>
      <c r="H8075"/>
    </row>
    <row r="8076" spans="3:8" x14ac:dyDescent="0.3">
      <c r="C8076"/>
      <c r="D8076"/>
      <c r="E8076"/>
      <c r="F8076"/>
      <c r="G8076"/>
      <c r="H8076"/>
    </row>
    <row r="8077" spans="3:8" x14ac:dyDescent="0.3">
      <c r="C8077"/>
      <c r="D8077"/>
      <c r="E8077"/>
      <c r="F8077"/>
      <c r="G8077"/>
      <c r="H8077"/>
    </row>
    <row r="8078" spans="3:8" x14ac:dyDescent="0.3">
      <c r="C8078"/>
      <c r="D8078"/>
      <c r="E8078"/>
      <c r="F8078"/>
      <c r="G8078"/>
      <c r="H8078"/>
    </row>
    <row r="8079" spans="3:8" x14ac:dyDescent="0.3">
      <c r="C8079"/>
      <c r="D8079"/>
      <c r="E8079"/>
      <c r="F8079"/>
      <c r="G8079"/>
      <c r="H8079"/>
    </row>
    <row r="8080" spans="3:8" x14ac:dyDescent="0.3">
      <c r="C8080"/>
      <c r="D8080"/>
      <c r="E8080"/>
      <c r="F8080"/>
      <c r="G8080"/>
      <c r="H8080"/>
    </row>
    <row r="8081" spans="3:8" x14ac:dyDescent="0.3">
      <c r="C8081"/>
      <c r="D8081"/>
      <c r="E8081"/>
      <c r="F8081"/>
      <c r="G8081"/>
      <c r="H8081"/>
    </row>
    <row r="8082" spans="3:8" x14ac:dyDescent="0.3">
      <c r="C8082"/>
      <c r="D8082"/>
      <c r="E8082"/>
      <c r="F8082"/>
      <c r="G8082"/>
      <c r="H8082"/>
    </row>
    <row r="8083" spans="3:8" x14ac:dyDescent="0.3">
      <c r="C8083"/>
      <c r="D8083"/>
      <c r="E8083"/>
      <c r="F8083"/>
      <c r="G8083"/>
      <c r="H8083"/>
    </row>
    <row r="8084" spans="3:8" x14ac:dyDescent="0.3">
      <c r="C8084"/>
      <c r="D8084"/>
      <c r="E8084"/>
      <c r="F8084"/>
      <c r="G8084"/>
      <c r="H8084"/>
    </row>
    <row r="8085" spans="3:8" x14ac:dyDescent="0.3">
      <c r="C8085"/>
      <c r="D8085"/>
      <c r="E8085"/>
      <c r="F8085"/>
      <c r="G8085"/>
      <c r="H8085"/>
    </row>
    <row r="8086" spans="3:8" x14ac:dyDescent="0.3">
      <c r="C8086"/>
      <c r="D8086"/>
      <c r="E8086"/>
      <c r="F8086"/>
      <c r="G8086"/>
      <c r="H8086"/>
    </row>
    <row r="8087" spans="3:8" x14ac:dyDescent="0.3">
      <c r="C8087"/>
      <c r="D8087"/>
      <c r="E8087"/>
      <c r="F8087"/>
      <c r="G8087"/>
      <c r="H8087"/>
    </row>
    <row r="8088" spans="3:8" x14ac:dyDescent="0.3">
      <c r="C8088"/>
      <c r="D8088"/>
      <c r="E8088"/>
      <c r="F8088"/>
      <c r="G8088"/>
      <c r="H8088"/>
    </row>
    <row r="8089" spans="3:8" x14ac:dyDescent="0.3">
      <c r="C8089"/>
      <c r="D8089"/>
      <c r="E8089"/>
      <c r="F8089"/>
      <c r="G8089"/>
      <c r="H8089"/>
    </row>
    <row r="8090" spans="3:8" x14ac:dyDescent="0.3">
      <c r="C8090"/>
      <c r="D8090"/>
      <c r="E8090"/>
      <c r="F8090"/>
      <c r="G8090"/>
      <c r="H8090"/>
    </row>
    <row r="8091" spans="3:8" x14ac:dyDescent="0.3">
      <c r="C8091"/>
      <c r="D8091"/>
      <c r="E8091"/>
      <c r="F8091"/>
      <c r="G8091"/>
      <c r="H8091"/>
    </row>
    <row r="8092" spans="3:8" x14ac:dyDescent="0.3">
      <c r="C8092"/>
      <c r="D8092"/>
      <c r="E8092"/>
      <c r="F8092"/>
      <c r="G8092"/>
      <c r="H8092"/>
    </row>
    <row r="8093" spans="3:8" x14ac:dyDescent="0.3">
      <c r="C8093"/>
      <c r="D8093"/>
      <c r="E8093"/>
      <c r="F8093"/>
      <c r="G8093"/>
      <c r="H8093"/>
    </row>
    <row r="8094" spans="3:8" x14ac:dyDescent="0.3">
      <c r="C8094"/>
      <c r="D8094"/>
      <c r="E8094"/>
      <c r="F8094"/>
      <c r="G8094"/>
      <c r="H8094"/>
    </row>
    <row r="8095" spans="3:8" x14ac:dyDescent="0.3">
      <c r="C8095"/>
      <c r="D8095"/>
      <c r="E8095"/>
      <c r="F8095"/>
      <c r="G8095"/>
      <c r="H8095"/>
    </row>
    <row r="8096" spans="3:8" x14ac:dyDescent="0.3">
      <c r="C8096"/>
      <c r="D8096"/>
      <c r="E8096"/>
      <c r="F8096"/>
      <c r="G8096"/>
      <c r="H8096"/>
    </row>
    <row r="8097" spans="3:8" x14ac:dyDescent="0.3">
      <c r="C8097"/>
      <c r="D8097"/>
      <c r="E8097"/>
      <c r="F8097"/>
      <c r="G8097"/>
      <c r="H8097"/>
    </row>
    <row r="8098" spans="3:8" x14ac:dyDescent="0.3">
      <c r="C8098"/>
      <c r="D8098"/>
      <c r="E8098"/>
      <c r="F8098"/>
      <c r="G8098"/>
      <c r="H8098"/>
    </row>
    <row r="8099" spans="3:8" x14ac:dyDescent="0.3">
      <c r="C8099"/>
      <c r="D8099"/>
      <c r="E8099"/>
      <c r="F8099"/>
      <c r="G8099"/>
      <c r="H8099"/>
    </row>
    <row r="8100" spans="3:8" x14ac:dyDescent="0.3">
      <c r="C8100"/>
      <c r="D8100"/>
      <c r="E8100"/>
      <c r="F8100"/>
      <c r="G8100"/>
      <c r="H8100"/>
    </row>
    <row r="8101" spans="3:8" x14ac:dyDescent="0.3">
      <c r="C8101"/>
      <c r="D8101"/>
      <c r="E8101"/>
      <c r="F8101"/>
      <c r="G8101"/>
      <c r="H8101"/>
    </row>
    <row r="8102" spans="3:8" x14ac:dyDescent="0.3">
      <c r="C8102"/>
      <c r="D8102"/>
      <c r="E8102"/>
      <c r="F8102"/>
      <c r="G8102"/>
      <c r="H8102"/>
    </row>
    <row r="8103" spans="3:8" x14ac:dyDescent="0.3">
      <c r="C8103"/>
      <c r="D8103"/>
      <c r="E8103"/>
      <c r="F8103"/>
      <c r="G8103"/>
      <c r="H8103"/>
    </row>
    <row r="8104" spans="3:8" x14ac:dyDescent="0.3">
      <c r="C8104"/>
      <c r="D8104"/>
      <c r="E8104"/>
      <c r="F8104"/>
      <c r="G8104"/>
      <c r="H8104"/>
    </row>
    <row r="8105" spans="3:8" x14ac:dyDescent="0.3">
      <c r="C8105"/>
      <c r="D8105"/>
      <c r="E8105"/>
      <c r="F8105"/>
      <c r="G8105"/>
      <c r="H8105"/>
    </row>
    <row r="8106" spans="3:8" x14ac:dyDescent="0.3">
      <c r="C8106"/>
      <c r="D8106"/>
      <c r="E8106"/>
      <c r="F8106"/>
      <c r="G8106"/>
      <c r="H8106"/>
    </row>
    <row r="8107" spans="3:8" x14ac:dyDescent="0.3">
      <c r="C8107"/>
      <c r="D8107"/>
      <c r="E8107"/>
      <c r="F8107"/>
      <c r="G8107"/>
      <c r="H8107"/>
    </row>
    <row r="8108" spans="3:8" x14ac:dyDescent="0.3">
      <c r="C8108"/>
      <c r="D8108"/>
      <c r="E8108"/>
      <c r="F8108"/>
      <c r="G8108"/>
      <c r="H8108"/>
    </row>
    <row r="8109" spans="3:8" x14ac:dyDescent="0.3">
      <c r="C8109"/>
      <c r="D8109"/>
      <c r="E8109"/>
      <c r="F8109"/>
      <c r="G8109"/>
      <c r="H8109"/>
    </row>
    <row r="8110" spans="3:8" x14ac:dyDescent="0.3">
      <c r="C8110"/>
      <c r="D8110"/>
      <c r="E8110"/>
      <c r="F8110"/>
      <c r="G8110"/>
      <c r="H8110"/>
    </row>
    <row r="8111" spans="3:8" x14ac:dyDescent="0.3">
      <c r="C8111"/>
      <c r="D8111"/>
      <c r="E8111"/>
      <c r="F8111"/>
      <c r="G8111"/>
      <c r="H8111"/>
    </row>
    <row r="8112" spans="3:8" x14ac:dyDescent="0.3">
      <c r="C8112"/>
      <c r="D8112"/>
      <c r="E8112"/>
      <c r="F8112"/>
      <c r="G8112"/>
      <c r="H8112"/>
    </row>
    <row r="8113" spans="3:8" x14ac:dyDescent="0.3">
      <c r="C8113"/>
      <c r="D8113"/>
      <c r="E8113"/>
      <c r="F8113"/>
      <c r="G8113"/>
      <c r="H8113"/>
    </row>
    <row r="8114" spans="3:8" x14ac:dyDescent="0.3">
      <c r="C8114"/>
      <c r="D8114"/>
      <c r="E8114"/>
      <c r="F8114"/>
      <c r="G8114"/>
      <c r="H8114"/>
    </row>
    <row r="8115" spans="3:8" x14ac:dyDescent="0.3">
      <c r="C8115"/>
      <c r="D8115"/>
      <c r="E8115"/>
      <c r="F8115"/>
      <c r="G8115"/>
      <c r="H8115"/>
    </row>
    <row r="8116" spans="3:8" x14ac:dyDescent="0.3">
      <c r="C8116"/>
      <c r="D8116"/>
      <c r="E8116"/>
      <c r="F8116"/>
      <c r="G8116"/>
      <c r="H8116"/>
    </row>
    <row r="8117" spans="3:8" x14ac:dyDescent="0.3">
      <c r="C8117"/>
      <c r="D8117"/>
      <c r="E8117"/>
      <c r="F8117"/>
      <c r="G8117"/>
      <c r="H8117"/>
    </row>
    <row r="8118" spans="3:8" x14ac:dyDescent="0.3">
      <c r="C8118"/>
      <c r="D8118"/>
      <c r="E8118"/>
      <c r="F8118"/>
      <c r="G8118"/>
      <c r="H8118"/>
    </row>
    <row r="8119" spans="3:8" x14ac:dyDescent="0.3">
      <c r="C8119"/>
      <c r="D8119"/>
      <c r="E8119"/>
      <c r="F8119"/>
      <c r="G8119"/>
      <c r="H8119"/>
    </row>
    <row r="8120" spans="3:8" x14ac:dyDescent="0.3">
      <c r="C8120"/>
      <c r="D8120"/>
      <c r="E8120"/>
      <c r="F8120"/>
      <c r="G8120"/>
      <c r="H8120"/>
    </row>
    <row r="8121" spans="3:8" x14ac:dyDescent="0.3">
      <c r="C8121"/>
      <c r="D8121"/>
      <c r="E8121"/>
      <c r="F8121"/>
      <c r="G8121"/>
      <c r="H8121"/>
    </row>
    <row r="8122" spans="3:8" x14ac:dyDescent="0.3">
      <c r="C8122"/>
      <c r="D8122"/>
      <c r="E8122"/>
      <c r="F8122"/>
      <c r="G8122"/>
      <c r="H8122"/>
    </row>
    <row r="8123" spans="3:8" x14ac:dyDescent="0.3">
      <c r="C8123"/>
      <c r="D8123"/>
      <c r="E8123"/>
      <c r="F8123"/>
      <c r="G8123"/>
      <c r="H8123"/>
    </row>
    <row r="8124" spans="3:8" x14ac:dyDescent="0.3">
      <c r="C8124"/>
      <c r="D8124"/>
      <c r="E8124"/>
      <c r="F8124"/>
      <c r="G8124"/>
      <c r="H8124"/>
    </row>
    <row r="8125" spans="3:8" x14ac:dyDescent="0.3">
      <c r="C8125"/>
      <c r="D8125"/>
      <c r="E8125"/>
      <c r="F8125"/>
      <c r="G8125"/>
      <c r="H8125"/>
    </row>
    <row r="8126" spans="3:8" x14ac:dyDescent="0.3">
      <c r="C8126"/>
      <c r="D8126"/>
      <c r="E8126"/>
      <c r="F8126"/>
      <c r="G8126"/>
      <c r="H8126"/>
    </row>
    <row r="8127" spans="3:8" x14ac:dyDescent="0.3">
      <c r="C8127"/>
      <c r="D8127"/>
      <c r="E8127"/>
      <c r="F8127"/>
      <c r="G8127"/>
      <c r="H8127"/>
    </row>
    <row r="8128" spans="3:8" x14ac:dyDescent="0.3">
      <c r="C8128"/>
      <c r="D8128"/>
      <c r="E8128"/>
      <c r="F8128"/>
      <c r="G8128"/>
      <c r="H8128"/>
    </row>
    <row r="8129" spans="3:8" x14ac:dyDescent="0.3">
      <c r="C8129"/>
      <c r="D8129"/>
      <c r="E8129"/>
      <c r="F8129"/>
      <c r="G8129"/>
      <c r="H8129"/>
    </row>
    <row r="8130" spans="3:8" x14ac:dyDescent="0.3">
      <c r="C8130"/>
      <c r="D8130"/>
      <c r="E8130"/>
      <c r="F8130"/>
      <c r="G8130"/>
      <c r="H8130"/>
    </row>
    <row r="8131" spans="3:8" x14ac:dyDescent="0.3">
      <c r="C8131"/>
      <c r="D8131"/>
      <c r="E8131"/>
      <c r="F8131"/>
      <c r="G8131"/>
      <c r="H8131"/>
    </row>
    <row r="8132" spans="3:8" x14ac:dyDescent="0.3">
      <c r="C8132"/>
      <c r="D8132"/>
      <c r="E8132"/>
      <c r="F8132"/>
      <c r="G8132"/>
      <c r="H8132"/>
    </row>
    <row r="8133" spans="3:8" x14ac:dyDescent="0.3">
      <c r="C8133"/>
      <c r="D8133"/>
      <c r="E8133"/>
      <c r="F8133"/>
      <c r="G8133"/>
      <c r="H8133"/>
    </row>
    <row r="8134" spans="3:8" x14ac:dyDescent="0.3">
      <c r="C8134"/>
      <c r="D8134"/>
      <c r="E8134"/>
      <c r="F8134"/>
      <c r="G8134"/>
      <c r="H8134"/>
    </row>
    <row r="8135" spans="3:8" x14ac:dyDescent="0.3">
      <c r="C8135"/>
      <c r="D8135"/>
      <c r="E8135"/>
      <c r="F8135"/>
      <c r="G8135"/>
      <c r="H8135"/>
    </row>
    <row r="8136" spans="3:8" x14ac:dyDescent="0.3">
      <c r="C8136"/>
      <c r="D8136"/>
      <c r="E8136"/>
      <c r="F8136"/>
      <c r="G8136"/>
      <c r="H8136"/>
    </row>
    <row r="8137" spans="3:8" x14ac:dyDescent="0.3">
      <c r="C8137"/>
      <c r="D8137"/>
      <c r="E8137"/>
      <c r="F8137"/>
      <c r="G8137"/>
      <c r="H8137"/>
    </row>
    <row r="8138" spans="3:8" x14ac:dyDescent="0.3">
      <c r="C8138"/>
      <c r="D8138"/>
      <c r="E8138"/>
      <c r="F8138"/>
      <c r="G8138"/>
      <c r="H8138"/>
    </row>
    <row r="8139" spans="3:8" x14ac:dyDescent="0.3">
      <c r="C8139"/>
      <c r="D8139"/>
      <c r="E8139"/>
      <c r="F8139"/>
      <c r="G8139"/>
      <c r="H8139"/>
    </row>
    <row r="8140" spans="3:8" x14ac:dyDescent="0.3">
      <c r="C8140"/>
      <c r="D8140"/>
      <c r="E8140"/>
      <c r="F8140"/>
      <c r="G8140"/>
      <c r="H8140"/>
    </row>
    <row r="8141" spans="3:8" x14ac:dyDescent="0.3">
      <c r="C8141"/>
      <c r="D8141"/>
      <c r="E8141"/>
      <c r="F8141"/>
      <c r="G8141"/>
      <c r="H8141"/>
    </row>
    <row r="8142" spans="3:8" x14ac:dyDescent="0.3">
      <c r="C8142"/>
      <c r="D8142"/>
      <c r="E8142"/>
      <c r="F8142"/>
      <c r="G8142"/>
      <c r="H8142"/>
    </row>
    <row r="8143" spans="3:8" x14ac:dyDescent="0.3">
      <c r="C8143"/>
      <c r="D8143"/>
      <c r="E8143"/>
      <c r="F8143"/>
      <c r="G8143"/>
      <c r="H8143"/>
    </row>
    <row r="8144" spans="3:8" x14ac:dyDescent="0.3">
      <c r="C8144"/>
      <c r="D8144"/>
      <c r="E8144"/>
      <c r="F8144"/>
      <c r="G8144"/>
      <c r="H8144"/>
    </row>
    <row r="8145" spans="3:8" x14ac:dyDescent="0.3">
      <c r="C8145"/>
      <c r="D8145"/>
      <c r="E8145"/>
      <c r="F8145"/>
      <c r="G8145"/>
      <c r="H8145"/>
    </row>
    <row r="8146" spans="3:8" x14ac:dyDescent="0.3">
      <c r="C8146"/>
      <c r="D8146"/>
      <c r="E8146"/>
      <c r="F8146"/>
      <c r="G8146"/>
      <c r="H8146"/>
    </row>
    <row r="8147" spans="3:8" x14ac:dyDescent="0.3">
      <c r="C8147"/>
      <c r="D8147"/>
      <c r="E8147"/>
      <c r="F8147"/>
      <c r="G8147"/>
      <c r="H8147"/>
    </row>
    <row r="8148" spans="3:8" x14ac:dyDescent="0.3">
      <c r="C8148"/>
      <c r="D8148"/>
      <c r="E8148"/>
      <c r="F8148"/>
      <c r="G8148"/>
      <c r="H8148"/>
    </row>
    <row r="8149" spans="3:8" x14ac:dyDescent="0.3">
      <c r="C8149"/>
      <c r="D8149"/>
      <c r="E8149"/>
      <c r="F8149"/>
      <c r="G8149"/>
      <c r="H8149"/>
    </row>
    <row r="8150" spans="3:8" x14ac:dyDescent="0.3">
      <c r="C8150"/>
      <c r="D8150"/>
      <c r="E8150"/>
      <c r="F8150"/>
      <c r="G8150"/>
      <c r="H8150"/>
    </row>
    <row r="8151" spans="3:8" x14ac:dyDescent="0.3">
      <c r="C8151"/>
      <c r="D8151"/>
      <c r="E8151"/>
      <c r="F8151"/>
      <c r="G8151"/>
      <c r="H8151"/>
    </row>
    <row r="8152" spans="3:8" x14ac:dyDescent="0.3">
      <c r="C8152"/>
      <c r="D8152"/>
      <c r="E8152"/>
      <c r="F8152"/>
      <c r="G8152"/>
      <c r="H8152"/>
    </row>
    <row r="8153" spans="3:8" x14ac:dyDescent="0.3">
      <c r="C8153"/>
      <c r="D8153"/>
      <c r="E8153"/>
      <c r="F8153"/>
      <c r="G8153"/>
      <c r="H8153"/>
    </row>
    <row r="8154" spans="3:8" x14ac:dyDescent="0.3">
      <c r="C8154"/>
      <c r="D8154"/>
      <c r="E8154"/>
      <c r="F8154"/>
      <c r="G8154"/>
      <c r="H8154"/>
    </row>
    <row r="8155" spans="3:8" x14ac:dyDescent="0.3">
      <c r="C8155"/>
      <c r="D8155"/>
      <c r="E8155"/>
      <c r="F8155"/>
      <c r="G8155"/>
      <c r="H8155"/>
    </row>
    <row r="8156" spans="3:8" x14ac:dyDescent="0.3">
      <c r="C8156"/>
      <c r="D8156"/>
      <c r="E8156"/>
      <c r="F8156"/>
      <c r="G8156"/>
      <c r="H8156"/>
    </row>
    <row r="8157" spans="3:8" x14ac:dyDescent="0.3">
      <c r="C8157"/>
      <c r="D8157"/>
      <c r="E8157"/>
      <c r="F8157"/>
      <c r="G8157"/>
      <c r="H8157"/>
    </row>
    <row r="8158" spans="3:8" x14ac:dyDescent="0.3">
      <c r="C8158"/>
      <c r="D8158"/>
      <c r="E8158"/>
      <c r="F8158"/>
      <c r="G8158"/>
      <c r="H8158"/>
    </row>
    <row r="8159" spans="3:8" x14ac:dyDescent="0.3">
      <c r="C8159"/>
      <c r="D8159"/>
      <c r="E8159"/>
      <c r="F8159"/>
      <c r="G8159"/>
      <c r="H8159"/>
    </row>
    <row r="8160" spans="3:8" x14ac:dyDescent="0.3">
      <c r="C8160"/>
      <c r="D8160"/>
      <c r="E8160"/>
      <c r="F8160"/>
      <c r="G8160"/>
      <c r="H8160"/>
    </row>
    <row r="8161" spans="3:8" x14ac:dyDescent="0.3">
      <c r="C8161"/>
      <c r="D8161"/>
      <c r="E8161"/>
      <c r="F8161"/>
      <c r="G8161"/>
      <c r="H8161"/>
    </row>
    <row r="8162" spans="3:8" x14ac:dyDescent="0.3">
      <c r="C8162"/>
      <c r="D8162"/>
      <c r="E8162"/>
      <c r="F8162"/>
      <c r="G8162"/>
      <c r="H8162"/>
    </row>
    <row r="8163" spans="3:8" x14ac:dyDescent="0.3">
      <c r="C8163"/>
      <c r="D8163"/>
      <c r="E8163"/>
      <c r="F8163"/>
      <c r="G8163"/>
      <c r="H8163"/>
    </row>
    <row r="8164" spans="3:8" x14ac:dyDescent="0.3">
      <c r="C8164"/>
      <c r="D8164"/>
      <c r="E8164"/>
      <c r="F8164"/>
      <c r="G8164"/>
      <c r="H8164"/>
    </row>
    <row r="8165" spans="3:8" x14ac:dyDescent="0.3">
      <c r="C8165"/>
      <c r="D8165"/>
      <c r="E8165"/>
      <c r="F8165"/>
      <c r="G8165"/>
      <c r="H8165"/>
    </row>
    <row r="8166" spans="3:8" x14ac:dyDescent="0.3">
      <c r="C8166"/>
      <c r="D8166"/>
      <c r="E8166"/>
      <c r="F8166"/>
      <c r="G8166"/>
      <c r="H8166"/>
    </row>
    <row r="8167" spans="3:8" x14ac:dyDescent="0.3">
      <c r="C8167"/>
      <c r="D8167"/>
      <c r="E8167"/>
      <c r="F8167"/>
      <c r="G8167"/>
      <c r="H8167"/>
    </row>
    <row r="8168" spans="3:8" x14ac:dyDescent="0.3">
      <c r="C8168"/>
      <c r="D8168"/>
      <c r="E8168"/>
      <c r="F8168"/>
      <c r="G8168"/>
      <c r="H8168"/>
    </row>
    <row r="8169" spans="3:8" x14ac:dyDescent="0.3">
      <c r="C8169"/>
      <c r="D8169"/>
      <c r="E8169"/>
      <c r="F8169"/>
      <c r="G8169"/>
      <c r="H8169"/>
    </row>
    <row r="8170" spans="3:8" x14ac:dyDescent="0.3">
      <c r="C8170"/>
      <c r="D8170"/>
      <c r="E8170"/>
      <c r="F8170"/>
      <c r="G8170"/>
      <c r="H8170"/>
    </row>
    <row r="8171" spans="3:8" x14ac:dyDescent="0.3">
      <c r="C8171"/>
      <c r="D8171"/>
      <c r="E8171"/>
      <c r="F8171"/>
      <c r="G8171"/>
      <c r="H8171"/>
    </row>
    <row r="8172" spans="3:8" x14ac:dyDescent="0.3">
      <c r="C8172"/>
      <c r="D8172"/>
      <c r="E8172"/>
      <c r="F8172"/>
      <c r="G8172"/>
      <c r="H8172"/>
    </row>
    <row r="8173" spans="3:8" x14ac:dyDescent="0.3">
      <c r="C8173"/>
      <c r="D8173"/>
      <c r="E8173"/>
      <c r="F8173"/>
      <c r="G8173"/>
      <c r="H8173"/>
    </row>
    <row r="8174" spans="3:8" x14ac:dyDescent="0.3">
      <c r="C8174"/>
      <c r="D8174"/>
      <c r="E8174"/>
      <c r="F8174"/>
      <c r="G8174"/>
      <c r="H8174"/>
    </row>
    <row r="8175" spans="3:8" x14ac:dyDescent="0.3">
      <c r="C8175"/>
      <c r="D8175"/>
      <c r="E8175"/>
      <c r="F8175"/>
      <c r="G8175"/>
      <c r="H8175"/>
    </row>
    <row r="8176" spans="3:8" x14ac:dyDescent="0.3">
      <c r="C8176"/>
      <c r="D8176"/>
      <c r="E8176"/>
      <c r="F8176"/>
      <c r="G8176"/>
      <c r="H8176"/>
    </row>
    <row r="8177" spans="3:8" x14ac:dyDescent="0.3">
      <c r="C8177"/>
      <c r="D8177"/>
      <c r="E8177"/>
      <c r="F8177"/>
      <c r="G8177"/>
      <c r="H8177"/>
    </row>
    <row r="8178" spans="3:8" x14ac:dyDescent="0.3">
      <c r="C8178"/>
      <c r="D8178"/>
      <c r="E8178"/>
      <c r="F8178"/>
      <c r="G8178"/>
      <c r="H8178"/>
    </row>
    <row r="8179" spans="3:8" x14ac:dyDescent="0.3">
      <c r="C8179"/>
      <c r="D8179"/>
      <c r="E8179"/>
      <c r="F8179"/>
      <c r="G8179"/>
      <c r="H8179"/>
    </row>
    <row r="8180" spans="3:8" x14ac:dyDescent="0.3">
      <c r="C8180"/>
      <c r="D8180"/>
      <c r="E8180"/>
      <c r="F8180"/>
      <c r="G8180"/>
      <c r="H8180"/>
    </row>
    <row r="8181" spans="3:8" x14ac:dyDescent="0.3">
      <c r="C8181"/>
      <c r="D8181"/>
      <c r="E8181"/>
      <c r="F8181"/>
      <c r="G8181"/>
      <c r="H8181"/>
    </row>
    <row r="8182" spans="3:8" x14ac:dyDescent="0.3">
      <c r="C8182"/>
      <c r="D8182"/>
      <c r="E8182"/>
      <c r="F8182"/>
      <c r="G8182"/>
      <c r="H8182"/>
    </row>
    <row r="8183" spans="3:8" x14ac:dyDescent="0.3">
      <c r="C8183"/>
      <c r="D8183"/>
      <c r="E8183"/>
      <c r="F8183"/>
      <c r="G8183"/>
      <c r="H8183"/>
    </row>
    <row r="8184" spans="3:8" x14ac:dyDescent="0.3">
      <c r="C8184"/>
      <c r="D8184"/>
      <c r="E8184"/>
      <c r="F8184"/>
      <c r="G8184"/>
      <c r="H8184"/>
    </row>
    <row r="8185" spans="3:8" x14ac:dyDescent="0.3">
      <c r="C8185"/>
      <c r="D8185"/>
      <c r="E8185"/>
      <c r="F8185"/>
      <c r="G8185"/>
      <c r="H8185"/>
    </row>
    <row r="8186" spans="3:8" x14ac:dyDescent="0.3">
      <c r="C8186"/>
      <c r="D8186"/>
      <c r="E8186"/>
      <c r="F8186"/>
      <c r="G8186"/>
      <c r="H8186"/>
    </row>
    <row r="8187" spans="3:8" x14ac:dyDescent="0.3">
      <c r="C8187"/>
      <c r="D8187"/>
      <c r="E8187"/>
      <c r="F8187"/>
      <c r="G8187"/>
      <c r="H8187"/>
    </row>
    <row r="8188" spans="3:8" x14ac:dyDescent="0.3">
      <c r="C8188"/>
      <c r="D8188"/>
      <c r="E8188"/>
      <c r="F8188"/>
      <c r="G8188"/>
      <c r="H8188"/>
    </row>
    <row r="8189" spans="3:8" x14ac:dyDescent="0.3">
      <c r="C8189"/>
      <c r="D8189"/>
      <c r="E8189"/>
      <c r="F8189"/>
      <c r="G8189"/>
      <c r="H8189"/>
    </row>
    <row r="8190" spans="3:8" x14ac:dyDescent="0.3">
      <c r="C8190"/>
      <c r="D8190"/>
      <c r="E8190"/>
      <c r="F8190"/>
      <c r="G8190"/>
      <c r="H8190"/>
    </row>
    <row r="8191" spans="3:8" x14ac:dyDescent="0.3">
      <c r="C8191"/>
      <c r="D8191"/>
      <c r="E8191"/>
      <c r="F8191"/>
      <c r="G8191"/>
      <c r="H8191"/>
    </row>
    <row r="8192" spans="3:8" x14ac:dyDescent="0.3">
      <c r="C8192"/>
      <c r="D8192"/>
      <c r="E8192"/>
      <c r="F8192"/>
      <c r="G8192"/>
      <c r="H8192"/>
    </row>
    <row r="8193" spans="3:8" x14ac:dyDescent="0.3">
      <c r="C8193"/>
      <c r="D8193"/>
      <c r="E8193"/>
      <c r="F8193"/>
      <c r="G8193"/>
      <c r="H8193"/>
    </row>
    <row r="8194" spans="3:8" x14ac:dyDescent="0.3">
      <c r="C8194"/>
      <c r="D8194"/>
      <c r="E8194"/>
      <c r="F8194"/>
      <c r="G8194"/>
      <c r="H8194"/>
    </row>
    <row r="8195" spans="3:8" x14ac:dyDescent="0.3">
      <c r="C8195"/>
      <c r="D8195"/>
      <c r="E8195"/>
      <c r="F8195"/>
      <c r="G8195"/>
      <c r="H8195"/>
    </row>
    <row r="8196" spans="3:8" x14ac:dyDescent="0.3">
      <c r="C8196"/>
      <c r="D8196"/>
      <c r="E8196"/>
      <c r="F8196"/>
      <c r="G8196"/>
      <c r="H8196"/>
    </row>
    <row r="8197" spans="3:8" x14ac:dyDescent="0.3">
      <c r="C8197"/>
      <c r="D8197"/>
      <c r="E8197"/>
      <c r="F8197"/>
      <c r="G8197"/>
      <c r="H8197"/>
    </row>
    <row r="8198" spans="3:8" x14ac:dyDescent="0.3">
      <c r="C8198"/>
      <c r="D8198"/>
      <c r="E8198"/>
      <c r="F8198"/>
      <c r="G8198"/>
      <c r="H8198"/>
    </row>
    <row r="8199" spans="3:8" x14ac:dyDescent="0.3">
      <c r="C8199"/>
      <c r="D8199"/>
      <c r="E8199"/>
      <c r="F8199"/>
      <c r="G8199"/>
      <c r="H8199"/>
    </row>
    <row r="8200" spans="3:8" x14ac:dyDescent="0.3">
      <c r="C8200"/>
      <c r="D8200"/>
      <c r="E8200"/>
      <c r="F8200"/>
      <c r="G8200"/>
      <c r="H8200"/>
    </row>
    <row r="8201" spans="3:8" x14ac:dyDescent="0.3">
      <c r="C8201"/>
      <c r="D8201"/>
      <c r="E8201"/>
      <c r="F8201"/>
      <c r="G8201"/>
      <c r="H8201"/>
    </row>
    <row r="8202" spans="3:8" x14ac:dyDescent="0.3">
      <c r="C8202"/>
      <c r="D8202"/>
      <c r="E8202"/>
      <c r="F8202"/>
      <c r="G8202"/>
      <c r="H8202"/>
    </row>
    <row r="8203" spans="3:8" x14ac:dyDescent="0.3">
      <c r="C8203"/>
      <c r="D8203"/>
      <c r="E8203"/>
      <c r="F8203"/>
      <c r="G8203"/>
      <c r="H8203"/>
    </row>
    <row r="8204" spans="3:8" x14ac:dyDescent="0.3">
      <c r="C8204"/>
      <c r="D8204"/>
      <c r="E8204"/>
      <c r="F8204"/>
      <c r="G8204"/>
      <c r="H8204"/>
    </row>
    <row r="8205" spans="3:8" x14ac:dyDescent="0.3">
      <c r="C8205"/>
      <c r="D8205"/>
      <c r="E8205"/>
      <c r="F8205"/>
      <c r="G8205"/>
      <c r="H8205"/>
    </row>
    <row r="8206" spans="3:8" x14ac:dyDescent="0.3">
      <c r="C8206"/>
      <c r="D8206"/>
      <c r="E8206"/>
      <c r="F8206"/>
      <c r="G8206"/>
      <c r="H8206"/>
    </row>
    <row r="8207" spans="3:8" x14ac:dyDescent="0.3">
      <c r="C8207"/>
      <c r="D8207"/>
      <c r="E8207"/>
      <c r="F8207"/>
      <c r="G8207"/>
      <c r="H8207"/>
    </row>
    <row r="8208" spans="3:8" x14ac:dyDescent="0.3">
      <c r="C8208"/>
      <c r="D8208"/>
      <c r="E8208"/>
      <c r="F8208"/>
      <c r="G8208"/>
      <c r="H8208"/>
    </row>
    <row r="8209" spans="3:8" x14ac:dyDescent="0.3">
      <c r="C8209"/>
      <c r="D8209"/>
      <c r="E8209"/>
      <c r="F8209"/>
      <c r="G8209"/>
      <c r="H8209"/>
    </row>
    <row r="8210" spans="3:8" x14ac:dyDescent="0.3">
      <c r="C8210"/>
      <c r="D8210"/>
      <c r="E8210"/>
      <c r="F8210"/>
      <c r="G8210"/>
      <c r="H8210"/>
    </row>
    <row r="8211" spans="3:8" x14ac:dyDescent="0.3">
      <c r="C8211"/>
      <c r="D8211"/>
      <c r="E8211"/>
      <c r="F8211"/>
      <c r="G8211"/>
      <c r="H8211"/>
    </row>
    <row r="8212" spans="3:8" x14ac:dyDescent="0.3">
      <c r="C8212"/>
      <c r="D8212"/>
      <c r="E8212"/>
      <c r="F8212"/>
      <c r="G8212"/>
      <c r="H8212"/>
    </row>
    <row r="8213" spans="3:8" x14ac:dyDescent="0.3">
      <c r="C8213"/>
      <c r="D8213"/>
      <c r="E8213"/>
      <c r="F8213"/>
      <c r="G8213"/>
      <c r="H8213"/>
    </row>
    <row r="8214" spans="3:8" x14ac:dyDescent="0.3">
      <c r="C8214"/>
      <c r="D8214"/>
      <c r="E8214"/>
      <c r="F8214"/>
      <c r="G8214"/>
      <c r="H8214"/>
    </row>
    <row r="8215" spans="3:8" x14ac:dyDescent="0.3">
      <c r="C8215"/>
      <c r="D8215"/>
      <c r="E8215"/>
      <c r="F8215"/>
      <c r="G8215"/>
      <c r="H8215"/>
    </row>
    <row r="8216" spans="3:8" x14ac:dyDescent="0.3">
      <c r="C8216"/>
      <c r="D8216"/>
      <c r="E8216"/>
      <c r="F8216"/>
      <c r="G8216"/>
      <c r="H8216"/>
    </row>
    <row r="8217" spans="3:8" x14ac:dyDescent="0.3">
      <c r="C8217"/>
      <c r="D8217"/>
      <c r="E8217"/>
      <c r="F8217"/>
      <c r="G8217"/>
      <c r="H8217"/>
    </row>
    <row r="8218" spans="3:8" x14ac:dyDescent="0.3">
      <c r="C8218"/>
      <c r="D8218"/>
      <c r="E8218"/>
      <c r="F8218"/>
      <c r="G8218"/>
      <c r="H8218"/>
    </row>
    <row r="8219" spans="3:8" x14ac:dyDescent="0.3">
      <c r="C8219"/>
      <c r="D8219"/>
      <c r="E8219"/>
      <c r="F8219"/>
      <c r="G8219"/>
      <c r="H8219"/>
    </row>
    <row r="8220" spans="3:8" x14ac:dyDescent="0.3">
      <c r="C8220"/>
      <c r="D8220"/>
      <c r="E8220"/>
      <c r="F8220"/>
      <c r="G8220"/>
      <c r="H8220"/>
    </row>
    <row r="8221" spans="3:8" x14ac:dyDescent="0.3">
      <c r="C8221"/>
      <c r="D8221"/>
      <c r="E8221"/>
      <c r="F8221"/>
      <c r="G8221"/>
      <c r="H8221"/>
    </row>
    <row r="8222" spans="3:8" x14ac:dyDescent="0.3">
      <c r="C8222"/>
      <c r="D8222"/>
      <c r="E8222"/>
      <c r="F8222"/>
      <c r="G8222"/>
      <c r="H8222"/>
    </row>
    <row r="8223" spans="3:8" x14ac:dyDescent="0.3">
      <c r="C8223"/>
      <c r="D8223"/>
      <c r="E8223"/>
      <c r="F8223"/>
      <c r="G8223"/>
      <c r="H8223"/>
    </row>
    <row r="8224" spans="3:8" x14ac:dyDescent="0.3">
      <c r="C8224"/>
      <c r="D8224"/>
      <c r="E8224"/>
      <c r="F8224"/>
      <c r="G8224"/>
      <c r="H8224"/>
    </row>
    <row r="8225" spans="3:8" x14ac:dyDescent="0.3">
      <c r="C8225"/>
      <c r="D8225"/>
      <c r="E8225"/>
      <c r="F8225"/>
      <c r="G8225"/>
      <c r="H8225"/>
    </row>
    <row r="8226" spans="3:8" x14ac:dyDescent="0.3">
      <c r="C8226"/>
      <c r="D8226"/>
      <c r="E8226"/>
      <c r="F8226"/>
      <c r="G8226"/>
      <c r="H8226"/>
    </row>
    <row r="8227" spans="3:8" x14ac:dyDescent="0.3">
      <c r="C8227"/>
      <c r="D8227"/>
      <c r="E8227"/>
      <c r="F8227"/>
      <c r="G8227"/>
      <c r="H8227"/>
    </row>
    <row r="8228" spans="3:8" x14ac:dyDescent="0.3">
      <c r="C8228"/>
      <c r="D8228"/>
      <c r="E8228"/>
      <c r="F8228"/>
      <c r="G8228"/>
      <c r="H8228"/>
    </row>
    <row r="8229" spans="3:8" x14ac:dyDescent="0.3">
      <c r="C8229"/>
      <c r="D8229"/>
      <c r="E8229"/>
      <c r="F8229"/>
      <c r="G8229"/>
      <c r="H8229"/>
    </row>
    <row r="8230" spans="3:8" x14ac:dyDescent="0.3">
      <c r="C8230"/>
      <c r="D8230"/>
      <c r="E8230"/>
      <c r="F8230"/>
      <c r="G8230"/>
      <c r="H8230"/>
    </row>
    <row r="8231" spans="3:8" x14ac:dyDescent="0.3">
      <c r="C8231"/>
      <c r="D8231"/>
      <c r="E8231"/>
      <c r="F8231"/>
      <c r="G8231"/>
      <c r="H8231"/>
    </row>
    <row r="8232" spans="3:8" x14ac:dyDescent="0.3">
      <c r="C8232"/>
      <c r="D8232"/>
      <c r="E8232"/>
      <c r="F8232"/>
      <c r="G8232"/>
      <c r="H8232"/>
    </row>
    <row r="8233" spans="3:8" x14ac:dyDescent="0.3">
      <c r="C8233"/>
      <c r="D8233"/>
      <c r="E8233"/>
      <c r="F8233"/>
      <c r="G8233"/>
      <c r="H8233"/>
    </row>
    <row r="8234" spans="3:8" x14ac:dyDescent="0.3">
      <c r="C8234"/>
      <c r="D8234"/>
      <c r="E8234"/>
      <c r="F8234"/>
      <c r="G8234"/>
      <c r="H8234"/>
    </row>
    <row r="8235" spans="3:8" x14ac:dyDescent="0.3">
      <c r="C8235"/>
      <c r="D8235"/>
      <c r="E8235"/>
      <c r="F8235"/>
      <c r="G8235"/>
      <c r="H8235"/>
    </row>
    <row r="8236" spans="3:8" x14ac:dyDescent="0.3">
      <c r="C8236"/>
      <c r="D8236"/>
      <c r="E8236"/>
      <c r="F8236"/>
      <c r="G8236"/>
      <c r="H8236"/>
    </row>
    <row r="8237" spans="3:8" x14ac:dyDescent="0.3">
      <c r="C8237"/>
      <c r="D8237"/>
      <c r="E8237"/>
      <c r="F8237"/>
      <c r="G8237"/>
      <c r="H8237"/>
    </row>
    <row r="8238" spans="3:8" x14ac:dyDescent="0.3">
      <c r="C8238"/>
      <c r="D8238"/>
      <c r="E8238"/>
      <c r="F8238"/>
      <c r="G8238"/>
      <c r="H8238"/>
    </row>
    <row r="8239" spans="3:8" x14ac:dyDescent="0.3">
      <c r="C8239"/>
      <c r="D8239"/>
      <c r="E8239"/>
      <c r="F8239"/>
      <c r="G8239"/>
      <c r="H8239"/>
    </row>
    <row r="8240" spans="3:8" x14ac:dyDescent="0.3">
      <c r="C8240"/>
      <c r="D8240"/>
      <c r="E8240"/>
      <c r="F8240"/>
      <c r="G8240"/>
      <c r="H8240"/>
    </row>
    <row r="8241" spans="3:8" x14ac:dyDescent="0.3">
      <c r="C8241"/>
      <c r="D8241"/>
      <c r="E8241"/>
      <c r="F8241"/>
      <c r="G8241"/>
      <c r="H8241"/>
    </row>
    <row r="8242" spans="3:8" x14ac:dyDescent="0.3">
      <c r="C8242"/>
      <c r="D8242"/>
      <c r="E8242"/>
      <c r="F8242"/>
      <c r="G8242"/>
      <c r="H8242"/>
    </row>
    <row r="8243" spans="3:8" x14ac:dyDescent="0.3">
      <c r="C8243"/>
      <c r="D8243"/>
      <c r="E8243"/>
      <c r="F8243"/>
      <c r="G8243"/>
      <c r="H8243"/>
    </row>
    <row r="8244" spans="3:8" x14ac:dyDescent="0.3">
      <c r="C8244"/>
      <c r="D8244"/>
      <c r="E8244"/>
      <c r="F8244"/>
      <c r="G8244"/>
      <c r="H8244"/>
    </row>
    <row r="8245" spans="3:8" x14ac:dyDescent="0.3">
      <c r="C8245"/>
      <c r="D8245"/>
      <c r="E8245"/>
      <c r="F8245"/>
      <c r="G8245"/>
      <c r="H8245"/>
    </row>
    <row r="8246" spans="3:8" x14ac:dyDescent="0.3">
      <c r="C8246"/>
      <c r="D8246"/>
      <c r="E8246"/>
      <c r="F8246"/>
      <c r="G8246"/>
      <c r="H8246"/>
    </row>
    <row r="8247" spans="3:8" x14ac:dyDescent="0.3">
      <c r="C8247"/>
      <c r="D8247"/>
      <c r="E8247"/>
      <c r="F8247"/>
      <c r="G8247"/>
      <c r="H8247"/>
    </row>
    <row r="8248" spans="3:8" x14ac:dyDescent="0.3">
      <c r="C8248"/>
      <c r="D8248"/>
      <c r="E8248"/>
      <c r="F8248"/>
      <c r="G8248"/>
      <c r="H8248"/>
    </row>
    <row r="8249" spans="3:8" x14ac:dyDescent="0.3">
      <c r="C8249"/>
      <c r="D8249"/>
      <c r="E8249"/>
      <c r="F8249"/>
      <c r="G8249"/>
      <c r="H8249"/>
    </row>
    <row r="8250" spans="3:8" x14ac:dyDescent="0.3">
      <c r="C8250"/>
      <c r="D8250"/>
      <c r="E8250"/>
      <c r="F8250"/>
      <c r="G8250"/>
      <c r="H8250"/>
    </row>
    <row r="8251" spans="3:8" x14ac:dyDescent="0.3">
      <c r="C8251"/>
      <c r="D8251"/>
      <c r="E8251"/>
      <c r="F8251"/>
      <c r="G8251"/>
      <c r="H8251"/>
    </row>
    <row r="8252" spans="3:8" x14ac:dyDescent="0.3">
      <c r="C8252"/>
      <c r="D8252"/>
      <c r="E8252"/>
      <c r="F8252"/>
      <c r="G8252"/>
      <c r="H8252"/>
    </row>
    <row r="8253" spans="3:8" x14ac:dyDescent="0.3">
      <c r="C8253"/>
      <c r="D8253"/>
      <c r="E8253"/>
      <c r="F8253"/>
      <c r="G8253"/>
      <c r="H8253"/>
    </row>
    <row r="8254" spans="3:8" x14ac:dyDescent="0.3">
      <c r="C8254"/>
      <c r="D8254"/>
      <c r="E8254"/>
      <c r="F8254"/>
      <c r="G8254"/>
      <c r="H8254"/>
    </row>
    <row r="8255" spans="3:8" x14ac:dyDescent="0.3">
      <c r="C8255"/>
      <c r="D8255"/>
      <c r="E8255"/>
      <c r="F8255"/>
      <c r="G8255"/>
      <c r="H8255"/>
    </row>
    <row r="8256" spans="3:8" x14ac:dyDescent="0.3">
      <c r="C8256"/>
      <c r="D8256"/>
      <c r="E8256"/>
      <c r="F8256"/>
      <c r="G8256"/>
      <c r="H8256"/>
    </row>
    <row r="8257" spans="3:8" x14ac:dyDescent="0.3">
      <c r="C8257"/>
      <c r="D8257"/>
      <c r="E8257"/>
      <c r="F8257"/>
      <c r="G8257"/>
      <c r="H8257"/>
    </row>
    <row r="8258" spans="3:8" x14ac:dyDescent="0.3">
      <c r="C8258"/>
      <c r="D8258"/>
      <c r="E8258"/>
      <c r="F8258"/>
      <c r="G8258"/>
      <c r="H8258"/>
    </row>
    <row r="8259" spans="3:8" x14ac:dyDescent="0.3">
      <c r="C8259"/>
      <c r="D8259"/>
      <c r="E8259"/>
      <c r="F8259"/>
      <c r="G8259"/>
      <c r="H8259"/>
    </row>
    <row r="8260" spans="3:8" x14ac:dyDescent="0.3">
      <c r="C8260"/>
      <c r="D8260"/>
      <c r="E8260"/>
      <c r="F8260"/>
      <c r="G8260"/>
      <c r="H8260"/>
    </row>
    <row r="8261" spans="3:8" x14ac:dyDescent="0.3">
      <c r="C8261"/>
      <c r="D8261"/>
      <c r="E8261"/>
      <c r="F8261"/>
      <c r="G8261"/>
      <c r="H8261"/>
    </row>
    <row r="8262" spans="3:8" x14ac:dyDescent="0.3">
      <c r="C8262"/>
      <c r="D8262"/>
      <c r="E8262"/>
      <c r="F8262"/>
      <c r="G8262"/>
      <c r="H8262"/>
    </row>
    <row r="8263" spans="3:8" x14ac:dyDescent="0.3">
      <c r="C8263"/>
      <c r="D8263"/>
      <c r="E8263"/>
      <c r="F8263"/>
      <c r="G8263"/>
      <c r="H8263"/>
    </row>
    <row r="8264" spans="3:8" x14ac:dyDescent="0.3">
      <c r="C8264"/>
      <c r="D8264"/>
      <c r="E8264"/>
      <c r="F8264"/>
      <c r="G8264"/>
      <c r="H8264"/>
    </row>
    <row r="8265" spans="3:8" x14ac:dyDescent="0.3">
      <c r="C8265"/>
      <c r="D8265"/>
      <c r="E8265"/>
      <c r="F8265"/>
      <c r="G8265"/>
      <c r="H8265"/>
    </row>
    <row r="8266" spans="3:8" x14ac:dyDescent="0.3">
      <c r="C8266"/>
      <c r="D8266"/>
      <c r="E8266"/>
      <c r="F8266"/>
      <c r="G8266"/>
      <c r="H8266"/>
    </row>
    <row r="8267" spans="3:8" x14ac:dyDescent="0.3">
      <c r="C8267"/>
      <c r="D8267"/>
      <c r="E8267"/>
      <c r="F8267"/>
      <c r="G8267"/>
      <c r="H8267"/>
    </row>
    <row r="8268" spans="3:8" x14ac:dyDescent="0.3">
      <c r="C8268"/>
      <c r="D8268"/>
      <c r="E8268"/>
      <c r="F8268"/>
      <c r="G8268"/>
      <c r="H8268"/>
    </row>
    <row r="8269" spans="3:8" x14ac:dyDescent="0.3">
      <c r="C8269"/>
      <c r="D8269"/>
      <c r="E8269"/>
      <c r="F8269"/>
      <c r="G8269"/>
      <c r="H8269"/>
    </row>
    <row r="8270" spans="3:8" x14ac:dyDescent="0.3">
      <c r="C8270"/>
      <c r="D8270"/>
      <c r="E8270"/>
      <c r="F8270"/>
      <c r="G8270"/>
      <c r="H8270"/>
    </row>
    <row r="8271" spans="3:8" x14ac:dyDescent="0.3">
      <c r="C8271"/>
      <c r="D8271"/>
      <c r="E8271"/>
      <c r="F8271"/>
      <c r="G8271"/>
      <c r="H8271"/>
    </row>
    <row r="8272" spans="3:8" x14ac:dyDescent="0.3">
      <c r="C8272"/>
      <c r="D8272"/>
      <c r="E8272"/>
      <c r="F8272"/>
      <c r="G8272"/>
      <c r="H8272"/>
    </row>
    <row r="8273" spans="3:8" x14ac:dyDescent="0.3">
      <c r="C8273"/>
      <c r="D8273"/>
      <c r="E8273"/>
      <c r="F8273"/>
      <c r="G8273"/>
      <c r="H8273"/>
    </row>
    <row r="8274" spans="3:8" x14ac:dyDescent="0.3">
      <c r="C8274"/>
      <c r="D8274"/>
      <c r="E8274"/>
      <c r="F8274"/>
      <c r="G8274"/>
      <c r="H8274"/>
    </row>
    <row r="8275" spans="3:8" x14ac:dyDescent="0.3">
      <c r="C8275"/>
      <c r="D8275"/>
      <c r="E8275"/>
      <c r="F8275"/>
      <c r="G8275"/>
      <c r="H8275"/>
    </row>
    <row r="8276" spans="3:8" x14ac:dyDescent="0.3">
      <c r="C8276"/>
      <c r="D8276"/>
      <c r="E8276"/>
      <c r="F8276"/>
      <c r="G8276"/>
      <c r="H8276"/>
    </row>
    <row r="8277" spans="3:8" x14ac:dyDescent="0.3">
      <c r="C8277"/>
      <c r="D8277"/>
      <c r="E8277"/>
      <c r="F8277"/>
      <c r="G8277"/>
      <c r="H8277"/>
    </row>
    <row r="8278" spans="3:8" x14ac:dyDescent="0.3">
      <c r="C8278"/>
      <c r="D8278"/>
      <c r="E8278"/>
      <c r="F8278"/>
      <c r="G8278"/>
      <c r="H8278"/>
    </row>
    <row r="8279" spans="3:8" x14ac:dyDescent="0.3">
      <c r="C8279"/>
      <c r="D8279"/>
      <c r="E8279"/>
      <c r="F8279"/>
      <c r="G8279"/>
      <c r="H8279"/>
    </row>
    <row r="8280" spans="3:8" x14ac:dyDescent="0.3">
      <c r="C8280"/>
      <c r="D8280"/>
      <c r="E8280"/>
      <c r="F8280"/>
      <c r="G8280"/>
      <c r="H8280"/>
    </row>
    <row r="8281" spans="3:8" x14ac:dyDescent="0.3">
      <c r="C8281"/>
      <c r="D8281"/>
      <c r="E8281"/>
      <c r="F8281"/>
      <c r="G8281"/>
      <c r="H8281"/>
    </row>
    <row r="8282" spans="3:8" x14ac:dyDescent="0.3">
      <c r="C8282"/>
      <c r="D8282"/>
      <c r="E8282"/>
      <c r="F8282"/>
      <c r="G8282"/>
      <c r="H8282"/>
    </row>
    <row r="8283" spans="3:8" x14ac:dyDescent="0.3">
      <c r="C8283"/>
      <c r="D8283"/>
      <c r="E8283"/>
      <c r="F8283"/>
      <c r="G8283"/>
      <c r="H8283"/>
    </row>
    <row r="8284" spans="3:8" x14ac:dyDescent="0.3">
      <c r="C8284"/>
      <c r="D8284"/>
      <c r="E8284"/>
      <c r="F8284"/>
      <c r="G8284"/>
      <c r="H8284"/>
    </row>
    <row r="8285" spans="3:8" x14ac:dyDescent="0.3">
      <c r="C8285"/>
      <c r="D8285"/>
      <c r="E8285"/>
      <c r="F8285"/>
      <c r="G8285"/>
      <c r="H8285"/>
    </row>
    <row r="8286" spans="3:8" x14ac:dyDescent="0.3">
      <c r="C8286"/>
      <c r="D8286"/>
      <c r="E8286"/>
      <c r="F8286"/>
      <c r="G8286"/>
      <c r="H8286"/>
    </row>
    <row r="8287" spans="3:8" x14ac:dyDescent="0.3">
      <c r="C8287"/>
      <c r="D8287"/>
      <c r="E8287"/>
      <c r="F8287"/>
      <c r="G8287"/>
      <c r="H8287"/>
    </row>
    <row r="8288" spans="3:8" x14ac:dyDescent="0.3">
      <c r="C8288"/>
      <c r="D8288"/>
      <c r="E8288"/>
      <c r="F8288"/>
      <c r="G8288"/>
      <c r="H8288"/>
    </row>
    <row r="8289" spans="3:8" x14ac:dyDescent="0.3">
      <c r="C8289"/>
      <c r="D8289"/>
      <c r="E8289"/>
      <c r="F8289"/>
      <c r="G8289"/>
      <c r="H8289"/>
    </row>
    <row r="8290" spans="3:8" x14ac:dyDescent="0.3">
      <c r="C8290"/>
      <c r="D8290"/>
      <c r="E8290"/>
      <c r="F8290"/>
      <c r="G8290"/>
      <c r="H8290"/>
    </row>
    <row r="8291" spans="3:8" x14ac:dyDescent="0.3">
      <c r="C8291"/>
      <c r="D8291"/>
      <c r="E8291"/>
      <c r="F8291"/>
      <c r="G8291"/>
      <c r="H8291"/>
    </row>
    <row r="8292" spans="3:8" x14ac:dyDescent="0.3">
      <c r="C8292"/>
      <c r="D8292"/>
      <c r="E8292"/>
      <c r="F8292"/>
      <c r="G8292"/>
      <c r="H8292"/>
    </row>
    <row r="8293" spans="3:8" x14ac:dyDescent="0.3">
      <c r="C8293"/>
      <c r="D8293"/>
      <c r="E8293"/>
      <c r="F8293"/>
      <c r="G8293"/>
      <c r="H8293"/>
    </row>
    <row r="8294" spans="3:8" x14ac:dyDescent="0.3">
      <c r="C8294"/>
      <c r="D8294"/>
      <c r="E8294"/>
      <c r="F8294"/>
      <c r="G8294"/>
      <c r="H8294"/>
    </row>
    <row r="8295" spans="3:8" x14ac:dyDescent="0.3">
      <c r="C8295"/>
      <c r="D8295"/>
      <c r="E8295"/>
      <c r="F8295"/>
      <c r="G8295"/>
      <c r="H8295"/>
    </row>
    <row r="8296" spans="3:8" x14ac:dyDescent="0.3">
      <c r="C8296"/>
      <c r="D8296"/>
      <c r="E8296"/>
      <c r="F8296"/>
      <c r="G8296"/>
      <c r="H8296"/>
    </row>
    <row r="8297" spans="3:8" x14ac:dyDescent="0.3">
      <c r="C8297"/>
      <c r="D8297"/>
      <c r="E8297"/>
      <c r="F8297"/>
      <c r="G8297"/>
      <c r="H8297"/>
    </row>
    <row r="8298" spans="3:8" x14ac:dyDescent="0.3">
      <c r="C8298"/>
      <c r="D8298"/>
      <c r="E8298"/>
      <c r="F8298"/>
      <c r="G8298"/>
      <c r="H8298"/>
    </row>
    <row r="8299" spans="3:8" x14ac:dyDescent="0.3">
      <c r="C8299"/>
      <c r="D8299"/>
      <c r="E8299"/>
      <c r="F8299"/>
      <c r="G8299"/>
      <c r="H8299"/>
    </row>
    <row r="8300" spans="3:8" x14ac:dyDescent="0.3">
      <c r="C8300"/>
      <c r="D8300"/>
      <c r="E8300"/>
      <c r="F8300"/>
      <c r="G8300"/>
      <c r="H8300"/>
    </row>
    <row r="8301" spans="3:8" x14ac:dyDescent="0.3">
      <c r="C8301"/>
      <c r="D8301"/>
      <c r="E8301"/>
      <c r="F8301"/>
      <c r="G8301"/>
      <c r="H8301"/>
    </row>
    <row r="8302" spans="3:8" x14ac:dyDescent="0.3">
      <c r="C8302"/>
      <c r="D8302"/>
      <c r="E8302"/>
      <c r="F8302"/>
      <c r="G8302"/>
      <c r="H8302"/>
    </row>
    <row r="8303" spans="3:8" x14ac:dyDescent="0.3">
      <c r="C8303"/>
      <c r="D8303"/>
      <c r="E8303"/>
      <c r="F8303"/>
      <c r="G8303"/>
      <c r="H8303"/>
    </row>
    <row r="8304" spans="3:8" x14ac:dyDescent="0.3">
      <c r="C8304"/>
      <c r="D8304"/>
      <c r="E8304"/>
      <c r="F8304"/>
      <c r="G8304"/>
      <c r="H8304"/>
    </row>
    <row r="8305" spans="3:8" x14ac:dyDescent="0.3">
      <c r="C8305"/>
      <c r="D8305"/>
      <c r="E8305"/>
      <c r="F8305"/>
      <c r="G8305"/>
      <c r="H8305"/>
    </row>
    <row r="8306" spans="3:8" x14ac:dyDescent="0.3">
      <c r="C8306"/>
      <c r="D8306"/>
      <c r="E8306"/>
      <c r="F8306"/>
      <c r="G8306"/>
      <c r="H8306"/>
    </row>
    <row r="8307" spans="3:8" x14ac:dyDescent="0.3">
      <c r="C8307"/>
      <c r="D8307"/>
      <c r="E8307"/>
      <c r="F8307"/>
      <c r="G8307"/>
      <c r="H8307"/>
    </row>
    <row r="8308" spans="3:8" x14ac:dyDescent="0.3">
      <c r="C8308"/>
      <c r="D8308"/>
      <c r="E8308"/>
      <c r="F8308"/>
      <c r="G8308"/>
      <c r="H8308"/>
    </row>
    <row r="8309" spans="3:8" x14ac:dyDescent="0.3">
      <c r="C8309"/>
      <c r="D8309"/>
      <c r="E8309"/>
      <c r="F8309"/>
      <c r="G8309"/>
      <c r="H8309"/>
    </row>
    <row r="8310" spans="3:8" x14ac:dyDescent="0.3">
      <c r="C8310"/>
      <c r="D8310"/>
      <c r="E8310"/>
      <c r="F8310"/>
      <c r="G8310"/>
      <c r="H8310"/>
    </row>
    <row r="8311" spans="3:8" x14ac:dyDescent="0.3">
      <c r="C8311"/>
      <c r="D8311"/>
      <c r="E8311"/>
      <c r="F8311"/>
      <c r="G8311"/>
      <c r="H8311"/>
    </row>
    <row r="8312" spans="3:8" x14ac:dyDescent="0.3">
      <c r="C8312"/>
      <c r="D8312"/>
      <c r="E8312"/>
      <c r="F8312"/>
      <c r="G8312"/>
      <c r="H8312"/>
    </row>
    <row r="8313" spans="3:8" x14ac:dyDescent="0.3">
      <c r="C8313"/>
      <c r="D8313"/>
      <c r="E8313"/>
      <c r="F8313"/>
      <c r="G8313"/>
      <c r="H8313"/>
    </row>
    <row r="8314" spans="3:8" x14ac:dyDescent="0.3">
      <c r="C8314"/>
      <c r="D8314"/>
      <c r="E8314"/>
      <c r="F8314"/>
      <c r="G8314"/>
      <c r="H8314"/>
    </row>
    <row r="8315" spans="3:8" x14ac:dyDescent="0.3">
      <c r="C8315"/>
      <c r="D8315"/>
      <c r="E8315"/>
      <c r="F8315"/>
      <c r="G8315"/>
      <c r="H8315"/>
    </row>
    <row r="8316" spans="3:8" x14ac:dyDescent="0.3">
      <c r="C8316"/>
      <c r="D8316"/>
      <c r="E8316"/>
      <c r="F8316"/>
      <c r="G8316"/>
      <c r="H8316"/>
    </row>
    <row r="8317" spans="3:8" x14ac:dyDescent="0.3">
      <c r="C8317"/>
      <c r="D8317"/>
      <c r="E8317"/>
      <c r="F8317"/>
      <c r="G8317"/>
      <c r="H8317"/>
    </row>
    <row r="8318" spans="3:8" x14ac:dyDescent="0.3">
      <c r="C8318"/>
      <c r="D8318"/>
      <c r="E8318"/>
      <c r="F8318"/>
      <c r="G8318"/>
      <c r="H8318"/>
    </row>
    <row r="8319" spans="3:8" x14ac:dyDescent="0.3">
      <c r="C8319"/>
      <c r="D8319"/>
      <c r="E8319"/>
      <c r="F8319"/>
      <c r="G8319"/>
      <c r="H8319"/>
    </row>
    <row r="8320" spans="3:8" x14ac:dyDescent="0.3">
      <c r="C8320"/>
      <c r="D8320"/>
      <c r="E8320"/>
      <c r="F8320"/>
      <c r="G8320"/>
      <c r="H8320"/>
    </row>
    <row r="8321" spans="3:8" x14ac:dyDescent="0.3">
      <c r="C8321"/>
      <c r="D8321"/>
      <c r="E8321"/>
      <c r="F8321"/>
      <c r="G8321"/>
      <c r="H8321"/>
    </row>
    <row r="8322" spans="3:8" x14ac:dyDescent="0.3">
      <c r="C8322"/>
      <c r="D8322"/>
      <c r="E8322"/>
      <c r="F8322"/>
      <c r="G8322"/>
      <c r="H8322"/>
    </row>
    <row r="8323" spans="3:8" x14ac:dyDescent="0.3">
      <c r="C8323"/>
      <c r="D8323"/>
      <c r="E8323"/>
      <c r="F8323"/>
      <c r="G8323"/>
      <c r="H8323"/>
    </row>
    <row r="8324" spans="3:8" x14ac:dyDescent="0.3">
      <c r="C8324"/>
      <c r="D8324"/>
      <c r="E8324"/>
      <c r="F8324"/>
      <c r="G8324"/>
      <c r="H8324"/>
    </row>
    <row r="8325" spans="3:8" x14ac:dyDescent="0.3">
      <c r="C8325"/>
      <c r="D8325"/>
      <c r="E8325"/>
      <c r="F8325"/>
      <c r="G8325"/>
      <c r="H8325"/>
    </row>
    <row r="8326" spans="3:8" x14ac:dyDescent="0.3">
      <c r="C8326"/>
      <c r="D8326"/>
      <c r="E8326"/>
      <c r="F8326"/>
      <c r="G8326"/>
      <c r="H8326"/>
    </row>
    <row r="8327" spans="3:8" x14ac:dyDescent="0.3">
      <c r="C8327"/>
      <c r="D8327"/>
      <c r="E8327"/>
      <c r="F8327"/>
      <c r="G8327"/>
      <c r="H8327"/>
    </row>
    <row r="8328" spans="3:8" x14ac:dyDescent="0.3">
      <c r="C8328"/>
      <c r="D8328"/>
      <c r="E8328"/>
      <c r="F8328"/>
      <c r="G8328"/>
      <c r="H8328"/>
    </row>
    <row r="8329" spans="3:8" x14ac:dyDescent="0.3">
      <c r="C8329"/>
      <c r="D8329"/>
      <c r="E8329"/>
      <c r="F8329"/>
      <c r="G8329"/>
      <c r="H8329"/>
    </row>
    <row r="8330" spans="3:8" x14ac:dyDescent="0.3">
      <c r="C8330"/>
      <c r="D8330"/>
      <c r="E8330"/>
      <c r="F8330"/>
      <c r="G8330"/>
      <c r="H8330"/>
    </row>
    <row r="8331" spans="3:8" x14ac:dyDescent="0.3">
      <c r="C8331"/>
      <c r="D8331"/>
      <c r="E8331"/>
      <c r="F8331"/>
      <c r="G8331"/>
      <c r="H8331"/>
    </row>
    <row r="8332" spans="3:8" x14ac:dyDescent="0.3">
      <c r="C8332"/>
      <c r="D8332"/>
      <c r="E8332"/>
      <c r="F8332"/>
      <c r="G8332"/>
      <c r="H8332"/>
    </row>
    <row r="8333" spans="3:8" x14ac:dyDescent="0.3">
      <c r="C8333"/>
      <c r="D8333"/>
      <c r="E8333"/>
      <c r="F8333"/>
      <c r="G8333"/>
      <c r="H8333"/>
    </row>
    <row r="8334" spans="3:8" x14ac:dyDescent="0.3">
      <c r="C8334"/>
      <c r="D8334"/>
      <c r="E8334"/>
      <c r="F8334"/>
      <c r="G8334"/>
      <c r="H8334"/>
    </row>
    <row r="8335" spans="3:8" x14ac:dyDescent="0.3">
      <c r="C8335"/>
      <c r="D8335"/>
      <c r="E8335"/>
      <c r="F8335"/>
      <c r="G8335"/>
      <c r="H8335"/>
    </row>
    <row r="8336" spans="3:8" x14ac:dyDescent="0.3">
      <c r="C8336"/>
      <c r="D8336"/>
      <c r="E8336"/>
      <c r="F8336"/>
      <c r="G8336"/>
      <c r="H8336"/>
    </row>
    <row r="8337" spans="3:8" x14ac:dyDescent="0.3">
      <c r="C8337"/>
      <c r="D8337"/>
      <c r="E8337"/>
      <c r="F8337"/>
      <c r="G8337"/>
      <c r="H8337"/>
    </row>
    <row r="8338" spans="3:8" x14ac:dyDescent="0.3">
      <c r="C8338"/>
      <c r="D8338"/>
      <c r="E8338"/>
      <c r="F8338"/>
      <c r="G8338"/>
      <c r="H8338"/>
    </row>
    <row r="8339" spans="3:8" x14ac:dyDescent="0.3">
      <c r="C8339"/>
      <c r="D8339"/>
      <c r="E8339"/>
      <c r="F8339"/>
      <c r="G8339"/>
      <c r="H8339"/>
    </row>
    <row r="8340" spans="3:8" x14ac:dyDescent="0.3">
      <c r="C8340"/>
      <c r="D8340"/>
      <c r="E8340"/>
      <c r="F8340"/>
      <c r="G8340"/>
      <c r="H8340"/>
    </row>
    <row r="8341" spans="3:8" x14ac:dyDescent="0.3">
      <c r="C8341"/>
      <c r="D8341"/>
      <c r="E8341"/>
      <c r="F8341"/>
      <c r="G8341"/>
      <c r="H8341"/>
    </row>
    <row r="8342" spans="3:8" x14ac:dyDescent="0.3">
      <c r="C8342"/>
      <c r="D8342"/>
      <c r="E8342"/>
      <c r="F8342"/>
      <c r="G8342"/>
      <c r="H8342"/>
    </row>
    <row r="8343" spans="3:8" x14ac:dyDescent="0.3">
      <c r="C8343"/>
      <c r="D8343"/>
      <c r="E8343"/>
      <c r="F8343"/>
      <c r="G8343"/>
      <c r="H8343"/>
    </row>
    <row r="8344" spans="3:8" x14ac:dyDescent="0.3">
      <c r="C8344"/>
      <c r="D8344"/>
      <c r="E8344"/>
      <c r="F8344"/>
      <c r="G8344"/>
      <c r="H8344"/>
    </row>
    <row r="8345" spans="3:8" x14ac:dyDescent="0.3">
      <c r="C8345"/>
      <c r="D8345"/>
      <c r="E8345"/>
      <c r="F8345"/>
      <c r="G8345"/>
      <c r="H8345"/>
    </row>
    <row r="8346" spans="3:8" x14ac:dyDescent="0.3">
      <c r="C8346"/>
      <c r="D8346"/>
      <c r="E8346"/>
      <c r="F8346"/>
      <c r="G8346"/>
      <c r="H8346"/>
    </row>
    <row r="8347" spans="3:8" x14ac:dyDescent="0.3">
      <c r="C8347"/>
      <c r="D8347"/>
      <c r="E8347"/>
      <c r="F8347"/>
      <c r="G8347"/>
      <c r="H8347"/>
    </row>
    <row r="8348" spans="3:8" x14ac:dyDescent="0.3">
      <c r="C8348"/>
      <c r="D8348"/>
      <c r="E8348"/>
      <c r="F8348"/>
      <c r="G8348"/>
      <c r="H8348"/>
    </row>
    <row r="8349" spans="3:8" x14ac:dyDescent="0.3">
      <c r="C8349"/>
      <c r="D8349"/>
      <c r="E8349"/>
      <c r="F8349"/>
      <c r="G8349"/>
      <c r="H8349"/>
    </row>
    <row r="8350" spans="3:8" x14ac:dyDescent="0.3">
      <c r="C8350"/>
      <c r="D8350"/>
      <c r="E8350"/>
      <c r="F8350"/>
      <c r="G8350"/>
      <c r="H8350"/>
    </row>
    <row r="8351" spans="3:8" x14ac:dyDescent="0.3">
      <c r="C8351"/>
      <c r="D8351"/>
      <c r="E8351"/>
      <c r="F8351"/>
      <c r="G8351"/>
      <c r="H8351"/>
    </row>
    <row r="8352" spans="3:8" x14ac:dyDescent="0.3">
      <c r="C8352"/>
      <c r="D8352"/>
      <c r="E8352"/>
      <c r="F8352"/>
      <c r="G8352"/>
      <c r="H8352"/>
    </row>
    <row r="8353" spans="3:8" x14ac:dyDescent="0.3">
      <c r="C8353"/>
      <c r="D8353"/>
      <c r="E8353"/>
      <c r="F8353"/>
      <c r="G8353"/>
      <c r="H8353"/>
    </row>
    <row r="8354" spans="3:8" x14ac:dyDescent="0.3">
      <c r="C8354"/>
      <c r="D8354"/>
      <c r="E8354"/>
      <c r="F8354"/>
      <c r="G8354"/>
      <c r="H8354"/>
    </row>
    <row r="8355" spans="3:8" x14ac:dyDescent="0.3">
      <c r="C8355"/>
      <c r="D8355"/>
      <c r="E8355"/>
      <c r="F8355"/>
      <c r="G8355"/>
      <c r="H8355"/>
    </row>
    <row r="8356" spans="3:8" x14ac:dyDescent="0.3">
      <c r="C8356"/>
      <c r="D8356"/>
      <c r="E8356"/>
      <c r="F8356"/>
      <c r="G8356"/>
      <c r="H8356"/>
    </row>
    <row r="8357" spans="3:8" x14ac:dyDescent="0.3">
      <c r="C8357"/>
      <c r="D8357"/>
      <c r="E8357"/>
      <c r="F8357"/>
      <c r="G8357"/>
      <c r="H8357"/>
    </row>
    <row r="8358" spans="3:8" x14ac:dyDescent="0.3">
      <c r="C8358"/>
      <c r="D8358"/>
      <c r="E8358"/>
      <c r="F8358"/>
      <c r="G8358"/>
      <c r="H8358"/>
    </row>
    <row r="8359" spans="3:8" x14ac:dyDescent="0.3">
      <c r="C8359"/>
      <c r="D8359"/>
      <c r="E8359"/>
      <c r="F8359"/>
      <c r="G8359"/>
      <c r="H8359"/>
    </row>
    <row r="8360" spans="3:8" x14ac:dyDescent="0.3">
      <c r="C8360"/>
      <c r="D8360"/>
      <c r="E8360"/>
      <c r="F8360"/>
      <c r="G8360"/>
      <c r="H8360"/>
    </row>
    <row r="8361" spans="3:8" x14ac:dyDescent="0.3">
      <c r="C8361"/>
      <c r="D8361"/>
      <c r="E8361"/>
      <c r="F8361"/>
      <c r="G8361"/>
      <c r="H8361"/>
    </row>
    <row r="8362" spans="3:8" x14ac:dyDescent="0.3">
      <c r="C8362"/>
      <c r="D8362"/>
      <c r="E8362"/>
      <c r="F8362"/>
      <c r="G8362"/>
      <c r="H8362"/>
    </row>
    <row r="8363" spans="3:8" x14ac:dyDescent="0.3">
      <c r="C8363"/>
      <c r="D8363"/>
      <c r="E8363"/>
      <c r="F8363"/>
      <c r="G8363"/>
      <c r="H8363"/>
    </row>
    <row r="8364" spans="3:8" x14ac:dyDescent="0.3">
      <c r="C8364"/>
      <c r="D8364"/>
      <c r="E8364"/>
      <c r="F8364"/>
      <c r="G8364"/>
      <c r="H8364"/>
    </row>
    <row r="8365" spans="3:8" x14ac:dyDescent="0.3">
      <c r="C8365"/>
      <c r="D8365"/>
      <c r="E8365"/>
      <c r="F8365"/>
      <c r="G8365"/>
      <c r="H8365"/>
    </row>
    <row r="8366" spans="3:8" x14ac:dyDescent="0.3">
      <c r="C8366"/>
      <c r="D8366"/>
      <c r="E8366"/>
      <c r="F8366"/>
      <c r="G8366"/>
      <c r="H8366"/>
    </row>
    <row r="8367" spans="3:8" x14ac:dyDescent="0.3">
      <c r="C8367"/>
      <c r="D8367"/>
      <c r="E8367"/>
      <c r="F8367"/>
      <c r="G8367"/>
      <c r="H8367"/>
    </row>
    <row r="8368" spans="3:8" x14ac:dyDescent="0.3">
      <c r="C8368"/>
      <c r="D8368"/>
      <c r="E8368"/>
      <c r="F8368"/>
      <c r="G8368"/>
      <c r="H8368"/>
    </row>
    <row r="8369" spans="3:8" x14ac:dyDescent="0.3">
      <c r="C8369"/>
      <c r="D8369"/>
      <c r="E8369"/>
      <c r="F8369"/>
      <c r="G8369"/>
      <c r="H8369"/>
    </row>
    <row r="8370" spans="3:8" x14ac:dyDescent="0.3">
      <c r="C8370"/>
      <c r="D8370"/>
      <c r="E8370"/>
      <c r="F8370"/>
      <c r="G8370"/>
      <c r="H8370"/>
    </row>
    <row r="8371" spans="3:8" x14ac:dyDescent="0.3">
      <c r="C8371"/>
      <c r="D8371"/>
      <c r="E8371"/>
      <c r="F8371"/>
      <c r="G8371"/>
      <c r="H8371"/>
    </row>
    <row r="8372" spans="3:8" x14ac:dyDescent="0.3">
      <c r="C8372"/>
      <c r="D8372"/>
      <c r="E8372"/>
      <c r="F8372"/>
      <c r="G8372"/>
      <c r="H8372"/>
    </row>
    <row r="8373" spans="3:8" x14ac:dyDescent="0.3">
      <c r="C8373"/>
      <c r="D8373"/>
      <c r="E8373"/>
      <c r="F8373"/>
      <c r="G8373"/>
      <c r="H8373"/>
    </row>
    <row r="8374" spans="3:8" x14ac:dyDescent="0.3">
      <c r="C8374"/>
      <c r="D8374"/>
      <c r="E8374"/>
      <c r="F8374"/>
      <c r="G8374"/>
      <c r="H8374"/>
    </row>
    <row r="8375" spans="3:8" x14ac:dyDescent="0.3">
      <c r="C8375"/>
      <c r="D8375"/>
      <c r="E8375"/>
      <c r="F8375"/>
      <c r="G8375"/>
      <c r="H8375"/>
    </row>
    <row r="8376" spans="3:8" x14ac:dyDescent="0.3">
      <c r="C8376"/>
      <c r="D8376"/>
      <c r="E8376"/>
      <c r="F8376"/>
      <c r="G8376"/>
      <c r="H8376"/>
    </row>
    <row r="8377" spans="3:8" x14ac:dyDescent="0.3">
      <c r="C8377"/>
      <c r="D8377"/>
      <c r="E8377"/>
      <c r="F8377"/>
      <c r="G8377"/>
      <c r="H8377"/>
    </row>
    <row r="8378" spans="3:8" x14ac:dyDescent="0.3">
      <c r="C8378"/>
      <c r="D8378"/>
      <c r="E8378"/>
      <c r="F8378"/>
      <c r="G8378"/>
      <c r="H8378"/>
    </row>
    <row r="8379" spans="3:8" x14ac:dyDescent="0.3">
      <c r="C8379"/>
      <c r="D8379"/>
      <c r="E8379"/>
      <c r="F8379"/>
      <c r="G8379"/>
      <c r="H8379"/>
    </row>
    <row r="8380" spans="3:8" x14ac:dyDescent="0.3">
      <c r="C8380"/>
      <c r="D8380"/>
      <c r="E8380"/>
      <c r="F8380"/>
      <c r="G8380"/>
      <c r="H8380"/>
    </row>
    <row r="8381" spans="3:8" x14ac:dyDescent="0.3">
      <c r="C8381"/>
      <c r="D8381"/>
      <c r="E8381"/>
      <c r="F8381"/>
      <c r="G8381"/>
      <c r="H8381"/>
    </row>
    <row r="8382" spans="3:8" x14ac:dyDescent="0.3">
      <c r="C8382"/>
      <c r="D8382"/>
      <c r="E8382"/>
      <c r="F8382"/>
      <c r="G8382"/>
      <c r="H8382"/>
    </row>
    <row r="8383" spans="3:8" x14ac:dyDescent="0.3">
      <c r="C8383"/>
      <c r="D8383"/>
      <c r="E8383"/>
      <c r="F8383"/>
      <c r="G8383"/>
      <c r="H8383"/>
    </row>
    <row r="8384" spans="3:8" x14ac:dyDescent="0.3">
      <c r="C8384"/>
      <c r="D8384"/>
      <c r="E8384"/>
      <c r="F8384"/>
      <c r="G8384"/>
      <c r="H8384"/>
    </row>
    <row r="8385" spans="3:8" x14ac:dyDescent="0.3">
      <c r="C8385"/>
      <c r="D8385"/>
      <c r="E8385"/>
      <c r="F8385"/>
      <c r="G8385"/>
      <c r="H8385"/>
    </row>
    <row r="8386" spans="3:8" x14ac:dyDescent="0.3">
      <c r="C8386"/>
      <c r="D8386"/>
      <c r="E8386"/>
      <c r="F8386"/>
      <c r="G8386"/>
      <c r="H8386"/>
    </row>
    <row r="8387" spans="3:8" x14ac:dyDescent="0.3">
      <c r="C8387"/>
      <c r="D8387"/>
      <c r="E8387"/>
      <c r="F8387"/>
      <c r="G8387"/>
      <c r="H8387"/>
    </row>
    <row r="8388" spans="3:8" x14ac:dyDescent="0.3">
      <c r="C8388"/>
      <c r="D8388"/>
      <c r="E8388"/>
      <c r="F8388"/>
      <c r="G8388"/>
      <c r="H8388"/>
    </row>
    <row r="8389" spans="3:8" x14ac:dyDescent="0.3">
      <c r="C8389"/>
      <c r="D8389"/>
      <c r="E8389"/>
      <c r="F8389"/>
      <c r="G8389"/>
      <c r="H8389"/>
    </row>
    <row r="8390" spans="3:8" x14ac:dyDescent="0.3">
      <c r="C8390"/>
      <c r="D8390"/>
      <c r="E8390"/>
      <c r="F8390"/>
      <c r="G8390"/>
      <c r="H8390"/>
    </row>
    <row r="8391" spans="3:8" x14ac:dyDescent="0.3">
      <c r="C8391"/>
      <c r="D8391"/>
      <c r="E8391"/>
      <c r="F8391"/>
      <c r="G8391"/>
      <c r="H8391"/>
    </row>
    <row r="8392" spans="3:8" x14ac:dyDescent="0.3">
      <c r="C8392"/>
      <c r="D8392"/>
      <c r="E8392"/>
      <c r="F8392"/>
      <c r="G8392"/>
      <c r="H8392"/>
    </row>
    <row r="8393" spans="3:8" x14ac:dyDescent="0.3">
      <c r="C8393"/>
      <c r="D8393"/>
      <c r="E8393"/>
      <c r="F8393"/>
      <c r="G8393"/>
      <c r="H8393"/>
    </row>
    <row r="8394" spans="3:8" x14ac:dyDescent="0.3">
      <c r="C8394"/>
      <c r="D8394"/>
      <c r="E8394"/>
      <c r="F8394"/>
      <c r="G8394"/>
      <c r="H8394"/>
    </row>
    <row r="8395" spans="3:8" x14ac:dyDescent="0.3">
      <c r="C8395"/>
      <c r="D8395"/>
      <c r="E8395"/>
      <c r="F8395"/>
      <c r="G8395"/>
      <c r="H8395"/>
    </row>
    <row r="8396" spans="3:8" x14ac:dyDescent="0.3">
      <c r="C8396"/>
      <c r="D8396"/>
      <c r="E8396"/>
      <c r="F8396"/>
      <c r="G8396"/>
      <c r="H8396"/>
    </row>
    <row r="8397" spans="3:8" x14ac:dyDescent="0.3">
      <c r="C8397"/>
      <c r="D8397"/>
      <c r="E8397"/>
      <c r="F8397"/>
      <c r="G8397"/>
      <c r="H8397"/>
    </row>
    <row r="8398" spans="3:8" x14ac:dyDescent="0.3">
      <c r="C8398"/>
      <c r="D8398"/>
      <c r="E8398"/>
      <c r="F8398"/>
      <c r="G8398"/>
      <c r="H8398"/>
    </row>
    <row r="8399" spans="3:8" x14ac:dyDescent="0.3">
      <c r="C8399"/>
      <c r="D8399"/>
      <c r="E8399"/>
      <c r="F8399"/>
      <c r="G8399"/>
      <c r="H8399"/>
    </row>
    <row r="8400" spans="3:8" x14ac:dyDescent="0.3">
      <c r="C8400"/>
      <c r="D8400"/>
      <c r="E8400"/>
      <c r="F8400"/>
      <c r="G8400"/>
      <c r="H8400"/>
    </row>
    <row r="8401" spans="3:8" x14ac:dyDescent="0.3">
      <c r="C8401"/>
      <c r="D8401"/>
      <c r="E8401"/>
      <c r="F8401"/>
      <c r="G8401"/>
      <c r="H8401"/>
    </row>
    <row r="8402" spans="3:8" x14ac:dyDescent="0.3">
      <c r="C8402"/>
      <c r="D8402"/>
      <c r="E8402"/>
      <c r="F8402"/>
      <c r="G8402"/>
      <c r="H8402"/>
    </row>
    <row r="8403" spans="3:8" x14ac:dyDescent="0.3">
      <c r="C8403"/>
      <c r="D8403"/>
      <c r="E8403"/>
      <c r="F8403"/>
      <c r="G8403"/>
      <c r="H8403"/>
    </row>
    <row r="8404" spans="3:8" x14ac:dyDescent="0.3">
      <c r="C8404"/>
      <c r="D8404"/>
      <c r="E8404"/>
      <c r="F8404"/>
      <c r="G8404"/>
      <c r="H8404"/>
    </row>
    <row r="8405" spans="3:8" x14ac:dyDescent="0.3">
      <c r="C8405"/>
      <c r="D8405"/>
      <c r="E8405"/>
      <c r="F8405"/>
      <c r="G8405"/>
      <c r="H8405"/>
    </row>
    <row r="8406" spans="3:8" x14ac:dyDescent="0.3">
      <c r="C8406"/>
      <c r="D8406"/>
      <c r="E8406"/>
      <c r="F8406"/>
      <c r="G8406"/>
      <c r="H8406"/>
    </row>
    <row r="8407" spans="3:8" x14ac:dyDescent="0.3">
      <c r="C8407"/>
      <c r="D8407"/>
      <c r="E8407"/>
      <c r="F8407"/>
      <c r="G8407"/>
      <c r="H8407"/>
    </row>
    <row r="8408" spans="3:8" x14ac:dyDescent="0.3">
      <c r="C8408"/>
      <c r="D8408"/>
      <c r="E8408"/>
      <c r="F8408"/>
      <c r="G8408"/>
      <c r="H8408"/>
    </row>
    <row r="8409" spans="3:8" x14ac:dyDescent="0.3">
      <c r="C8409"/>
      <c r="D8409"/>
      <c r="E8409"/>
      <c r="F8409"/>
      <c r="G8409"/>
      <c r="H8409"/>
    </row>
    <row r="8410" spans="3:8" x14ac:dyDescent="0.3">
      <c r="C8410"/>
      <c r="D8410"/>
      <c r="E8410"/>
      <c r="F8410"/>
      <c r="G8410"/>
      <c r="H8410"/>
    </row>
    <row r="8411" spans="3:8" x14ac:dyDescent="0.3">
      <c r="C8411"/>
      <c r="D8411"/>
      <c r="E8411"/>
      <c r="F8411"/>
      <c r="G8411"/>
      <c r="H8411"/>
    </row>
    <row r="8412" spans="3:8" x14ac:dyDescent="0.3">
      <c r="C8412"/>
      <c r="D8412"/>
      <c r="E8412"/>
      <c r="F8412"/>
      <c r="G8412"/>
      <c r="H8412"/>
    </row>
    <row r="8413" spans="3:8" x14ac:dyDescent="0.3">
      <c r="C8413"/>
      <c r="D8413"/>
      <c r="E8413"/>
      <c r="F8413"/>
      <c r="G8413"/>
      <c r="H8413"/>
    </row>
    <row r="8414" spans="3:8" x14ac:dyDescent="0.3">
      <c r="C8414"/>
      <c r="D8414"/>
      <c r="E8414"/>
      <c r="F8414"/>
      <c r="G8414"/>
      <c r="H8414"/>
    </row>
    <row r="8415" spans="3:8" x14ac:dyDescent="0.3">
      <c r="C8415"/>
      <c r="D8415"/>
      <c r="E8415"/>
      <c r="F8415"/>
      <c r="G8415"/>
      <c r="H8415"/>
    </row>
    <row r="8416" spans="3:8" x14ac:dyDescent="0.3">
      <c r="C8416"/>
      <c r="D8416"/>
      <c r="E8416"/>
      <c r="F8416"/>
      <c r="G8416"/>
      <c r="H8416"/>
    </row>
    <row r="8417" spans="3:8" x14ac:dyDescent="0.3">
      <c r="C8417"/>
      <c r="D8417"/>
      <c r="E8417"/>
      <c r="F8417"/>
      <c r="G8417"/>
      <c r="H8417"/>
    </row>
    <row r="8418" spans="3:8" x14ac:dyDescent="0.3">
      <c r="C8418"/>
      <c r="D8418"/>
      <c r="E8418"/>
      <c r="F8418"/>
      <c r="G8418"/>
      <c r="H8418"/>
    </row>
    <row r="8419" spans="3:8" x14ac:dyDescent="0.3">
      <c r="C8419"/>
      <c r="D8419"/>
      <c r="E8419"/>
      <c r="F8419"/>
      <c r="G8419"/>
      <c r="H8419"/>
    </row>
    <row r="8420" spans="3:8" x14ac:dyDescent="0.3">
      <c r="C8420"/>
      <c r="D8420"/>
      <c r="E8420"/>
      <c r="F8420"/>
      <c r="G8420"/>
      <c r="H8420"/>
    </row>
    <row r="8421" spans="3:8" x14ac:dyDescent="0.3">
      <c r="C8421"/>
      <c r="D8421"/>
      <c r="E8421"/>
      <c r="F8421"/>
      <c r="G8421"/>
      <c r="H8421"/>
    </row>
    <row r="8422" spans="3:8" x14ac:dyDescent="0.3">
      <c r="C8422"/>
      <c r="D8422"/>
      <c r="E8422"/>
      <c r="F8422"/>
      <c r="G8422"/>
      <c r="H8422"/>
    </row>
    <row r="8423" spans="3:8" x14ac:dyDescent="0.3">
      <c r="C8423"/>
      <c r="D8423"/>
      <c r="E8423"/>
      <c r="F8423"/>
      <c r="G8423"/>
      <c r="H8423"/>
    </row>
    <row r="8424" spans="3:8" x14ac:dyDescent="0.3">
      <c r="C8424"/>
      <c r="D8424"/>
      <c r="E8424"/>
      <c r="F8424"/>
      <c r="G8424"/>
      <c r="H8424"/>
    </row>
    <row r="8425" spans="3:8" x14ac:dyDescent="0.3">
      <c r="C8425"/>
      <c r="D8425"/>
      <c r="E8425"/>
      <c r="F8425"/>
      <c r="G8425"/>
      <c r="H8425"/>
    </row>
    <row r="8426" spans="3:8" x14ac:dyDescent="0.3">
      <c r="C8426"/>
      <c r="D8426"/>
      <c r="E8426"/>
      <c r="F8426"/>
      <c r="G8426"/>
      <c r="H8426"/>
    </row>
    <row r="8427" spans="3:8" x14ac:dyDescent="0.3">
      <c r="C8427"/>
      <c r="D8427"/>
      <c r="E8427"/>
      <c r="F8427"/>
      <c r="G8427"/>
      <c r="H8427"/>
    </row>
    <row r="8428" spans="3:8" x14ac:dyDescent="0.3">
      <c r="C8428"/>
      <c r="D8428"/>
      <c r="E8428"/>
      <c r="F8428"/>
      <c r="G8428"/>
      <c r="H8428"/>
    </row>
    <row r="8429" spans="3:8" x14ac:dyDescent="0.3">
      <c r="C8429"/>
      <c r="D8429"/>
      <c r="E8429"/>
      <c r="F8429"/>
      <c r="G8429"/>
      <c r="H8429"/>
    </row>
    <row r="8430" spans="3:8" x14ac:dyDescent="0.3">
      <c r="C8430"/>
      <c r="D8430"/>
      <c r="E8430"/>
      <c r="F8430"/>
      <c r="G8430"/>
      <c r="H8430"/>
    </row>
    <row r="8431" spans="3:8" x14ac:dyDescent="0.3">
      <c r="C8431"/>
      <c r="D8431"/>
      <c r="E8431"/>
      <c r="F8431"/>
      <c r="G8431"/>
      <c r="H8431"/>
    </row>
    <row r="8432" spans="3:8" x14ac:dyDescent="0.3">
      <c r="C8432"/>
      <c r="D8432"/>
      <c r="E8432"/>
      <c r="F8432"/>
      <c r="G8432"/>
      <c r="H8432"/>
    </row>
    <row r="8433" spans="3:8" x14ac:dyDescent="0.3">
      <c r="C8433"/>
      <c r="D8433"/>
      <c r="E8433"/>
      <c r="F8433"/>
      <c r="G8433"/>
      <c r="H8433"/>
    </row>
    <row r="8434" spans="3:8" x14ac:dyDescent="0.3">
      <c r="C8434"/>
      <c r="D8434"/>
      <c r="E8434"/>
      <c r="F8434"/>
      <c r="G8434"/>
      <c r="H8434"/>
    </row>
    <row r="8435" spans="3:8" x14ac:dyDescent="0.3">
      <c r="C8435"/>
      <c r="D8435"/>
      <c r="E8435"/>
      <c r="F8435"/>
      <c r="G8435"/>
      <c r="H8435"/>
    </row>
    <row r="8436" spans="3:8" x14ac:dyDescent="0.3">
      <c r="C8436"/>
      <c r="D8436"/>
      <c r="E8436"/>
      <c r="F8436"/>
      <c r="G8436"/>
      <c r="H8436"/>
    </row>
    <row r="8437" spans="3:8" x14ac:dyDescent="0.3">
      <c r="C8437"/>
      <c r="D8437"/>
      <c r="E8437"/>
      <c r="F8437"/>
      <c r="G8437"/>
      <c r="H8437"/>
    </row>
    <row r="8438" spans="3:8" x14ac:dyDescent="0.3">
      <c r="C8438"/>
      <c r="D8438"/>
      <c r="E8438"/>
      <c r="F8438"/>
      <c r="G8438"/>
      <c r="H8438"/>
    </row>
    <row r="8439" spans="3:8" x14ac:dyDescent="0.3">
      <c r="C8439"/>
      <c r="D8439"/>
      <c r="E8439"/>
      <c r="F8439"/>
      <c r="G8439"/>
      <c r="H8439"/>
    </row>
    <row r="8440" spans="3:8" x14ac:dyDescent="0.3">
      <c r="C8440"/>
      <c r="D8440"/>
      <c r="E8440"/>
      <c r="F8440"/>
      <c r="G8440"/>
      <c r="H8440"/>
    </row>
    <row r="8441" spans="3:8" x14ac:dyDescent="0.3">
      <c r="C8441"/>
      <c r="D8441"/>
      <c r="E8441"/>
      <c r="F8441"/>
      <c r="G8441"/>
      <c r="H8441"/>
    </row>
    <row r="8442" spans="3:8" x14ac:dyDescent="0.3">
      <c r="C8442"/>
      <c r="D8442"/>
      <c r="E8442"/>
      <c r="F8442"/>
      <c r="G8442"/>
      <c r="H8442"/>
    </row>
    <row r="8443" spans="3:8" x14ac:dyDescent="0.3">
      <c r="C8443"/>
      <c r="D8443"/>
      <c r="E8443"/>
      <c r="F8443"/>
      <c r="G8443"/>
      <c r="H8443"/>
    </row>
    <row r="8444" spans="3:8" x14ac:dyDescent="0.3">
      <c r="C8444"/>
      <c r="D8444"/>
      <c r="E8444"/>
      <c r="F8444"/>
      <c r="G8444"/>
      <c r="H8444"/>
    </row>
    <row r="8445" spans="3:8" x14ac:dyDescent="0.3">
      <c r="C8445"/>
      <c r="D8445"/>
      <c r="E8445"/>
      <c r="F8445"/>
      <c r="G8445"/>
      <c r="H8445"/>
    </row>
    <row r="8446" spans="3:8" x14ac:dyDescent="0.3">
      <c r="C8446"/>
      <c r="D8446"/>
      <c r="E8446"/>
      <c r="F8446"/>
      <c r="G8446"/>
      <c r="H8446"/>
    </row>
    <row r="8447" spans="3:8" x14ac:dyDescent="0.3">
      <c r="C8447"/>
      <c r="D8447"/>
      <c r="E8447"/>
      <c r="F8447"/>
      <c r="G8447"/>
      <c r="H8447"/>
    </row>
    <row r="8448" spans="3:8" x14ac:dyDescent="0.3">
      <c r="C8448"/>
      <c r="D8448"/>
      <c r="E8448"/>
      <c r="F8448"/>
      <c r="G8448"/>
      <c r="H8448"/>
    </row>
    <row r="8449" spans="3:8" x14ac:dyDescent="0.3">
      <c r="C8449"/>
      <c r="D8449"/>
      <c r="E8449"/>
      <c r="F8449"/>
      <c r="G8449"/>
      <c r="H8449"/>
    </row>
    <row r="8450" spans="3:8" x14ac:dyDescent="0.3">
      <c r="C8450"/>
      <c r="D8450"/>
      <c r="E8450"/>
      <c r="F8450"/>
      <c r="G8450"/>
      <c r="H8450"/>
    </row>
    <row r="8451" spans="3:8" x14ac:dyDescent="0.3">
      <c r="C8451"/>
      <c r="D8451"/>
      <c r="E8451"/>
      <c r="F8451"/>
      <c r="G8451"/>
      <c r="H8451"/>
    </row>
    <row r="8452" spans="3:8" x14ac:dyDescent="0.3">
      <c r="C8452"/>
      <c r="D8452"/>
      <c r="E8452"/>
      <c r="F8452"/>
      <c r="G8452"/>
      <c r="H8452"/>
    </row>
    <row r="8453" spans="3:8" x14ac:dyDescent="0.3">
      <c r="C8453"/>
      <c r="D8453"/>
      <c r="E8453"/>
      <c r="F8453"/>
      <c r="G8453"/>
      <c r="H8453"/>
    </row>
    <row r="8454" spans="3:8" x14ac:dyDescent="0.3">
      <c r="C8454"/>
      <c r="D8454"/>
      <c r="E8454"/>
      <c r="F8454"/>
      <c r="G8454"/>
      <c r="H8454"/>
    </row>
    <row r="8455" spans="3:8" x14ac:dyDescent="0.3">
      <c r="C8455"/>
      <c r="D8455"/>
      <c r="E8455"/>
      <c r="F8455"/>
      <c r="G8455"/>
      <c r="H8455"/>
    </row>
    <row r="8456" spans="3:8" x14ac:dyDescent="0.3">
      <c r="C8456"/>
      <c r="D8456"/>
      <c r="E8456"/>
      <c r="F8456"/>
      <c r="G8456"/>
      <c r="H8456"/>
    </row>
    <row r="8457" spans="3:8" x14ac:dyDescent="0.3">
      <c r="C8457"/>
      <c r="D8457"/>
      <c r="E8457"/>
      <c r="F8457"/>
      <c r="G8457"/>
      <c r="H8457"/>
    </row>
    <row r="8458" spans="3:8" x14ac:dyDescent="0.3">
      <c r="C8458"/>
      <c r="D8458"/>
      <c r="E8458"/>
      <c r="F8458"/>
      <c r="G8458"/>
      <c r="H8458"/>
    </row>
    <row r="8459" spans="3:8" x14ac:dyDescent="0.3">
      <c r="C8459"/>
      <c r="D8459"/>
      <c r="E8459"/>
      <c r="F8459"/>
      <c r="G8459"/>
      <c r="H8459"/>
    </row>
    <row r="8460" spans="3:8" x14ac:dyDescent="0.3">
      <c r="C8460"/>
      <c r="D8460"/>
      <c r="E8460"/>
      <c r="F8460"/>
      <c r="G8460"/>
      <c r="H8460"/>
    </row>
    <row r="8461" spans="3:8" x14ac:dyDescent="0.3">
      <c r="C8461"/>
      <c r="D8461"/>
      <c r="E8461"/>
      <c r="F8461"/>
      <c r="G8461"/>
      <c r="H8461"/>
    </row>
    <row r="8462" spans="3:8" x14ac:dyDescent="0.3">
      <c r="C8462"/>
      <c r="D8462"/>
      <c r="E8462"/>
      <c r="F8462"/>
      <c r="G8462"/>
      <c r="H8462"/>
    </row>
    <row r="8463" spans="3:8" x14ac:dyDescent="0.3">
      <c r="C8463"/>
      <c r="D8463"/>
      <c r="E8463"/>
      <c r="F8463"/>
      <c r="G8463"/>
      <c r="H8463"/>
    </row>
    <row r="8464" spans="3:8" x14ac:dyDescent="0.3">
      <c r="C8464"/>
      <c r="D8464"/>
      <c r="E8464"/>
      <c r="F8464"/>
      <c r="G8464"/>
      <c r="H8464"/>
    </row>
    <row r="8465" spans="3:8" x14ac:dyDescent="0.3">
      <c r="C8465"/>
      <c r="D8465"/>
      <c r="E8465"/>
      <c r="F8465"/>
      <c r="G8465"/>
      <c r="H8465"/>
    </row>
    <row r="8466" spans="3:8" x14ac:dyDescent="0.3">
      <c r="C8466"/>
      <c r="D8466"/>
      <c r="E8466"/>
      <c r="F8466"/>
      <c r="G8466"/>
      <c r="H8466"/>
    </row>
    <row r="8467" spans="3:8" x14ac:dyDescent="0.3">
      <c r="C8467"/>
      <c r="D8467"/>
      <c r="E8467"/>
      <c r="F8467"/>
      <c r="G8467"/>
      <c r="H8467"/>
    </row>
    <row r="8468" spans="3:8" x14ac:dyDescent="0.3">
      <c r="C8468"/>
      <c r="D8468"/>
      <c r="E8468"/>
      <c r="F8468"/>
      <c r="G8468"/>
      <c r="H8468"/>
    </row>
    <row r="8469" spans="3:8" x14ac:dyDescent="0.3">
      <c r="C8469"/>
      <c r="D8469"/>
      <c r="E8469"/>
      <c r="F8469"/>
      <c r="G8469"/>
      <c r="H8469"/>
    </row>
    <row r="8470" spans="3:8" x14ac:dyDescent="0.3">
      <c r="C8470"/>
      <c r="D8470"/>
      <c r="E8470"/>
      <c r="F8470"/>
      <c r="G8470"/>
      <c r="H8470"/>
    </row>
    <row r="8471" spans="3:8" x14ac:dyDescent="0.3">
      <c r="C8471"/>
      <c r="D8471"/>
      <c r="E8471"/>
      <c r="F8471"/>
      <c r="G8471"/>
      <c r="H8471"/>
    </row>
    <row r="8472" spans="3:8" x14ac:dyDescent="0.3">
      <c r="C8472"/>
      <c r="D8472"/>
      <c r="E8472"/>
      <c r="F8472"/>
      <c r="G8472"/>
      <c r="H8472"/>
    </row>
    <row r="8473" spans="3:8" x14ac:dyDescent="0.3">
      <c r="C8473"/>
      <c r="D8473"/>
      <c r="E8473"/>
      <c r="F8473"/>
      <c r="G8473"/>
      <c r="H8473"/>
    </row>
    <row r="8474" spans="3:8" x14ac:dyDescent="0.3">
      <c r="C8474"/>
      <c r="D8474"/>
      <c r="E8474"/>
      <c r="F8474"/>
      <c r="G8474"/>
      <c r="H8474"/>
    </row>
    <row r="8475" spans="3:8" x14ac:dyDescent="0.3">
      <c r="C8475"/>
      <c r="D8475"/>
      <c r="E8475"/>
      <c r="F8475"/>
      <c r="G8475"/>
      <c r="H8475"/>
    </row>
    <row r="8476" spans="3:8" x14ac:dyDescent="0.3">
      <c r="C8476"/>
      <c r="D8476"/>
      <c r="E8476"/>
      <c r="F8476"/>
      <c r="G8476"/>
      <c r="H8476"/>
    </row>
    <row r="8477" spans="3:8" x14ac:dyDescent="0.3">
      <c r="C8477"/>
      <c r="D8477"/>
      <c r="E8477"/>
      <c r="F8477"/>
      <c r="G8477"/>
      <c r="H8477"/>
    </row>
    <row r="8478" spans="3:8" x14ac:dyDescent="0.3">
      <c r="C8478"/>
      <c r="D8478"/>
      <c r="E8478"/>
      <c r="F8478"/>
      <c r="G8478"/>
      <c r="H8478"/>
    </row>
    <row r="8479" spans="3:8" x14ac:dyDescent="0.3">
      <c r="C8479"/>
      <c r="D8479"/>
      <c r="E8479"/>
      <c r="F8479"/>
      <c r="G8479"/>
      <c r="H8479"/>
    </row>
    <row r="8480" spans="3:8" x14ac:dyDescent="0.3">
      <c r="C8480"/>
      <c r="D8480"/>
      <c r="E8480"/>
      <c r="F8480"/>
      <c r="G8480"/>
      <c r="H8480"/>
    </row>
    <row r="8481" spans="3:8" x14ac:dyDescent="0.3">
      <c r="C8481"/>
      <c r="D8481"/>
      <c r="E8481"/>
      <c r="F8481"/>
      <c r="G8481"/>
      <c r="H8481"/>
    </row>
    <row r="8482" spans="3:8" x14ac:dyDescent="0.3">
      <c r="C8482"/>
      <c r="D8482"/>
      <c r="E8482"/>
      <c r="F8482"/>
      <c r="G8482"/>
      <c r="H8482"/>
    </row>
    <row r="8483" spans="3:8" x14ac:dyDescent="0.3">
      <c r="C8483"/>
      <c r="D8483"/>
      <c r="E8483"/>
      <c r="F8483"/>
      <c r="G8483"/>
      <c r="H8483"/>
    </row>
    <row r="8484" spans="3:8" x14ac:dyDescent="0.3">
      <c r="C8484"/>
      <c r="D8484"/>
      <c r="E8484"/>
      <c r="F8484"/>
      <c r="G8484"/>
      <c r="H8484"/>
    </row>
    <row r="8485" spans="3:8" x14ac:dyDescent="0.3">
      <c r="C8485"/>
      <c r="D8485"/>
      <c r="E8485"/>
      <c r="F8485"/>
      <c r="G8485"/>
      <c r="H8485"/>
    </row>
    <row r="8486" spans="3:8" x14ac:dyDescent="0.3">
      <c r="C8486"/>
      <c r="D8486"/>
      <c r="E8486"/>
      <c r="F8486"/>
      <c r="G8486"/>
      <c r="H8486"/>
    </row>
    <row r="8487" spans="3:8" x14ac:dyDescent="0.3">
      <c r="C8487"/>
      <c r="D8487"/>
      <c r="E8487"/>
      <c r="F8487"/>
      <c r="G8487"/>
      <c r="H8487"/>
    </row>
    <row r="8488" spans="3:8" x14ac:dyDescent="0.3">
      <c r="C8488"/>
      <c r="D8488"/>
      <c r="E8488"/>
      <c r="F8488"/>
      <c r="G8488"/>
      <c r="H8488"/>
    </row>
    <row r="8489" spans="3:8" x14ac:dyDescent="0.3">
      <c r="C8489"/>
      <c r="D8489"/>
      <c r="E8489"/>
      <c r="F8489"/>
      <c r="G8489"/>
      <c r="H8489"/>
    </row>
    <row r="8490" spans="3:8" x14ac:dyDescent="0.3">
      <c r="C8490"/>
      <c r="D8490"/>
      <c r="E8490"/>
      <c r="F8490"/>
      <c r="G8490"/>
      <c r="H8490"/>
    </row>
    <row r="8491" spans="3:8" x14ac:dyDescent="0.3">
      <c r="C8491"/>
      <c r="D8491"/>
      <c r="E8491"/>
      <c r="F8491"/>
      <c r="G8491"/>
      <c r="H8491"/>
    </row>
    <row r="8492" spans="3:8" x14ac:dyDescent="0.3">
      <c r="C8492"/>
      <c r="D8492"/>
      <c r="E8492"/>
      <c r="F8492"/>
      <c r="G8492"/>
      <c r="H8492"/>
    </row>
    <row r="8493" spans="3:8" x14ac:dyDescent="0.3">
      <c r="C8493"/>
      <c r="D8493"/>
      <c r="E8493"/>
      <c r="F8493"/>
      <c r="G8493"/>
      <c r="H8493"/>
    </row>
    <row r="8494" spans="3:8" x14ac:dyDescent="0.3">
      <c r="C8494"/>
      <c r="D8494"/>
      <c r="E8494"/>
      <c r="F8494"/>
      <c r="G8494"/>
      <c r="H8494"/>
    </row>
    <row r="8495" spans="3:8" x14ac:dyDescent="0.3">
      <c r="C8495"/>
      <c r="D8495"/>
      <c r="E8495"/>
      <c r="F8495"/>
      <c r="G8495"/>
      <c r="H8495"/>
    </row>
    <row r="8496" spans="3:8" x14ac:dyDescent="0.3">
      <c r="C8496"/>
      <c r="D8496"/>
      <c r="E8496"/>
      <c r="F8496"/>
      <c r="G8496"/>
      <c r="H8496"/>
    </row>
    <row r="8497" spans="3:8" x14ac:dyDescent="0.3">
      <c r="C8497"/>
      <c r="D8497"/>
      <c r="E8497"/>
      <c r="F8497"/>
      <c r="G8497"/>
      <c r="H8497"/>
    </row>
    <row r="8498" spans="3:8" x14ac:dyDescent="0.3">
      <c r="C8498"/>
      <c r="D8498"/>
      <c r="E8498"/>
      <c r="F8498"/>
      <c r="G8498"/>
      <c r="H8498"/>
    </row>
    <row r="8499" spans="3:8" x14ac:dyDescent="0.3">
      <c r="C8499"/>
      <c r="D8499"/>
      <c r="E8499"/>
      <c r="F8499"/>
      <c r="G8499"/>
      <c r="H8499"/>
    </row>
    <row r="8500" spans="3:8" x14ac:dyDescent="0.3">
      <c r="C8500"/>
      <c r="D8500"/>
      <c r="E8500"/>
      <c r="F8500"/>
      <c r="G8500"/>
      <c r="H8500"/>
    </row>
    <row r="8501" spans="3:8" x14ac:dyDescent="0.3">
      <c r="C8501"/>
      <c r="D8501"/>
      <c r="E8501"/>
      <c r="F8501"/>
      <c r="G8501"/>
      <c r="H8501"/>
    </row>
    <row r="8502" spans="3:8" x14ac:dyDescent="0.3">
      <c r="C8502"/>
      <c r="D8502"/>
      <c r="E8502"/>
      <c r="F8502"/>
      <c r="G8502"/>
      <c r="H8502"/>
    </row>
    <row r="8503" spans="3:8" x14ac:dyDescent="0.3">
      <c r="C8503"/>
      <c r="D8503"/>
      <c r="E8503"/>
      <c r="F8503"/>
      <c r="G8503"/>
      <c r="H8503"/>
    </row>
    <row r="8504" spans="3:8" x14ac:dyDescent="0.3">
      <c r="C8504"/>
      <c r="D8504"/>
      <c r="E8504"/>
      <c r="F8504"/>
      <c r="G8504"/>
      <c r="H8504"/>
    </row>
    <row r="8505" spans="3:8" x14ac:dyDescent="0.3">
      <c r="C8505"/>
      <c r="D8505"/>
      <c r="E8505"/>
      <c r="F8505"/>
      <c r="G8505"/>
      <c r="H8505"/>
    </row>
    <row r="8506" spans="3:8" x14ac:dyDescent="0.3">
      <c r="C8506"/>
      <c r="D8506"/>
      <c r="E8506"/>
      <c r="F8506"/>
      <c r="G8506"/>
      <c r="H8506"/>
    </row>
    <row r="8507" spans="3:8" x14ac:dyDescent="0.3">
      <c r="C8507"/>
      <c r="D8507"/>
      <c r="E8507"/>
      <c r="F8507"/>
      <c r="G8507"/>
      <c r="H8507"/>
    </row>
    <row r="8508" spans="3:8" x14ac:dyDescent="0.3">
      <c r="C8508"/>
      <c r="D8508"/>
      <c r="E8508"/>
      <c r="F8508"/>
      <c r="G8508"/>
      <c r="H8508"/>
    </row>
    <row r="8509" spans="3:8" x14ac:dyDescent="0.3">
      <c r="C8509"/>
      <c r="D8509"/>
      <c r="E8509"/>
      <c r="F8509"/>
      <c r="G8509"/>
      <c r="H8509"/>
    </row>
    <row r="8510" spans="3:8" x14ac:dyDescent="0.3">
      <c r="C8510"/>
      <c r="D8510"/>
      <c r="E8510"/>
      <c r="F8510"/>
      <c r="G8510"/>
      <c r="H8510"/>
    </row>
    <row r="8511" spans="3:8" x14ac:dyDescent="0.3">
      <c r="C8511"/>
      <c r="D8511"/>
      <c r="E8511"/>
      <c r="F8511"/>
      <c r="G8511"/>
      <c r="H8511"/>
    </row>
    <row r="8512" spans="3:8" x14ac:dyDescent="0.3">
      <c r="C8512"/>
      <c r="D8512"/>
      <c r="E8512"/>
      <c r="F8512"/>
      <c r="G8512"/>
      <c r="H8512"/>
    </row>
    <row r="8513" spans="3:8" x14ac:dyDescent="0.3">
      <c r="C8513"/>
      <c r="D8513"/>
      <c r="E8513"/>
      <c r="F8513"/>
      <c r="G8513"/>
      <c r="H8513"/>
    </row>
    <row r="8514" spans="3:8" x14ac:dyDescent="0.3">
      <c r="C8514"/>
      <c r="D8514"/>
      <c r="E8514"/>
      <c r="F8514"/>
      <c r="G8514"/>
      <c r="H8514"/>
    </row>
    <row r="8515" spans="3:8" x14ac:dyDescent="0.3">
      <c r="C8515"/>
      <c r="D8515"/>
      <c r="E8515"/>
      <c r="F8515"/>
      <c r="G8515"/>
      <c r="H8515"/>
    </row>
    <row r="8516" spans="3:8" x14ac:dyDescent="0.3">
      <c r="C8516"/>
      <c r="D8516"/>
      <c r="E8516"/>
      <c r="F8516"/>
      <c r="G8516"/>
      <c r="H8516"/>
    </row>
    <row r="8517" spans="3:8" x14ac:dyDescent="0.3">
      <c r="C8517"/>
      <c r="D8517"/>
      <c r="E8517"/>
      <c r="F8517"/>
      <c r="G8517"/>
      <c r="H8517"/>
    </row>
    <row r="8518" spans="3:8" x14ac:dyDescent="0.3">
      <c r="C8518"/>
      <c r="D8518"/>
      <c r="E8518"/>
      <c r="F8518"/>
      <c r="G8518"/>
      <c r="H8518"/>
    </row>
    <row r="8519" spans="3:8" x14ac:dyDescent="0.3">
      <c r="C8519"/>
      <c r="D8519"/>
      <c r="E8519"/>
      <c r="F8519"/>
      <c r="G8519"/>
      <c r="H8519"/>
    </row>
    <row r="8520" spans="3:8" x14ac:dyDescent="0.3">
      <c r="C8520"/>
      <c r="D8520"/>
      <c r="E8520"/>
      <c r="F8520"/>
      <c r="G8520"/>
      <c r="H8520"/>
    </row>
    <row r="8521" spans="3:8" x14ac:dyDescent="0.3">
      <c r="C8521"/>
      <c r="D8521"/>
      <c r="E8521"/>
      <c r="F8521"/>
      <c r="G8521"/>
      <c r="H8521"/>
    </row>
    <row r="8522" spans="3:8" x14ac:dyDescent="0.3">
      <c r="C8522"/>
      <c r="D8522"/>
      <c r="E8522"/>
      <c r="F8522"/>
      <c r="G8522"/>
      <c r="H8522"/>
    </row>
    <row r="8523" spans="3:8" x14ac:dyDescent="0.3">
      <c r="C8523"/>
      <c r="D8523"/>
      <c r="E8523"/>
      <c r="F8523"/>
      <c r="G8523"/>
      <c r="H8523"/>
    </row>
    <row r="8524" spans="3:8" x14ac:dyDescent="0.3">
      <c r="C8524"/>
      <c r="D8524"/>
      <c r="E8524"/>
      <c r="F8524"/>
      <c r="G8524"/>
      <c r="H8524"/>
    </row>
    <row r="8525" spans="3:8" x14ac:dyDescent="0.3">
      <c r="C8525"/>
      <c r="D8525"/>
      <c r="E8525"/>
      <c r="F8525"/>
      <c r="G8525"/>
      <c r="H8525"/>
    </row>
    <row r="8526" spans="3:8" x14ac:dyDescent="0.3">
      <c r="C8526"/>
      <c r="D8526"/>
      <c r="E8526"/>
      <c r="F8526"/>
      <c r="G8526"/>
      <c r="H8526"/>
    </row>
    <row r="8527" spans="3:8" x14ac:dyDescent="0.3">
      <c r="C8527"/>
      <c r="D8527"/>
      <c r="E8527"/>
      <c r="F8527"/>
      <c r="G8527"/>
      <c r="H8527"/>
    </row>
    <row r="8528" spans="3:8" x14ac:dyDescent="0.3">
      <c r="C8528"/>
      <c r="D8528"/>
      <c r="E8528"/>
      <c r="F8528"/>
      <c r="G8528"/>
      <c r="H8528"/>
    </row>
    <row r="8529" spans="3:8" x14ac:dyDescent="0.3">
      <c r="C8529"/>
      <c r="D8529"/>
      <c r="E8529"/>
      <c r="F8529"/>
      <c r="G8529"/>
      <c r="H8529"/>
    </row>
    <row r="8530" spans="3:8" x14ac:dyDescent="0.3">
      <c r="C8530"/>
      <c r="D8530"/>
      <c r="E8530"/>
      <c r="F8530"/>
      <c r="G8530"/>
      <c r="H8530"/>
    </row>
    <row r="8531" spans="3:8" x14ac:dyDescent="0.3">
      <c r="C8531"/>
      <c r="D8531"/>
      <c r="E8531"/>
      <c r="F8531"/>
      <c r="G8531"/>
      <c r="H8531"/>
    </row>
    <row r="8532" spans="3:8" x14ac:dyDescent="0.3">
      <c r="C8532"/>
      <c r="D8532"/>
      <c r="E8532"/>
      <c r="F8532"/>
      <c r="G8532"/>
      <c r="H8532"/>
    </row>
    <row r="8533" spans="3:8" x14ac:dyDescent="0.3">
      <c r="C8533"/>
      <c r="D8533"/>
      <c r="E8533"/>
      <c r="F8533"/>
      <c r="G8533"/>
      <c r="H8533"/>
    </row>
    <row r="8534" spans="3:8" x14ac:dyDescent="0.3">
      <c r="C8534"/>
      <c r="D8534"/>
      <c r="E8534"/>
      <c r="F8534"/>
      <c r="G8534"/>
      <c r="H8534"/>
    </row>
    <row r="8535" spans="3:8" x14ac:dyDescent="0.3">
      <c r="C8535"/>
      <c r="D8535"/>
      <c r="E8535"/>
      <c r="F8535"/>
      <c r="G8535"/>
      <c r="H8535"/>
    </row>
    <row r="8536" spans="3:8" x14ac:dyDescent="0.3">
      <c r="C8536"/>
      <c r="D8536"/>
      <c r="E8536"/>
      <c r="F8536"/>
      <c r="G8536"/>
      <c r="H8536"/>
    </row>
    <row r="8537" spans="3:8" x14ac:dyDescent="0.3">
      <c r="C8537"/>
      <c r="D8537"/>
      <c r="E8537"/>
      <c r="F8537"/>
      <c r="G8537"/>
      <c r="H8537"/>
    </row>
    <row r="8538" spans="3:8" x14ac:dyDescent="0.3">
      <c r="C8538"/>
      <c r="D8538"/>
      <c r="E8538"/>
      <c r="F8538"/>
      <c r="G8538"/>
      <c r="H8538"/>
    </row>
    <row r="8539" spans="3:8" x14ac:dyDescent="0.3">
      <c r="C8539"/>
      <c r="D8539"/>
      <c r="E8539"/>
      <c r="F8539"/>
      <c r="G8539"/>
      <c r="H8539"/>
    </row>
    <row r="8540" spans="3:8" x14ac:dyDescent="0.3">
      <c r="C8540"/>
      <c r="D8540"/>
      <c r="E8540"/>
      <c r="F8540"/>
      <c r="G8540"/>
      <c r="H8540"/>
    </row>
    <row r="8541" spans="3:8" x14ac:dyDescent="0.3">
      <c r="C8541"/>
      <c r="D8541"/>
      <c r="E8541"/>
      <c r="F8541"/>
      <c r="G8541"/>
      <c r="H8541"/>
    </row>
    <row r="8542" spans="3:8" x14ac:dyDescent="0.3">
      <c r="C8542"/>
      <c r="D8542"/>
      <c r="E8542"/>
      <c r="F8542"/>
      <c r="G8542"/>
      <c r="H8542"/>
    </row>
    <row r="8543" spans="3:8" x14ac:dyDescent="0.3">
      <c r="C8543"/>
      <c r="D8543"/>
      <c r="E8543"/>
      <c r="F8543"/>
      <c r="G8543"/>
      <c r="H8543"/>
    </row>
    <row r="8544" spans="3:8" x14ac:dyDescent="0.3">
      <c r="C8544"/>
      <c r="D8544"/>
      <c r="E8544"/>
      <c r="F8544"/>
      <c r="G8544"/>
      <c r="H8544"/>
    </row>
    <row r="8545" spans="3:8" x14ac:dyDescent="0.3">
      <c r="C8545"/>
      <c r="D8545"/>
      <c r="E8545"/>
      <c r="F8545"/>
      <c r="G8545"/>
      <c r="H8545"/>
    </row>
    <row r="8546" spans="3:8" x14ac:dyDescent="0.3">
      <c r="C8546"/>
      <c r="D8546"/>
      <c r="E8546"/>
      <c r="F8546"/>
      <c r="G8546"/>
      <c r="H8546"/>
    </row>
    <row r="8547" spans="3:8" x14ac:dyDescent="0.3">
      <c r="C8547"/>
      <c r="D8547"/>
      <c r="E8547"/>
      <c r="F8547"/>
      <c r="G8547"/>
      <c r="H8547"/>
    </row>
    <row r="8548" spans="3:8" x14ac:dyDescent="0.3">
      <c r="C8548"/>
      <c r="D8548"/>
      <c r="E8548"/>
      <c r="F8548"/>
      <c r="G8548"/>
      <c r="H8548"/>
    </row>
    <row r="8549" spans="3:8" x14ac:dyDescent="0.3">
      <c r="C8549"/>
      <c r="D8549"/>
      <c r="E8549"/>
      <c r="F8549"/>
      <c r="G8549"/>
      <c r="H8549"/>
    </row>
    <row r="8550" spans="3:8" x14ac:dyDescent="0.3">
      <c r="C8550"/>
      <c r="D8550"/>
      <c r="E8550"/>
      <c r="F8550"/>
      <c r="G8550"/>
      <c r="H8550"/>
    </row>
    <row r="8551" spans="3:8" x14ac:dyDescent="0.3">
      <c r="C8551"/>
      <c r="D8551"/>
      <c r="E8551"/>
      <c r="F8551"/>
      <c r="G8551"/>
      <c r="H8551"/>
    </row>
    <row r="8552" spans="3:8" x14ac:dyDescent="0.3">
      <c r="C8552"/>
      <c r="D8552"/>
      <c r="E8552"/>
      <c r="F8552"/>
      <c r="G8552"/>
      <c r="H8552"/>
    </row>
    <row r="8553" spans="3:8" x14ac:dyDescent="0.3">
      <c r="C8553"/>
      <c r="D8553"/>
      <c r="E8553"/>
      <c r="F8553"/>
      <c r="G8553"/>
      <c r="H8553"/>
    </row>
    <row r="8554" spans="3:8" x14ac:dyDescent="0.3">
      <c r="C8554"/>
      <c r="D8554"/>
      <c r="E8554"/>
      <c r="F8554"/>
      <c r="G8554"/>
      <c r="H8554"/>
    </row>
    <row r="8555" spans="3:8" x14ac:dyDescent="0.3">
      <c r="C8555"/>
      <c r="D8555"/>
      <c r="E8555"/>
      <c r="F8555"/>
      <c r="G8555"/>
      <c r="H8555"/>
    </row>
    <row r="8556" spans="3:8" x14ac:dyDescent="0.3">
      <c r="C8556"/>
      <c r="D8556"/>
      <c r="E8556"/>
      <c r="F8556"/>
      <c r="G8556"/>
      <c r="H8556"/>
    </row>
    <row r="8557" spans="3:8" x14ac:dyDescent="0.3">
      <c r="C8557"/>
      <c r="D8557"/>
      <c r="E8557"/>
      <c r="F8557"/>
      <c r="G8557"/>
      <c r="H8557"/>
    </row>
    <row r="8558" spans="3:8" x14ac:dyDescent="0.3">
      <c r="C8558"/>
      <c r="D8558"/>
      <c r="E8558"/>
      <c r="F8558"/>
      <c r="G8558"/>
      <c r="H8558"/>
    </row>
    <row r="8559" spans="3:8" x14ac:dyDescent="0.3">
      <c r="C8559"/>
      <c r="D8559"/>
      <c r="E8559"/>
      <c r="F8559"/>
      <c r="G8559"/>
      <c r="H8559"/>
    </row>
    <row r="8560" spans="3:8" x14ac:dyDescent="0.3">
      <c r="C8560"/>
      <c r="D8560"/>
      <c r="E8560"/>
      <c r="F8560"/>
      <c r="G8560"/>
      <c r="H8560"/>
    </row>
    <row r="8561" spans="3:8" x14ac:dyDescent="0.3">
      <c r="C8561"/>
      <c r="D8561"/>
      <c r="E8561"/>
      <c r="F8561"/>
      <c r="G8561"/>
      <c r="H8561"/>
    </row>
    <row r="8562" spans="3:8" x14ac:dyDescent="0.3">
      <c r="C8562"/>
      <c r="D8562"/>
      <c r="E8562"/>
      <c r="F8562"/>
      <c r="G8562"/>
      <c r="H8562"/>
    </row>
    <row r="8563" spans="3:8" x14ac:dyDescent="0.3">
      <c r="C8563"/>
      <c r="D8563"/>
      <c r="E8563"/>
      <c r="F8563"/>
      <c r="G8563"/>
      <c r="H8563"/>
    </row>
    <row r="8564" spans="3:8" x14ac:dyDescent="0.3">
      <c r="C8564"/>
      <c r="D8564"/>
      <c r="E8564"/>
      <c r="F8564"/>
      <c r="G8564"/>
      <c r="H8564"/>
    </row>
    <row r="8565" spans="3:8" x14ac:dyDescent="0.3">
      <c r="C8565"/>
      <c r="D8565"/>
      <c r="E8565"/>
      <c r="F8565"/>
      <c r="G8565"/>
      <c r="H8565"/>
    </row>
    <row r="8566" spans="3:8" x14ac:dyDescent="0.3">
      <c r="C8566"/>
      <c r="D8566"/>
      <c r="E8566"/>
      <c r="F8566"/>
      <c r="G8566"/>
      <c r="H8566"/>
    </row>
    <row r="8567" spans="3:8" x14ac:dyDescent="0.3">
      <c r="C8567"/>
      <c r="D8567"/>
      <c r="E8567"/>
      <c r="F8567"/>
      <c r="G8567"/>
      <c r="H8567"/>
    </row>
    <row r="8568" spans="3:8" x14ac:dyDescent="0.3">
      <c r="C8568"/>
      <c r="D8568"/>
      <c r="E8568"/>
      <c r="F8568"/>
      <c r="G8568"/>
      <c r="H8568"/>
    </row>
    <row r="8569" spans="3:8" x14ac:dyDescent="0.3">
      <c r="C8569"/>
      <c r="D8569"/>
      <c r="E8569"/>
      <c r="F8569"/>
      <c r="G8569"/>
      <c r="H8569"/>
    </row>
    <row r="8570" spans="3:8" x14ac:dyDescent="0.3">
      <c r="C8570"/>
      <c r="D8570"/>
      <c r="E8570"/>
      <c r="F8570"/>
      <c r="G8570"/>
      <c r="H8570"/>
    </row>
    <row r="8571" spans="3:8" x14ac:dyDescent="0.3">
      <c r="C8571"/>
      <c r="D8571"/>
      <c r="E8571"/>
      <c r="F8571"/>
      <c r="G8571"/>
      <c r="H8571"/>
    </row>
    <row r="8572" spans="3:8" x14ac:dyDescent="0.3">
      <c r="C8572"/>
      <c r="D8572"/>
      <c r="E8572"/>
      <c r="F8572"/>
      <c r="G8572"/>
      <c r="H8572"/>
    </row>
    <row r="8573" spans="3:8" x14ac:dyDescent="0.3">
      <c r="C8573"/>
      <c r="D8573"/>
      <c r="E8573"/>
      <c r="F8573"/>
      <c r="G8573"/>
      <c r="H8573"/>
    </row>
    <row r="8574" spans="3:8" x14ac:dyDescent="0.3">
      <c r="C8574"/>
      <c r="D8574"/>
      <c r="E8574"/>
      <c r="F8574"/>
      <c r="G8574"/>
      <c r="H8574"/>
    </row>
    <row r="8575" spans="3:8" x14ac:dyDescent="0.3">
      <c r="C8575"/>
      <c r="D8575"/>
      <c r="E8575"/>
      <c r="F8575"/>
      <c r="G8575"/>
      <c r="H8575"/>
    </row>
    <row r="8576" spans="3:8" x14ac:dyDescent="0.3">
      <c r="C8576"/>
      <c r="D8576"/>
      <c r="E8576"/>
      <c r="F8576"/>
      <c r="G8576"/>
      <c r="H8576"/>
    </row>
    <row r="8577" spans="3:8" x14ac:dyDescent="0.3">
      <c r="C8577"/>
      <c r="D8577"/>
      <c r="E8577"/>
      <c r="F8577"/>
      <c r="G8577"/>
      <c r="H8577"/>
    </row>
    <row r="8578" spans="3:8" x14ac:dyDescent="0.3">
      <c r="C8578"/>
      <c r="D8578"/>
      <c r="E8578"/>
      <c r="F8578"/>
      <c r="G8578"/>
      <c r="H8578"/>
    </row>
    <row r="8579" spans="3:8" x14ac:dyDescent="0.3">
      <c r="C8579"/>
      <c r="D8579"/>
      <c r="E8579"/>
      <c r="F8579"/>
      <c r="G8579"/>
      <c r="H8579"/>
    </row>
    <row r="8580" spans="3:8" x14ac:dyDescent="0.3">
      <c r="C8580"/>
      <c r="D8580"/>
      <c r="E8580"/>
      <c r="F8580"/>
      <c r="G8580"/>
      <c r="H8580"/>
    </row>
    <row r="8581" spans="3:8" x14ac:dyDescent="0.3">
      <c r="C8581"/>
      <c r="D8581"/>
      <c r="E8581"/>
      <c r="F8581"/>
      <c r="G8581"/>
      <c r="H8581"/>
    </row>
    <row r="8582" spans="3:8" x14ac:dyDescent="0.3">
      <c r="C8582"/>
      <c r="D8582"/>
      <c r="E8582"/>
      <c r="F8582"/>
      <c r="G8582"/>
      <c r="H8582"/>
    </row>
    <row r="8583" spans="3:8" x14ac:dyDescent="0.3">
      <c r="C8583"/>
      <c r="D8583"/>
      <c r="E8583"/>
      <c r="F8583"/>
      <c r="G8583"/>
      <c r="H8583"/>
    </row>
    <row r="8584" spans="3:8" x14ac:dyDescent="0.3">
      <c r="C8584"/>
      <c r="D8584"/>
      <c r="E8584"/>
      <c r="F8584"/>
      <c r="G8584"/>
      <c r="H8584"/>
    </row>
    <row r="8585" spans="3:8" x14ac:dyDescent="0.3">
      <c r="C8585"/>
      <c r="D8585"/>
      <c r="E8585"/>
      <c r="F8585"/>
      <c r="G8585"/>
      <c r="H8585"/>
    </row>
    <row r="8586" spans="3:8" x14ac:dyDescent="0.3">
      <c r="C8586"/>
      <c r="D8586"/>
      <c r="E8586"/>
      <c r="F8586"/>
      <c r="G8586"/>
      <c r="H8586"/>
    </row>
    <row r="8587" spans="3:8" x14ac:dyDescent="0.3">
      <c r="C8587"/>
      <c r="D8587"/>
      <c r="E8587"/>
      <c r="F8587"/>
      <c r="G8587"/>
      <c r="H8587"/>
    </row>
    <row r="8588" spans="3:8" x14ac:dyDescent="0.3">
      <c r="C8588"/>
      <c r="D8588"/>
      <c r="E8588"/>
      <c r="F8588"/>
      <c r="G8588"/>
      <c r="H8588"/>
    </row>
    <row r="8589" spans="3:8" x14ac:dyDescent="0.3">
      <c r="C8589"/>
      <c r="D8589"/>
      <c r="E8589"/>
      <c r="F8589"/>
      <c r="G8589"/>
      <c r="H8589"/>
    </row>
    <row r="8590" spans="3:8" x14ac:dyDescent="0.3">
      <c r="C8590"/>
      <c r="D8590"/>
      <c r="E8590"/>
      <c r="F8590"/>
      <c r="G8590"/>
      <c r="H8590"/>
    </row>
    <row r="8591" spans="3:8" x14ac:dyDescent="0.3">
      <c r="C8591"/>
      <c r="D8591"/>
      <c r="E8591"/>
      <c r="F8591"/>
      <c r="G8591"/>
      <c r="H8591"/>
    </row>
    <row r="8592" spans="3:8" x14ac:dyDescent="0.3">
      <c r="C8592"/>
      <c r="D8592"/>
      <c r="E8592"/>
      <c r="F8592"/>
      <c r="G8592"/>
      <c r="H8592"/>
    </row>
    <row r="8593" spans="3:8" x14ac:dyDescent="0.3">
      <c r="C8593"/>
      <c r="D8593"/>
      <c r="E8593"/>
      <c r="F8593"/>
      <c r="G8593"/>
      <c r="H8593"/>
    </row>
    <row r="8594" spans="3:8" x14ac:dyDescent="0.3">
      <c r="C8594"/>
      <c r="D8594"/>
      <c r="E8594"/>
      <c r="F8594"/>
      <c r="G8594"/>
      <c r="H8594"/>
    </row>
    <row r="8595" spans="3:8" x14ac:dyDescent="0.3">
      <c r="C8595"/>
      <c r="D8595"/>
      <c r="E8595"/>
      <c r="F8595"/>
      <c r="G8595"/>
      <c r="H8595"/>
    </row>
    <row r="8596" spans="3:8" x14ac:dyDescent="0.3">
      <c r="C8596"/>
      <c r="D8596"/>
      <c r="E8596"/>
      <c r="F8596"/>
      <c r="G8596"/>
      <c r="H8596"/>
    </row>
    <row r="8597" spans="3:8" x14ac:dyDescent="0.3">
      <c r="C8597"/>
      <c r="D8597"/>
      <c r="E8597"/>
      <c r="F8597"/>
      <c r="G8597"/>
      <c r="H8597"/>
    </row>
    <row r="8598" spans="3:8" x14ac:dyDescent="0.3">
      <c r="C8598"/>
      <c r="D8598"/>
      <c r="E8598"/>
      <c r="F8598"/>
      <c r="G8598"/>
      <c r="H8598"/>
    </row>
    <row r="8599" spans="3:8" x14ac:dyDescent="0.3">
      <c r="C8599"/>
      <c r="D8599"/>
      <c r="E8599"/>
      <c r="F8599"/>
      <c r="G8599"/>
      <c r="H8599"/>
    </row>
    <row r="8600" spans="3:8" x14ac:dyDescent="0.3">
      <c r="C8600"/>
      <c r="D8600"/>
      <c r="E8600"/>
      <c r="F8600"/>
      <c r="G8600"/>
      <c r="H8600"/>
    </row>
    <row r="8601" spans="3:8" x14ac:dyDescent="0.3">
      <c r="C8601"/>
      <c r="D8601"/>
      <c r="E8601"/>
      <c r="F8601"/>
      <c r="G8601"/>
      <c r="H8601"/>
    </row>
    <row r="8602" spans="3:8" x14ac:dyDescent="0.3">
      <c r="C8602"/>
      <c r="D8602"/>
      <c r="E8602"/>
      <c r="F8602"/>
      <c r="G8602"/>
      <c r="H8602"/>
    </row>
    <row r="8603" spans="3:8" x14ac:dyDescent="0.3">
      <c r="C8603"/>
      <c r="D8603"/>
      <c r="E8603"/>
      <c r="F8603"/>
      <c r="G8603"/>
      <c r="H8603"/>
    </row>
    <row r="8604" spans="3:8" x14ac:dyDescent="0.3">
      <c r="C8604"/>
      <c r="D8604"/>
      <c r="E8604"/>
      <c r="F8604"/>
      <c r="G8604"/>
      <c r="H8604"/>
    </row>
    <row r="8605" spans="3:8" x14ac:dyDescent="0.3">
      <c r="C8605"/>
      <c r="D8605"/>
      <c r="E8605"/>
      <c r="F8605"/>
      <c r="G8605"/>
      <c r="H8605"/>
    </row>
    <row r="8606" spans="3:8" x14ac:dyDescent="0.3">
      <c r="C8606"/>
      <c r="D8606"/>
      <c r="E8606"/>
      <c r="F8606"/>
      <c r="G8606"/>
      <c r="H8606"/>
    </row>
    <row r="8607" spans="3:8" x14ac:dyDescent="0.3">
      <c r="C8607"/>
      <c r="D8607"/>
      <c r="E8607"/>
      <c r="F8607"/>
      <c r="G8607"/>
      <c r="H8607"/>
    </row>
    <row r="8608" spans="3:8" x14ac:dyDescent="0.3">
      <c r="C8608"/>
      <c r="D8608"/>
      <c r="E8608"/>
      <c r="F8608"/>
      <c r="G8608"/>
      <c r="H8608"/>
    </row>
    <row r="8609" spans="3:8" x14ac:dyDescent="0.3">
      <c r="C8609"/>
      <c r="D8609"/>
      <c r="E8609"/>
      <c r="F8609"/>
      <c r="G8609"/>
      <c r="H8609"/>
    </row>
    <row r="8610" spans="3:8" x14ac:dyDescent="0.3">
      <c r="C8610"/>
      <c r="D8610"/>
      <c r="E8610"/>
      <c r="F8610"/>
      <c r="G8610"/>
      <c r="H8610"/>
    </row>
    <row r="8611" spans="3:8" x14ac:dyDescent="0.3">
      <c r="C8611"/>
      <c r="D8611"/>
      <c r="E8611"/>
      <c r="F8611"/>
      <c r="G8611"/>
      <c r="H8611"/>
    </row>
    <row r="8612" spans="3:8" x14ac:dyDescent="0.3">
      <c r="C8612"/>
      <c r="D8612"/>
      <c r="E8612"/>
      <c r="F8612"/>
      <c r="G8612"/>
      <c r="H8612"/>
    </row>
    <row r="8613" spans="3:8" x14ac:dyDescent="0.3">
      <c r="C8613"/>
      <c r="D8613"/>
      <c r="E8613"/>
      <c r="F8613"/>
      <c r="G8613"/>
      <c r="H8613"/>
    </row>
    <row r="8614" spans="3:8" x14ac:dyDescent="0.3">
      <c r="C8614"/>
      <c r="D8614"/>
      <c r="E8614"/>
      <c r="F8614"/>
      <c r="G8614"/>
      <c r="H8614"/>
    </row>
    <row r="8615" spans="3:8" x14ac:dyDescent="0.3">
      <c r="C8615"/>
      <c r="D8615"/>
      <c r="E8615"/>
      <c r="F8615"/>
      <c r="G8615"/>
      <c r="H8615"/>
    </row>
    <row r="8616" spans="3:8" x14ac:dyDescent="0.3">
      <c r="C8616"/>
      <c r="D8616"/>
      <c r="E8616"/>
      <c r="F8616"/>
      <c r="G8616"/>
      <c r="H8616"/>
    </row>
    <row r="8617" spans="3:8" x14ac:dyDescent="0.3">
      <c r="C8617"/>
      <c r="D8617"/>
      <c r="E8617"/>
      <c r="F8617"/>
      <c r="G8617"/>
      <c r="H8617"/>
    </row>
    <row r="8618" spans="3:8" x14ac:dyDescent="0.3">
      <c r="C8618"/>
      <c r="D8618"/>
      <c r="E8618"/>
      <c r="F8618"/>
      <c r="G8618"/>
      <c r="H8618"/>
    </row>
    <row r="8619" spans="3:8" x14ac:dyDescent="0.3">
      <c r="C8619"/>
      <c r="D8619"/>
      <c r="E8619"/>
      <c r="F8619"/>
      <c r="G8619"/>
      <c r="H8619"/>
    </row>
    <row r="8620" spans="3:8" x14ac:dyDescent="0.3">
      <c r="C8620"/>
      <c r="D8620"/>
      <c r="E8620"/>
      <c r="F8620"/>
      <c r="G8620"/>
      <c r="H8620"/>
    </row>
    <row r="8621" spans="3:8" x14ac:dyDescent="0.3">
      <c r="C8621"/>
      <c r="D8621"/>
      <c r="E8621"/>
      <c r="F8621"/>
      <c r="G8621"/>
      <c r="H8621"/>
    </row>
    <row r="8622" spans="3:8" x14ac:dyDescent="0.3">
      <c r="C8622"/>
      <c r="D8622"/>
      <c r="E8622"/>
      <c r="F8622"/>
      <c r="G8622"/>
      <c r="H8622"/>
    </row>
    <row r="8623" spans="3:8" x14ac:dyDescent="0.3">
      <c r="C8623"/>
      <c r="D8623"/>
      <c r="E8623"/>
      <c r="F8623"/>
      <c r="G8623"/>
      <c r="H8623"/>
    </row>
    <row r="8624" spans="3:8" x14ac:dyDescent="0.3">
      <c r="C8624"/>
      <c r="D8624"/>
      <c r="E8624"/>
      <c r="F8624"/>
      <c r="G8624"/>
      <c r="H8624"/>
    </row>
    <row r="8625" spans="3:8" x14ac:dyDescent="0.3">
      <c r="C8625"/>
      <c r="D8625"/>
      <c r="E8625"/>
      <c r="F8625"/>
      <c r="G8625"/>
      <c r="H8625"/>
    </row>
    <row r="8626" spans="3:8" x14ac:dyDescent="0.3">
      <c r="C8626"/>
      <c r="D8626"/>
      <c r="E8626"/>
      <c r="F8626"/>
      <c r="G8626"/>
      <c r="H8626"/>
    </row>
    <row r="8627" spans="3:8" x14ac:dyDescent="0.3">
      <c r="C8627"/>
      <c r="D8627"/>
      <c r="E8627"/>
      <c r="F8627"/>
      <c r="G8627"/>
      <c r="H8627"/>
    </row>
    <row r="8628" spans="3:8" x14ac:dyDescent="0.3">
      <c r="C8628"/>
      <c r="D8628"/>
      <c r="E8628"/>
      <c r="F8628"/>
      <c r="G8628"/>
      <c r="H8628"/>
    </row>
    <row r="8629" spans="3:8" x14ac:dyDescent="0.3">
      <c r="C8629"/>
      <c r="D8629"/>
      <c r="E8629"/>
      <c r="F8629"/>
      <c r="G8629"/>
      <c r="H8629"/>
    </row>
    <row r="8630" spans="3:8" x14ac:dyDescent="0.3">
      <c r="C8630"/>
      <c r="D8630"/>
      <c r="E8630"/>
      <c r="F8630"/>
      <c r="G8630"/>
      <c r="H8630"/>
    </row>
    <row r="8631" spans="3:8" x14ac:dyDescent="0.3">
      <c r="C8631"/>
      <c r="D8631"/>
      <c r="E8631"/>
      <c r="F8631"/>
      <c r="G8631"/>
      <c r="H8631"/>
    </row>
    <row r="8632" spans="3:8" x14ac:dyDescent="0.3">
      <c r="C8632"/>
      <c r="D8632"/>
      <c r="E8632"/>
      <c r="F8632"/>
      <c r="G8632"/>
      <c r="H8632"/>
    </row>
    <row r="8633" spans="3:8" x14ac:dyDescent="0.3">
      <c r="C8633"/>
      <c r="D8633"/>
      <c r="E8633"/>
      <c r="F8633"/>
      <c r="G8633"/>
      <c r="H8633"/>
    </row>
    <row r="8634" spans="3:8" x14ac:dyDescent="0.3">
      <c r="C8634"/>
      <c r="D8634"/>
      <c r="E8634"/>
      <c r="F8634"/>
      <c r="G8634"/>
      <c r="H8634"/>
    </row>
    <row r="8635" spans="3:8" x14ac:dyDescent="0.3">
      <c r="C8635"/>
      <c r="D8635"/>
      <c r="E8635"/>
      <c r="F8635"/>
      <c r="G8635"/>
      <c r="H8635"/>
    </row>
    <row r="8636" spans="3:8" x14ac:dyDescent="0.3">
      <c r="C8636"/>
      <c r="D8636"/>
      <c r="E8636"/>
      <c r="F8636"/>
      <c r="G8636"/>
      <c r="H8636"/>
    </row>
    <row r="8637" spans="3:8" x14ac:dyDescent="0.3">
      <c r="C8637"/>
      <c r="D8637"/>
      <c r="E8637"/>
      <c r="F8637"/>
      <c r="G8637"/>
      <c r="H8637"/>
    </row>
    <row r="8638" spans="3:8" x14ac:dyDescent="0.3">
      <c r="C8638"/>
      <c r="D8638"/>
      <c r="E8638"/>
      <c r="F8638"/>
      <c r="G8638"/>
      <c r="H8638"/>
    </row>
    <row r="8639" spans="3:8" x14ac:dyDescent="0.3">
      <c r="C8639"/>
      <c r="D8639"/>
      <c r="E8639"/>
      <c r="F8639"/>
      <c r="G8639"/>
      <c r="H8639"/>
    </row>
    <row r="8640" spans="3:8" x14ac:dyDescent="0.3">
      <c r="C8640"/>
      <c r="D8640"/>
      <c r="E8640"/>
      <c r="F8640"/>
      <c r="G8640"/>
      <c r="H8640"/>
    </row>
    <row r="8641" spans="3:8" x14ac:dyDescent="0.3">
      <c r="C8641"/>
      <c r="D8641"/>
      <c r="E8641"/>
      <c r="F8641"/>
      <c r="G8641"/>
      <c r="H8641"/>
    </row>
    <row r="8642" spans="3:8" x14ac:dyDescent="0.3">
      <c r="C8642"/>
      <c r="D8642"/>
      <c r="E8642"/>
      <c r="F8642"/>
      <c r="G8642"/>
      <c r="H8642"/>
    </row>
    <row r="8643" spans="3:8" x14ac:dyDescent="0.3">
      <c r="C8643"/>
      <c r="D8643"/>
      <c r="E8643"/>
      <c r="F8643"/>
      <c r="G8643"/>
      <c r="H8643"/>
    </row>
    <row r="8644" spans="3:8" x14ac:dyDescent="0.3">
      <c r="C8644"/>
      <c r="D8644"/>
      <c r="E8644"/>
      <c r="F8644"/>
      <c r="G8644"/>
      <c r="H8644"/>
    </row>
    <row r="8645" spans="3:8" x14ac:dyDescent="0.3">
      <c r="C8645"/>
      <c r="D8645"/>
      <c r="E8645"/>
      <c r="F8645"/>
      <c r="G8645"/>
      <c r="H8645"/>
    </row>
    <row r="8646" spans="3:8" x14ac:dyDescent="0.3">
      <c r="C8646"/>
      <c r="D8646"/>
      <c r="E8646"/>
      <c r="F8646"/>
      <c r="G8646"/>
      <c r="H8646"/>
    </row>
    <row r="8647" spans="3:8" x14ac:dyDescent="0.3">
      <c r="C8647"/>
      <c r="D8647"/>
      <c r="E8647"/>
      <c r="F8647"/>
      <c r="G8647"/>
      <c r="H8647"/>
    </row>
    <row r="8648" spans="3:8" x14ac:dyDescent="0.3">
      <c r="C8648"/>
      <c r="D8648"/>
      <c r="E8648"/>
      <c r="F8648"/>
      <c r="G8648"/>
      <c r="H8648"/>
    </row>
    <row r="8649" spans="3:8" x14ac:dyDescent="0.3">
      <c r="C8649"/>
      <c r="D8649"/>
      <c r="E8649"/>
      <c r="F8649"/>
      <c r="G8649"/>
      <c r="H8649"/>
    </row>
    <row r="8650" spans="3:8" x14ac:dyDescent="0.3">
      <c r="C8650"/>
      <c r="D8650"/>
      <c r="E8650"/>
      <c r="F8650"/>
      <c r="G8650"/>
      <c r="H8650"/>
    </row>
    <row r="8651" spans="3:8" x14ac:dyDescent="0.3">
      <c r="C8651"/>
      <c r="D8651"/>
      <c r="E8651"/>
      <c r="F8651"/>
      <c r="G8651"/>
      <c r="H8651"/>
    </row>
    <row r="8652" spans="3:8" x14ac:dyDescent="0.3">
      <c r="C8652"/>
      <c r="D8652"/>
      <c r="E8652"/>
      <c r="F8652"/>
      <c r="G8652"/>
      <c r="H8652"/>
    </row>
    <row r="8653" spans="3:8" x14ac:dyDescent="0.3">
      <c r="C8653"/>
      <c r="D8653"/>
      <c r="E8653"/>
      <c r="F8653"/>
      <c r="G8653"/>
      <c r="H8653"/>
    </row>
    <row r="8654" spans="3:8" x14ac:dyDescent="0.3">
      <c r="C8654"/>
      <c r="D8654"/>
      <c r="E8654"/>
      <c r="F8654"/>
      <c r="G8654"/>
      <c r="H8654"/>
    </row>
    <row r="8655" spans="3:8" x14ac:dyDescent="0.3">
      <c r="C8655"/>
      <c r="D8655"/>
      <c r="E8655"/>
      <c r="F8655"/>
      <c r="G8655"/>
      <c r="H8655"/>
    </row>
    <row r="8656" spans="3:8" x14ac:dyDescent="0.3">
      <c r="C8656"/>
      <c r="D8656"/>
      <c r="E8656"/>
      <c r="F8656"/>
      <c r="G8656"/>
      <c r="H8656"/>
    </row>
    <row r="8657" spans="3:8" x14ac:dyDescent="0.3">
      <c r="C8657"/>
      <c r="D8657"/>
      <c r="E8657"/>
      <c r="F8657"/>
      <c r="G8657"/>
      <c r="H8657"/>
    </row>
    <row r="8658" spans="3:8" x14ac:dyDescent="0.3">
      <c r="C8658"/>
      <c r="D8658"/>
      <c r="E8658"/>
      <c r="F8658"/>
      <c r="G8658"/>
      <c r="H8658"/>
    </row>
    <row r="8659" spans="3:8" x14ac:dyDescent="0.3">
      <c r="C8659"/>
      <c r="D8659"/>
      <c r="E8659"/>
      <c r="F8659"/>
      <c r="G8659"/>
      <c r="H8659"/>
    </row>
    <row r="8660" spans="3:8" x14ac:dyDescent="0.3">
      <c r="C8660"/>
      <c r="D8660"/>
      <c r="E8660"/>
      <c r="F8660"/>
      <c r="G8660"/>
      <c r="H8660"/>
    </row>
    <row r="8661" spans="3:8" x14ac:dyDescent="0.3">
      <c r="C8661"/>
      <c r="D8661"/>
      <c r="E8661"/>
      <c r="F8661"/>
      <c r="G8661"/>
      <c r="H8661"/>
    </row>
    <row r="8662" spans="3:8" x14ac:dyDescent="0.3">
      <c r="C8662"/>
      <c r="D8662"/>
      <c r="E8662"/>
      <c r="F8662"/>
      <c r="G8662"/>
      <c r="H8662"/>
    </row>
    <row r="8663" spans="3:8" x14ac:dyDescent="0.3">
      <c r="C8663"/>
      <c r="D8663"/>
      <c r="E8663"/>
      <c r="F8663"/>
      <c r="G8663"/>
      <c r="H8663"/>
    </row>
    <row r="8664" spans="3:8" x14ac:dyDescent="0.3">
      <c r="C8664"/>
      <c r="D8664"/>
      <c r="E8664"/>
      <c r="F8664"/>
      <c r="G8664"/>
      <c r="H8664"/>
    </row>
    <row r="8665" spans="3:8" x14ac:dyDescent="0.3">
      <c r="C8665"/>
      <c r="D8665"/>
      <c r="E8665"/>
      <c r="F8665"/>
      <c r="G8665"/>
      <c r="H8665"/>
    </row>
    <row r="8666" spans="3:8" x14ac:dyDescent="0.3">
      <c r="C8666"/>
      <c r="D8666"/>
      <c r="E8666"/>
      <c r="F8666"/>
      <c r="G8666"/>
      <c r="H8666"/>
    </row>
    <row r="8667" spans="3:8" x14ac:dyDescent="0.3">
      <c r="C8667"/>
      <c r="D8667"/>
      <c r="E8667"/>
      <c r="F8667"/>
      <c r="G8667"/>
      <c r="H8667"/>
    </row>
    <row r="8668" spans="3:8" x14ac:dyDescent="0.3">
      <c r="C8668"/>
      <c r="D8668"/>
      <c r="E8668"/>
      <c r="F8668"/>
      <c r="G8668"/>
      <c r="H8668"/>
    </row>
    <row r="8669" spans="3:8" x14ac:dyDescent="0.3">
      <c r="C8669"/>
      <c r="D8669"/>
      <c r="E8669"/>
      <c r="F8669"/>
      <c r="G8669"/>
      <c r="H8669"/>
    </row>
    <row r="8670" spans="3:8" x14ac:dyDescent="0.3">
      <c r="C8670"/>
      <c r="D8670"/>
      <c r="E8670"/>
      <c r="F8670"/>
      <c r="G8670"/>
      <c r="H8670"/>
    </row>
    <row r="8671" spans="3:8" x14ac:dyDescent="0.3">
      <c r="C8671"/>
      <c r="D8671"/>
      <c r="E8671"/>
      <c r="F8671"/>
      <c r="G8671"/>
      <c r="H8671"/>
    </row>
    <row r="8672" spans="3:8" x14ac:dyDescent="0.3">
      <c r="C8672"/>
      <c r="D8672"/>
      <c r="E8672"/>
      <c r="F8672"/>
      <c r="G8672"/>
      <c r="H8672"/>
    </row>
    <row r="8673" spans="3:8" x14ac:dyDescent="0.3">
      <c r="C8673"/>
      <c r="D8673"/>
      <c r="E8673"/>
      <c r="F8673"/>
      <c r="G8673"/>
      <c r="H8673"/>
    </row>
    <row r="8674" spans="3:8" x14ac:dyDescent="0.3">
      <c r="C8674"/>
      <c r="D8674"/>
      <c r="E8674"/>
      <c r="F8674"/>
      <c r="G8674"/>
      <c r="H8674"/>
    </row>
    <row r="8675" spans="3:8" x14ac:dyDescent="0.3">
      <c r="C8675"/>
      <c r="D8675"/>
      <c r="E8675"/>
      <c r="F8675"/>
      <c r="G8675"/>
      <c r="H8675"/>
    </row>
    <row r="8676" spans="3:8" x14ac:dyDescent="0.3">
      <c r="C8676"/>
      <c r="D8676"/>
      <c r="E8676"/>
      <c r="F8676"/>
      <c r="G8676"/>
      <c r="H8676"/>
    </row>
    <row r="8677" spans="3:8" x14ac:dyDescent="0.3">
      <c r="C8677"/>
      <c r="D8677"/>
      <c r="E8677"/>
      <c r="F8677"/>
      <c r="G8677"/>
      <c r="H8677"/>
    </row>
    <row r="8678" spans="3:8" x14ac:dyDescent="0.3">
      <c r="C8678"/>
      <c r="D8678"/>
      <c r="E8678"/>
      <c r="F8678"/>
      <c r="G8678"/>
      <c r="H8678"/>
    </row>
    <row r="8679" spans="3:8" x14ac:dyDescent="0.3">
      <c r="C8679"/>
      <c r="D8679"/>
      <c r="E8679"/>
      <c r="F8679"/>
      <c r="G8679"/>
      <c r="H8679"/>
    </row>
    <row r="8680" spans="3:8" x14ac:dyDescent="0.3">
      <c r="C8680"/>
      <c r="D8680"/>
      <c r="E8680"/>
      <c r="F8680"/>
      <c r="G8680"/>
      <c r="H8680"/>
    </row>
    <row r="8681" spans="3:8" x14ac:dyDescent="0.3">
      <c r="C8681"/>
      <c r="D8681"/>
      <c r="E8681"/>
      <c r="F8681"/>
      <c r="G8681"/>
      <c r="H8681"/>
    </row>
    <row r="8682" spans="3:8" x14ac:dyDescent="0.3">
      <c r="C8682"/>
      <c r="D8682"/>
      <c r="E8682"/>
      <c r="F8682"/>
      <c r="G8682"/>
      <c r="H8682"/>
    </row>
    <row r="8683" spans="3:8" x14ac:dyDescent="0.3">
      <c r="C8683"/>
      <c r="D8683"/>
      <c r="E8683"/>
      <c r="F8683"/>
      <c r="G8683"/>
      <c r="H8683"/>
    </row>
    <row r="8684" spans="3:8" x14ac:dyDescent="0.3">
      <c r="C8684"/>
      <c r="D8684"/>
      <c r="E8684"/>
      <c r="F8684"/>
      <c r="G8684"/>
      <c r="H8684"/>
    </row>
    <row r="8685" spans="3:8" x14ac:dyDescent="0.3">
      <c r="C8685"/>
      <c r="D8685"/>
      <c r="E8685"/>
      <c r="F8685"/>
      <c r="G8685"/>
      <c r="H8685"/>
    </row>
    <row r="8686" spans="3:8" x14ac:dyDescent="0.3">
      <c r="C8686"/>
      <c r="D8686"/>
      <c r="E8686"/>
      <c r="F8686"/>
      <c r="G8686"/>
      <c r="H8686"/>
    </row>
    <row r="8687" spans="3:8" x14ac:dyDescent="0.3">
      <c r="C8687"/>
      <c r="D8687"/>
      <c r="E8687"/>
      <c r="F8687"/>
      <c r="G8687"/>
      <c r="H8687"/>
    </row>
    <row r="8688" spans="3:8" x14ac:dyDescent="0.3">
      <c r="C8688"/>
      <c r="D8688"/>
      <c r="E8688"/>
      <c r="F8688"/>
      <c r="G8688"/>
      <c r="H8688"/>
    </row>
    <row r="8689" spans="3:8" x14ac:dyDescent="0.3">
      <c r="C8689"/>
      <c r="D8689"/>
      <c r="E8689"/>
      <c r="F8689"/>
      <c r="G8689"/>
      <c r="H8689"/>
    </row>
    <row r="8690" spans="3:8" x14ac:dyDescent="0.3">
      <c r="C8690"/>
      <c r="D8690"/>
      <c r="E8690"/>
      <c r="F8690"/>
      <c r="G8690"/>
      <c r="H8690"/>
    </row>
    <row r="8691" spans="3:8" x14ac:dyDescent="0.3">
      <c r="C8691"/>
      <c r="D8691"/>
      <c r="E8691"/>
      <c r="F8691"/>
      <c r="G8691"/>
      <c r="H8691"/>
    </row>
    <row r="8692" spans="3:8" x14ac:dyDescent="0.3">
      <c r="C8692"/>
      <c r="D8692"/>
      <c r="E8692"/>
      <c r="F8692"/>
      <c r="G8692"/>
      <c r="H8692"/>
    </row>
    <row r="8693" spans="3:8" x14ac:dyDescent="0.3">
      <c r="C8693"/>
      <c r="D8693"/>
      <c r="E8693"/>
      <c r="F8693"/>
      <c r="G8693"/>
      <c r="H8693"/>
    </row>
    <row r="8694" spans="3:8" x14ac:dyDescent="0.3">
      <c r="C8694"/>
      <c r="D8694"/>
      <c r="E8694"/>
      <c r="F8694"/>
      <c r="G8694"/>
      <c r="H8694"/>
    </row>
    <row r="8695" spans="3:8" x14ac:dyDescent="0.3">
      <c r="C8695"/>
      <c r="D8695"/>
      <c r="E8695"/>
      <c r="F8695"/>
      <c r="G8695"/>
      <c r="H8695"/>
    </row>
    <row r="8696" spans="3:8" x14ac:dyDescent="0.3">
      <c r="C8696"/>
      <c r="D8696"/>
      <c r="E8696"/>
      <c r="F8696"/>
      <c r="G8696"/>
      <c r="H8696"/>
    </row>
    <row r="8697" spans="3:8" x14ac:dyDescent="0.3">
      <c r="C8697"/>
      <c r="D8697"/>
      <c r="E8697"/>
      <c r="F8697"/>
      <c r="G8697"/>
      <c r="H8697"/>
    </row>
    <row r="8698" spans="3:8" x14ac:dyDescent="0.3">
      <c r="C8698"/>
      <c r="D8698"/>
      <c r="E8698"/>
      <c r="F8698"/>
      <c r="G8698"/>
      <c r="H8698"/>
    </row>
    <row r="8699" spans="3:8" x14ac:dyDescent="0.3">
      <c r="C8699"/>
      <c r="D8699"/>
      <c r="E8699"/>
      <c r="F8699"/>
      <c r="G8699"/>
      <c r="H8699"/>
    </row>
    <row r="8700" spans="3:8" x14ac:dyDescent="0.3">
      <c r="C8700"/>
      <c r="D8700"/>
      <c r="E8700"/>
      <c r="F8700"/>
      <c r="G8700"/>
      <c r="H8700"/>
    </row>
    <row r="8701" spans="3:8" x14ac:dyDescent="0.3">
      <c r="C8701"/>
      <c r="D8701"/>
      <c r="E8701"/>
      <c r="F8701"/>
      <c r="G8701"/>
      <c r="H8701"/>
    </row>
    <row r="8702" spans="3:8" x14ac:dyDescent="0.3">
      <c r="C8702"/>
      <c r="D8702"/>
      <c r="E8702"/>
      <c r="F8702"/>
      <c r="G8702"/>
      <c r="H8702"/>
    </row>
    <row r="8703" spans="3:8" x14ac:dyDescent="0.3">
      <c r="C8703"/>
      <c r="D8703"/>
      <c r="E8703"/>
      <c r="F8703"/>
      <c r="G8703"/>
      <c r="H8703"/>
    </row>
    <row r="8704" spans="3:8" x14ac:dyDescent="0.3">
      <c r="C8704"/>
      <c r="D8704"/>
      <c r="E8704"/>
      <c r="F8704"/>
      <c r="G8704"/>
      <c r="H8704"/>
    </row>
    <row r="8705" spans="3:8" x14ac:dyDescent="0.3">
      <c r="C8705"/>
      <c r="D8705"/>
      <c r="E8705"/>
      <c r="F8705"/>
      <c r="G8705"/>
      <c r="H8705"/>
    </row>
    <row r="8706" spans="3:8" x14ac:dyDescent="0.3">
      <c r="C8706"/>
      <c r="D8706"/>
      <c r="E8706"/>
      <c r="F8706"/>
      <c r="G8706"/>
      <c r="H8706"/>
    </row>
    <row r="8707" spans="3:8" x14ac:dyDescent="0.3">
      <c r="C8707"/>
      <c r="D8707"/>
      <c r="E8707"/>
      <c r="F8707"/>
      <c r="G8707"/>
      <c r="H8707"/>
    </row>
    <row r="8708" spans="3:8" x14ac:dyDescent="0.3">
      <c r="C8708"/>
      <c r="D8708"/>
      <c r="E8708"/>
      <c r="F8708"/>
      <c r="G8708"/>
      <c r="H8708"/>
    </row>
    <row r="8709" spans="3:8" x14ac:dyDescent="0.3">
      <c r="C8709"/>
      <c r="D8709"/>
      <c r="E8709"/>
      <c r="F8709"/>
      <c r="G8709"/>
      <c r="H8709"/>
    </row>
    <row r="8710" spans="3:8" x14ac:dyDescent="0.3">
      <c r="C8710"/>
      <c r="D8710"/>
      <c r="E8710"/>
      <c r="F8710"/>
      <c r="G8710"/>
      <c r="H8710"/>
    </row>
    <row r="8711" spans="3:8" x14ac:dyDescent="0.3">
      <c r="C8711"/>
      <c r="D8711"/>
      <c r="E8711"/>
      <c r="F8711"/>
      <c r="G8711"/>
      <c r="H8711"/>
    </row>
    <row r="8712" spans="3:8" x14ac:dyDescent="0.3">
      <c r="C8712"/>
      <c r="D8712"/>
      <c r="E8712"/>
      <c r="F8712"/>
      <c r="G8712"/>
      <c r="H8712"/>
    </row>
    <row r="8713" spans="3:8" x14ac:dyDescent="0.3">
      <c r="C8713"/>
      <c r="D8713"/>
      <c r="E8713"/>
      <c r="F8713"/>
      <c r="G8713"/>
      <c r="H8713"/>
    </row>
    <row r="8714" spans="3:8" x14ac:dyDescent="0.3">
      <c r="C8714"/>
      <c r="D8714"/>
      <c r="E8714"/>
      <c r="F8714"/>
      <c r="G8714"/>
      <c r="H8714"/>
    </row>
    <row r="8715" spans="3:8" x14ac:dyDescent="0.3">
      <c r="C8715"/>
      <c r="D8715"/>
      <c r="E8715"/>
      <c r="F8715"/>
      <c r="G8715"/>
      <c r="H8715"/>
    </row>
    <row r="8716" spans="3:8" x14ac:dyDescent="0.3">
      <c r="C8716"/>
      <c r="D8716"/>
      <c r="E8716"/>
      <c r="F8716"/>
      <c r="G8716"/>
      <c r="H8716"/>
    </row>
    <row r="8717" spans="3:8" x14ac:dyDescent="0.3">
      <c r="C8717"/>
      <c r="D8717"/>
      <c r="E8717"/>
      <c r="F8717"/>
      <c r="G8717"/>
      <c r="H8717"/>
    </row>
    <row r="8718" spans="3:8" x14ac:dyDescent="0.3">
      <c r="C8718"/>
      <c r="D8718"/>
      <c r="E8718"/>
      <c r="F8718"/>
      <c r="G8718"/>
      <c r="H8718"/>
    </row>
    <row r="8719" spans="3:8" x14ac:dyDescent="0.3">
      <c r="C8719"/>
      <c r="D8719"/>
      <c r="E8719"/>
      <c r="F8719"/>
      <c r="G8719"/>
      <c r="H8719"/>
    </row>
    <row r="8720" spans="3:8" x14ac:dyDescent="0.3">
      <c r="C8720"/>
      <c r="D8720"/>
      <c r="E8720"/>
      <c r="F8720"/>
      <c r="G8720"/>
      <c r="H8720"/>
    </row>
    <row r="8721" spans="3:8" x14ac:dyDescent="0.3">
      <c r="C8721"/>
      <c r="D8721"/>
      <c r="E8721"/>
      <c r="F8721"/>
      <c r="G8721"/>
      <c r="H8721"/>
    </row>
    <row r="8722" spans="3:8" x14ac:dyDescent="0.3">
      <c r="C8722"/>
      <c r="D8722"/>
      <c r="E8722"/>
      <c r="F8722"/>
      <c r="G8722"/>
      <c r="H8722"/>
    </row>
    <row r="8723" spans="3:8" x14ac:dyDescent="0.3">
      <c r="C8723"/>
      <c r="D8723"/>
      <c r="E8723"/>
      <c r="F8723"/>
      <c r="G8723"/>
      <c r="H8723"/>
    </row>
    <row r="8724" spans="3:8" x14ac:dyDescent="0.3">
      <c r="C8724"/>
      <c r="D8724"/>
      <c r="E8724"/>
      <c r="F8724"/>
      <c r="G8724"/>
      <c r="H8724"/>
    </row>
    <row r="8725" spans="3:8" x14ac:dyDescent="0.3">
      <c r="C8725"/>
      <c r="D8725"/>
      <c r="E8725"/>
      <c r="F8725"/>
      <c r="G8725"/>
      <c r="H8725"/>
    </row>
    <row r="8726" spans="3:8" x14ac:dyDescent="0.3">
      <c r="C8726"/>
      <c r="D8726"/>
      <c r="E8726"/>
      <c r="F8726"/>
      <c r="G8726"/>
      <c r="H8726"/>
    </row>
    <row r="8727" spans="3:8" x14ac:dyDescent="0.3">
      <c r="C8727"/>
      <c r="D8727"/>
      <c r="E8727"/>
      <c r="F8727"/>
      <c r="G8727"/>
      <c r="H8727"/>
    </row>
    <row r="8728" spans="3:8" x14ac:dyDescent="0.3">
      <c r="C8728"/>
      <c r="D8728"/>
      <c r="E8728"/>
      <c r="F8728"/>
      <c r="G8728"/>
      <c r="H8728"/>
    </row>
    <row r="8729" spans="3:8" x14ac:dyDescent="0.3">
      <c r="C8729"/>
      <c r="D8729"/>
      <c r="E8729"/>
      <c r="F8729"/>
      <c r="G8729"/>
      <c r="H8729"/>
    </row>
    <row r="8730" spans="3:8" x14ac:dyDescent="0.3">
      <c r="C8730"/>
      <c r="D8730"/>
      <c r="E8730"/>
      <c r="F8730"/>
      <c r="G8730"/>
      <c r="H8730"/>
    </row>
    <row r="8731" spans="3:8" x14ac:dyDescent="0.3">
      <c r="C8731"/>
      <c r="D8731"/>
      <c r="E8731"/>
      <c r="F8731"/>
      <c r="G8731"/>
      <c r="H8731"/>
    </row>
    <row r="8732" spans="3:8" x14ac:dyDescent="0.3">
      <c r="C8732"/>
      <c r="D8732"/>
      <c r="E8732"/>
      <c r="F8732"/>
      <c r="G8732"/>
      <c r="H8732"/>
    </row>
    <row r="8733" spans="3:8" x14ac:dyDescent="0.3">
      <c r="C8733"/>
      <c r="D8733"/>
      <c r="E8733"/>
      <c r="F8733"/>
      <c r="G8733"/>
      <c r="H8733"/>
    </row>
    <row r="8734" spans="3:8" x14ac:dyDescent="0.3">
      <c r="C8734"/>
      <c r="D8734"/>
      <c r="E8734"/>
      <c r="F8734"/>
      <c r="G8734"/>
      <c r="H8734"/>
    </row>
    <row r="8735" spans="3:8" x14ac:dyDescent="0.3">
      <c r="C8735"/>
      <c r="D8735"/>
      <c r="E8735"/>
      <c r="F8735"/>
      <c r="G8735"/>
      <c r="H8735"/>
    </row>
    <row r="8736" spans="3:8" x14ac:dyDescent="0.3">
      <c r="C8736"/>
      <c r="D8736"/>
      <c r="E8736"/>
      <c r="F8736"/>
      <c r="G8736"/>
      <c r="H8736"/>
    </row>
    <row r="8737" spans="3:8" x14ac:dyDescent="0.3">
      <c r="C8737"/>
      <c r="D8737"/>
      <c r="E8737"/>
      <c r="F8737"/>
      <c r="G8737"/>
      <c r="H8737"/>
    </row>
    <row r="8738" spans="3:8" x14ac:dyDescent="0.3">
      <c r="C8738"/>
      <c r="D8738"/>
      <c r="E8738"/>
      <c r="F8738"/>
      <c r="G8738"/>
      <c r="H8738"/>
    </row>
    <row r="8739" spans="3:8" x14ac:dyDescent="0.3">
      <c r="C8739"/>
      <c r="D8739"/>
      <c r="E8739"/>
      <c r="F8739"/>
      <c r="G8739"/>
      <c r="H8739"/>
    </row>
    <row r="8740" spans="3:8" x14ac:dyDescent="0.3">
      <c r="C8740"/>
      <c r="D8740"/>
      <c r="E8740"/>
      <c r="F8740"/>
      <c r="G8740"/>
      <c r="H8740"/>
    </row>
    <row r="8741" spans="3:8" x14ac:dyDescent="0.3">
      <c r="C8741"/>
      <c r="D8741"/>
      <c r="E8741"/>
      <c r="F8741"/>
      <c r="G8741"/>
      <c r="H8741"/>
    </row>
    <row r="8742" spans="3:8" x14ac:dyDescent="0.3">
      <c r="C8742"/>
      <c r="D8742"/>
      <c r="E8742"/>
      <c r="F8742"/>
      <c r="G8742"/>
      <c r="H8742"/>
    </row>
    <row r="8743" spans="3:8" x14ac:dyDescent="0.3">
      <c r="C8743"/>
      <c r="D8743"/>
      <c r="E8743"/>
      <c r="F8743"/>
      <c r="G8743"/>
      <c r="H8743"/>
    </row>
    <row r="8744" spans="3:8" x14ac:dyDescent="0.3">
      <c r="C8744"/>
      <c r="D8744"/>
      <c r="E8744"/>
      <c r="F8744"/>
      <c r="G8744"/>
      <c r="H8744"/>
    </row>
    <row r="8745" spans="3:8" x14ac:dyDescent="0.3">
      <c r="C8745"/>
      <c r="D8745"/>
      <c r="E8745"/>
      <c r="F8745"/>
      <c r="G8745"/>
      <c r="H8745"/>
    </row>
    <row r="8746" spans="3:8" x14ac:dyDescent="0.3">
      <c r="C8746"/>
      <c r="D8746"/>
      <c r="E8746"/>
      <c r="F8746"/>
      <c r="G8746"/>
      <c r="H8746"/>
    </row>
    <row r="8747" spans="3:8" x14ac:dyDescent="0.3">
      <c r="C8747"/>
      <c r="D8747"/>
      <c r="E8747"/>
      <c r="F8747"/>
      <c r="G8747"/>
      <c r="H8747"/>
    </row>
    <row r="8748" spans="3:8" x14ac:dyDescent="0.3">
      <c r="C8748"/>
      <c r="D8748"/>
      <c r="E8748"/>
      <c r="F8748"/>
      <c r="G8748"/>
      <c r="H8748"/>
    </row>
    <row r="8749" spans="3:8" x14ac:dyDescent="0.3">
      <c r="C8749"/>
      <c r="D8749"/>
      <c r="E8749"/>
      <c r="F8749"/>
      <c r="G8749"/>
      <c r="H8749"/>
    </row>
    <row r="8750" spans="3:8" x14ac:dyDescent="0.3">
      <c r="C8750"/>
      <c r="D8750"/>
      <c r="E8750"/>
      <c r="F8750"/>
      <c r="G8750"/>
      <c r="H8750"/>
    </row>
    <row r="8751" spans="3:8" x14ac:dyDescent="0.3">
      <c r="C8751"/>
      <c r="D8751"/>
      <c r="E8751"/>
      <c r="F8751"/>
      <c r="G8751"/>
      <c r="H8751"/>
    </row>
    <row r="8752" spans="3:8" x14ac:dyDescent="0.3">
      <c r="C8752"/>
      <c r="D8752"/>
      <c r="E8752"/>
      <c r="F8752"/>
      <c r="G8752"/>
      <c r="H8752"/>
    </row>
    <row r="8753" spans="3:8" x14ac:dyDescent="0.3">
      <c r="C8753"/>
      <c r="D8753"/>
      <c r="E8753"/>
      <c r="F8753"/>
      <c r="G8753"/>
      <c r="H8753"/>
    </row>
    <row r="8754" spans="3:8" x14ac:dyDescent="0.3">
      <c r="C8754"/>
      <c r="D8754"/>
      <c r="E8754"/>
      <c r="F8754"/>
      <c r="G8754"/>
      <c r="H8754"/>
    </row>
    <row r="8755" spans="3:8" x14ac:dyDescent="0.3">
      <c r="C8755"/>
      <c r="D8755"/>
      <c r="E8755"/>
      <c r="F8755"/>
      <c r="G8755"/>
      <c r="H8755"/>
    </row>
    <row r="8756" spans="3:8" x14ac:dyDescent="0.3">
      <c r="C8756"/>
      <c r="D8756"/>
      <c r="E8756"/>
      <c r="F8756"/>
      <c r="G8756"/>
      <c r="H8756"/>
    </row>
    <row r="8757" spans="3:8" x14ac:dyDescent="0.3">
      <c r="C8757"/>
      <c r="D8757"/>
      <c r="E8757"/>
      <c r="F8757"/>
      <c r="G8757"/>
      <c r="H8757"/>
    </row>
    <row r="8758" spans="3:8" x14ac:dyDescent="0.3">
      <c r="C8758"/>
      <c r="D8758"/>
      <c r="E8758"/>
      <c r="F8758"/>
      <c r="G8758"/>
      <c r="H8758"/>
    </row>
    <row r="8759" spans="3:8" x14ac:dyDescent="0.3">
      <c r="C8759"/>
      <c r="D8759"/>
      <c r="E8759"/>
      <c r="F8759"/>
      <c r="G8759"/>
      <c r="H8759"/>
    </row>
    <row r="8760" spans="3:8" x14ac:dyDescent="0.3">
      <c r="C8760"/>
      <c r="D8760"/>
      <c r="E8760"/>
      <c r="F8760"/>
      <c r="G8760"/>
      <c r="H8760"/>
    </row>
    <row r="8761" spans="3:8" x14ac:dyDescent="0.3">
      <c r="C8761"/>
      <c r="D8761"/>
      <c r="E8761"/>
      <c r="F8761"/>
      <c r="G8761"/>
      <c r="H8761"/>
    </row>
    <row r="8762" spans="3:8" x14ac:dyDescent="0.3">
      <c r="C8762"/>
      <c r="D8762"/>
      <c r="E8762"/>
      <c r="F8762"/>
      <c r="G8762"/>
      <c r="H8762"/>
    </row>
    <row r="8763" spans="3:8" x14ac:dyDescent="0.3">
      <c r="C8763"/>
      <c r="D8763"/>
      <c r="E8763"/>
      <c r="F8763"/>
      <c r="G8763"/>
      <c r="H8763"/>
    </row>
    <row r="8764" spans="3:8" x14ac:dyDescent="0.3">
      <c r="C8764"/>
      <c r="D8764"/>
      <c r="E8764"/>
      <c r="F8764"/>
      <c r="G8764"/>
      <c r="H8764"/>
    </row>
    <row r="8765" spans="3:8" x14ac:dyDescent="0.3">
      <c r="C8765"/>
      <c r="D8765"/>
      <c r="E8765"/>
      <c r="F8765"/>
      <c r="G8765"/>
      <c r="H8765"/>
    </row>
    <row r="8766" spans="3:8" x14ac:dyDescent="0.3">
      <c r="C8766"/>
      <c r="D8766"/>
      <c r="E8766"/>
      <c r="F8766"/>
      <c r="G8766"/>
      <c r="H8766"/>
    </row>
    <row r="8767" spans="3:8" x14ac:dyDescent="0.3">
      <c r="C8767"/>
      <c r="D8767"/>
      <c r="E8767"/>
      <c r="F8767"/>
      <c r="G8767"/>
      <c r="H8767"/>
    </row>
    <row r="8768" spans="3:8" x14ac:dyDescent="0.3">
      <c r="C8768"/>
      <c r="D8768"/>
      <c r="E8768"/>
      <c r="F8768"/>
      <c r="G8768"/>
      <c r="H8768"/>
    </row>
    <row r="8769" spans="3:8" x14ac:dyDescent="0.3">
      <c r="C8769"/>
      <c r="D8769"/>
      <c r="E8769"/>
      <c r="F8769"/>
      <c r="G8769"/>
      <c r="H8769"/>
    </row>
    <row r="8770" spans="3:8" x14ac:dyDescent="0.3">
      <c r="C8770"/>
      <c r="D8770"/>
      <c r="E8770"/>
      <c r="F8770"/>
      <c r="G8770"/>
      <c r="H8770"/>
    </row>
    <row r="8771" spans="3:8" x14ac:dyDescent="0.3">
      <c r="C8771"/>
      <c r="D8771"/>
      <c r="E8771"/>
      <c r="F8771"/>
      <c r="G8771"/>
      <c r="H8771"/>
    </row>
    <row r="8772" spans="3:8" x14ac:dyDescent="0.3">
      <c r="C8772"/>
      <c r="D8772"/>
      <c r="E8772"/>
      <c r="F8772"/>
      <c r="G8772"/>
      <c r="H8772"/>
    </row>
    <row r="8773" spans="3:8" x14ac:dyDescent="0.3">
      <c r="C8773"/>
      <c r="D8773"/>
      <c r="E8773"/>
      <c r="F8773"/>
      <c r="G8773"/>
      <c r="H8773"/>
    </row>
    <row r="8774" spans="3:8" x14ac:dyDescent="0.3">
      <c r="C8774"/>
      <c r="D8774"/>
      <c r="E8774"/>
      <c r="F8774"/>
      <c r="G8774"/>
      <c r="H8774"/>
    </row>
    <row r="8775" spans="3:8" x14ac:dyDescent="0.3">
      <c r="C8775"/>
      <c r="D8775"/>
      <c r="E8775"/>
      <c r="F8775"/>
      <c r="G8775"/>
      <c r="H8775"/>
    </row>
    <row r="8776" spans="3:8" x14ac:dyDescent="0.3">
      <c r="C8776"/>
      <c r="D8776"/>
      <c r="E8776"/>
      <c r="F8776"/>
      <c r="G8776"/>
      <c r="H8776"/>
    </row>
    <row r="8777" spans="3:8" x14ac:dyDescent="0.3">
      <c r="C8777"/>
      <c r="D8777"/>
      <c r="E8777"/>
      <c r="F8777"/>
      <c r="G8777"/>
      <c r="H8777"/>
    </row>
    <row r="8778" spans="3:8" x14ac:dyDescent="0.3">
      <c r="C8778"/>
      <c r="D8778"/>
      <c r="E8778"/>
      <c r="F8778"/>
      <c r="G8778"/>
      <c r="H8778"/>
    </row>
    <row r="8779" spans="3:8" x14ac:dyDescent="0.3">
      <c r="C8779"/>
      <c r="D8779"/>
      <c r="E8779"/>
      <c r="F8779"/>
      <c r="G8779"/>
      <c r="H8779"/>
    </row>
    <row r="8780" spans="3:8" x14ac:dyDescent="0.3">
      <c r="C8780"/>
      <c r="D8780"/>
      <c r="E8780"/>
      <c r="F8780"/>
      <c r="G8780"/>
      <c r="H8780"/>
    </row>
    <row r="8781" spans="3:8" x14ac:dyDescent="0.3">
      <c r="C8781"/>
      <c r="D8781"/>
      <c r="E8781"/>
      <c r="F8781"/>
      <c r="G8781"/>
      <c r="H8781"/>
    </row>
    <row r="8782" spans="3:8" x14ac:dyDescent="0.3">
      <c r="C8782"/>
      <c r="D8782"/>
      <c r="E8782"/>
      <c r="F8782"/>
      <c r="G8782"/>
      <c r="H8782"/>
    </row>
    <row r="8783" spans="3:8" x14ac:dyDescent="0.3">
      <c r="C8783"/>
      <c r="D8783"/>
      <c r="E8783"/>
      <c r="F8783"/>
      <c r="G8783"/>
      <c r="H8783"/>
    </row>
    <row r="8784" spans="3:8" x14ac:dyDescent="0.3">
      <c r="C8784"/>
      <c r="D8784"/>
      <c r="E8784"/>
      <c r="F8784"/>
      <c r="G8784"/>
      <c r="H8784"/>
    </row>
    <row r="8785" spans="3:8" x14ac:dyDescent="0.3">
      <c r="C8785"/>
      <c r="D8785"/>
      <c r="E8785"/>
      <c r="F8785"/>
      <c r="G8785"/>
      <c r="H8785"/>
    </row>
    <row r="8786" spans="3:8" x14ac:dyDescent="0.3">
      <c r="C8786"/>
      <c r="D8786"/>
      <c r="E8786"/>
      <c r="F8786"/>
      <c r="G8786"/>
      <c r="H8786"/>
    </row>
    <row r="8787" spans="3:8" x14ac:dyDescent="0.3">
      <c r="C8787"/>
      <c r="D8787"/>
      <c r="E8787"/>
      <c r="F8787"/>
      <c r="G8787"/>
      <c r="H8787"/>
    </row>
    <row r="8788" spans="3:8" x14ac:dyDescent="0.3">
      <c r="C8788"/>
      <c r="D8788"/>
      <c r="E8788"/>
      <c r="F8788"/>
      <c r="G8788"/>
      <c r="H8788"/>
    </row>
    <row r="8789" spans="3:8" x14ac:dyDescent="0.3">
      <c r="C8789"/>
      <c r="D8789"/>
      <c r="E8789"/>
      <c r="F8789"/>
      <c r="G8789"/>
      <c r="H8789"/>
    </row>
    <row r="8790" spans="3:8" x14ac:dyDescent="0.3">
      <c r="C8790"/>
      <c r="D8790"/>
      <c r="E8790"/>
      <c r="F8790"/>
      <c r="G8790"/>
      <c r="H8790"/>
    </row>
    <row r="8791" spans="3:8" x14ac:dyDescent="0.3">
      <c r="C8791"/>
      <c r="D8791"/>
      <c r="E8791"/>
      <c r="F8791"/>
      <c r="G8791"/>
      <c r="H8791"/>
    </row>
    <row r="8792" spans="3:8" x14ac:dyDescent="0.3">
      <c r="C8792"/>
      <c r="D8792"/>
      <c r="E8792"/>
      <c r="F8792"/>
      <c r="G8792"/>
      <c r="H8792"/>
    </row>
    <row r="8793" spans="3:8" x14ac:dyDescent="0.3">
      <c r="C8793"/>
      <c r="D8793"/>
      <c r="E8793"/>
      <c r="F8793"/>
      <c r="G8793"/>
      <c r="H8793"/>
    </row>
    <row r="8794" spans="3:8" x14ac:dyDescent="0.3">
      <c r="C8794"/>
      <c r="D8794"/>
      <c r="E8794"/>
      <c r="F8794"/>
      <c r="G8794"/>
      <c r="H8794"/>
    </row>
    <row r="8795" spans="3:8" x14ac:dyDescent="0.3">
      <c r="C8795"/>
      <c r="D8795"/>
      <c r="E8795"/>
      <c r="F8795"/>
      <c r="G8795"/>
      <c r="H8795"/>
    </row>
    <row r="8796" spans="3:8" x14ac:dyDescent="0.3">
      <c r="C8796"/>
      <c r="D8796"/>
      <c r="E8796"/>
      <c r="F8796"/>
      <c r="G8796"/>
      <c r="H8796"/>
    </row>
    <row r="8797" spans="3:8" x14ac:dyDescent="0.3">
      <c r="C8797"/>
      <c r="D8797"/>
      <c r="E8797"/>
      <c r="F8797"/>
      <c r="G8797"/>
      <c r="H8797"/>
    </row>
    <row r="8798" spans="3:8" x14ac:dyDescent="0.3">
      <c r="C8798"/>
      <c r="D8798"/>
      <c r="E8798"/>
      <c r="F8798"/>
      <c r="G8798"/>
      <c r="H8798"/>
    </row>
    <row r="8799" spans="3:8" x14ac:dyDescent="0.3">
      <c r="C8799"/>
      <c r="D8799"/>
      <c r="E8799"/>
      <c r="F8799"/>
      <c r="G8799"/>
      <c r="H8799"/>
    </row>
    <row r="8800" spans="3:8" x14ac:dyDescent="0.3">
      <c r="C8800"/>
      <c r="D8800"/>
      <c r="E8800"/>
      <c r="F8800"/>
      <c r="G8800"/>
      <c r="H8800"/>
    </row>
    <row r="8801" spans="3:8" x14ac:dyDescent="0.3">
      <c r="C8801"/>
      <c r="D8801"/>
      <c r="E8801"/>
      <c r="F8801"/>
      <c r="G8801"/>
      <c r="H8801"/>
    </row>
    <row r="8802" spans="3:8" x14ac:dyDescent="0.3">
      <c r="C8802"/>
      <c r="D8802"/>
      <c r="E8802"/>
      <c r="F8802"/>
      <c r="G8802"/>
      <c r="H8802"/>
    </row>
    <row r="8803" spans="3:8" x14ac:dyDescent="0.3">
      <c r="C8803"/>
      <c r="D8803"/>
      <c r="E8803"/>
      <c r="F8803"/>
      <c r="G8803"/>
      <c r="H8803"/>
    </row>
    <row r="8804" spans="3:8" x14ac:dyDescent="0.3">
      <c r="C8804"/>
      <c r="D8804"/>
      <c r="E8804"/>
      <c r="F8804"/>
      <c r="G8804"/>
      <c r="H8804"/>
    </row>
    <row r="8805" spans="3:8" x14ac:dyDescent="0.3">
      <c r="C8805"/>
      <c r="D8805"/>
      <c r="E8805"/>
      <c r="F8805"/>
      <c r="G8805"/>
      <c r="H8805"/>
    </row>
    <row r="8806" spans="3:8" x14ac:dyDescent="0.3">
      <c r="C8806"/>
      <c r="D8806"/>
      <c r="E8806"/>
      <c r="F8806"/>
      <c r="G8806"/>
      <c r="H8806"/>
    </row>
    <row r="8807" spans="3:8" x14ac:dyDescent="0.3">
      <c r="C8807"/>
      <c r="D8807"/>
      <c r="E8807"/>
      <c r="F8807"/>
      <c r="G8807"/>
      <c r="H8807"/>
    </row>
    <row r="8808" spans="3:8" x14ac:dyDescent="0.3">
      <c r="C8808"/>
      <c r="D8808"/>
      <c r="E8808"/>
      <c r="F8808"/>
      <c r="G8808"/>
      <c r="H8808"/>
    </row>
    <row r="8809" spans="3:8" x14ac:dyDescent="0.3">
      <c r="C8809"/>
      <c r="D8809"/>
      <c r="E8809"/>
      <c r="F8809"/>
      <c r="G8809"/>
      <c r="H8809"/>
    </row>
    <row r="8810" spans="3:8" x14ac:dyDescent="0.3">
      <c r="C8810"/>
      <c r="D8810"/>
      <c r="E8810"/>
      <c r="F8810"/>
      <c r="G8810"/>
      <c r="H8810"/>
    </row>
    <row r="8811" spans="3:8" x14ac:dyDescent="0.3">
      <c r="C8811"/>
      <c r="D8811"/>
      <c r="E8811"/>
      <c r="F8811"/>
      <c r="G8811"/>
      <c r="H8811"/>
    </row>
    <row r="8812" spans="3:8" x14ac:dyDescent="0.3">
      <c r="C8812"/>
      <c r="D8812"/>
      <c r="E8812"/>
      <c r="F8812"/>
      <c r="G8812"/>
      <c r="H8812"/>
    </row>
    <row r="8813" spans="3:8" x14ac:dyDescent="0.3">
      <c r="C8813"/>
      <c r="D8813"/>
      <c r="E8813"/>
      <c r="F8813"/>
      <c r="G8813"/>
      <c r="H8813"/>
    </row>
    <row r="8814" spans="3:8" x14ac:dyDescent="0.3">
      <c r="C8814"/>
      <c r="D8814"/>
      <c r="E8814"/>
      <c r="F8814"/>
      <c r="G8814"/>
      <c r="H8814"/>
    </row>
    <row r="8815" spans="3:8" x14ac:dyDescent="0.3">
      <c r="C8815"/>
      <c r="D8815"/>
      <c r="E8815"/>
      <c r="F8815"/>
      <c r="G8815"/>
      <c r="H8815"/>
    </row>
    <row r="8816" spans="3:8" x14ac:dyDescent="0.3">
      <c r="C8816"/>
      <c r="D8816"/>
      <c r="E8816"/>
      <c r="F8816"/>
      <c r="G8816"/>
      <c r="H8816"/>
    </row>
    <row r="8817" spans="3:8" x14ac:dyDescent="0.3">
      <c r="C8817"/>
      <c r="D8817"/>
      <c r="E8817"/>
      <c r="F8817"/>
      <c r="G8817"/>
      <c r="H8817"/>
    </row>
    <row r="8818" spans="3:8" x14ac:dyDescent="0.3">
      <c r="C8818"/>
      <c r="D8818"/>
      <c r="E8818"/>
      <c r="F8818"/>
      <c r="G8818"/>
      <c r="H8818"/>
    </row>
    <row r="8819" spans="3:8" x14ac:dyDescent="0.3">
      <c r="C8819"/>
      <c r="D8819"/>
      <c r="E8819"/>
      <c r="F8819"/>
      <c r="G8819"/>
      <c r="H8819"/>
    </row>
    <row r="8820" spans="3:8" x14ac:dyDescent="0.3">
      <c r="C8820"/>
      <c r="D8820"/>
      <c r="E8820"/>
      <c r="F8820"/>
      <c r="G8820"/>
      <c r="H8820"/>
    </row>
    <row r="8821" spans="3:8" x14ac:dyDescent="0.3">
      <c r="C8821"/>
      <c r="D8821"/>
      <c r="E8821"/>
      <c r="F8821"/>
      <c r="G8821"/>
      <c r="H8821"/>
    </row>
    <row r="8822" spans="3:8" x14ac:dyDescent="0.3">
      <c r="C8822"/>
      <c r="D8822"/>
      <c r="E8822"/>
      <c r="F8822"/>
      <c r="G8822"/>
      <c r="H8822"/>
    </row>
    <row r="8823" spans="3:8" x14ac:dyDescent="0.3">
      <c r="C8823"/>
      <c r="D8823"/>
      <c r="E8823"/>
      <c r="F8823"/>
      <c r="G8823"/>
      <c r="H8823"/>
    </row>
    <row r="8824" spans="3:8" x14ac:dyDescent="0.3">
      <c r="C8824"/>
      <c r="D8824"/>
      <c r="E8824"/>
      <c r="F8824"/>
      <c r="G8824"/>
      <c r="H8824"/>
    </row>
    <row r="8825" spans="3:8" x14ac:dyDescent="0.3">
      <c r="C8825"/>
      <c r="D8825"/>
      <c r="E8825"/>
      <c r="F8825"/>
      <c r="G8825"/>
      <c r="H8825"/>
    </row>
    <row r="8826" spans="3:8" x14ac:dyDescent="0.3">
      <c r="C8826"/>
      <c r="D8826"/>
      <c r="E8826"/>
      <c r="F8826"/>
      <c r="G8826"/>
      <c r="H8826"/>
    </row>
    <row r="8827" spans="3:8" x14ac:dyDescent="0.3">
      <c r="C8827"/>
      <c r="D8827"/>
      <c r="E8827"/>
      <c r="F8827"/>
      <c r="G8827"/>
      <c r="H8827"/>
    </row>
    <row r="8828" spans="3:8" x14ac:dyDescent="0.3">
      <c r="C8828"/>
      <c r="D8828"/>
      <c r="E8828"/>
      <c r="F8828"/>
      <c r="G8828"/>
      <c r="H8828"/>
    </row>
    <row r="8829" spans="3:8" x14ac:dyDescent="0.3">
      <c r="C8829"/>
      <c r="D8829"/>
      <c r="E8829"/>
      <c r="F8829"/>
      <c r="G8829"/>
      <c r="H8829"/>
    </row>
    <row r="8830" spans="3:8" x14ac:dyDescent="0.3">
      <c r="C8830"/>
      <c r="D8830"/>
      <c r="E8830"/>
      <c r="F8830"/>
      <c r="G8830"/>
      <c r="H8830"/>
    </row>
    <row r="8831" spans="3:8" x14ac:dyDescent="0.3">
      <c r="C8831"/>
      <c r="D8831"/>
      <c r="E8831"/>
      <c r="F8831"/>
      <c r="G8831"/>
      <c r="H8831"/>
    </row>
    <row r="8832" spans="3:8" x14ac:dyDescent="0.3">
      <c r="C8832"/>
      <c r="D8832"/>
      <c r="E8832"/>
      <c r="F8832"/>
      <c r="G8832"/>
      <c r="H8832"/>
    </row>
    <row r="8833" spans="3:8" x14ac:dyDescent="0.3">
      <c r="C8833"/>
      <c r="D8833"/>
      <c r="E8833"/>
      <c r="F8833"/>
      <c r="G8833"/>
      <c r="H8833"/>
    </row>
    <row r="8834" spans="3:8" x14ac:dyDescent="0.3">
      <c r="C8834"/>
      <c r="D8834"/>
      <c r="E8834"/>
      <c r="F8834"/>
      <c r="G8834"/>
      <c r="H8834"/>
    </row>
    <row r="8835" spans="3:8" x14ac:dyDescent="0.3">
      <c r="C8835"/>
      <c r="D8835"/>
      <c r="E8835"/>
      <c r="F8835"/>
      <c r="G8835"/>
      <c r="H8835"/>
    </row>
    <row r="8836" spans="3:8" x14ac:dyDescent="0.3">
      <c r="C8836"/>
      <c r="D8836"/>
      <c r="E8836"/>
      <c r="F8836"/>
      <c r="G8836"/>
      <c r="H8836"/>
    </row>
    <row r="8837" spans="3:8" x14ac:dyDescent="0.3">
      <c r="C8837"/>
      <c r="D8837"/>
      <c r="E8837"/>
      <c r="F8837"/>
      <c r="G8837"/>
      <c r="H8837"/>
    </row>
    <row r="8838" spans="3:8" x14ac:dyDescent="0.3">
      <c r="C8838"/>
      <c r="D8838"/>
      <c r="E8838"/>
      <c r="F8838"/>
      <c r="G8838"/>
      <c r="H8838"/>
    </row>
    <row r="8839" spans="3:8" x14ac:dyDescent="0.3">
      <c r="C8839"/>
      <c r="D8839"/>
      <c r="E8839"/>
      <c r="F8839"/>
      <c r="G8839"/>
      <c r="H8839"/>
    </row>
    <row r="8840" spans="3:8" x14ac:dyDescent="0.3">
      <c r="C8840"/>
      <c r="D8840"/>
      <c r="E8840"/>
      <c r="F8840"/>
      <c r="G8840"/>
      <c r="H8840"/>
    </row>
    <row r="8841" spans="3:8" x14ac:dyDescent="0.3">
      <c r="C8841"/>
      <c r="D8841"/>
      <c r="E8841"/>
      <c r="F8841"/>
      <c r="G8841"/>
      <c r="H8841"/>
    </row>
    <row r="8842" spans="3:8" x14ac:dyDescent="0.3">
      <c r="C8842"/>
      <c r="D8842"/>
      <c r="E8842"/>
      <c r="F8842"/>
      <c r="G8842"/>
      <c r="H8842"/>
    </row>
    <row r="8843" spans="3:8" x14ac:dyDescent="0.3">
      <c r="C8843"/>
      <c r="D8843"/>
      <c r="E8843"/>
      <c r="F8843"/>
      <c r="G8843"/>
      <c r="H8843"/>
    </row>
    <row r="8844" spans="3:8" x14ac:dyDescent="0.3">
      <c r="C8844"/>
      <c r="D8844"/>
      <c r="E8844"/>
      <c r="F8844"/>
      <c r="G8844"/>
      <c r="H8844"/>
    </row>
    <row r="8845" spans="3:8" x14ac:dyDescent="0.3">
      <c r="C8845"/>
      <c r="D8845"/>
      <c r="E8845"/>
      <c r="F8845"/>
      <c r="G8845"/>
      <c r="H8845"/>
    </row>
    <row r="8846" spans="3:8" x14ac:dyDescent="0.3">
      <c r="C8846"/>
      <c r="D8846"/>
      <c r="E8846"/>
      <c r="F8846"/>
      <c r="G8846"/>
      <c r="H8846"/>
    </row>
    <row r="8847" spans="3:8" x14ac:dyDescent="0.3">
      <c r="C8847"/>
      <c r="D8847"/>
      <c r="E8847"/>
      <c r="F8847"/>
      <c r="G8847"/>
      <c r="H8847"/>
    </row>
    <row r="8848" spans="3:8" x14ac:dyDescent="0.3">
      <c r="C8848"/>
      <c r="D8848"/>
      <c r="E8848"/>
      <c r="F8848"/>
      <c r="G8848"/>
      <c r="H8848"/>
    </row>
    <row r="8849" spans="3:8" x14ac:dyDescent="0.3">
      <c r="C8849"/>
      <c r="D8849"/>
      <c r="E8849"/>
      <c r="F8849"/>
      <c r="G8849"/>
      <c r="H8849"/>
    </row>
    <row r="8850" spans="3:8" x14ac:dyDescent="0.3">
      <c r="C8850"/>
      <c r="D8850"/>
      <c r="E8850"/>
      <c r="F8850"/>
      <c r="G8850"/>
      <c r="H8850"/>
    </row>
    <row r="8851" spans="3:8" x14ac:dyDescent="0.3">
      <c r="C8851"/>
      <c r="D8851"/>
      <c r="E8851"/>
      <c r="F8851"/>
      <c r="G8851"/>
      <c r="H8851"/>
    </row>
    <row r="8852" spans="3:8" x14ac:dyDescent="0.3">
      <c r="C8852"/>
      <c r="D8852"/>
      <c r="E8852"/>
      <c r="F8852"/>
      <c r="G8852"/>
      <c r="H8852"/>
    </row>
    <row r="8853" spans="3:8" x14ac:dyDescent="0.3">
      <c r="C8853"/>
      <c r="D8853"/>
      <c r="E8853"/>
      <c r="F8853"/>
      <c r="G8853"/>
      <c r="H8853"/>
    </row>
    <row r="8854" spans="3:8" x14ac:dyDescent="0.3">
      <c r="C8854"/>
      <c r="D8854"/>
      <c r="E8854"/>
      <c r="F8854"/>
      <c r="G8854"/>
      <c r="H8854"/>
    </row>
    <row r="8855" spans="3:8" x14ac:dyDescent="0.3">
      <c r="C8855"/>
      <c r="D8855"/>
      <c r="E8855"/>
      <c r="F8855"/>
      <c r="G8855"/>
      <c r="H8855"/>
    </row>
    <row r="8856" spans="3:8" x14ac:dyDescent="0.3">
      <c r="C8856"/>
      <c r="D8856"/>
      <c r="E8856"/>
      <c r="F8856"/>
      <c r="G8856"/>
      <c r="H8856"/>
    </row>
    <row r="8857" spans="3:8" x14ac:dyDescent="0.3">
      <c r="C8857"/>
      <c r="D8857"/>
      <c r="E8857"/>
      <c r="F8857"/>
      <c r="G8857"/>
      <c r="H8857"/>
    </row>
    <row r="8858" spans="3:8" x14ac:dyDescent="0.3">
      <c r="C8858"/>
      <c r="D8858"/>
      <c r="E8858"/>
      <c r="F8858"/>
      <c r="G8858"/>
      <c r="H8858"/>
    </row>
    <row r="8859" spans="3:8" x14ac:dyDescent="0.3">
      <c r="C8859"/>
      <c r="D8859"/>
      <c r="E8859"/>
      <c r="F8859"/>
      <c r="G8859"/>
      <c r="H8859"/>
    </row>
    <row r="8860" spans="3:8" x14ac:dyDescent="0.3">
      <c r="C8860"/>
      <c r="D8860"/>
      <c r="E8860"/>
      <c r="F8860"/>
      <c r="G8860"/>
      <c r="H8860"/>
    </row>
    <row r="8861" spans="3:8" x14ac:dyDescent="0.3">
      <c r="C8861"/>
      <c r="D8861"/>
      <c r="E8861"/>
      <c r="F8861"/>
      <c r="G8861"/>
      <c r="H8861"/>
    </row>
    <row r="8862" spans="3:8" x14ac:dyDescent="0.3">
      <c r="C8862"/>
      <c r="D8862"/>
      <c r="E8862"/>
      <c r="F8862"/>
      <c r="G8862"/>
      <c r="H8862"/>
    </row>
    <row r="8863" spans="3:8" x14ac:dyDescent="0.3">
      <c r="C8863"/>
      <c r="D8863"/>
      <c r="E8863"/>
      <c r="F8863"/>
      <c r="G8863"/>
      <c r="H8863"/>
    </row>
    <row r="8864" spans="3:8" x14ac:dyDescent="0.3">
      <c r="C8864"/>
      <c r="D8864"/>
      <c r="E8864"/>
      <c r="F8864"/>
      <c r="G8864"/>
      <c r="H8864"/>
    </row>
    <row r="8865" spans="3:8" x14ac:dyDescent="0.3">
      <c r="C8865"/>
      <c r="D8865"/>
      <c r="E8865"/>
      <c r="F8865"/>
      <c r="G8865"/>
      <c r="H8865"/>
    </row>
    <row r="8866" spans="3:8" x14ac:dyDescent="0.3">
      <c r="C8866"/>
      <c r="D8866"/>
      <c r="E8866"/>
      <c r="F8866"/>
      <c r="G8866"/>
      <c r="H8866"/>
    </row>
    <row r="8867" spans="3:8" x14ac:dyDescent="0.3">
      <c r="C8867"/>
      <c r="D8867"/>
      <c r="E8867"/>
      <c r="F8867"/>
      <c r="G8867"/>
      <c r="H8867"/>
    </row>
    <row r="8868" spans="3:8" x14ac:dyDescent="0.3">
      <c r="C8868"/>
      <c r="D8868"/>
      <c r="E8868"/>
      <c r="F8868"/>
      <c r="G8868"/>
      <c r="H8868"/>
    </row>
    <row r="8869" spans="3:8" x14ac:dyDescent="0.3">
      <c r="C8869"/>
      <c r="D8869"/>
      <c r="E8869"/>
      <c r="F8869"/>
      <c r="G8869"/>
      <c r="H8869"/>
    </row>
    <row r="8870" spans="3:8" x14ac:dyDescent="0.3">
      <c r="C8870"/>
      <c r="D8870"/>
      <c r="E8870"/>
      <c r="F8870"/>
      <c r="G8870"/>
      <c r="H8870"/>
    </row>
    <row r="8871" spans="3:8" x14ac:dyDescent="0.3">
      <c r="C8871"/>
      <c r="D8871"/>
      <c r="E8871"/>
      <c r="F8871"/>
      <c r="G8871"/>
      <c r="H8871"/>
    </row>
    <row r="8872" spans="3:8" x14ac:dyDescent="0.3">
      <c r="C8872"/>
      <c r="D8872"/>
      <c r="E8872"/>
      <c r="F8872"/>
      <c r="G8872"/>
      <c r="H8872"/>
    </row>
    <row r="8873" spans="3:8" x14ac:dyDescent="0.3">
      <c r="C8873"/>
      <c r="D8873"/>
      <c r="E8873"/>
      <c r="F8873"/>
      <c r="G8873"/>
      <c r="H8873"/>
    </row>
    <row r="8874" spans="3:8" x14ac:dyDescent="0.3">
      <c r="C8874"/>
      <c r="D8874"/>
      <c r="E8874"/>
      <c r="F8874"/>
      <c r="G8874"/>
      <c r="H8874"/>
    </row>
    <row r="8875" spans="3:8" x14ac:dyDescent="0.3">
      <c r="C8875"/>
      <c r="D8875"/>
      <c r="E8875"/>
      <c r="F8875"/>
      <c r="G8875"/>
      <c r="H8875"/>
    </row>
    <row r="8876" spans="3:8" x14ac:dyDescent="0.3">
      <c r="C8876"/>
      <c r="D8876"/>
      <c r="E8876"/>
      <c r="F8876"/>
      <c r="G8876"/>
      <c r="H8876"/>
    </row>
    <row r="8877" spans="3:8" x14ac:dyDescent="0.3">
      <c r="C8877"/>
      <c r="D8877"/>
      <c r="E8877"/>
      <c r="F8877"/>
      <c r="G8877"/>
      <c r="H8877"/>
    </row>
    <row r="8878" spans="3:8" x14ac:dyDescent="0.3">
      <c r="C8878"/>
      <c r="D8878"/>
      <c r="E8878"/>
      <c r="F8878"/>
      <c r="G8878"/>
      <c r="H8878"/>
    </row>
    <row r="8879" spans="3:8" x14ac:dyDescent="0.3">
      <c r="C8879"/>
      <c r="D8879"/>
      <c r="E8879"/>
      <c r="F8879"/>
      <c r="G8879"/>
      <c r="H8879"/>
    </row>
    <row r="8880" spans="3:8" x14ac:dyDescent="0.3">
      <c r="C8880"/>
      <c r="D8880"/>
      <c r="E8880"/>
      <c r="F8880"/>
      <c r="G8880"/>
      <c r="H8880"/>
    </row>
    <row r="8881" spans="3:8" x14ac:dyDescent="0.3">
      <c r="C8881"/>
      <c r="D8881"/>
      <c r="E8881"/>
      <c r="F8881"/>
      <c r="G8881"/>
      <c r="H8881"/>
    </row>
    <row r="8882" spans="3:8" x14ac:dyDescent="0.3">
      <c r="C8882"/>
      <c r="D8882"/>
      <c r="E8882"/>
      <c r="F8882"/>
      <c r="G8882"/>
      <c r="H8882"/>
    </row>
    <row r="8883" spans="3:8" x14ac:dyDescent="0.3">
      <c r="C8883"/>
      <c r="D8883"/>
      <c r="E8883"/>
      <c r="F8883"/>
      <c r="G8883"/>
      <c r="H8883"/>
    </row>
    <row r="8884" spans="3:8" x14ac:dyDescent="0.3">
      <c r="C8884"/>
      <c r="D8884"/>
      <c r="E8884"/>
      <c r="F8884"/>
      <c r="G8884"/>
      <c r="H8884"/>
    </row>
    <row r="8885" spans="3:8" x14ac:dyDescent="0.3">
      <c r="C8885"/>
      <c r="D8885"/>
      <c r="E8885"/>
      <c r="F8885"/>
      <c r="G8885"/>
      <c r="H8885"/>
    </row>
    <row r="8886" spans="3:8" x14ac:dyDescent="0.3">
      <c r="C8886"/>
      <c r="D8886"/>
      <c r="E8886"/>
      <c r="F8886"/>
      <c r="G8886"/>
      <c r="H8886"/>
    </row>
    <row r="8887" spans="3:8" x14ac:dyDescent="0.3">
      <c r="C8887"/>
      <c r="D8887"/>
      <c r="E8887"/>
      <c r="F8887"/>
      <c r="G8887"/>
      <c r="H8887"/>
    </row>
    <row r="8888" spans="3:8" x14ac:dyDescent="0.3">
      <c r="C8888"/>
      <c r="D8888"/>
      <c r="E8888"/>
      <c r="F8888"/>
      <c r="G8888"/>
      <c r="H8888"/>
    </row>
    <row r="8889" spans="3:8" x14ac:dyDescent="0.3">
      <c r="C8889"/>
      <c r="D8889"/>
      <c r="E8889"/>
      <c r="F8889"/>
      <c r="G8889"/>
      <c r="H8889"/>
    </row>
    <row r="8890" spans="3:8" x14ac:dyDescent="0.3">
      <c r="C8890"/>
      <c r="D8890"/>
      <c r="E8890"/>
      <c r="F8890"/>
      <c r="G8890"/>
      <c r="H8890"/>
    </row>
    <row r="8891" spans="3:8" x14ac:dyDescent="0.3">
      <c r="C8891"/>
      <c r="D8891"/>
      <c r="E8891"/>
      <c r="F8891"/>
      <c r="G8891"/>
      <c r="H8891"/>
    </row>
    <row r="8892" spans="3:8" x14ac:dyDescent="0.3">
      <c r="C8892"/>
      <c r="D8892"/>
      <c r="E8892"/>
      <c r="F8892"/>
      <c r="G8892"/>
      <c r="H8892"/>
    </row>
    <row r="8893" spans="3:8" x14ac:dyDescent="0.3">
      <c r="C8893"/>
      <c r="D8893"/>
      <c r="E8893"/>
      <c r="F8893"/>
      <c r="G8893"/>
      <c r="H8893"/>
    </row>
    <row r="8894" spans="3:8" x14ac:dyDescent="0.3">
      <c r="C8894"/>
      <c r="D8894"/>
      <c r="E8894"/>
      <c r="F8894"/>
      <c r="G8894"/>
      <c r="H8894"/>
    </row>
    <row r="8895" spans="3:8" x14ac:dyDescent="0.3">
      <c r="C8895"/>
      <c r="D8895"/>
      <c r="E8895"/>
      <c r="F8895"/>
      <c r="G8895"/>
      <c r="H8895"/>
    </row>
    <row r="8896" spans="3:8" x14ac:dyDescent="0.3">
      <c r="C8896"/>
      <c r="D8896"/>
      <c r="E8896"/>
      <c r="F8896"/>
      <c r="G8896"/>
      <c r="H8896"/>
    </row>
    <row r="8897" spans="3:8" x14ac:dyDescent="0.3">
      <c r="C8897"/>
      <c r="D8897"/>
      <c r="E8897"/>
      <c r="F8897"/>
      <c r="G8897"/>
      <c r="H8897"/>
    </row>
    <row r="8898" spans="3:8" x14ac:dyDescent="0.3">
      <c r="C8898"/>
      <c r="D8898"/>
      <c r="E8898"/>
      <c r="F8898"/>
      <c r="G8898"/>
      <c r="H8898"/>
    </row>
    <row r="8899" spans="3:8" x14ac:dyDescent="0.3">
      <c r="C8899"/>
      <c r="D8899"/>
      <c r="E8899"/>
      <c r="F8899"/>
      <c r="G8899"/>
      <c r="H8899"/>
    </row>
    <row r="8900" spans="3:8" x14ac:dyDescent="0.3">
      <c r="C8900"/>
      <c r="D8900"/>
      <c r="E8900"/>
      <c r="F8900"/>
      <c r="G8900"/>
      <c r="H8900"/>
    </row>
    <row r="8901" spans="3:8" x14ac:dyDescent="0.3">
      <c r="C8901"/>
      <c r="D8901"/>
      <c r="E8901"/>
      <c r="F8901"/>
      <c r="G8901"/>
      <c r="H8901"/>
    </row>
    <row r="8902" spans="3:8" x14ac:dyDescent="0.3">
      <c r="C8902"/>
      <c r="D8902"/>
      <c r="E8902"/>
      <c r="F8902"/>
      <c r="G8902"/>
      <c r="H8902"/>
    </row>
    <row r="8903" spans="3:8" x14ac:dyDescent="0.3">
      <c r="C8903"/>
      <c r="D8903"/>
      <c r="E8903"/>
      <c r="F8903"/>
      <c r="G8903"/>
      <c r="H8903"/>
    </row>
    <row r="8904" spans="3:8" x14ac:dyDescent="0.3">
      <c r="C8904"/>
      <c r="D8904"/>
      <c r="E8904"/>
      <c r="F8904"/>
      <c r="G8904"/>
      <c r="H8904"/>
    </row>
    <row r="8905" spans="3:8" x14ac:dyDescent="0.3">
      <c r="C8905"/>
      <c r="D8905"/>
      <c r="E8905"/>
      <c r="F8905"/>
      <c r="G8905"/>
      <c r="H8905"/>
    </row>
    <row r="8906" spans="3:8" x14ac:dyDescent="0.3">
      <c r="C8906"/>
      <c r="D8906"/>
      <c r="E8906"/>
      <c r="F8906"/>
      <c r="G8906"/>
      <c r="H8906"/>
    </row>
    <row r="8907" spans="3:8" x14ac:dyDescent="0.3">
      <c r="C8907"/>
      <c r="D8907"/>
      <c r="E8907"/>
      <c r="F8907"/>
      <c r="G8907"/>
      <c r="H8907"/>
    </row>
    <row r="8908" spans="3:8" x14ac:dyDescent="0.3">
      <c r="C8908"/>
      <c r="D8908"/>
      <c r="E8908"/>
      <c r="F8908"/>
      <c r="G8908"/>
      <c r="H8908"/>
    </row>
    <row r="8909" spans="3:8" x14ac:dyDescent="0.3">
      <c r="C8909"/>
      <c r="D8909"/>
      <c r="E8909"/>
      <c r="F8909"/>
      <c r="G8909"/>
      <c r="H8909"/>
    </row>
    <row r="8910" spans="3:8" x14ac:dyDescent="0.3">
      <c r="C8910"/>
      <c r="D8910"/>
      <c r="E8910"/>
      <c r="F8910"/>
      <c r="G8910"/>
      <c r="H8910"/>
    </row>
    <row r="8911" spans="3:8" x14ac:dyDescent="0.3">
      <c r="C8911"/>
      <c r="D8911"/>
      <c r="E8911"/>
      <c r="F8911"/>
      <c r="G8911"/>
      <c r="H8911"/>
    </row>
    <row r="8912" spans="3:8" x14ac:dyDescent="0.3">
      <c r="C8912"/>
      <c r="D8912"/>
      <c r="E8912"/>
      <c r="F8912"/>
      <c r="G8912"/>
      <c r="H8912"/>
    </row>
    <row r="8913" spans="3:8" x14ac:dyDescent="0.3">
      <c r="C8913"/>
      <c r="D8913"/>
      <c r="E8913"/>
      <c r="F8913"/>
      <c r="G8913"/>
      <c r="H8913"/>
    </row>
    <row r="8914" spans="3:8" x14ac:dyDescent="0.3">
      <c r="C8914"/>
      <c r="D8914"/>
      <c r="E8914"/>
      <c r="F8914"/>
      <c r="G8914"/>
      <c r="H8914"/>
    </row>
    <row r="8915" spans="3:8" x14ac:dyDescent="0.3">
      <c r="C8915"/>
      <c r="D8915"/>
      <c r="E8915"/>
      <c r="F8915"/>
      <c r="G8915"/>
      <c r="H8915"/>
    </row>
    <row r="8916" spans="3:8" x14ac:dyDescent="0.3">
      <c r="C8916"/>
      <c r="D8916"/>
      <c r="E8916"/>
      <c r="F8916"/>
      <c r="G8916"/>
      <c r="H8916"/>
    </row>
    <row r="8917" spans="3:8" x14ac:dyDescent="0.3">
      <c r="C8917"/>
      <c r="D8917"/>
      <c r="E8917"/>
      <c r="F8917"/>
      <c r="G8917"/>
      <c r="H8917"/>
    </row>
    <row r="8918" spans="3:8" x14ac:dyDescent="0.3">
      <c r="C8918"/>
      <c r="D8918"/>
      <c r="E8918"/>
      <c r="F8918"/>
      <c r="G8918"/>
      <c r="H8918"/>
    </row>
    <row r="8919" spans="3:8" x14ac:dyDescent="0.3">
      <c r="C8919"/>
      <c r="D8919"/>
      <c r="E8919"/>
      <c r="F8919"/>
      <c r="G8919"/>
      <c r="H8919"/>
    </row>
    <row r="8920" spans="3:8" x14ac:dyDescent="0.3">
      <c r="C8920"/>
      <c r="D8920"/>
      <c r="E8920"/>
      <c r="F8920"/>
      <c r="G8920"/>
      <c r="H8920"/>
    </row>
    <row r="8921" spans="3:8" x14ac:dyDescent="0.3">
      <c r="C8921"/>
      <c r="D8921"/>
      <c r="E8921"/>
      <c r="F8921"/>
      <c r="G8921"/>
      <c r="H8921"/>
    </row>
    <row r="8922" spans="3:8" x14ac:dyDescent="0.3">
      <c r="C8922"/>
      <c r="D8922"/>
      <c r="E8922"/>
      <c r="F8922"/>
      <c r="G8922"/>
      <c r="H8922"/>
    </row>
    <row r="8923" spans="3:8" x14ac:dyDescent="0.3">
      <c r="C8923"/>
      <c r="D8923"/>
      <c r="E8923"/>
      <c r="F8923"/>
      <c r="G8923"/>
      <c r="H8923"/>
    </row>
    <row r="8924" spans="3:8" x14ac:dyDescent="0.3">
      <c r="C8924"/>
      <c r="D8924"/>
      <c r="E8924"/>
      <c r="F8924"/>
      <c r="G8924"/>
      <c r="H8924"/>
    </row>
    <row r="8925" spans="3:8" x14ac:dyDescent="0.3">
      <c r="C8925"/>
      <c r="D8925"/>
      <c r="E8925"/>
      <c r="F8925"/>
      <c r="G8925"/>
      <c r="H8925"/>
    </row>
    <row r="8926" spans="3:8" x14ac:dyDescent="0.3">
      <c r="C8926"/>
      <c r="D8926"/>
      <c r="E8926"/>
      <c r="F8926"/>
      <c r="G8926"/>
      <c r="H8926"/>
    </row>
    <row r="8927" spans="3:8" x14ac:dyDescent="0.3">
      <c r="C8927"/>
      <c r="D8927"/>
      <c r="E8927"/>
      <c r="F8927"/>
      <c r="G8927"/>
      <c r="H8927"/>
    </row>
    <row r="8928" spans="3:8" x14ac:dyDescent="0.3">
      <c r="C8928"/>
      <c r="D8928"/>
      <c r="E8928"/>
      <c r="F8928"/>
      <c r="G8928"/>
      <c r="H8928"/>
    </row>
    <row r="8929" spans="3:8" x14ac:dyDescent="0.3">
      <c r="C8929"/>
      <c r="D8929"/>
      <c r="E8929"/>
      <c r="F8929"/>
      <c r="G8929"/>
      <c r="H8929"/>
    </row>
    <row r="8930" spans="3:8" x14ac:dyDescent="0.3">
      <c r="C8930"/>
      <c r="D8930"/>
      <c r="E8930"/>
      <c r="F8930"/>
      <c r="G8930"/>
      <c r="H8930"/>
    </row>
    <row r="8931" spans="3:8" x14ac:dyDescent="0.3">
      <c r="C8931"/>
      <c r="D8931"/>
      <c r="E8931"/>
      <c r="F8931"/>
      <c r="G8931"/>
      <c r="H8931"/>
    </row>
    <row r="8932" spans="3:8" x14ac:dyDescent="0.3">
      <c r="C8932"/>
      <c r="D8932"/>
      <c r="E8932"/>
      <c r="F8932"/>
      <c r="G8932"/>
      <c r="H8932"/>
    </row>
    <row r="8933" spans="3:8" x14ac:dyDescent="0.3">
      <c r="C8933"/>
      <c r="D8933"/>
      <c r="E8933"/>
      <c r="F8933"/>
      <c r="G8933"/>
      <c r="H8933"/>
    </row>
    <row r="8934" spans="3:8" x14ac:dyDescent="0.3">
      <c r="C8934"/>
      <c r="D8934"/>
      <c r="E8934"/>
      <c r="F8934"/>
      <c r="G8934"/>
      <c r="H8934"/>
    </row>
    <row r="8935" spans="3:8" x14ac:dyDescent="0.3">
      <c r="C8935"/>
      <c r="D8935"/>
      <c r="E8935"/>
      <c r="F8935"/>
      <c r="G8935"/>
      <c r="H8935"/>
    </row>
    <row r="8936" spans="3:8" x14ac:dyDescent="0.3">
      <c r="C8936"/>
      <c r="D8936"/>
      <c r="E8936"/>
      <c r="F8936"/>
      <c r="G8936"/>
      <c r="H8936"/>
    </row>
    <row r="8937" spans="3:8" x14ac:dyDescent="0.3">
      <c r="C8937"/>
      <c r="D8937"/>
      <c r="E8937"/>
      <c r="F8937"/>
      <c r="G8937"/>
      <c r="H8937"/>
    </row>
    <row r="8938" spans="3:8" x14ac:dyDescent="0.3">
      <c r="C8938"/>
      <c r="D8938"/>
      <c r="E8938"/>
      <c r="F8938"/>
      <c r="G8938"/>
      <c r="H8938"/>
    </row>
    <row r="8939" spans="3:8" x14ac:dyDescent="0.3">
      <c r="C8939"/>
      <c r="D8939"/>
      <c r="E8939"/>
      <c r="F8939"/>
      <c r="G8939"/>
      <c r="H8939"/>
    </row>
    <row r="8940" spans="3:8" x14ac:dyDescent="0.3">
      <c r="C8940"/>
      <c r="D8940"/>
      <c r="E8940"/>
      <c r="F8940"/>
      <c r="G8940"/>
      <c r="H8940"/>
    </row>
    <row r="8941" spans="3:8" x14ac:dyDescent="0.3">
      <c r="C8941"/>
      <c r="D8941"/>
      <c r="E8941"/>
      <c r="F8941"/>
      <c r="G8941"/>
      <c r="H8941"/>
    </row>
    <row r="8942" spans="3:8" x14ac:dyDescent="0.3">
      <c r="C8942"/>
      <c r="D8942"/>
      <c r="E8942"/>
      <c r="F8942"/>
      <c r="G8942"/>
      <c r="H8942"/>
    </row>
    <row r="8943" spans="3:8" x14ac:dyDescent="0.3">
      <c r="C8943"/>
      <c r="D8943"/>
      <c r="E8943"/>
      <c r="F8943"/>
      <c r="G8943"/>
      <c r="H8943"/>
    </row>
    <row r="8944" spans="3:8" x14ac:dyDescent="0.3">
      <c r="C8944"/>
      <c r="D8944"/>
      <c r="E8944"/>
      <c r="F8944"/>
      <c r="G8944"/>
      <c r="H8944"/>
    </row>
    <row r="8945" spans="3:8" x14ac:dyDescent="0.3">
      <c r="C8945"/>
      <c r="D8945"/>
      <c r="E8945"/>
      <c r="F8945"/>
      <c r="G8945"/>
      <c r="H8945"/>
    </row>
    <row r="8946" spans="3:8" x14ac:dyDescent="0.3">
      <c r="C8946"/>
      <c r="D8946"/>
      <c r="E8946"/>
      <c r="F8946"/>
      <c r="G8946"/>
      <c r="H8946"/>
    </row>
    <row r="8947" spans="3:8" x14ac:dyDescent="0.3">
      <c r="C8947"/>
      <c r="D8947"/>
      <c r="E8947"/>
      <c r="F8947"/>
      <c r="G8947"/>
      <c r="H8947"/>
    </row>
    <row r="8948" spans="3:8" x14ac:dyDescent="0.3">
      <c r="C8948"/>
      <c r="D8948"/>
      <c r="E8948"/>
      <c r="F8948"/>
      <c r="G8948"/>
      <c r="H8948"/>
    </row>
    <row r="8949" spans="3:8" x14ac:dyDescent="0.3">
      <c r="C8949"/>
      <c r="D8949"/>
      <c r="E8949"/>
      <c r="F8949"/>
      <c r="G8949"/>
      <c r="H8949"/>
    </row>
    <row r="8950" spans="3:8" x14ac:dyDescent="0.3">
      <c r="C8950"/>
      <c r="D8950"/>
      <c r="E8950"/>
      <c r="F8950"/>
      <c r="G8950"/>
      <c r="H8950"/>
    </row>
    <row r="8951" spans="3:8" x14ac:dyDescent="0.3">
      <c r="C8951"/>
      <c r="D8951"/>
      <c r="E8951"/>
      <c r="F8951"/>
      <c r="G8951"/>
      <c r="H8951"/>
    </row>
    <row r="8952" spans="3:8" x14ac:dyDescent="0.3">
      <c r="C8952"/>
      <c r="D8952"/>
      <c r="E8952"/>
      <c r="F8952"/>
      <c r="G8952"/>
      <c r="H8952"/>
    </row>
    <row r="8953" spans="3:8" x14ac:dyDescent="0.3">
      <c r="C8953"/>
      <c r="D8953"/>
      <c r="E8953"/>
      <c r="F8953"/>
      <c r="G8953"/>
      <c r="H8953"/>
    </row>
    <row r="8954" spans="3:8" x14ac:dyDescent="0.3">
      <c r="C8954"/>
      <c r="D8954"/>
      <c r="E8954"/>
      <c r="F8954"/>
      <c r="G8954"/>
      <c r="H8954"/>
    </row>
    <row r="8955" spans="3:8" x14ac:dyDescent="0.3">
      <c r="C8955"/>
      <c r="D8955"/>
      <c r="E8955"/>
      <c r="F8955"/>
      <c r="G8955"/>
      <c r="H8955"/>
    </row>
    <row r="8956" spans="3:8" x14ac:dyDescent="0.3">
      <c r="C8956"/>
      <c r="D8956"/>
      <c r="E8956"/>
      <c r="F8956"/>
      <c r="G8956"/>
      <c r="H8956"/>
    </row>
    <row r="8957" spans="3:8" x14ac:dyDescent="0.3">
      <c r="C8957"/>
      <c r="D8957"/>
      <c r="E8957"/>
      <c r="F8957"/>
      <c r="G8957"/>
      <c r="H8957"/>
    </row>
    <row r="8958" spans="3:8" x14ac:dyDescent="0.3">
      <c r="C8958"/>
      <c r="D8958"/>
      <c r="E8958"/>
      <c r="F8958"/>
      <c r="G8958"/>
      <c r="H8958"/>
    </row>
    <row r="8959" spans="3:8" x14ac:dyDescent="0.3">
      <c r="C8959"/>
      <c r="D8959"/>
      <c r="E8959"/>
      <c r="F8959"/>
      <c r="G8959"/>
      <c r="H8959"/>
    </row>
    <row r="8960" spans="3:8" x14ac:dyDescent="0.3">
      <c r="C8960"/>
      <c r="D8960"/>
      <c r="E8960"/>
      <c r="F8960"/>
      <c r="G8960"/>
      <c r="H8960"/>
    </row>
    <row r="8961" spans="3:8" x14ac:dyDescent="0.3">
      <c r="C8961"/>
      <c r="D8961"/>
      <c r="E8961"/>
      <c r="F8961"/>
      <c r="G8961"/>
      <c r="H8961"/>
    </row>
    <row r="8962" spans="3:8" x14ac:dyDescent="0.3">
      <c r="C8962"/>
      <c r="D8962"/>
      <c r="E8962"/>
      <c r="F8962"/>
      <c r="G8962"/>
      <c r="H8962"/>
    </row>
    <row r="8963" spans="3:8" x14ac:dyDescent="0.3">
      <c r="C8963"/>
      <c r="D8963"/>
      <c r="E8963"/>
      <c r="F8963"/>
      <c r="G8963"/>
      <c r="H8963"/>
    </row>
    <row r="8964" spans="3:8" x14ac:dyDescent="0.3">
      <c r="C8964"/>
      <c r="D8964"/>
      <c r="E8964"/>
      <c r="F8964"/>
      <c r="G8964"/>
      <c r="H8964"/>
    </row>
    <row r="8965" spans="3:8" x14ac:dyDescent="0.3">
      <c r="C8965"/>
      <c r="D8965"/>
      <c r="E8965"/>
      <c r="F8965"/>
      <c r="G8965"/>
      <c r="H8965"/>
    </row>
    <row r="8966" spans="3:8" x14ac:dyDescent="0.3">
      <c r="C8966"/>
      <c r="D8966"/>
      <c r="E8966"/>
      <c r="F8966"/>
      <c r="G8966"/>
      <c r="H8966"/>
    </row>
    <row r="8967" spans="3:8" x14ac:dyDescent="0.3">
      <c r="C8967"/>
      <c r="D8967"/>
      <c r="E8967"/>
      <c r="F8967"/>
      <c r="G8967"/>
      <c r="H8967"/>
    </row>
    <row r="8968" spans="3:8" x14ac:dyDescent="0.3">
      <c r="C8968"/>
      <c r="D8968"/>
      <c r="E8968"/>
      <c r="F8968"/>
      <c r="G8968"/>
      <c r="H8968"/>
    </row>
    <row r="8969" spans="3:8" x14ac:dyDescent="0.3">
      <c r="C8969"/>
      <c r="D8969"/>
      <c r="E8969"/>
      <c r="F8969"/>
      <c r="G8969"/>
      <c r="H8969"/>
    </row>
    <row r="8970" spans="3:8" x14ac:dyDescent="0.3">
      <c r="C8970"/>
      <c r="D8970"/>
      <c r="E8970"/>
      <c r="F8970"/>
      <c r="G8970"/>
      <c r="H8970"/>
    </row>
    <row r="8971" spans="3:8" x14ac:dyDescent="0.3">
      <c r="C8971"/>
      <c r="D8971"/>
      <c r="E8971"/>
      <c r="F8971"/>
      <c r="G8971"/>
      <c r="H8971"/>
    </row>
    <row r="8972" spans="3:8" x14ac:dyDescent="0.3">
      <c r="C8972"/>
      <c r="D8972"/>
      <c r="E8972"/>
      <c r="F8972"/>
      <c r="G8972"/>
      <c r="H8972"/>
    </row>
    <row r="8973" spans="3:8" x14ac:dyDescent="0.3">
      <c r="C8973"/>
      <c r="D8973"/>
      <c r="E8973"/>
      <c r="F8973"/>
      <c r="G8973"/>
      <c r="H8973"/>
    </row>
    <row r="8974" spans="3:8" x14ac:dyDescent="0.3">
      <c r="C8974"/>
      <c r="D8974"/>
      <c r="E8974"/>
      <c r="F8974"/>
      <c r="G8974"/>
      <c r="H8974"/>
    </row>
    <row r="8975" spans="3:8" x14ac:dyDescent="0.3">
      <c r="C8975"/>
      <c r="D8975"/>
      <c r="E8975"/>
      <c r="F8975"/>
      <c r="G8975"/>
      <c r="H8975"/>
    </row>
    <row r="8976" spans="3:8" x14ac:dyDescent="0.3">
      <c r="C8976"/>
      <c r="D8976"/>
      <c r="E8976"/>
      <c r="F8976"/>
      <c r="G8976"/>
      <c r="H8976"/>
    </row>
    <row r="8977" spans="3:8" x14ac:dyDescent="0.3">
      <c r="C8977"/>
      <c r="D8977"/>
      <c r="E8977"/>
      <c r="F8977"/>
      <c r="G8977"/>
      <c r="H8977"/>
    </row>
    <row r="8978" spans="3:8" x14ac:dyDescent="0.3">
      <c r="C8978"/>
      <c r="D8978"/>
      <c r="E8978"/>
      <c r="F8978"/>
      <c r="G8978"/>
      <c r="H8978"/>
    </row>
    <row r="8979" spans="3:8" x14ac:dyDescent="0.3">
      <c r="C8979"/>
      <c r="D8979"/>
      <c r="E8979"/>
      <c r="F8979"/>
      <c r="G8979"/>
      <c r="H8979"/>
    </row>
    <row r="8980" spans="3:8" x14ac:dyDescent="0.3">
      <c r="C8980"/>
      <c r="D8980"/>
      <c r="E8980"/>
      <c r="F8980"/>
      <c r="G8980"/>
      <c r="H8980"/>
    </row>
    <row r="8981" spans="3:8" x14ac:dyDescent="0.3">
      <c r="C8981"/>
      <c r="D8981"/>
      <c r="E8981"/>
      <c r="F8981"/>
      <c r="G8981"/>
      <c r="H8981"/>
    </row>
    <row r="8982" spans="3:8" x14ac:dyDescent="0.3">
      <c r="C8982"/>
      <c r="D8982"/>
      <c r="E8982"/>
      <c r="F8982"/>
      <c r="G8982"/>
      <c r="H8982"/>
    </row>
    <row r="8983" spans="3:8" x14ac:dyDescent="0.3">
      <c r="C8983"/>
      <c r="D8983"/>
      <c r="E8983"/>
      <c r="F8983"/>
      <c r="G8983"/>
      <c r="H8983"/>
    </row>
    <row r="8984" spans="3:8" x14ac:dyDescent="0.3">
      <c r="C8984"/>
      <c r="D8984"/>
      <c r="E8984"/>
      <c r="F8984"/>
      <c r="G8984"/>
      <c r="H8984"/>
    </row>
    <row r="8985" spans="3:8" x14ac:dyDescent="0.3">
      <c r="C8985"/>
      <c r="D8985"/>
      <c r="E8985"/>
      <c r="F8985"/>
      <c r="G8985"/>
      <c r="H8985"/>
    </row>
    <row r="8986" spans="3:8" x14ac:dyDescent="0.3">
      <c r="C8986"/>
      <c r="D8986"/>
      <c r="E8986"/>
      <c r="F8986"/>
      <c r="G8986"/>
      <c r="H8986"/>
    </row>
    <row r="8987" spans="3:8" x14ac:dyDescent="0.3">
      <c r="C8987"/>
      <c r="D8987"/>
      <c r="E8987"/>
      <c r="F8987"/>
      <c r="G8987"/>
      <c r="H8987"/>
    </row>
    <row r="8988" spans="3:8" x14ac:dyDescent="0.3">
      <c r="C8988"/>
      <c r="D8988"/>
      <c r="E8988"/>
      <c r="F8988"/>
      <c r="G8988"/>
      <c r="H8988"/>
    </row>
    <row r="8989" spans="3:8" x14ac:dyDescent="0.3">
      <c r="C8989"/>
      <c r="D8989"/>
      <c r="E8989"/>
      <c r="F8989"/>
      <c r="G8989"/>
      <c r="H8989"/>
    </row>
    <row r="8990" spans="3:8" x14ac:dyDescent="0.3">
      <c r="C8990"/>
      <c r="D8990"/>
      <c r="E8990"/>
      <c r="F8990"/>
      <c r="G8990"/>
      <c r="H8990"/>
    </row>
    <row r="8991" spans="3:8" x14ac:dyDescent="0.3">
      <c r="C8991"/>
      <c r="D8991"/>
      <c r="E8991"/>
      <c r="F8991"/>
      <c r="G8991"/>
      <c r="H8991"/>
    </row>
    <row r="8992" spans="3:8" x14ac:dyDescent="0.3">
      <c r="C8992"/>
      <c r="D8992"/>
      <c r="E8992"/>
      <c r="F8992"/>
      <c r="G8992"/>
      <c r="H8992"/>
    </row>
    <row r="8993" spans="3:8" x14ac:dyDescent="0.3">
      <c r="C8993"/>
      <c r="D8993"/>
      <c r="E8993"/>
      <c r="F8993"/>
      <c r="G8993"/>
      <c r="H8993"/>
    </row>
    <row r="8994" spans="3:8" x14ac:dyDescent="0.3">
      <c r="C8994"/>
      <c r="D8994"/>
      <c r="E8994"/>
      <c r="F8994"/>
      <c r="G8994"/>
      <c r="H8994"/>
    </row>
    <row r="8995" spans="3:8" x14ac:dyDescent="0.3">
      <c r="C8995"/>
      <c r="D8995"/>
      <c r="E8995"/>
      <c r="F8995"/>
      <c r="G8995"/>
      <c r="H8995"/>
    </row>
    <row r="8996" spans="3:8" x14ac:dyDescent="0.3">
      <c r="C8996"/>
      <c r="D8996"/>
      <c r="E8996"/>
      <c r="F8996"/>
      <c r="G8996"/>
      <c r="H8996"/>
    </row>
    <row r="8997" spans="3:8" x14ac:dyDescent="0.3">
      <c r="C8997"/>
      <c r="D8997"/>
      <c r="E8997"/>
      <c r="F8997"/>
      <c r="G8997"/>
      <c r="H8997"/>
    </row>
    <row r="8998" spans="3:8" x14ac:dyDescent="0.3">
      <c r="C8998"/>
      <c r="D8998"/>
      <c r="E8998"/>
      <c r="F8998"/>
      <c r="G8998"/>
      <c r="H8998"/>
    </row>
    <row r="8999" spans="3:8" x14ac:dyDescent="0.3">
      <c r="C8999"/>
      <c r="D8999"/>
      <c r="E8999"/>
      <c r="F8999"/>
      <c r="G8999"/>
      <c r="H8999"/>
    </row>
    <row r="9000" spans="3:8" x14ac:dyDescent="0.3">
      <c r="C9000"/>
      <c r="D9000"/>
      <c r="E9000"/>
      <c r="F9000"/>
      <c r="G9000"/>
      <c r="H9000"/>
    </row>
    <row r="9001" spans="3:8" x14ac:dyDescent="0.3">
      <c r="C9001"/>
      <c r="D9001"/>
      <c r="E9001"/>
      <c r="F9001"/>
      <c r="G9001"/>
      <c r="H9001"/>
    </row>
    <row r="9002" spans="3:8" x14ac:dyDescent="0.3">
      <c r="C9002"/>
      <c r="D9002"/>
      <c r="E9002"/>
      <c r="F9002"/>
      <c r="G9002"/>
      <c r="H9002"/>
    </row>
    <row r="9003" spans="3:8" x14ac:dyDescent="0.3">
      <c r="C9003"/>
      <c r="D9003"/>
      <c r="E9003"/>
      <c r="F9003"/>
      <c r="G9003"/>
      <c r="H9003"/>
    </row>
    <row r="9004" spans="3:8" x14ac:dyDescent="0.3">
      <c r="C9004"/>
      <c r="D9004"/>
      <c r="E9004"/>
      <c r="F9004"/>
      <c r="G9004"/>
      <c r="H9004"/>
    </row>
    <row r="9005" spans="3:8" x14ac:dyDescent="0.3">
      <c r="C9005"/>
      <c r="D9005"/>
      <c r="E9005"/>
      <c r="F9005"/>
      <c r="G9005"/>
      <c r="H9005"/>
    </row>
    <row r="9006" spans="3:8" x14ac:dyDescent="0.3">
      <c r="C9006"/>
      <c r="D9006"/>
      <c r="E9006"/>
      <c r="F9006"/>
      <c r="G9006"/>
      <c r="H9006"/>
    </row>
    <row r="9007" spans="3:8" x14ac:dyDescent="0.3">
      <c r="C9007"/>
      <c r="D9007"/>
      <c r="E9007"/>
      <c r="F9007"/>
      <c r="G9007"/>
      <c r="H9007"/>
    </row>
    <row r="9008" spans="3:8" x14ac:dyDescent="0.3">
      <c r="C9008"/>
      <c r="D9008"/>
      <c r="E9008"/>
      <c r="F9008"/>
      <c r="G9008"/>
      <c r="H9008"/>
    </row>
    <row r="9009" spans="3:8" x14ac:dyDescent="0.3">
      <c r="C9009"/>
      <c r="D9009"/>
      <c r="E9009"/>
      <c r="F9009"/>
      <c r="G9009"/>
      <c r="H9009"/>
    </row>
    <row r="9010" spans="3:8" x14ac:dyDescent="0.3">
      <c r="C9010"/>
      <c r="D9010"/>
      <c r="E9010"/>
      <c r="F9010"/>
      <c r="G9010"/>
      <c r="H9010"/>
    </row>
    <row r="9011" spans="3:8" x14ac:dyDescent="0.3">
      <c r="C9011"/>
      <c r="D9011"/>
      <c r="E9011"/>
      <c r="F9011"/>
      <c r="G9011"/>
      <c r="H9011"/>
    </row>
    <row r="9012" spans="3:8" x14ac:dyDescent="0.3">
      <c r="C9012"/>
      <c r="D9012"/>
      <c r="E9012"/>
      <c r="F9012"/>
      <c r="G9012"/>
      <c r="H9012"/>
    </row>
    <row r="9013" spans="3:8" x14ac:dyDescent="0.3">
      <c r="C9013"/>
      <c r="D9013"/>
      <c r="E9013"/>
      <c r="F9013"/>
      <c r="G9013"/>
      <c r="H9013"/>
    </row>
    <row r="9014" spans="3:8" x14ac:dyDescent="0.3">
      <c r="C9014"/>
      <c r="D9014"/>
      <c r="E9014"/>
      <c r="F9014"/>
      <c r="G9014"/>
      <c r="H9014"/>
    </row>
    <row r="9015" spans="3:8" x14ac:dyDescent="0.3">
      <c r="C9015"/>
      <c r="D9015"/>
      <c r="E9015"/>
      <c r="F9015"/>
      <c r="G9015"/>
      <c r="H9015"/>
    </row>
    <row r="9016" spans="3:8" x14ac:dyDescent="0.3">
      <c r="C9016"/>
      <c r="D9016"/>
      <c r="E9016"/>
      <c r="F9016"/>
      <c r="G9016"/>
      <c r="H9016"/>
    </row>
    <row r="9017" spans="3:8" x14ac:dyDescent="0.3">
      <c r="C9017"/>
      <c r="D9017"/>
      <c r="E9017"/>
      <c r="F9017"/>
      <c r="G9017"/>
      <c r="H9017"/>
    </row>
    <row r="9018" spans="3:8" x14ac:dyDescent="0.3">
      <c r="C9018"/>
      <c r="D9018"/>
      <c r="E9018"/>
      <c r="F9018"/>
      <c r="G9018"/>
      <c r="H9018"/>
    </row>
    <row r="9019" spans="3:8" x14ac:dyDescent="0.3">
      <c r="C9019"/>
      <c r="D9019"/>
      <c r="E9019"/>
      <c r="F9019"/>
      <c r="G9019"/>
      <c r="H9019"/>
    </row>
    <row r="9020" spans="3:8" x14ac:dyDescent="0.3">
      <c r="C9020"/>
      <c r="D9020"/>
      <c r="E9020"/>
      <c r="F9020"/>
      <c r="G9020"/>
      <c r="H9020"/>
    </row>
    <row r="9021" spans="3:8" x14ac:dyDescent="0.3">
      <c r="C9021"/>
      <c r="D9021"/>
      <c r="E9021"/>
      <c r="F9021"/>
      <c r="G9021"/>
      <c r="H9021"/>
    </row>
    <row r="9022" spans="3:8" x14ac:dyDescent="0.3">
      <c r="C9022"/>
      <c r="D9022"/>
      <c r="E9022"/>
      <c r="F9022"/>
      <c r="G9022"/>
      <c r="H9022"/>
    </row>
    <row r="9023" spans="3:8" x14ac:dyDescent="0.3">
      <c r="C9023"/>
      <c r="D9023"/>
      <c r="E9023"/>
      <c r="F9023"/>
      <c r="G9023"/>
      <c r="H9023"/>
    </row>
    <row r="9024" spans="3:8" x14ac:dyDescent="0.3">
      <c r="C9024"/>
      <c r="D9024"/>
      <c r="E9024"/>
      <c r="F9024"/>
      <c r="G9024"/>
      <c r="H9024"/>
    </row>
    <row r="9025" spans="3:8" x14ac:dyDescent="0.3">
      <c r="C9025"/>
      <c r="D9025"/>
      <c r="E9025"/>
      <c r="F9025"/>
      <c r="G9025"/>
      <c r="H9025"/>
    </row>
    <row r="9026" spans="3:8" x14ac:dyDescent="0.3">
      <c r="C9026"/>
      <c r="D9026"/>
      <c r="E9026"/>
      <c r="F9026"/>
      <c r="G9026"/>
      <c r="H9026"/>
    </row>
    <row r="9027" spans="3:8" x14ac:dyDescent="0.3">
      <c r="C9027"/>
      <c r="D9027"/>
      <c r="E9027"/>
      <c r="F9027"/>
      <c r="G9027"/>
      <c r="H9027"/>
    </row>
    <row r="9028" spans="3:8" x14ac:dyDescent="0.3">
      <c r="C9028"/>
      <c r="D9028"/>
      <c r="E9028"/>
      <c r="F9028"/>
      <c r="G9028"/>
      <c r="H9028"/>
    </row>
    <row r="9029" spans="3:8" x14ac:dyDescent="0.3">
      <c r="C9029"/>
      <c r="D9029"/>
      <c r="E9029"/>
      <c r="F9029"/>
      <c r="G9029"/>
      <c r="H9029"/>
    </row>
    <row r="9030" spans="3:8" x14ac:dyDescent="0.3">
      <c r="C9030"/>
      <c r="D9030"/>
      <c r="E9030"/>
      <c r="F9030"/>
      <c r="G9030"/>
      <c r="H9030"/>
    </row>
    <row r="9031" spans="3:8" x14ac:dyDescent="0.3">
      <c r="C9031"/>
      <c r="D9031"/>
      <c r="E9031"/>
      <c r="F9031"/>
      <c r="G9031"/>
      <c r="H9031"/>
    </row>
    <row r="9032" spans="3:8" x14ac:dyDescent="0.3">
      <c r="C9032"/>
      <c r="D9032"/>
      <c r="E9032"/>
      <c r="F9032"/>
      <c r="G9032"/>
      <c r="H9032"/>
    </row>
    <row r="9033" spans="3:8" x14ac:dyDescent="0.3">
      <c r="C9033"/>
      <c r="D9033"/>
      <c r="E9033"/>
      <c r="F9033"/>
      <c r="G9033"/>
      <c r="H9033"/>
    </row>
    <row r="9034" spans="3:8" x14ac:dyDescent="0.3">
      <c r="C9034"/>
      <c r="D9034"/>
      <c r="E9034"/>
      <c r="F9034"/>
      <c r="G9034"/>
      <c r="H9034"/>
    </row>
    <row r="9035" spans="3:8" x14ac:dyDescent="0.3">
      <c r="C9035"/>
      <c r="D9035"/>
      <c r="E9035"/>
      <c r="F9035"/>
      <c r="G9035"/>
      <c r="H9035"/>
    </row>
    <row r="9036" spans="3:8" x14ac:dyDescent="0.3">
      <c r="C9036"/>
      <c r="D9036"/>
      <c r="E9036"/>
      <c r="F9036"/>
      <c r="G9036"/>
      <c r="H9036"/>
    </row>
    <row r="9037" spans="3:8" x14ac:dyDescent="0.3">
      <c r="C9037"/>
      <c r="D9037"/>
      <c r="E9037"/>
      <c r="F9037"/>
      <c r="G9037"/>
      <c r="H9037"/>
    </row>
    <row r="9038" spans="3:8" x14ac:dyDescent="0.3">
      <c r="C9038"/>
      <c r="D9038"/>
      <c r="E9038"/>
      <c r="F9038"/>
      <c r="G9038"/>
      <c r="H9038"/>
    </row>
    <row r="9039" spans="3:8" x14ac:dyDescent="0.3">
      <c r="C9039"/>
      <c r="D9039"/>
      <c r="E9039"/>
      <c r="F9039"/>
      <c r="G9039"/>
      <c r="H9039"/>
    </row>
    <row r="9040" spans="3:8" x14ac:dyDescent="0.3">
      <c r="C9040"/>
      <c r="D9040"/>
      <c r="E9040"/>
      <c r="F9040"/>
      <c r="G9040"/>
      <c r="H9040"/>
    </row>
    <row r="9041" spans="3:8" x14ac:dyDescent="0.3">
      <c r="C9041"/>
      <c r="D9041"/>
      <c r="E9041"/>
      <c r="F9041"/>
      <c r="G9041"/>
      <c r="H9041"/>
    </row>
    <row r="9042" spans="3:8" x14ac:dyDescent="0.3">
      <c r="C9042"/>
      <c r="D9042"/>
      <c r="E9042"/>
      <c r="F9042"/>
      <c r="G9042"/>
      <c r="H9042"/>
    </row>
    <row r="9043" spans="3:8" x14ac:dyDescent="0.3">
      <c r="C9043"/>
      <c r="D9043"/>
      <c r="E9043"/>
      <c r="F9043"/>
      <c r="G9043"/>
      <c r="H9043"/>
    </row>
    <row r="9044" spans="3:8" x14ac:dyDescent="0.3">
      <c r="C9044"/>
      <c r="D9044"/>
      <c r="E9044"/>
      <c r="F9044"/>
      <c r="G9044"/>
      <c r="H9044"/>
    </row>
    <row r="9045" spans="3:8" x14ac:dyDescent="0.3">
      <c r="C9045"/>
      <c r="D9045"/>
      <c r="E9045"/>
      <c r="F9045"/>
      <c r="G9045"/>
      <c r="H9045"/>
    </row>
    <row r="9046" spans="3:8" x14ac:dyDescent="0.3">
      <c r="C9046"/>
      <c r="D9046"/>
      <c r="E9046"/>
      <c r="F9046"/>
      <c r="G9046"/>
      <c r="H9046"/>
    </row>
    <row r="9047" spans="3:8" x14ac:dyDescent="0.3">
      <c r="C9047"/>
      <c r="D9047"/>
      <c r="E9047"/>
      <c r="F9047"/>
      <c r="G9047"/>
      <c r="H9047"/>
    </row>
    <row r="9048" spans="3:8" x14ac:dyDescent="0.3">
      <c r="C9048"/>
      <c r="D9048"/>
      <c r="E9048"/>
      <c r="F9048"/>
      <c r="G9048"/>
      <c r="H9048"/>
    </row>
    <row r="9049" spans="3:8" x14ac:dyDescent="0.3">
      <c r="C9049"/>
      <c r="D9049"/>
      <c r="E9049"/>
      <c r="F9049"/>
      <c r="G9049"/>
      <c r="H9049"/>
    </row>
    <row r="9050" spans="3:8" x14ac:dyDescent="0.3">
      <c r="C9050"/>
      <c r="D9050"/>
      <c r="E9050"/>
      <c r="F9050"/>
      <c r="G9050"/>
      <c r="H9050"/>
    </row>
    <row r="9051" spans="3:8" x14ac:dyDescent="0.3">
      <c r="C9051"/>
      <c r="D9051"/>
      <c r="E9051"/>
      <c r="F9051"/>
      <c r="G9051"/>
      <c r="H9051"/>
    </row>
    <row r="9052" spans="3:8" x14ac:dyDescent="0.3">
      <c r="C9052"/>
      <c r="D9052"/>
      <c r="E9052"/>
      <c r="F9052"/>
      <c r="G9052"/>
      <c r="H9052"/>
    </row>
    <row r="9053" spans="3:8" x14ac:dyDescent="0.3">
      <c r="C9053"/>
      <c r="D9053"/>
      <c r="E9053"/>
      <c r="F9053"/>
      <c r="G9053"/>
      <c r="H9053"/>
    </row>
    <row r="9054" spans="3:8" x14ac:dyDescent="0.3">
      <c r="C9054"/>
      <c r="D9054"/>
      <c r="E9054"/>
      <c r="F9054"/>
      <c r="G9054"/>
      <c r="H9054"/>
    </row>
    <row r="9055" spans="3:8" x14ac:dyDescent="0.3">
      <c r="C9055"/>
      <c r="D9055"/>
      <c r="E9055"/>
      <c r="F9055"/>
      <c r="G9055"/>
      <c r="H9055"/>
    </row>
    <row r="9056" spans="3:8" x14ac:dyDescent="0.3">
      <c r="C9056"/>
      <c r="D9056"/>
      <c r="E9056"/>
      <c r="F9056"/>
      <c r="G9056"/>
      <c r="H9056"/>
    </row>
    <row r="9057" spans="3:8" x14ac:dyDescent="0.3">
      <c r="C9057"/>
      <c r="D9057"/>
      <c r="E9057"/>
      <c r="F9057"/>
      <c r="G9057"/>
      <c r="H9057"/>
    </row>
    <row r="9058" spans="3:8" x14ac:dyDescent="0.3">
      <c r="C9058"/>
      <c r="D9058"/>
      <c r="E9058"/>
      <c r="F9058"/>
      <c r="G9058"/>
      <c r="H9058"/>
    </row>
    <row r="9059" spans="3:8" x14ac:dyDescent="0.3">
      <c r="C9059"/>
      <c r="D9059"/>
      <c r="E9059"/>
      <c r="F9059"/>
      <c r="G9059"/>
      <c r="H9059"/>
    </row>
    <row r="9060" spans="3:8" x14ac:dyDescent="0.3">
      <c r="C9060"/>
      <c r="D9060"/>
      <c r="E9060"/>
      <c r="F9060"/>
      <c r="G9060"/>
      <c r="H9060"/>
    </row>
    <row r="9061" spans="3:8" x14ac:dyDescent="0.3">
      <c r="C9061"/>
      <c r="D9061"/>
      <c r="E9061"/>
      <c r="F9061"/>
      <c r="G9061"/>
      <c r="H9061"/>
    </row>
    <row r="9062" spans="3:8" x14ac:dyDescent="0.3">
      <c r="C9062"/>
      <c r="D9062"/>
      <c r="E9062"/>
      <c r="F9062"/>
      <c r="G9062"/>
      <c r="H9062"/>
    </row>
    <row r="9063" spans="3:8" x14ac:dyDescent="0.3">
      <c r="C9063"/>
      <c r="D9063"/>
      <c r="E9063"/>
      <c r="F9063"/>
      <c r="G9063"/>
      <c r="H9063"/>
    </row>
    <row r="9064" spans="3:8" x14ac:dyDescent="0.3">
      <c r="C9064"/>
      <c r="D9064"/>
      <c r="E9064"/>
      <c r="F9064"/>
      <c r="G9064"/>
      <c r="H9064"/>
    </row>
    <row r="9065" spans="3:8" x14ac:dyDescent="0.3">
      <c r="C9065"/>
      <c r="D9065"/>
      <c r="E9065"/>
      <c r="F9065"/>
      <c r="G9065"/>
      <c r="H9065"/>
    </row>
    <row r="9066" spans="3:8" x14ac:dyDescent="0.3">
      <c r="C9066"/>
      <c r="D9066"/>
      <c r="E9066"/>
      <c r="F9066"/>
      <c r="G9066"/>
      <c r="H9066"/>
    </row>
    <row r="9067" spans="3:8" x14ac:dyDescent="0.3">
      <c r="C9067"/>
      <c r="D9067"/>
      <c r="E9067"/>
      <c r="F9067"/>
      <c r="G9067"/>
      <c r="H9067"/>
    </row>
    <row r="9068" spans="3:8" x14ac:dyDescent="0.3">
      <c r="C9068"/>
      <c r="D9068"/>
      <c r="E9068"/>
      <c r="F9068"/>
      <c r="G9068"/>
      <c r="H9068"/>
    </row>
    <row r="9069" spans="3:8" x14ac:dyDescent="0.3">
      <c r="C9069"/>
      <c r="D9069"/>
      <c r="E9069"/>
      <c r="F9069"/>
      <c r="G9069"/>
      <c r="H9069"/>
    </row>
    <row r="9070" spans="3:8" x14ac:dyDescent="0.3">
      <c r="C9070"/>
      <c r="D9070"/>
      <c r="E9070"/>
      <c r="F9070"/>
      <c r="G9070"/>
      <c r="H9070"/>
    </row>
    <row r="9071" spans="3:8" x14ac:dyDescent="0.3">
      <c r="C9071"/>
      <c r="D9071"/>
      <c r="E9071"/>
      <c r="F9071"/>
      <c r="G9071"/>
      <c r="H9071"/>
    </row>
    <row r="9072" spans="3:8" x14ac:dyDescent="0.3">
      <c r="C9072"/>
      <c r="D9072"/>
      <c r="E9072"/>
      <c r="F9072"/>
      <c r="G9072"/>
      <c r="H9072"/>
    </row>
    <row r="9073" spans="3:8" x14ac:dyDescent="0.3">
      <c r="C9073"/>
      <c r="D9073"/>
      <c r="E9073"/>
      <c r="F9073"/>
      <c r="G9073"/>
      <c r="H9073"/>
    </row>
    <row r="9074" spans="3:8" x14ac:dyDescent="0.3">
      <c r="C9074"/>
      <c r="D9074"/>
      <c r="E9074"/>
      <c r="F9074"/>
      <c r="G9074"/>
      <c r="H9074"/>
    </row>
    <row r="9075" spans="3:8" x14ac:dyDescent="0.3">
      <c r="C9075"/>
      <c r="D9075"/>
      <c r="E9075"/>
      <c r="F9075"/>
      <c r="G9075"/>
      <c r="H9075"/>
    </row>
    <row r="9076" spans="3:8" x14ac:dyDescent="0.3">
      <c r="C9076"/>
      <c r="D9076"/>
      <c r="E9076"/>
      <c r="F9076"/>
      <c r="G9076"/>
      <c r="H9076"/>
    </row>
    <row r="9077" spans="3:8" x14ac:dyDescent="0.3">
      <c r="C9077"/>
      <c r="D9077"/>
      <c r="E9077"/>
      <c r="F9077"/>
      <c r="G9077"/>
      <c r="H9077"/>
    </row>
    <row r="9078" spans="3:8" x14ac:dyDescent="0.3">
      <c r="C9078"/>
      <c r="D9078"/>
      <c r="E9078"/>
      <c r="F9078"/>
      <c r="G9078"/>
      <c r="H9078"/>
    </row>
    <row r="9079" spans="3:8" x14ac:dyDescent="0.3">
      <c r="C9079"/>
      <c r="D9079"/>
      <c r="E9079"/>
      <c r="F9079"/>
      <c r="G9079"/>
      <c r="H9079"/>
    </row>
    <row r="9080" spans="3:8" x14ac:dyDescent="0.3">
      <c r="C9080"/>
      <c r="D9080"/>
      <c r="E9080"/>
      <c r="F9080"/>
      <c r="G9080"/>
      <c r="H9080"/>
    </row>
    <row r="9081" spans="3:8" x14ac:dyDescent="0.3">
      <c r="C9081"/>
      <c r="D9081"/>
      <c r="E9081"/>
      <c r="F9081"/>
      <c r="G9081"/>
      <c r="H9081"/>
    </row>
    <row r="9082" spans="3:8" x14ac:dyDescent="0.3">
      <c r="C9082"/>
      <c r="D9082"/>
      <c r="E9082"/>
      <c r="F9082"/>
      <c r="G9082"/>
      <c r="H9082"/>
    </row>
    <row r="9083" spans="3:8" x14ac:dyDescent="0.3">
      <c r="C9083"/>
      <c r="D9083"/>
      <c r="E9083"/>
      <c r="F9083"/>
      <c r="G9083"/>
      <c r="H9083"/>
    </row>
    <row r="9084" spans="3:8" x14ac:dyDescent="0.3">
      <c r="C9084"/>
      <c r="D9084"/>
      <c r="E9084"/>
      <c r="F9084"/>
      <c r="G9084"/>
      <c r="H9084"/>
    </row>
    <row r="9085" spans="3:8" x14ac:dyDescent="0.3">
      <c r="C9085"/>
      <c r="D9085"/>
      <c r="E9085"/>
      <c r="F9085"/>
      <c r="G9085"/>
      <c r="H9085"/>
    </row>
    <row r="9086" spans="3:8" x14ac:dyDescent="0.3">
      <c r="C9086"/>
      <c r="D9086"/>
      <c r="E9086"/>
      <c r="F9086"/>
      <c r="G9086"/>
      <c r="H9086"/>
    </row>
    <row r="9087" spans="3:8" x14ac:dyDescent="0.3">
      <c r="C9087"/>
      <c r="D9087"/>
      <c r="E9087"/>
      <c r="F9087"/>
      <c r="G9087"/>
      <c r="H9087"/>
    </row>
    <row r="9088" spans="3:8" x14ac:dyDescent="0.3">
      <c r="C9088"/>
      <c r="D9088"/>
      <c r="E9088"/>
      <c r="F9088"/>
      <c r="G9088"/>
      <c r="H9088"/>
    </row>
    <row r="9089" spans="3:8" x14ac:dyDescent="0.3">
      <c r="C9089"/>
      <c r="D9089"/>
      <c r="E9089"/>
      <c r="F9089"/>
      <c r="G9089"/>
      <c r="H9089"/>
    </row>
    <row r="9090" spans="3:8" x14ac:dyDescent="0.3">
      <c r="C9090"/>
      <c r="D9090"/>
      <c r="E9090"/>
      <c r="F9090"/>
      <c r="G9090"/>
      <c r="H9090"/>
    </row>
    <row r="9091" spans="3:8" x14ac:dyDescent="0.3">
      <c r="C9091"/>
      <c r="D9091"/>
      <c r="E9091"/>
      <c r="F9091"/>
      <c r="G9091"/>
      <c r="H9091"/>
    </row>
    <row r="9092" spans="3:8" x14ac:dyDescent="0.3">
      <c r="C9092"/>
      <c r="D9092"/>
      <c r="E9092"/>
      <c r="F9092"/>
      <c r="G9092"/>
      <c r="H9092"/>
    </row>
    <row r="9093" spans="3:8" x14ac:dyDescent="0.3">
      <c r="C9093"/>
      <c r="D9093"/>
      <c r="E9093"/>
      <c r="F9093"/>
      <c r="G9093"/>
      <c r="H9093"/>
    </row>
    <row r="9094" spans="3:8" x14ac:dyDescent="0.3">
      <c r="C9094"/>
      <c r="D9094"/>
      <c r="E9094"/>
      <c r="F9094"/>
      <c r="G9094"/>
      <c r="H9094"/>
    </row>
    <row r="9095" spans="3:8" x14ac:dyDescent="0.3">
      <c r="C9095"/>
      <c r="D9095"/>
      <c r="E9095"/>
      <c r="F9095"/>
      <c r="G9095"/>
      <c r="H9095"/>
    </row>
    <row r="9096" spans="3:8" x14ac:dyDescent="0.3">
      <c r="C9096"/>
      <c r="D9096"/>
      <c r="E9096"/>
      <c r="F9096"/>
      <c r="G9096"/>
      <c r="H9096"/>
    </row>
    <row r="9097" spans="3:8" x14ac:dyDescent="0.3">
      <c r="C9097"/>
      <c r="D9097"/>
      <c r="E9097"/>
      <c r="F9097"/>
      <c r="G9097"/>
      <c r="H9097"/>
    </row>
    <row r="9098" spans="3:8" x14ac:dyDescent="0.3">
      <c r="C9098"/>
      <c r="D9098"/>
      <c r="E9098"/>
      <c r="F9098"/>
      <c r="G9098"/>
      <c r="H9098"/>
    </row>
    <row r="9099" spans="3:8" x14ac:dyDescent="0.3">
      <c r="C9099"/>
      <c r="D9099"/>
      <c r="E9099"/>
      <c r="F9099"/>
      <c r="G9099"/>
      <c r="H9099"/>
    </row>
    <row r="9100" spans="3:8" x14ac:dyDescent="0.3">
      <c r="C9100"/>
      <c r="D9100"/>
      <c r="E9100"/>
      <c r="F9100"/>
      <c r="G9100"/>
      <c r="H9100"/>
    </row>
    <row r="9101" spans="3:8" x14ac:dyDescent="0.3">
      <c r="C9101"/>
      <c r="D9101"/>
      <c r="E9101"/>
      <c r="F9101"/>
      <c r="G9101"/>
      <c r="H9101"/>
    </row>
    <row r="9102" spans="3:8" x14ac:dyDescent="0.3">
      <c r="C9102"/>
      <c r="D9102"/>
      <c r="E9102"/>
      <c r="F9102"/>
      <c r="G9102"/>
      <c r="H9102"/>
    </row>
    <row r="9103" spans="3:8" x14ac:dyDescent="0.3">
      <c r="C9103"/>
      <c r="D9103"/>
      <c r="E9103"/>
      <c r="F9103"/>
      <c r="G9103"/>
      <c r="H9103"/>
    </row>
    <row r="9104" spans="3:8" x14ac:dyDescent="0.3">
      <c r="C9104"/>
      <c r="D9104"/>
      <c r="E9104"/>
      <c r="F9104"/>
      <c r="G9104"/>
      <c r="H9104"/>
    </row>
    <row r="9105" spans="3:8" x14ac:dyDescent="0.3">
      <c r="C9105"/>
      <c r="D9105"/>
      <c r="E9105"/>
      <c r="F9105"/>
      <c r="G9105"/>
      <c r="H9105"/>
    </row>
    <row r="9106" spans="3:8" x14ac:dyDescent="0.3">
      <c r="C9106"/>
      <c r="D9106"/>
      <c r="E9106"/>
      <c r="F9106"/>
      <c r="G9106"/>
      <c r="H9106"/>
    </row>
    <row r="9107" spans="3:8" x14ac:dyDescent="0.3">
      <c r="C9107"/>
      <c r="D9107"/>
      <c r="E9107"/>
      <c r="F9107"/>
      <c r="G9107"/>
      <c r="H9107"/>
    </row>
    <row r="9108" spans="3:8" x14ac:dyDescent="0.3">
      <c r="C9108"/>
      <c r="D9108"/>
      <c r="E9108"/>
      <c r="F9108"/>
      <c r="G9108"/>
      <c r="H9108"/>
    </row>
    <row r="9109" spans="3:8" x14ac:dyDescent="0.3">
      <c r="C9109"/>
      <c r="D9109"/>
      <c r="E9109"/>
      <c r="F9109"/>
      <c r="G9109"/>
      <c r="H9109"/>
    </row>
    <row r="9110" spans="3:8" x14ac:dyDescent="0.3">
      <c r="C9110"/>
      <c r="D9110"/>
      <c r="E9110"/>
      <c r="F9110"/>
      <c r="G9110"/>
      <c r="H9110"/>
    </row>
    <row r="9111" spans="3:8" x14ac:dyDescent="0.3">
      <c r="C9111"/>
      <c r="D9111"/>
      <c r="E9111"/>
      <c r="F9111"/>
      <c r="G9111"/>
      <c r="H9111"/>
    </row>
    <row r="9112" spans="3:8" x14ac:dyDescent="0.3">
      <c r="C9112"/>
      <c r="D9112"/>
      <c r="E9112"/>
      <c r="F9112"/>
      <c r="G9112"/>
      <c r="H9112"/>
    </row>
    <row r="9113" spans="3:8" x14ac:dyDescent="0.3">
      <c r="C9113"/>
      <c r="D9113"/>
      <c r="E9113"/>
      <c r="F9113"/>
      <c r="G9113"/>
      <c r="H9113"/>
    </row>
    <row r="9114" spans="3:8" x14ac:dyDescent="0.3">
      <c r="C9114"/>
      <c r="D9114"/>
      <c r="E9114"/>
      <c r="F9114"/>
      <c r="G9114"/>
      <c r="H9114"/>
    </row>
    <row r="9115" spans="3:8" x14ac:dyDescent="0.3">
      <c r="C9115"/>
      <c r="D9115"/>
      <c r="E9115"/>
      <c r="F9115"/>
      <c r="G9115"/>
      <c r="H9115"/>
    </row>
    <row r="9116" spans="3:8" x14ac:dyDescent="0.3">
      <c r="C9116"/>
      <c r="D9116"/>
      <c r="E9116"/>
      <c r="F9116"/>
      <c r="G9116"/>
      <c r="H9116"/>
    </row>
    <row r="9117" spans="3:8" x14ac:dyDescent="0.3">
      <c r="C9117"/>
      <c r="D9117"/>
      <c r="E9117"/>
      <c r="F9117"/>
      <c r="G9117"/>
      <c r="H9117"/>
    </row>
    <row r="9118" spans="3:8" x14ac:dyDescent="0.3">
      <c r="C9118"/>
      <c r="D9118"/>
      <c r="E9118"/>
      <c r="F9118"/>
      <c r="G9118"/>
      <c r="H9118"/>
    </row>
    <row r="9119" spans="3:8" x14ac:dyDescent="0.3">
      <c r="C9119"/>
      <c r="D9119"/>
      <c r="E9119"/>
      <c r="F9119"/>
      <c r="G9119"/>
      <c r="H9119"/>
    </row>
    <row r="9120" spans="3:8" x14ac:dyDescent="0.3">
      <c r="C9120"/>
      <c r="D9120"/>
      <c r="E9120"/>
      <c r="F9120"/>
      <c r="G9120"/>
      <c r="H9120"/>
    </row>
    <row r="9121" spans="3:8" x14ac:dyDescent="0.3">
      <c r="C9121"/>
      <c r="D9121"/>
      <c r="E9121"/>
      <c r="F9121"/>
      <c r="G9121"/>
      <c r="H9121"/>
    </row>
    <row r="9122" spans="3:8" x14ac:dyDescent="0.3">
      <c r="C9122"/>
      <c r="D9122"/>
      <c r="E9122"/>
      <c r="F9122"/>
      <c r="G9122"/>
      <c r="H9122"/>
    </row>
    <row r="9123" spans="3:8" x14ac:dyDescent="0.3">
      <c r="C9123"/>
      <c r="D9123"/>
      <c r="E9123"/>
      <c r="F9123"/>
      <c r="G9123"/>
      <c r="H9123"/>
    </row>
    <row r="9124" spans="3:8" x14ac:dyDescent="0.3">
      <c r="C9124"/>
      <c r="D9124"/>
      <c r="E9124"/>
      <c r="F9124"/>
      <c r="G9124"/>
      <c r="H9124"/>
    </row>
    <row r="9125" spans="3:8" x14ac:dyDescent="0.3">
      <c r="C9125"/>
      <c r="D9125"/>
      <c r="E9125"/>
      <c r="F9125"/>
      <c r="G9125"/>
      <c r="H9125"/>
    </row>
    <row r="9126" spans="3:8" x14ac:dyDescent="0.3">
      <c r="C9126"/>
      <c r="D9126"/>
      <c r="E9126"/>
      <c r="F9126"/>
      <c r="G9126"/>
      <c r="H9126"/>
    </row>
    <row r="9127" spans="3:8" x14ac:dyDescent="0.3">
      <c r="C9127"/>
      <c r="D9127"/>
      <c r="E9127"/>
      <c r="F9127"/>
      <c r="G9127"/>
      <c r="H9127"/>
    </row>
    <row r="9128" spans="3:8" x14ac:dyDescent="0.3">
      <c r="C9128"/>
      <c r="D9128"/>
      <c r="E9128"/>
      <c r="F9128"/>
      <c r="G9128"/>
      <c r="H9128"/>
    </row>
    <row r="9129" spans="3:8" x14ac:dyDescent="0.3">
      <c r="C9129"/>
      <c r="D9129"/>
      <c r="E9129"/>
      <c r="F9129"/>
      <c r="G9129"/>
      <c r="H9129"/>
    </row>
    <row r="9130" spans="3:8" x14ac:dyDescent="0.3">
      <c r="C9130"/>
      <c r="D9130"/>
      <c r="E9130"/>
      <c r="F9130"/>
      <c r="G9130"/>
      <c r="H9130"/>
    </row>
    <row r="9131" spans="3:8" x14ac:dyDescent="0.3">
      <c r="C9131"/>
      <c r="D9131"/>
      <c r="E9131"/>
      <c r="F9131"/>
      <c r="G9131"/>
      <c r="H9131"/>
    </row>
    <row r="9132" spans="3:8" x14ac:dyDescent="0.3">
      <c r="C9132"/>
      <c r="D9132"/>
      <c r="E9132"/>
      <c r="F9132"/>
      <c r="G9132"/>
      <c r="H9132"/>
    </row>
    <row r="9133" spans="3:8" x14ac:dyDescent="0.3">
      <c r="C9133"/>
      <c r="D9133"/>
      <c r="E9133"/>
      <c r="F9133"/>
      <c r="G9133"/>
      <c r="H9133"/>
    </row>
    <row r="9134" spans="3:8" x14ac:dyDescent="0.3">
      <c r="C9134"/>
      <c r="D9134"/>
      <c r="E9134"/>
      <c r="F9134"/>
      <c r="G9134"/>
      <c r="H9134"/>
    </row>
    <row r="9135" spans="3:8" x14ac:dyDescent="0.3">
      <c r="C9135"/>
      <c r="D9135"/>
      <c r="E9135"/>
      <c r="F9135"/>
      <c r="G9135"/>
      <c r="H9135"/>
    </row>
    <row r="9136" spans="3:8" x14ac:dyDescent="0.3">
      <c r="C9136"/>
      <c r="D9136"/>
      <c r="E9136"/>
      <c r="F9136"/>
      <c r="G9136"/>
      <c r="H9136"/>
    </row>
    <row r="9137" spans="3:8" x14ac:dyDescent="0.3">
      <c r="C9137"/>
      <c r="D9137"/>
      <c r="E9137"/>
      <c r="F9137"/>
      <c r="G9137"/>
      <c r="H9137"/>
    </row>
    <row r="9138" spans="3:8" x14ac:dyDescent="0.3">
      <c r="C9138"/>
      <c r="D9138"/>
      <c r="E9138"/>
      <c r="F9138"/>
      <c r="G9138"/>
      <c r="H9138"/>
    </row>
    <row r="9139" spans="3:8" x14ac:dyDescent="0.3">
      <c r="C9139"/>
      <c r="D9139"/>
      <c r="E9139"/>
      <c r="F9139"/>
      <c r="G9139"/>
      <c r="H9139"/>
    </row>
    <row r="9140" spans="3:8" x14ac:dyDescent="0.3">
      <c r="C9140"/>
      <c r="D9140"/>
      <c r="E9140"/>
      <c r="F9140"/>
      <c r="G9140"/>
      <c r="H9140"/>
    </row>
    <row r="9141" spans="3:8" x14ac:dyDescent="0.3">
      <c r="C9141"/>
      <c r="D9141"/>
      <c r="E9141"/>
      <c r="F9141"/>
      <c r="G9141"/>
      <c r="H9141"/>
    </row>
    <row r="9142" spans="3:8" x14ac:dyDescent="0.3">
      <c r="C9142"/>
      <c r="D9142"/>
      <c r="E9142"/>
      <c r="F9142"/>
      <c r="G9142"/>
      <c r="H9142"/>
    </row>
    <row r="9143" spans="3:8" x14ac:dyDescent="0.3">
      <c r="C9143"/>
      <c r="D9143"/>
      <c r="E9143"/>
      <c r="F9143"/>
      <c r="G9143"/>
      <c r="H9143"/>
    </row>
    <row r="9144" spans="3:8" x14ac:dyDescent="0.3">
      <c r="C9144"/>
      <c r="D9144"/>
      <c r="E9144"/>
      <c r="F9144"/>
      <c r="G9144"/>
      <c r="H9144"/>
    </row>
    <row r="9145" spans="3:8" x14ac:dyDescent="0.3">
      <c r="C9145"/>
      <c r="D9145"/>
      <c r="E9145"/>
      <c r="F9145"/>
      <c r="G9145"/>
      <c r="H9145"/>
    </row>
    <row r="9146" spans="3:8" x14ac:dyDescent="0.3">
      <c r="C9146"/>
      <c r="D9146"/>
      <c r="E9146"/>
      <c r="F9146"/>
      <c r="G9146"/>
      <c r="H9146"/>
    </row>
    <row r="9147" spans="3:8" x14ac:dyDescent="0.3">
      <c r="C9147"/>
      <c r="D9147"/>
      <c r="E9147"/>
      <c r="F9147"/>
      <c r="G9147"/>
      <c r="H9147"/>
    </row>
    <row r="9148" spans="3:8" x14ac:dyDescent="0.3">
      <c r="C9148"/>
      <c r="D9148"/>
      <c r="E9148"/>
      <c r="F9148"/>
      <c r="G9148"/>
      <c r="H9148"/>
    </row>
    <row r="9149" spans="3:8" x14ac:dyDescent="0.3">
      <c r="C9149"/>
      <c r="D9149"/>
      <c r="E9149"/>
      <c r="F9149"/>
      <c r="G9149"/>
      <c r="H9149"/>
    </row>
    <row r="9150" spans="3:8" x14ac:dyDescent="0.3">
      <c r="C9150"/>
      <c r="D9150"/>
      <c r="E9150"/>
      <c r="F9150"/>
      <c r="G9150"/>
      <c r="H9150"/>
    </row>
    <row r="9151" spans="3:8" x14ac:dyDescent="0.3">
      <c r="C9151"/>
      <c r="D9151"/>
      <c r="E9151"/>
      <c r="F9151"/>
      <c r="G9151"/>
      <c r="H9151"/>
    </row>
    <row r="9152" spans="3:8" x14ac:dyDescent="0.3">
      <c r="C9152"/>
      <c r="D9152"/>
      <c r="E9152"/>
      <c r="F9152"/>
      <c r="G9152"/>
      <c r="H9152"/>
    </row>
    <row r="9153" spans="3:8" x14ac:dyDescent="0.3">
      <c r="C9153"/>
      <c r="D9153"/>
      <c r="E9153"/>
      <c r="F9153"/>
      <c r="G9153"/>
      <c r="H9153"/>
    </row>
    <row r="9154" spans="3:8" x14ac:dyDescent="0.3">
      <c r="C9154"/>
      <c r="D9154"/>
      <c r="E9154"/>
      <c r="F9154"/>
      <c r="G9154"/>
      <c r="H9154"/>
    </row>
    <row r="9155" spans="3:8" x14ac:dyDescent="0.3">
      <c r="C9155"/>
      <c r="D9155"/>
      <c r="E9155"/>
      <c r="F9155"/>
      <c r="G9155"/>
      <c r="H9155"/>
    </row>
    <row r="9156" spans="3:8" x14ac:dyDescent="0.3">
      <c r="C9156"/>
      <c r="D9156"/>
      <c r="E9156"/>
      <c r="F9156"/>
      <c r="G9156"/>
      <c r="H9156"/>
    </row>
    <row r="9157" spans="3:8" x14ac:dyDescent="0.3">
      <c r="C9157"/>
      <c r="D9157"/>
      <c r="E9157"/>
      <c r="F9157"/>
      <c r="G9157"/>
      <c r="H9157"/>
    </row>
    <row r="9158" spans="3:8" x14ac:dyDescent="0.3">
      <c r="C9158"/>
      <c r="D9158"/>
      <c r="E9158"/>
      <c r="F9158"/>
      <c r="G9158"/>
      <c r="H9158"/>
    </row>
    <row r="9159" spans="3:8" x14ac:dyDescent="0.3">
      <c r="C9159"/>
      <c r="D9159"/>
      <c r="E9159"/>
      <c r="F9159"/>
      <c r="G9159"/>
      <c r="H9159"/>
    </row>
    <row r="9160" spans="3:8" x14ac:dyDescent="0.3">
      <c r="C9160"/>
      <c r="D9160"/>
      <c r="E9160"/>
      <c r="F9160"/>
      <c r="G9160"/>
      <c r="H9160"/>
    </row>
    <row r="9161" spans="3:8" x14ac:dyDescent="0.3">
      <c r="C9161"/>
      <c r="D9161"/>
      <c r="E9161"/>
      <c r="F9161"/>
      <c r="G9161"/>
      <c r="H9161"/>
    </row>
    <row r="9162" spans="3:8" x14ac:dyDescent="0.3">
      <c r="C9162"/>
      <c r="D9162"/>
      <c r="E9162"/>
      <c r="F9162"/>
      <c r="G9162"/>
      <c r="H9162"/>
    </row>
    <row r="9163" spans="3:8" x14ac:dyDescent="0.3">
      <c r="C9163"/>
      <c r="D9163"/>
      <c r="E9163"/>
      <c r="F9163"/>
      <c r="G9163"/>
      <c r="H9163"/>
    </row>
    <row r="9164" spans="3:8" x14ac:dyDescent="0.3">
      <c r="C9164"/>
      <c r="D9164"/>
      <c r="E9164"/>
      <c r="F9164"/>
      <c r="G9164"/>
      <c r="H9164"/>
    </row>
    <row r="9165" spans="3:8" x14ac:dyDescent="0.3">
      <c r="C9165"/>
      <c r="D9165"/>
      <c r="E9165"/>
      <c r="F9165"/>
      <c r="G9165"/>
      <c r="H9165"/>
    </row>
    <row r="9166" spans="3:8" x14ac:dyDescent="0.3">
      <c r="C9166"/>
      <c r="D9166"/>
      <c r="E9166"/>
      <c r="F9166"/>
      <c r="G9166"/>
      <c r="H9166"/>
    </row>
    <row r="9167" spans="3:8" x14ac:dyDescent="0.3">
      <c r="C9167"/>
      <c r="D9167"/>
      <c r="E9167"/>
      <c r="F9167"/>
      <c r="G9167"/>
      <c r="H9167"/>
    </row>
    <row r="9168" spans="3:8" x14ac:dyDescent="0.3">
      <c r="C9168"/>
      <c r="D9168"/>
      <c r="E9168"/>
      <c r="F9168"/>
      <c r="G9168"/>
      <c r="H9168"/>
    </row>
    <row r="9169" spans="3:8" x14ac:dyDescent="0.3">
      <c r="C9169"/>
      <c r="D9169"/>
      <c r="E9169"/>
      <c r="F9169"/>
      <c r="G9169"/>
      <c r="H9169"/>
    </row>
    <row r="9170" spans="3:8" x14ac:dyDescent="0.3">
      <c r="C9170"/>
      <c r="D9170"/>
      <c r="E9170"/>
      <c r="F9170"/>
      <c r="G9170"/>
      <c r="H9170"/>
    </row>
    <row r="9171" spans="3:8" x14ac:dyDescent="0.3">
      <c r="C9171"/>
      <c r="D9171"/>
      <c r="E9171"/>
      <c r="F9171"/>
      <c r="G9171"/>
      <c r="H9171"/>
    </row>
    <row r="9172" spans="3:8" x14ac:dyDescent="0.3">
      <c r="C9172"/>
      <c r="D9172"/>
      <c r="E9172"/>
      <c r="F9172"/>
      <c r="G9172"/>
      <c r="H9172"/>
    </row>
    <row r="9173" spans="3:8" x14ac:dyDescent="0.3">
      <c r="C9173"/>
      <c r="D9173"/>
      <c r="E9173"/>
      <c r="F9173"/>
      <c r="G9173"/>
      <c r="H9173"/>
    </row>
    <row r="9174" spans="3:8" x14ac:dyDescent="0.3">
      <c r="C9174"/>
      <c r="D9174"/>
      <c r="E9174"/>
      <c r="F9174"/>
      <c r="G9174"/>
      <c r="H9174"/>
    </row>
    <row r="9175" spans="3:8" x14ac:dyDescent="0.3">
      <c r="C9175"/>
      <c r="D9175"/>
      <c r="E9175"/>
      <c r="F9175"/>
      <c r="G9175"/>
      <c r="H9175"/>
    </row>
    <row r="9176" spans="3:8" x14ac:dyDescent="0.3">
      <c r="C9176"/>
      <c r="D9176"/>
      <c r="E9176"/>
      <c r="F9176"/>
      <c r="G9176"/>
      <c r="H9176"/>
    </row>
    <row r="9177" spans="3:8" x14ac:dyDescent="0.3">
      <c r="C9177"/>
      <c r="D9177"/>
      <c r="E9177"/>
      <c r="F9177"/>
      <c r="G9177"/>
      <c r="H9177"/>
    </row>
    <row r="9178" spans="3:8" x14ac:dyDescent="0.3">
      <c r="C9178"/>
      <c r="D9178"/>
      <c r="E9178"/>
      <c r="F9178"/>
      <c r="G9178"/>
      <c r="H9178"/>
    </row>
    <row r="9179" spans="3:8" x14ac:dyDescent="0.3">
      <c r="C9179"/>
      <c r="D9179"/>
      <c r="E9179"/>
      <c r="F9179"/>
      <c r="G9179"/>
      <c r="H9179"/>
    </row>
    <row r="9180" spans="3:8" x14ac:dyDescent="0.3">
      <c r="C9180"/>
      <c r="D9180"/>
      <c r="E9180"/>
      <c r="F9180"/>
      <c r="G9180"/>
      <c r="H9180"/>
    </row>
    <row r="9181" spans="3:8" x14ac:dyDescent="0.3">
      <c r="C9181"/>
      <c r="D9181"/>
      <c r="E9181"/>
      <c r="F9181"/>
      <c r="G9181"/>
      <c r="H9181"/>
    </row>
    <row r="9182" spans="3:8" x14ac:dyDescent="0.3">
      <c r="C9182"/>
      <c r="D9182"/>
      <c r="E9182"/>
      <c r="F9182"/>
      <c r="G9182"/>
      <c r="H9182"/>
    </row>
    <row r="9183" spans="3:8" x14ac:dyDescent="0.3">
      <c r="C9183"/>
      <c r="D9183"/>
      <c r="E9183"/>
      <c r="F9183"/>
      <c r="G9183"/>
      <c r="H9183"/>
    </row>
    <row r="9184" spans="3:8" x14ac:dyDescent="0.3">
      <c r="C9184"/>
      <c r="D9184"/>
      <c r="E9184"/>
      <c r="F9184"/>
      <c r="G9184"/>
      <c r="H9184"/>
    </row>
    <row r="9185" spans="3:8" x14ac:dyDescent="0.3">
      <c r="C9185"/>
      <c r="D9185"/>
      <c r="E9185"/>
      <c r="F9185"/>
      <c r="G9185"/>
      <c r="H9185"/>
    </row>
    <row r="9186" spans="3:8" x14ac:dyDescent="0.3">
      <c r="C9186"/>
      <c r="D9186"/>
      <c r="E9186"/>
      <c r="F9186"/>
      <c r="G9186"/>
      <c r="H9186"/>
    </row>
    <row r="9187" spans="3:8" x14ac:dyDescent="0.3">
      <c r="C9187"/>
      <c r="D9187"/>
      <c r="E9187"/>
      <c r="F9187"/>
      <c r="G9187"/>
      <c r="H9187"/>
    </row>
    <row r="9188" spans="3:8" x14ac:dyDescent="0.3">
      <c r="C9188"/>
      <c r="D9188"/>
      <c r="E9188"/>
      <c r="F9188"/>
      <c r="G9188"/>
      <c r="H9188"/>
    </row>
    <row r="9189" spans="3:8" x14ac:dyDescent="0.3">
      <c r="C9189"/>
      <c r="D9189"/>
      <c r="E9189"/>
      <c r="F9189"/>
      <c r="G9189"/>
      <c r="H9189"/>
    </row>
    <row r="9190" spans="3:8" x14ac:dyDescent="0.3">
      <c r="C9190"/>
      <c r="D9190"/>
      <c r="E9190"/>
      <c r="F9190"/>
      <c r="G9190"/>
      <c r="H9190"/>
    </row>
    <row r="9191" spans="3:8" x14ac:dyDescent="0.3">
      <c r="C9191"/>
      <c r="D9191"/>
      <c r="E9191"/>
      <c r="F9191"/>
      <c r="G9191"/>
      <c r="H9191"/>
    </row>
    <row r="9192" spans="3:8" x14ac:dyDescent="0.3">
      <c r="C9192"/>
      <c r="D9192"/>
      <c r="E9192"/>
      <c r="F9192"/>
      <c r="G9192"/>
      <c r="H9192"/>
    </row>
    <row r="9193" spans="3:8" x14ac:dyDescent="0.3">
      <c r="C9193"/>
      <c r="D9193"/>
      <c r="E9193"/>
      <c r="F9193"/>
      <c r="G9193"/>
      <c r="H9193"/>
    </row>
    <row r="9194" spans="3:8" x14ac:dyDescent="0.3">
      <c r="C9194"/>
      <c r="D9194"/>
      <c r="E9194"/>
      <c r="F9194"/>
      <c r="G9194"/>
      <c r="H9194"/>
    </row>
    <row r="9195" spans="3:8" x14ac:dyDescent="0.3">
      <c r="C9195"/>
      <c r="D9195"/>
      <c r="E9195"/>
      <c r="F9195"/>
      <c r="G9195"/>
      <c r="H9195"/>
    </row>
    <row r="9196" spans="3:8" x14ac:dyDescent="0.3">
      <c r="C9196"/>
      <c r="D9196"/>
      <c r="E9196"/>
      <c r="F9196"/>
      <c r="G9196"/>
      <c r="H9196"/>
    </row>
    <row r="9197" spans="3:8" x14ac:dyDescent="0.3">
      <c r="C9197"/>
      <c r="D9197"/>
      <c r="E9197"/>
      <c r="F9197"/>
      <c r="G9197"/>
      <c r="H9197"/>
    </row>
    <row r="9198" spans="3:8" x14ac:dyDescent="0.3">
      <c r="C9198"/>
      <c r="D9198"/>
      <c r="E9198"/>
      <c r="F9198"/>
      <c r="G9198"/>
      <c r="H9198"/>
    </row>
    <row r="9199" spans="3:8" x14ac:dyDescent="0.3">
      <c r="C9199"/>
      <c r="D9199"/>
      <c r="E9199"/>
      <c r="F9199"/>
      <c r="G9199"/>
      <c r="H9199"/>
    </row>
    <row r="9200" spans="3:8" x14ac:dyDescent="0.3">
      <c r="C9200"/>
      <c r="D9200"/>
      <c r="E9200"/>
      <c r="F9200"/>
      <c r="G9200"/>
      <c r="H9200"/>
    </row>
    <row r="9201" spans="3:8" x14ac:dyDescent="0.3">
      <c r="C9201"/>
      <c r="D9201"/>
      <c r="E9201"/>
      <c r="F9201"/>
      <c r="G9201"/>
      <c r="H9201"/>
    </row>
    <row r="9202" spans="3:8" x14ac:dyDescent="0.3">
      <c r="C9202"/>
      <c r="D9202"/>
      <c r="E9202"/>
      <c r="F9202"/>
      <c r="G9202"/>
      <c r="H9202"/>
    </row>
    <row r="9203" spans="3:8" x14ac:dyDescent="0.3">
      <c r="C9203"/>
      <c r="D9203"/>
      <c r="E9203"/>
      <c r="F9203"/>
      <c r="G9203"/>
      <c r="H9203"/>
    </row>
    <row r="9204" spans="3:8" x14ac:dyDescent="0.3">
      <c r="C9204"/>
      <c r="D9204"/>
      <c r="E9204"/>
      <c r="F9204"/>
      <c r="G9204"/>
      <c r="H9204"/>
    </row>
    <row r="9205" spans="3:8" x14ac:dyDescent="0.3">
      <c r="C9205"/>
      <c r="D9205"/>
      <c r="E9205"/>
      <c r="F9205"/>
      <c r="G9205"/>
      <c r="H9205"/>
    </row>
    <row r="9206" spans="3:8" x14ac:dyDescent="0.3">
      <c r="C9206"/>
      <c r="D9206"/>
      <c r="E9206"/>
      <c r="F9206"/>
      <c r="G9206"/>
      <c r="H9206"/>
    </row>
    <row r="9207" spans="3:8" x14ac:dyDescent="0.3">
      <c r="C9207"/>
      <c r="D9207"/>
      <c r="E9207"/>
      <c r="F9207"/>
      <c r="G9207"/>
      <c r="H9207"/>
    </row>
    <row r="9208" spans="3:8" x14ac:dyDescent="0.3">
      <c r="C9208"/>
      <c r="D9208"/>
      <c r="E9208"/>
      <c r="F9208"/>
      <c r="G9208"/>
      <c r="H9208"/>
    </row>
    <row r="9209" spans="3:8" x14ac:dyDescent="0.3">
      <c r="C9209"/>
      <c r="D9209"/>
      <c r="E9209"/>
      <c r="F9209"/>
      <c r="G9209"/>
      <c r="H9209"/>
    </row>
    <row r="9210" spans="3:8" x14ac:dyDescent="0.3">
      <c r="C9210"/>
      <c r="D9210"/>
      <c r="E9210"/>
      <c r="F9210"/>
      <c r="G9210"/>
      <c r="H9210"/>
    </row>
    <row r="9211" spans="3:8" x14ac:dyDescent="0.3">
      <c r="C9211"/>
      <c r="D9211"/>
      <c r="E9211"/>
      <c r="F9211"/>
      <c r="G9211"/>
      <c r="H9211"/>
    </row>
    <row r="9212" spans="3:8" x14ac:dyDescent="0.3">
      <c r="C9212"/>
      <c r="D9212"/>
      <c r="E9212"/>
      <c r="F9212"/>
      <c r="G9212"/>
      <c r="H9212"/>
    </row>
    <row r="9213" spans="3:8" x14ac:dyDescent="0.3">
      <c r="C9213"/>
      <c r="D9213"/>
      <c r="E9213"/>
      <c r="F9213"/>
      <c r="G9213"/>
      <c r="H9213"/>
    </row>
    <row r="9214" spans="3:8" x14ac:dyDescent="0.3">
      <c r="C9214"/>
      <c r="D9214"/>
      <c r="E9214"/>
      <c r="F9214"/>
      <c r="G9214"/>
      <c r="H9214"/>
    </row>
    <row r="9215" spans="3:8" x14ac:dyDescent="0.3">
      <c r="C9215"/>
      <c r="D9215"/>
      <c r="E9215"/>
      <c r="F9215"/>
      <c r="G9215"/>
      <c r="H9215"/>
    </row>
    <row r="9216" spans="3:8" x14ac:dyDescent="0.3">
      <c r="C9216"/>
      <c r="D9216"/>
      <c r="E9216"/>
      <c r="F9216"/>
      <c r="G9216"/>
      <c r="H9216"/>
    </row>
    <row r="9217" spans="3:8" x14ac:dyDescent="0.3">
      <c r="C9217"/>
      <c r="D9217"/>
      <c r="E9217"/>
      <c r="F9217"/>
      <c r="G9217"/>
      <c r="H9217"/>
    </row>
    <row r="9218" spans="3:8" x14ac:dyDescent="0.3">
      <c r="C9218"/>
      <c r="D9218"/>
      <c r="E9218"/>
      <c r="F9218"/>
      <c r="G9218"/>
      <c r="H9218"/>
    </row>
    <row r="9219" spans="3:8" x14ac:dyDescent="0.3">
      <c r="C9219"/>
      <c r="D9219"/>
      <c r="E9219"/>
      <c r="F9219"/>
      <c r="G9219"/>
      <c r="H9219"/>
    </row>
    <row r="9220" spans="3:8" x14ac:dyDescent="0.3">
      <c r="C9220"/>
      <c r="D9220"/>
      <c r="E9220"/>
      <c r="F9220"/>
      <c r="G9220"/>
      <c r="H9220"/>
    </row>
    <row r="9221" spans="3:8" x14ac:dyDescent="0.3">
      <c r="C9221"/>
      <c r="D9221"/>
      <c r="E9221"/>
      <c r="F9221"/>
      <c r="G9221"/>
      <c r="H9221"/>
    </row>
    <row r="9222" spans="3:8" x14ac:dyDescent="0.3">
      <c r="C9222"/>
      <c r="D9222"/>
      <c r="E9222"/>
      <c r="F9222"/>
      <c r="G9222"/>
      <c r="H9222"/>
    </row>
    <row r="9223" spans="3:8" x14ac:dyDescent="0.3">
      <c r="C9223"/>
      <c r="D9223"/>
      <c r="E9223"/>
      <c r="F9223"/>
      <c r="G9223"/>
      <c r="H9223"/>
    </row>
    <row r="9224" spans="3:8" x14ac:dyDescent="0.3">
      <c r="C9224"/>
      <c r="D9224"/>
      <c r="E9224"/>
      <c r="F9224"/>
      <c r="G9224"/>
      <c r="H9224"/>
    </row>
    <row r="9225" spans="3:8" x14ac:dyDescent="0.3">
      <c r="C9225"/>
      <c r="D9225"/>
      <c r="E9225"/>
      <c r="F9225"/>
      <c r="G9225"/>
      <c r="H9225"/>
    </row>
    <row r="9226" spans="3:8" x14ac:dyDescent="0.3">
      <c r="C9226"/>
      <c r="D9226"/>
      <c r="E9226"/>
      <c r="F9226"/>
      <c r="G9226"/>
      <c r="H9226"/>
    </row>
    <row r="9227" spans="3:8" x14ac:dyDescent="0.3">
      <c r="C9227"/>
      <c r="D9227"/>
      <c r="E9227"/>
      <c r="F9227"/>
      <c r="G9227"/>
      <c r="H9227"/>
    </row>
    <row r="9228" spans="3:8" x14ac:dyDescent="0.3">
      <c r="C9228"/>
      <c r="D9228"/>
      <c r="E9228"/>
      <c r="F9228"/>
      <c r="G9228"/>
      <c r="H9228"/>
    </row>
    <row r="9229" spans="3:8" x14ac:dyDescent="0.3">
      <c r="C9229"/>
      <c r="D9229"/>
      <c r="E9229"/>
      <c r="F9229"/>
      <c r="G9229"/>
      <c r="H9229"/>
    </row>
    <row r="9230" spans="3:8" x14ac:dyDescent="0.3">
      <c r="C9230"/>
      <c r="D9230"/>
      <c r="E9230"/>
      <c r="F9230"/>
      <c r="G9230"/>
      <c r="H9230"/>
    </row>
    <row r="9231" spans="3:8" x14ac:dyDescent="0.3">
      <c r="C9231"/>
      <c r="D9231"/>
      <c r="E9231"/>
      <c r="F9231"/>
      <c r="G9231"/>
      <c r="H9231"/>
    </row>
    <row r="9232" spans="3:8" x14ac:dyDescent="0.3">
      <c r="C9232"/>
      <c r="D9232"/>
      <c r="E9232"/>
      <c r="F9232"/>
      <c r="G9232"/>
      <c r="H9232"/>
    </row>
    <row r="9233" spans="3:8" x14ac:dyDescent="0.3">
      <c r="C9233"/>
      <c r="D9233"/>
      <c r="E9233"/>
      <c r="F9233"/>
      <c r="G9233"/>
      <c r="H9233"/>
    </row>
    <row r="9234" spans="3:8" x14ac:dyDescent="0.3">
      <c r="C9234"/>
      <c r="D9234"/>
      <c r="E9234"/>
      <c r="F9234"/>
      <c r="G9234"/>
      <c r="H9234"/>
    </row>
    <row r="9235" spans="3:8" x14ac:dyDescent="0.3">
      <c r="C9235"/>
      <c r="D9235"/>
      <c r="E9235"/>
      <c r="F9235"/>
      <c r="G9235"/>
      <c r="H9235"/>
    </row>
    <row r="9236" spans="3:8" x14ac:dyDescent="0.3">
      <c r="C9236"/>
      <c r="D9236"/>
      <c r="E9236"/>
      <c r="F9236"/>
      <c r="G9236"/>
      <c r="H9236"/>
    </row>
    <row r="9237" spans="3:8" x14ac:dyDescent="0.3">
      <c r="C9237"/>
      <c r="D9237"/>
      <c r="E9237"/>
      <c r="F9237"/>
      <c r="G9237"/>
      <c r="H9237"/>
    </row>
    <row r="9238" spans="3:8" x14ac:dyDescent="0.3">
      <c r="C9238"/>
      <c r="D9238"/>
      <c r="E9238"/>
      <c r="F9238"/>
      <c r="G9238"/>
      <c r="H9238"/>
    </row>
    <row r="9239" spans="3:8" x14ac:dyDescent="0.3">
      <c r="C9239"/>
      <c r="D9239"/>
      <c r="E9239"/>
      <c r="F9239"/>
      <c r="G9239"/>
      <c r="H9239"/>
    </row>
    <row r="9240" spans="3:8" x14ac:dyDescent="0.3">
      <c r="C9240"/>
      <c r="D9240"/>
      <c r="E9240"/>
      <c r="F9240"/>
      <c r="G9240"/>
      <c r="H9240"/>
    </row>
    <row r="9241" spans="3:8" x14ac:dyDescent="0.3">
      <c r="C9241"/>
      <c r="D9241"/>
      <c r="E9241"/>
      <c r="F9241"/>
      <c r="G9241"/>
      <c r="H9241"/>
    </row>
    <row r="9242" spans="3:8" x14ac:dyDescent="0.3">
      <c r="C9242"/>
      <c r="D9242"/>
      <c r="E9242"/>
      <c r="F9242"/>
      <c r="G9242"/>
      <c r="H9242"/>
    </row>
    <row r="9243" spans="3:8" x14ac:dyDescent="0.3">
      <c r="C9243"/>
      <c r="D9243"/>
      <c r="E9243"/>
      <c r="F9243"/>
      <c r="G9243"/>
      <c r="H9243"/>
    </row>
    <row r="9244" spans="3:8" x14ac:dyDescent="0.3">
      <c r="C9244"/>
      <c r="D9244"/>
      <c r="E9244"/>
      <c r="F9244"/>
      <c r="G9244"/>
      <c r="H9244"/>
    </row>
    <row r="9245" spans="3:8" x14ac:dyDescent="0.3">
      <c r="C9245"/>
      <c r="D9245"/>
      <c r="E9245"/>
      <c r="F9245"/>
      <c r="G9245"/>
      <c r="H9245"/>
    </row>
    <row r="9246" spans="3:8" x14ac:dyDescent="0.3">
      <c r="C9246"/>
      <c r="D9246"/>
      <c r="E9246"/>
      <c r="F9246"/>
      <c r="G9246"/>
      <c r="H9246"/>
    </row>
    <row r="9247" spans="3:8" x14ac:dyDescent="0.3">
      <c r="C9247"/>
      <c r="D9247"/>
      <c r="E9247"/>
      <c r="F9247"/>
      <c r="G9247"/>
      <c r="H9247"/>
    </row>
    <row r="9248" spans="3:8" x14ac:dyDescent="0.3">
      <c r="C9248"/>
      <c r="D9248"/>
      <c r="E9248"/>
      <c r="F9248"/>
      <c r="G9248"/>
      <c r="H9248"/>
    </row>
    <row r="9249" spans="3:8" x14ac:dyDescent="0.3">
      <c r="C9249"/>
      <c r="D9249"/>
      <c r="E9249"/>
      <c r="F9249"/>
      <c r="G9249"/>
      <c r="H9249"/>
    </row>
    <row r="9250" spans="3:8" x14ac:dyDescent="0.3">
      <c r="C9250"/>
      <c r="D9250"/>
      <c r="E9250"/>
      <c r="F9250"/>
      <c r="G9250"/>
      <c r="H9250"/>
    </row>
    <row r="9251" spans="3:8" x14ac:dyDescent="0.3">
      <c r="C9251"/>
      <c r="D9251"/>
      <c r="E9251"/>
      <c r="F9251"/>
      <c r="G9251"/>
      <c r="H9251"/>
    </row>
    <row r="9252" spans="3:8" x14ac:dyDescent="0.3">
      <c r="C9252"/>
      <c r="D9252"/>
      <c r="E9252"/>
      <c r="F9252"/>
      <c r="G9252"/>
      <c r="H9252"/>
    </row>
    <row r="9253" spans="3:8" x14ac:dyDescent="0.3">
      <c r="C9253"/>
      <c r="D9253"/>
      <c r="E9253"/>
      <c r="F9253"/>
      <c r="G9253"/>
      <c r="H9253"/>
    </row>
    <row r="9254" spans="3:8" x14ac:dyDescent="0.3">
      <c r="C9254"/>
      <c r="D9254"/>
      <c r="E9254"/>
      <c r="F9254"/>
      <c r="G9254"/>
      <c r="H9254"/>
    </row>
    <row r="9255" spans="3:8" x14ac:dyDescent="0.3">
      <c r="C9255"/>
      <c r="D9255"/>
      <c r="E9255"/>
      <c r="F9255"/>
      <c r="G9255"/>
      <c r="H9255"/>
    </row>
    <row r="9256" spans="3:8" x14ac:dyDescent="0.3">
      <c r="C9256"/>
      <c r="D9256"/>
      <c r="E9256"/>
      <c r="F9256"/>
      <c r="G9256"/>
      <c r="H9256"/>
    </row>
    <row r="9257" spans="3:8" x14ac:dyDescent="0.3">
      <c r="C9257"/>
      <c r="D9257"/>
      <c r="E9257"/>
      <c r="F9257"/>
      <c r="G9257"/>
      <c r="H9257"/>
    </row>
    <row r="9258" spans="3:8" x14ac:dyDescent="0.3">
      <c r="C9258"/>
      <c r="D9258"/>
      <c r="E9258"/>
      <c r="F9258"/>
      <c r="G9258"/>
      <c r="H9258"/>
    </row>
    <row r="9259" spans="3:8" x14ac:dyDescent="0.3">
      <c r="C9259"/>
      <c r="D9259"/>
      <c r="E9259"/>
      <c r="F9259"/>
      <c r="G9259"/>
      <c r="H9259"/>
    </row>
    <row r="9260" spans="3:8" x14ac:dyDescent="0.3">
      <c r="C9260"/>
      <c r="D9260"/>
      <c r="E9260"/>
      <c r="F9260"/>
      <c r="G9260"/>
      <c r="H9260"/>
    </row>
    <row r="9261" spans="3:8" x14ac:dyDescent="0.3">
      <c r="C9261"/>
      <c r="D9261"/>
      <c r="E9261"/>
      <c r="F9261"/>
      <c r="G9261"/>
      <c r="H9261"/>
    </row>
    <row r="9262" spans="3:8" x14ac:dyDescent="0.3">
      <c r="C9262"/>
      <c r="D9262"/>
      <c r="E9262"/>
      <c r="F9262"/>
      <c r="G9262"/>
      <c r="H9262"/>
    </row>
    <row r="9263" spans="3:8" x14ac:dyDescent="0.3">
      <c r="C9263"/>
      <c r="D9263"/>
      <c r="E9263"/>
      <c r="F9263"/>
      <c r="G9263"/>
      <c r="H9263"/>
    </row>
    <row r="9264" spans="3:8" x14ac:dyDescent="0.3">
      <c r="C9264"/>
      <c r="D9264"/>
      <c r="E9264"/>
      <c r="F9264"/>
      <c r="G9264"/>
      <c r="H9264"/>
    </row>
    <row r="9265" spans="3:8" x14ac:dyDescent="0.3">
      <c r="C9265"/>
      <c r="D9265"/>
      <c r="E9265"/>
      <c r="F9265"/>
      <c r="G9265"/>
      <c r="H9265"/>
    </row>
    <row r="9266" spans="3:8" x14ac:dyDescent="0.3">
      <c r="C9266"/>
      <c r="D9266"/>
      <c r="E9266"/>
      <c r="F9266"/>
      <c r="G9266"/>
      <c r="H9266"/>
    </row>
    <row r="9267" spans="3:8" x14ac:dyDescent="0.3">
      <c r="C9267"/>
      <c r="D9267"/>
      <c r="E9267"/>
      <c r="F9267"/>
      <c r="G9267"/>
      <c r="H9267"/>
    </row>
    <row r="9268" spans="3:8" x14ac:dyDescent="0.3">
      <c r="C9268"/>
      <c r="D9268"/>
      <c r="E9268"/>
      <c r="F9268"/>
      <c r="G9268"/>
      <c r="H9268"/>
    </row>
    <row r="9269" spans="3:8" x14ac:dyDescent="0.3">
      <c r="C9269"/>
      <c r="D9269"/>
      <c r="E9269"/>
      <c r="F9269"/>
      <c r="G9269"/>
      <c r="H9269"/>
    </row>
    <row r="9270" spans="3:8" x14ac:dyDescent="0.3">
      <c r="C9270"/>
      <c r="D9270"/>
      <c r="E9270"/>
      <c r="F9270"/>
      <c r="G9270"/>
      <c r="H9270"/>
    </row>
    <row r="9271" spans="3:8" x14ac:dyDescent="0.3">
      <c r="C9271"/>
      <c r="D9271"/>
      <c r="E9271"/>
      <c r="F9271"/>
      <c r="G9271"/>
      <c r="H9271"/>
    </row>
    <row r="9272" spans="3:8" x14ac:dyDescent="0.3">
      <c r="C9272"/>
      <c r="D9272"/>
      <c r="E9272"/>
      <c r="F9272"/>
      <c r="G9272"/>
      <c r="H9272"/>
    </row>
    <row r="9273" spans="3:8" x14ac:dyDescent="0.3">
      <c r="C9273"/>
      <c r="D9273"/>
      <c r="E9273"/>
      <c r="F9273"/>
      <c r="G9273"/>
      <c r="H9273"/>
    </row>
    <row r="9274" spans="3:8" x14ac:dyDescent="0.3">
      <c r="C9274"/>
      <c r="D9274"/>
      <c r="E9274"/>
      <c r="F9274"/>
      <c r="G9274"/>
      <c r="H9274"/>
    </row>
    <row r="9275" spans="3:8" x14ac:dyDescent="0.3">
      <c r="C9275"/>
      <c r="D9275"/>
      <c r="E9275"/>
      <c r="F9275"/>
      <c r="G9275"/>
      <c r="H9275"/>
    </row>
    <row r="9276" spans="3:8" x14ac:dyDescent="0.3">
      <c r="C9276"/>
      <c r="D9276"/>
      <c r="E9276"/>
      <c r="F9276"/>
      <c r="G9276"/>
      <c r="H9276"/>
    </row>
    <row r="9277" spans="3:8" x14ac:dyDescent="0.3">
      <c r="C9277"/>
      <c r="D9277"/>
      <c r="E9277"/>
      <c r="F9277"/>
      <c r="G9277"/>
      <c r="H9277"/>
    </row>
    <row r="9278" spans="3:8" x14ac:dyDescent="0.3">
      <c r="C9278"/>
      <c r="D9278"/>
      <c r="E9278"/>
      <c r="F9278"/>
      <c r="G9278"/>
      <c r="H9278"/>
    </row>
    <row r="9279" spans="3:8" x14ac:dyDescent="0.3">
      <c r="C9279"/>
      <c r="D9279"/>
      <c r="E9279"/>
      <c r="F9279"/>
      <c r="G9279"/>
      <c r="H9279"/>
    </row>
    <row r="9280" spans="3:8" x14ac:dyDescent="0.3">
      <c r="C9280"/>
      <c r="D9280"/>
      <c r="E9280"/>
      <c r="F9280"/>
      <c r="G9280"/>
      <c r="H9280"/>
    </row>
    <row r="9281" spans="3:8" x14ac:dyDescent="0.3">
      <c r="C9281"/>
      <c r="D9281"/>
      <c r="E9281"/>
      <c r="F9281"/>
      <c r="G9281"/>
      <c r="H9281"/>
    </row>
    <row r="9282" spans="3:8" x14ac:dyDescent="0.3">
      <c r="C9282"/>
      <c r="D9282"/>
      <c r="E9282"/>
      <c r="F9282"/>
      <c r="G9282"/>
      <c r="H9282"/>
    </row>
    <row r="9283" spans="3:8" x14ac:dyDescent="0.3">
      <c r="C9283"/>
      <c r="D9283"/>
      <c r="E9283"/>
      <c r="F9283"/>
      <c r="G9283"/>
      <c r="H9283"/>
    </row>
    <row r="9284" spans="3:8" x14ac:dyDescent="0.3">
      <c r="C9284"/>
      <c r="D9284"/>
      <c r="E9284"/>
      <c r="F9284"/>
      <c r="G9284"/>
      <c r="H9284"/>
    </row>
    <row r="9285" spans="3:8" x14ac:dyDescent="0.3">
      <c r="C9285"/>
      <c r="D9285"/>
      <c r="E9285"/>
      <c r="F9285"/>
      <c r="G9285"/>
      <c r="H9285"/>
    </row>
    <row r="9286" spans="3:8" x14ac:dyDescent="0.3">
      <c r="C9286"/>
      <c r="D9286"/>
      <c r="E9286"/>
      <c r="F9286"/>
      <c r="G9286"/>
      <c r="H9286"/>
    </row>
    <row r="9287" spans="3:8" x14ac:dyDescent="0.3">
      <c r="C9287"/>
      <c r="D9287"/>
      <c r="E9287"/>
      <c r="F9287"/>
      <c r="G9287"/>
      <c r="H9287"/>
    </row>
    <row r="9288" spans="3:8" x14ac:dyDescent="0.3">
      <c r="C9288"/>
      <c r="D9288"/>
      <c r="E9288"/>
      <c r="F9288"/>
      <c r="G9288"/>
      <c r="H9288"/>
    </row>
    <row r="9289" spans="3:8" x14ac:dyDescent="0.3">
      <c r="C9289"/>
      <c r="D9289"/>
      <c r="E9289"/>
      <c r="F9289"/>
      <c r="G9289"/>
      <c r="H9289"/>
    </row>
    <row r="9290" spans="3:8" x14ac:dyDescent="0.3">
      <c r="C9290"/>
      <c r="D9290"/>
      <c r="E9290"/>
      <c r="F9290"/>
      <c r="G9290"/>
      <c r="H9290"/>
    </row>
    <row r="9291" spans="3:8" x14ac:dyDescent="0.3">
      <c r="C9291"/>
      <c r="D9291"/>
      <c r="E9291"/>
      <c r="F9291"/>
      <c r="G9291"/>
      <c r="H9291"/>
    </row>
    <row r="9292" spans="3:8" x14ac:dyDescent="0.3">
      <c r="C9292"/>
      <c r="D9292"/>
      <c r="E9292"/>
      <c r="F9292"/>
      <c r="G9292"/>
      <c r="H9292"/>
    </row>
    <row r="9293" spans="3:8" x14ac:dyDescent="0.3">
      <c r="C9293"/>
      <c r="D9293"/>
      <c r="E9293"/>
      <c r="F9293"/>
      <c r="G9293"/>
      <c r="H9293"/>
    </row>
    <row r="9294" spans="3:8" x14ac:dyDescent="0.3">
      <c r="C9294"/>
      <c r="D9294"/>
      <c r="E9294"/>
      <c r="F9294"/>
      <c r="G9294"/>
      <c r="H9294"/>
    </row>
    <row r="9295" spans="3:8" x14ac:dyDescent="0.3">
      <c r="C9295"/>
      <c r="D9295"/>
      <c r="E9295"/>
      <c r="F9295"/>
      <c r="G9295"/>
      <c r="H9295"/>
    </row>
    <row r="9296" spans="3:8" x14ac:dyDescent="0.3">
      <c r="C9296"/>
      <c r="D9296"/>
      <c r="E9296"/>
      <c r="F9296"/>
      <c r="G9296"/>
      <c r="H9296"/>
    </row>
    <row r="9297" spans="3:8" x14ac:dyDescent="0.3">
      <c r="C9297"/>
      <c r="D9297"/>
      <c r="E9297"/>
      <c r="F9297"/>
      <c r="G9297"/>
      <c r="H9297"/>
    </row>
    <row r="9298" spans="3:8" x14ac:dyDescent="0.3">
      <c r="C9298"/>
      <c r="D9298"/>
      <c r="E9298"/>
      <c r="F9298"/>
      <c r="G9298"/>
      <c r="H9298"/>
    </row>
    <row r="9299" spans="3:8" x14ac:dyDescent="0.3">
      <c r="C9299"/>
      <c r="D9299"/>
      <c r="E9299"/>
      <c r="F9299"/>
      <c r="G9299"/>
      <c r="H9299"/>
    </row>
    <row r="9300" spans="3:8" x14ac:dyDescent="0.3">
      <c r="C9300"/>
      <c r="D9300"/>
      <c r="E9300"/>
      <c r="F9300"/>
      <c r="G9300"/>
      <c r="H9300"/>
    </row>
    <row r="9301" spans="3:8" x14ac:dyDescent="0.3">
      <c r="C9301"/>
      <c r="D9301"/>
      <c r="E9301"/>
      <c r="F9301"/>
      <c r="G9301"/>
      <c r="H9301"/>
    </row>
    <row r="9302" spans="3:8" x14ac:dyDescent="0.3">
      <c r="C9302"/>
      <c r="D9302"/>
      <c r="E9302"/>
      <c r="F9302"/>
      <c r="G9302"/>
      <c r="H9302"/>
    </row>
    <row r="9303" spans="3:8" x14ac:dyDescent="0.3">
      <c r="C9303"/>
      <c r="D9303"/>
      <c r="E9303"/>
      <c r="F9303"/>
      <c r="G9303"/>
      <c r="H9303"/>
    </row>
    <row r="9304" spans="3:8" x14ac:dyDescent="0.3">
      <c r="C9304"/>
      <c r="D9304"/>
      <c r="E9304"/>
      <c r="F9304"/>
      <c r="G9304"/>
      <c r="H9304"/>
    </row>
    <row r="9305" spans="3:8" x14ac:dyDescent="0.3">
      <c r="C9305"/>
      <c r="D9305"/>
      <c r="E9305"/>
      <c r="F9305"/>
      <c r="G9305"/>
      <c r="H9305"/>
    </row>
    <row r="9306" spans="3:8" x14ac:dyDescent="0.3">
      <c r="C9306"/>
      <c r="D9306"/>
      <c r="E9306"/>
      <c r="F9306"/>
      <c r="G9306"/>
      <c r="H9306"/>
    </row>
    <row r="9307" spans="3:8" x14ac:dyDescent="0.3">
      <c r="C9307"/>
      <c r="D9307"/>
      <c r="E9307"/>
      <c r="F9307"/>
      <c r="G9307"/>
      <c r="H9307"/>
    </row>
    <row r="9308" spans="3:8" x14ac:dyDescent="0.3">
      <c r="C9308"/>
      <c r="D9308"/>
      <c r="E9308"/>
      <c r="F9308"/>
      <c r="G9308"/>
      <c r="H9308"/>
    </row>
    <row r="9309" spans="3:8" x14ac:dyDescent="0.3">
      <c r="C9309"/>
      <c r="D9309"/>
      <c r="E9309"/>
      <c r="F9309"/>
      <c r="G9309"/>
      <c r="H9309"/>
    </row>
    <row r="9310" spans="3:8" x14ac:dyDescent="0.3">
      <c r="C9310"/>
      <c r="D9310"/>
      <c r="E9310"/>
      <c r="F9310"/>
      <c r="G9310"/>
      <c r="H9310"/>
    </row>
    <row r="9311" spans="3:8" x14ac:dyDescent="0.3">
      <c r="C9311"/>
      <c r="D9311"/>
      <c r="E9311"/>
      <c r="F9311"/>
      <c r="G9311"/>
      <c r="H9311"/>
    </row>
    <row r="9312" spans="3:8" x14ac:dyDescent="0.3">
      <c r="C9312"/>
      <c r="D9312"/>
      <c r="E9312"/>
      <c r="F9312"/>
      <c r="G9312"/>
      <c r="H9312"/>
    </row>
    <row r="9313" spans="3:8" x14ac:dyDescent="0.3">
      <c r="C9313"/>
      <c r="D9313"/>
      <c r="E9313"/>
      <c r="F9313"/>
      <c r="G9313"/>
      <c r="H9313"/>
    </row>
    <row r="9314" spans="3:8" x14ac:dyDescent="0.3">
      <c r="C9314"/>
      <c r="D9314"/>
      <c r="E9314"/>
      <c r="F9314"/>
      <c r="G9314"/>
      <c r="H9314"/>
    </row>
    <row r="9315" spans="3:8" x14ac:dyDescent="0.3">
      <c r="C9315"/>
      <c r="D9315"/>
      <c r="E9315"/>
      <c r="F9315"/>
      <c r="G9315"/>
      <c r="H9315"/>
    </row>
    <row r="9316" spans="3:8" x14ac:dyDescent="0.3">
      <c r="C9316"/>
      <c r="D9316"/>
      <c r="E9316"/>
      <c r="F9316"/>
      <c r="G9316"/>
      <c r="H9316"/>
    </row>
    <row r="9317" spans="3:8" x14ac:dyDescent="0.3">
      <c r="C9317"/>
      <c r="D9317"/>
      <c r="E9317"/>
      <c r="F9317"/>
      <c r="G9317"/>
      <c r="H9317"/>
    </row>
    <row r="9318" spans="3:8" x14ac:dyDescent="0.3">
      <c r="C9318"/>
      <c r="D9318"/>
      <c r="E9318"/>
      <c r="F9318"/>
      <c r="G9318"/>
      <c r="H9318"/>
    </row>
    <row r="9319" spans="3:8" x14ac:dyDescent="0.3">
      <c r="C9319"/>
      <c r="D9319"/>
      <c r="E9319"/>
      <c r="F9319"/>
      <c r="G9319"/>
      <c r="H9319"/>
    </row>
    <row r="9320" spans="3:8" x14ac:dyDescent="0.3">
      <c r="C9320"/>
      <c r="D9320"/>
      <c r="E9320"/>
      <c r="F9320"/>
      <c r="G9320"/>
      <c r="H9320"/>
    </row>
    <row r="9321" spans="3:8" x14ac:dyDescent="0.3">
      <c r="C9321"/>
      <c r="D9321"/>
      <c r="E9321"/>
      <c r="F9321"/>
      <c r="G9321"/>
      <c r="H9321"/>
    </row>
    <row r="9322" spans="3:8" x14ac:dyDescent="0.3">
      <c r="C9322"/>
      <c r="D9322"/>
      <c r="E9322"/>
      <c r="F9322"/>
      <c r="G9322"/>
      <c r="H9322"/>
    </row>
    <row r="9323" spans="3:8" x14ac:dyDescent="0.3">
      <c r="C9323"/>
      <c r="D9323"/>
      <c r="E9323"/>
      <c r="F9323"/>
      <c r="G9323"/>
      <c r="H9323"/>
    </row>
    <row r="9324" spans="3:8" x14ac:dyDescent="0.3">
      <c r="C9324"/>
      <c r="D9324"/>
      <c r="E9324"/>
      <c r="F9324"/>
      <c r="G9324"/>
      <c r="H9324"/>
    </row>
    <row r="9325" spans="3:8" x14ac:dyDescent="0.3">
      <c r="C9325"/>
      <c r="D9325"/>
      <c r="E9325"/>
      <c r="F9325"/>
      <c r="G9325"/>
      <c r="H9325"/>
    </row>
    <row r="9326" spans="3:8" x14ac:dyDescent="0.3">
      <c r="C9326"/>
      <c r="D9326"/>
      <c r="E9326"/>
      <c r="F9326"/>
      <c r="G9326"/>
      <c r="H9326"/>
    </row>
    <row r="9327" spans="3:8" x14ac:dyDescent="0.3">
      <c r="C9327"/>
      <c r="D9327"/>
      <c r="E9327"/>
      <c r="F9327"/>
      <c r="G9327"/>
      <c r="H9327"/>
    </row>
    <row r="9328" spans="3:8" x14ac:dyDescent="0.3">
      <c r="C9328"/>
      <c r="D9328"/>
      <c r="E9328"/>
      <c r="F9328"/>
      <c r="G9328"/>
      <c r="H9328"/>
    </row>
    <row r="9329" spans="3:8" x14ac:dyDescent="0.3">
      <c r="C9329"/>
      <c r="D9329"/>
      <c r="E9329"/>
      <c r="F9329"/>
      <c r="G9329"/>
      <c r="H9329"/>
    </row>
    <row r="9330" spans="3:8" x14ac:dyDescent="0.3">
      <c r="C9330"/>
      <c r="D9330"/>
      <c r="E9330"/>
      <c r="F9330"/>
      <c r="G9330"/>
      <c r="H9330"/>
    </row>
    <row r="9331" spans="3:8" x14ac:dyDescent="0.3">
      <c r="C9331"/>
      <c r="D9331"/>
      <c r="E9331"/>
      <c r="F9331"/>
      <c r="G9331"/>
      <c r="H9331"/>
    </row>
    <row r="9332" spans="3:8" x14ac:dyDescent="0.3">
      <c r="C9332"/>
      <c r="D9332"/>
      <c r="E9332"/>
      <c r="F9332"/>
      <c r="G9332"/>
      <c r="H9332"/>
    </row>
    <row r="9333" spans="3:8" x14ac:dyDescent="0.3">
      <c r="C9333"/>
      <c r="D9333"/>
      <c r="E9333"/>
      <c r="F9333"/>
      <c r="G9333"/>
      <c r="H9333"/>
    </row>
    <row r="9334" spans="3:8" x14ac:dyDescent="0.3">
      <c r="C9334"/>
      <c r="D9334"/>
      <c r="E9334"/>
      <c r="F9334"/>
      <c r="G9334"/>
      <c r="H9334"/>
    </row>
    <row r="9335" spans="3:8" x14ac:dyDescent="0.3">
      <c r="C9335"/>
      <c r="D9335"/>
      <c r="E9335"/>
      <c r="F9335"/>
      <c r="G9335"/>
      <c r="H9335"/>
    </row>
    <row r="9336" spans="3:8" x14ac:dyDescent="0.3">
      <c r="C9336"/>
      <c r="D9336"/>
      <c r="E9336"/>
      <c r="F9336"/>
      <c r="G9336"/>
      <c r="H9336"/>
    </row>
    <row r="9337" spans="3:8" x14ac:dyDescent="0.3">
      <c r="C9337"/>
      <c r="D9337"/>
      <c r="E9337"/>
      <c r="F9337"/>
      <c r="G9337"/>
      <c r="H9337"/>
    </row>
    <row r="9338" spans="3:8" x14ac:dyDescent="0.3">
      <c r="C9338"/>
      <c r="D9338"/>
      <c r="E9338"/>
      <c r="F9338"/>
      <c r="G9338"/>
      <c r="H9338"/>
    </row>
    <row r="9339" spans="3:8" x14ac:dyDescent="0.3">
      <c r="C9339"/>
      <c r="D9339"/>
      <c r="E9339"/>
      <c r="F9339"/>
      <c r="G9339"/>
      <c r="H9339"/>
    </row>
    <row r="9340" spans="3:8" x14ac:dyDescent="0.3">
      <c r="C9340"/>
      <c r="D9340"/>
      <c r="E9340"/>
      <c r="F9340"/>
      <c r="G9340"/>
      <c r="H9340"/>
    </row>
    <row r="9341" spans="3:8" x14ac:dyDescent="0.3">
      <c r="C9341"/>
      <c r="D9341"/>
      <c r="E9341"/>
      <c r="F9341"/>
      <c r="G9341"/>
      <c r="H9341"/>
    </row>
    <row r="9342" spans="3:8" x14ac:dyDescent="0.3">
      <c r="C9342"/>
      <c r="D9342"/>
      <c r="E9342"/>
      <c r="F9342"/>
      <c r="G9342"/>
      <c r="H9342"/>
    </row>
    <row r="9343" spans="3:8" x14ac:dyDescent="0.3">
      <c r="C9343"/>
      <c r="D9343"/>
      <c r="E9343"/>
      <c r="F9343"/>
      <c r="G9343"/>
      <c r="H9343"/>
    </row>
    <row r="9344" spans="3:8" x14ac:dyDescent="0.3">
      <c r="C9344"/>
      <c r="D9344"/>
      <c r="E9344"/>
      <c r="F9344"/>
      <c r="G9344"/>
      <c r="H9344"/>
    </row>
    <row r="9345" spans="3:8" x14ac:dyDescent="0.3">
      <c r="C9345"/>
      <c r="D9345"/>
      <c r="E9345"/>
      <c r="F9345"/>
      <c r="G9345"/>
      <c r="H9345"/>
    </row>
    <row r="9346" spans="3:8" x14ac:dyDescent="0.3">
      <c r="C9346"/>
      <c r="D9346"/>
      <c r="E9346"/>
      <c r="F9346"/>
      <c r="G9346"/>
      <c r="H9346"/>
    </row>
    <row r="9347" spans="3:8" x14ac:dyDescent="0.3">
      <c r="C9347"/>
      <c r="D9347"/>
      <c r="E9347"/>
      <c r="F9347"/>
      <c r="G9347"/>
      <c r="H9347"/>
    </row>
    <row r="9348" spans="3:8" x14ac:dyDescent="0.3">
      <c r="C9348"/>
      <c r="D9348"/>
      <c r="E9348"/>
      <c r="F9348"/>
      <c r="G9348"/>
      <c r="H9348"/>
    </row>
    <row r="9349" spans="3:8" x14ac:dyDescent="0.3">
      <c r="C9349"/>
      <c r="D9349"/>
      <c r="E9349"/>
      <c r="F9349"/>
      <c r="G9349"/>
      <c r="H9349"/>
    </row>
    <row r="9350" spans="3:8" x14ac:dyDescent="0.3">
      <c r="C9350"/>
      <c r="D9350"/>
      <c r="E9350"/>
      <c r="F9350"/>
      <c r="G9350"/>
      <c r="H9350"/>
    </row>
    <row r="9351" spans="3:8" x14ac:dyDescent="0.3">
      <c r="C9351"/>
      <c r="D9351"/>
      <c r="E9351"/>
      <c r="F9351"/>
      <c r="G9351"/>
      <c r="H9351"/>
    </row>
    <row r="9352" spans="3:8" x14ac:dyDescent="0.3">
      <c r="C9352"/>
      <c r="D9352"/>
      <c r="E9352"/>
      <c r="F9352"/>
      <c r="G9352"/>
      <c r="H9352"/>
    </row>
    <row r="9353" spans="3:8" x14ac:dyDescent="0.3">
      <c r="C9353"/>
      <c r="D9353"/>
      <c r="E9353"/>
      <c r="F9353"/>
      <c r="G9353"/>
      <c r="H9353"/>
    </row>
    <row r="9354" spans="3:8" x14ac:dyDescent="0.3">
      <c r="C9354"/>
      <c r="D9354"/>
      <c r="E9354"/>
      <c r="F9354"/>
      <c r="G9354"/>
      <c r="H9354"/>
    </row>
    <row r="9355" spans="3:8" x14ac:dyDescent="0.3">
      <c r="C9355"/>
      <c r="D9355"/>
      <c r="E9355"/>
      <c r="F9355"/>
      <c r="G9355"/>
      <c r="H9355"/>
    </row>
    <row r="9356" spans="3:8" x14ac:dyDescent="0.3">
      <c r="C9356"/>
      <c r="D9356"/>
      <c r="E9356"/>
      <c r="F9356"/>
      <c r="G9356"/>
      <c r="H9356"/>
    </row>
    <row r="9357" spans="3:8" x14ac:dyDescent="0.3">
      <c r="C9357"/>
      <c r="D9357"/>
      <c r="E9357"/>
      <c r="F9357"/>
      <c r="G9357"/>
      <c r="H9357"/>
    </row>
    <row r="9358" spans="3:8" x14ac:dyDescent="0.3">
      <c r="C9358"/>
      <c r="D9358"/>
      <c r="E9358"/>
      <c r="F9358"/>
      <c r="G9358"/>
      <c r="H9358"/>
    </row>
    <row r="9359" spans="3:8" x14ac:dyDescent="0.3">
      <c r="C9359"/>
      <c r="D9359"/>
      <c r="E9359"/>
      <c r="F9359"/>
      <c r="G9359"/>
      <c r="H9359"/>
    </row>
    <row r="9360" spans="3:8" x14ac:dyDescent="0.3">
      <c r="C9360"/>
      <c r="D9360"/>
      <c r="E9360"/>
      <c r="F9360"/>
      <c r="G9360"/>
      <c r="H9360"/>
    </row>
    <row r="9361" spans="3:8" x14ac:dyDescent="0.3">
      <c r="C9361"/>
      <c r="D9361"/>
      <c r="E9361"/>
      <c r="F9361"/>
      <c r="G9361"/>
      <c r="H9361"/>
    </row>
    <row r="9362" spans="3:8" x14ac:dyDescent="0.3">
      <c r="C9362"/>
      <c r="D9362"/>
      <c r="E9362"/>
      <c r="F9362"/>
      <c r="G9362"/>
      <c r="H9362"/>
    </row>
    <row r="9363" spans="3:8" x14ac:dyDescent="0.3">
      <c r="C9363"/>
      <c r="D9363"/>
      <c r="E9363"/>
      <c r="F9363"/>
      <c r="G9363"/>
      <c r="H9363"/>
    </row>
    <row r="9364" spans="3:8" x14ac:dyDescent="0.3">
      <c r="C9364"/>
      <c r="D9364"/>
      <c r="E9364"/>
      <c r="F9364"/>
      <c r="G9364"/>
      <c r="H9364"/>
    </row>
    <row r="9365" spans="3:8" x14ac:dyDescent="0.3">
      <c r="C9365"/>
      <c r="D9365"/>
      <c r="E9365"/>
      <c r="F9365"/>
      <c r="G9365"/>
      <c r="H9365"/>
    </row>
    <row r="9366" spans="3:8" x14ac:dyDescent="0.3">
      <c r="C9366"/>
      <c r="D9366"/>
      <c r="E9366"/>
      <c r="F9366"/>
      <c r="G9366"/>
      <c r="H9366"/>
    </row>
    <row r="9367" spans="3:8" x14ac:dyDescent="0.3">
      <c r="C9367"/>
      <c r="D9367"/>
      <c r="E9367"/>
      <c r="F9367"/>
      <c r="G9367"/>
      <c r="H9367"/>
    </row>
    <row r="9368" spans="3:8" x14ac:dyDescent="0.3">
      <c r="C9368"/>
      <c r="D9368"/>
      <c r="E9368"/>
      <c r="F9368"/>
      <c r="G9368"/>
      <c r="H9368"/>
    </row>
    <row r="9369" spans="3:8" x14ac:dyDescent="0.3">
      <c r="C9369"/>
      <c r="D9369"/>
      <c r="E9369"/>
      <c r="F9369"/>
      <c r="G9369"/>
      <c r="H9369"/>
    </row>
    <row r="9370" spans="3:8" x14ac:dyDescent="0.3">
      <c r="C9370"/>
      <c r="D9370"/>
      <c r="E9370"/>
      <c r="F9370"/>
      <c r="G9370"/>
      <c r="H9370"/>
    </row>
    <row r="9371" spans="3:8" x14ac:dyDescent="0.3">
      <c r="C9371"/>
      <c r="D9371"/>
      <c r="E9371"/>
      <c r="F9371"/>
      <c r="G9371"/>
      <c r="H9371"/>
    </row>
    <row r="9372" spans="3:8" x14ac:dyDescent="0.3">
      <c r="C9372"/>
      <c r="D9372"/>
      <c r="E9372"/>
      <c r="F9372"/>
      <c r="G9372"/>
      <c r="H9372"/>
    </row>
    <row r="9373" spans="3:8" x14ac:dyDescent="0.3">
      <c r="C9373"/>
      <c r="D9373"/>
      <c r="E9373"/>
      <c r="F9373"/>
      <c r="G9373"/>
      <c r="H9373"/>
    </row>
    <row r="9374" spans="3:8" x14ac:dyDescent="0.3">
      <c r="C9374"/>
      <c r="D9374"/>
      <c r="E9374"/>
      <c r="F9374"/>
      <c r="G9374"/>
      <c r="H9374"/>
    </row>
    <row r="9375" spans="3:8" x14ac:dyDescent="0.3">
      <c r="C9375"/>
      <c r="D9375"/>
      <c r="E9375"/>
      <c r="F9375"/>
      <c r="G9375"/>
      <c r="H9375"/>
    </row>
    <row r="9376" spans="3:8" x14ac:dyDescent="0.3">
      <c r="C9376"/>
      <c r="D9376"/>
      <c r="E9376"/>
      <c r="F9376"/>
      <c r="G9376"/>
      <c r="H9376"/>
    </row>
    <row r="9377" spans="3:8" x14ac:dyDescent="0.3">
      <c r="C9377"/>
      <c r="D9377"/>
      <c r="E9377"/>
      <c r="F9377"/>
      <c r="G9377"/>
      <c r="H9377"/>
    </row>
    <row r="9378" spans="3:8" x14ac:dyDescent="0.3">
      <c r="C9378"/>
      <c r="D9378"/>
      <c r="E9378"/>
      <c r="F9378"/>
      <c r="G9378"/>
      <c r="H9378"/>
    </row>
    <row r="9379" spans="3:8" x14ac:dyDescent="0.3">
      <c r="C9379"/>
      <c r="D9379"/>
      <c r="E9379"/>
      <c r="F9379"/>
      <c r="G9379"/>
      <c r="H9379"/>
    </row>
    <row r="9380" spans="3:8" x14ac:dyDescent="0.3">
      <c r="C9380"/>
      <c r="D9380"/>
      <c r="E9380"/>
      <c r="F9380"/>
      <c r="G9380"/>
      <c r="H9380"/>
    </row>
    <row r="9381" spans="3:8" x14ac:dyDescent="0.3">
      <c r="C9381"/>
      <c r="D9381"/>
      <c r="E9381"/>
      <c r="F9381"/>
      <c r="G9381"/>
      <c r="H9381"/>
    </row>
    <row r="9382" spans="3:8" x14ac:dyDescent="0.3">
      <c r="C9382"/>
      <c r="D9382"/>
      <c r="E9382"/>
      <c r="F9382"/>
      <c r="G9382"/>
      <c r="H9382"/>
    </row>
    <row r="9383" spans="3:8" x14ac:dyDescent="0.3">
      <c r="C9383"/>
      <c r="D9383"/>
      <c r="E9383"/>
      <c r="F9383"/>
      <c r="G9383"/>
      <c r="H9383"/>
    </row>
    <row r="9384" spans="3:8" x14ac:dyDescent="0.3">
      <c r="C9384"/>
      <c r="D9384"/>
      <c r="E9384"/>
      <c r="F9384"/>
      <c r="G9384"/>
      <c r="H9384"/>
    </row>
    <row r="9385" spans="3:8" x14ac:dyDescent="0.3">
      <c r="C9385"/>
      <c r="D9385"/>
      <c r="E9385"/>
      <c r="F9385"/>
      <c r="G9385"/>
      <c r="H9385"/>
    </row>
    <row r="9386" spans="3:8" x14ac:dyDescent="0.3">
      <c r="C9386"/>
      <c r="D9386"/>
      <c r="E9386"/>
      <c r="F9386"/>
      <c r="G9386"/>
      <c r="H9386"/>
    </row>
    <row r="9387" spans="3:8" x14ac:dyDescent="0.3">
      <c r="C9387"/>
      <c r="D9387"/>
      <c r="E9387"/>
      <c r="F9387"/>
      <c r="G9387"/>
      <c r="H9387"/>
    </row>
    <row r="9388" spans="3:8" x14ac:dyDescent="0.3">
      <c r="C9388"/>
      <c r="D9388"/>
      <c r="E9388"/>
      <c r="F9388"/>
      <c r="G9388"/>
      <c r="H9388"/>
    </row>
    <row r="9389" spans="3:8" x14ac:dyDescent="0.3">
      <c r="C9389"/>
      <c r="D9389"/>
      <c r="E9389"/>
      <c r="F9389"/>
      <c r="G9389"/>
      <c r="H9389"/>
    </row>
    <row r="9390" spans="3:8" x14ac:dyDescent="0.3">
      <c r="C9390"/>
      <c r="D9390"/>
      <c r="E9390"/>
      <c r="F9390"/>
      <c r="G9390"/>
      <c r="H9390"/>
    </row>
    <row r="9391" spans="3:8" x14ac:dyDescent="0.3">
      <c r="C9391"/>
      <c r="D9391"/>
      <c r="E9391"/>
      <c r="F9391"/>
      <c r="G9391"/>
      <c r="H9391"/>
    </row>
    <row r="9392" spans="3:8" x14ac:dyDescent="0.3">
      <c r="C9392"/>
      <c r="D9392"/>
      <c r="E9392"/>
      <c r="F9392"/>
      <c r="G9392"/>
      <c r="H9392"/>
    </row>
    <row r="9393" spans="3:8" x14ac:dyDescent="0.3">
      <c r="C9393"/>
      <c r="D9393"/>
      <c r="E9393"/>
      <c r="F9393"/>
      <c r="G9393"/>
      <c r="H9393"/>
    </row>
    <row r="9394" spans="3:8" x14ac:dyDescent="0.3">
      <c r="C9394"/>
      <c r="D9394"/>
      <c r="E9394"/>
      <c r="F9394"/>
      <c r="G9394"/>
      <c r="H9394"/>
    </row>
    <row r="9395" spans="3:8" x14ac:dyDescent="0.3">
      <c r="C9395"/>
      <c r="D9395"/>
      <c r="E9395"/>
      <c r="F9395"/>
      <c r="G9395"/>
      <c r="H9395"/>
    </row>
    <row r="9396" spans="3:8" x14ac:dyDescent="0.3">
      <c r="C9396"/>
      <c r="D9396"/>
      <c r="E9396"/>
      <c r="F9396"/>
      <c r="G9396"/>
      <c r="H9396"/>
    </row>
    <row r="9397" spans="3:8" x14ac:dyDescent="0.3">
      <c r="C9397"/>
      <c r="D9397"/>
      <c r="E9397"/>
      <c r="F9397"/>
      <c r="G9397"/>
      <c r="H9397"/>
    </row>
    <row r="9398" spans="3:8" x14ac:dyDescent="0.3">
      <c r="C9398"/>
      <c r="D9398"/>
      <c r="E9398"/>
      <c r="F9398"/>
      <c r="G9398"/>
      <c r="H9398"/>
    </row>
    <row r="9399" spans="3:8" x14ac:dyDescent="0.3">
      <c r="C9399"/>
      <c r="D9399"/>
      <c r="E9399"/>
      <c r="F9399"/>
      <c r="G9399"/>
      <c r="H9399"/>
    </row>
    <row r="9400" spans="3:8" x14ac:dyDescent="0.3">
      <c r="C9400"/>
      <c r="D9400"/>
      <c r="E9400"/>
      <c r="F9400"/>
      <c r="G9400"/>
      <c r="H9400"/>
    </row>
    <row r="9401" spans="3:8" x14ac:dyDescent="0.3">
      <c r="C9401"/>
      <c r="D9401"/>
      <c r="E9401"/>
      <c r="F9401"/>
      <c r="G9401"/>
      <c r="H9401"/>
    </row>
    <row r="9402" spans="3:8" x14ac:dyDescent="0.3">
      <c r="C9402"/>
      <c r="D9402"/>
      <c r="E9402"/>
      <c r="F9402"/>
      <c r="G9402"/>
      <c r="H9402"/>
    </row>
    <row r="9403" spans="3:8" x14ac:dyDescent="0.3">
      <c r="C9403"/>
      <c r="D9403"/>
      <c r="E9403"/>
      <c r="F9403"/>
      <c r="G9403"/>
      <c r="H9403"/>
    </row>
    <row r="9404" spans="3:8" x14ac:dyDescent="0.3">
      <c r="C9404"/>
      <c r="D9404"/>
      <c r="E9404"/>
      <c r="F9404"/>
      <c r="G9404"/>
      <c r="H9404"/>
    </row>
    <row r="9405" spans="3:8" x14ac:dyDescent="0.3">
      <c r="C9405"/>
      <c r="D9405"/>
      <c r="E9405"/>
      <c r="F9405"/>
      <c r="G9405"/>
      <c r="H9405"/>
    </row>
    <row r="9406" spans="3:8" x14ac:dyDescent="0.3">
      <c r="C9406"/>
      <c r="D9406"/>
      <c r="E9406"/>
      <c r="F9406"/>
      <c r="G9406"/>
      <c r="H9406"/>
    </row>
    <row r="9407" spans="3:8" x14ac:dyDescent="0.3">
      <c r="C9407"/>
      <c r="D9407"/>
      <c r="E9407"/>
      <c r="F9407"/>
      <c r="G9407"/>
      <c r="H9407"/>
    </row>
    <row r="9408" spans="3:8" x14ac:dyDescent="0.3">
      <c r="C9408"/>
      <c r="D9408"/>
      <c r="E9408"/>
      <c r="F9408"/>
      <c r="G9408"/>
      <c r="H9408"/>
    </row>
    <row r="9409" spans="3:8" x14ac:dyDescent="0.3">
      <c r="C9409"/>
      <c r="D9409"/>
      <c r="E9409"/>
      <c r="F9409"/>
      <c r="G9409"/>
      <c r="H9409"/>
    </row>
    <row r="9410" spans="3:8" x14ac:dyDescent="0.3">
      <c r="C9410"/>
      <c r="D9410"/>
      <c r="E9410"/>
      <c r="F9410"/>
      <c r="G9410"/>
      <c r="H9410"/>
    </row>
    <row r="9411" spans="3:8" x14ac:dyDescent="0.3">
      <c r="C9411"/>
      <c r="D9411"/>
      <c r="E9411"/>
      <c r="F9411"/>
      <c r="G9411"/>
      <c r="H9411"/>
    </row>
    <row r="9412" spans="3:8" x14ac:dyDescent="0.3">
      <c r="C9412"/>
      <c r="D9412"/>
      <c r="E9412"/>
      <c r="F9412"/>
      <c r="G9412"/>
      <c r="H9412"/>
    </row>
    <row r="9413" spans="3:8" x14ac:dyDescent="0.3">
      <c r="C9413"/>
      <c r="D9413"/>
      <c r="E9413"/>
      <c r="F9413"/>
      <c r="G9413"/>
      <c r="H9413"/>
    </row>
    <row r="9414" spans="3:8" x14ac:dyDescent="0.3">
      <c r="C9414"/>
      <c r="D9414"/>
      <c r="E9414"/>
      <c r="F9414"/>
      <c r="G9414"/>
      <c r="H9414"/>
    </row>
    <row r="9415" spans="3:8" x14ac:dyDescent="0.3">
      <c r="C9415"/>
      <c r="D9415"/>
      <c r="E9415"/>
      <c r="F9415"/>
      <c r="G9415"/>
      <c r="H9415"/>
    </row>
    <row r="9416" spans="3:8" x14ac:dyDescent="0.3">
      <c r="C9416"/>
      <c r="D9416"/>
      <c r="E9416"/>
      <c r="F9416"/>
      <c r="G9416"/>
      <c r="H9416"/>
    </row>
    <row r="9417" spans="3:8" x14ac:dyDescent="0.3">
      <c r="C9417"/>
      <c r="D9417"/>
      <c r="E9417"/>
      <c r="F9417"/>
      <c r="G9417"/>
      <c r="H9417"/>
    </row>
    <row r="9418" spans="3:8" x14ac:dyDescent="0.3">
      <c r="C9418"/>
      <c r="D9418"/>
      <c r="E9418"/>
      <c r="F9418"/>
      <c r="G9418"/>
      <c r="H9418"/>
    </row>
    <row r="9419" spans="3:8" x14ac:dyDescent="0.3">
      <c r="C9419"/>
      <c r="D9419"/>
      <c r="E9419"/>
      <c r="F9419"/>
      <c r="G9419"/>
      <c r="H9419"/>
    </row>
    <row r="9420" spans="3:8" x14ac:dyDescent="0.3">
      <c r="C9420"/>
      <c r="D9420"/>
      <c r="E9420"/>
      <c r="F9420"/>
      <c r="G9420"/>
      <c r="H9420"/>
    </row>
    <row r="9421" spans="3:8" x14ac:dyDescent="0.3">
      <c r="C9421"/>
      <c r="D9421"/>
      <c r="E9421"/>
      <c r="F9421"/>
      <c r="G9421"/>
      <c r="H9421"/>
    </row>
    <row r="9422" spans="3:8" x14ac:dyDescent="0.3">
      <c r="C9422"/>
      <c r="D9422"/>
      <c r="E9422"/>
      <c r="F9422"/>
      <c r="G9422"/>
      <c r="H9422"/>
    </row>
    <row r="9423" spans="3:8" x14ac:dyDescent="0.3">
      <c r="C9423"/>
      <c r="D9423"/>
      <c r="E9423"/>
      <c r="F9423"/>
      <c r="G9423"/>
      <c r="H9423"/>
    </row>
    <row r="9424" spans="3:8" x14ac:dyDescent="0.3">
      <c r="C9424"/>
      <c r="D9424"/>
      <c r="E9424"/>
      <c r="F9424"/>
      <c r="G9424"/>
      <c r="H9424"/>
    </row>
    <row r="9425" spans="3:8" x14ac:dyDescent="0.3">
      <c r="C9425"/>
      <c r="D9425"/>
      <c r="E9425"/>
      <c r="F9425"/>
      <c r="G9425"/>
      <c r="H9425"/>
    </row>
    <row r="9426" spans="3:8" x14ac:dyDescent="0.3">
      <c r="C9426"/>
      <c r="D9426"/>
      <c r="E9426"/>
      <c r="F9426"/>
      <c r="G9426"/>
      <c r="H9426"/>
    </row>
    <row r="9427" spans="3:8" x14ac:dyDescent="0.3">
      <c r="C9427"/>
      <c r="D9427"/>
      <c r="E9427"/>
      <c r="F9427"/>
      <c r="G9427"/>
      <c r="H9427"/>
    </row>
    <row r="9428" spans="3:8" x14ac:dyDescent="0.3">
      <c r="C9428"/>
      <c r="D9428"/>
      <c r="E9428"/>
      <c r="F9428"/>
      <c r="G9428"/>
      <c r="H9428"/>
    </row>
    <row r="9429" spans="3:8" x14ac:dyDescent="0.3">
      <c r="C9429"/>
      <c r="D9429"/>
      <c r="E9429"/>
      <c r="F9429"/>
      <c r="G9429"/>
      <c r="H9429"/>
    </row>
    <row r="9430" spans="3:8" x14ac:dyDescent="0.3">
      <c r="C9430"/>
      <c r="D9430"/>
      <c r="E9430"/>
      <c r="F9430"/>
      <c r="G9430"/>
      <c r="H9430"/>
    </row>
    <row r="9431" spans="3:8" x14ac:dyDescent="0.3">
      <c r="C9431"/>
      <c r="D9431"/>
      <c r="E9431"/>
      <c r="F9431"/>
      <c r="G9431"/>
      <c r="H9431"/>
    </row>
    <row r="9432" spans="3:8" x14ac:dyDescent="0.3">
      <c r="C9432"/>
      <c r="D9432"/>
      <c r="E9432"/>
      <c r="F9432"/>
      <c r="G9432"/>
      <c r="H9432"/>
    </row>
    <row r="9433" spans="3:8" x14ac:dyDescent="0.3">
      <c r="C9433"/>
      <c r="D9433"/>
      <c r="E9433"/>
      <c r="F9433"/>
      <c r="G9433"/>
      <c r="H9433"/>
    </row>
    <row r="9434" spans="3:8" x14ac:dyDescent="0.3">
      <c r="C9434"/>
      <c r="D9434"/>
      <c r="E9434"/>
      <c r="F9434"/>
      <c r="G9434"/>
      <c r="H9434"/>
    </row>
    <row r="9435" spans="3:8" x14ac:dyDescent="0.3">
      <c r="C9435"/>
      <c r="D9435"/>
      <c r="E9435"/>
      <c r="F9435"/>
      <c r="G9435"/>
      <c r="H9435"/>
    </row>
    <row r="9436" spans="3:8" x14ac:dyDescent="0.3">
      <c r="C9436"/>
      <c r="D9436"/>
      <c r="E9436"/>
      <c r="F9436"/>
      <c r="G9436"/>
      <c r="H9436"/>
    </row>
    <row r="9437" spans="3:8" x14ac:dyDescent="0.3">
      <c r="C9437"/>
      <c r="D9437"/>
      <c r="E9437"/>
      <c r="F9437"/>
      <c r="G9437"/>
      <c r="H9437"/>
    </row>
    <row r="9438" spans="3:8" x14ac:dyDescent="0.3">
      <c r="C9438"/>
      <c r="D9438"/>
      <c r="E9438"/>
      <c r="F9438"/>
      <c r="G9438"/>
      <c r="H9438"/>
    </row>
    <row r="9439" spans="3:8" x14ac:dyDescent="0.3">
      <c r="C9439"/>
      <c r="D9439"/>
      <c r="E9439"/>
      <c r="F9439"/>
      <c r="G9439"/>
      <c r="H9439"/>
    </row>
    <row r="9440" spans="3:8" x14ac:dyDescent="0.3">
      <c r="C9440"/>
      <c r="D9440"/>
      <c r="E9440"/>
      <c r="F9440"/>
      <c r="G9440"/>
      <c r="H9440"/>
    </row>
    <row r="9441" spans="3:8" x14ac:dyDescent="0.3">
      <c r="C9441"/>
      <c r="D9441"/>
      <c r="E9441"/>
      <c r="F9441"/>
      <c r="G9441"/>
      <c r="H9441"/>
    </row>
    <row r="9442" spans="3:8" x14ac:dyDescent="0.3">
      <c r="C9442"/>
      <c r="D9442"/>
      <c r="E9442"/>
      <c r="F9442"/>
      <c r="G9442"/>
      <c r="H9442"/>
    </row>
    <row r="9443" spans="3:8" x14ac:dyDescent="0.3">
      <c r="C9443"/>
      <c r="D9443"/>
      <c r="E9443"/>
      <c r="F9443"/>
      <c r="G9443"/>
      <c r="H9443"/>
    </row>
    <row r="9444" spans="3:8" x14ac:dyDescent="0.3">
      <c r="C9444"/>
      <c r="D9444"/>
      <c r="E9444"/>
      <c r="F9444"/>
      <c r="G9444"/>
      <c r="H9444"/>
    </row>
    <row r="9445" spans="3:8" x14ac:dyDescent="0.3">
      <c r="C9445"/>
      <c r="D9445"/>
      <c r="E9445"/>
      <c r="F9445"/>
      <c r="G9445"/>
      <c r="H9445"/>
    </row>
    <row r="9446" spans="3:8" x14ac:dyDescent="0.3">
      <c r="C9446"/>
      <c r="D9446"/>
      <c r="E9446"/>
      <c r="F9446"/>
      <c r="G9446"/>
      <c r="H9446"/>
    </row>
    <row r="9447" spans="3:8" x14ac:dyDescent="0.3">
      <c r="C9447"/>
      <c r="D9447"/>
      <c r="E9447"/>
      <c r="F9447"/>
      <c r="G9447"/>
      <c r="H9447"/>
    </row>
    <row r="9448" spans="3:8" x14ac:dyDescent="0.3">
      <c r="C9448"/>
      <c r="D9448"/>
      <c r="E9448"/>
      <c r="F9448"/>
      <c r="G9448"/>
      <c r="H9448"/>
    </row>
    <row r="9449" spans="3:8" x14ac:dyDescent="0.3">
      <c r="C9449"/>
      <c r="D9449"/>
      <c r="E9449"/>
      <c r="F9449"/>
      <c r="G9449"/>
      <c r="H9449"/>
    </row>
    <row r="9450" spans="3:8" x14ac:dyDescent="0.3">
      <c r="C9450"/>
      <c r="D9450"/>
      <c r="E9450"/>
      <c r="F9450"/>
      <c r="G9450"/>
      <c r="H9450"/>
    </row>
    <row r="9451" spans="3:8" x14ac:dyDescent="0.3">
      <c r="C9451"/>
      <c r="D9451"/>
      <c r="E9451"/>
      <c r="F9451"/>
      <c r="G9451"/>
      <c r="H9451"/>
    </row>
    <row r="9452" spans="3:8" x14ac:dyDescent="0.3">
      <c r="C9452"/>
      <c r="D9452"/>
      <c r="E9452"/>
      <c r="F9452"/>
      <c r="G9452"/>
      <c r="H9452"/>
    </row>
    <row r="9453" spans="3:8" x14ac:dyDescent="0.3">
      <c r="C9453"/>
      <c r="D9453"/>
      <c r="E9453"/>
      <c r="F9453"/>
      <c r="G9453"/>
      <c r="H9453"/>
    </row>
    <row r="9454" spans="3:8" x14ac:dyDescent="0.3">
      <c r="C9454"/>
      <c r="D9454"/>
      <c r="E9454"/>
      <c r="F9454"/>
      <c r="G9454"/>
      <c r="H9454"/>
    </row>
    <row r="9455" spans="3:8" x14ac:dyDescent="0.3">
      <c r="C9455"/>
      <c r="D9455"/>
      <c r="E9455"/>
      <c r="F9455"/>
      <c r="G9455"/>
      <c r="H9455"/>
    </row>
    <row r="9456" spans="3:8" x14ac:dyDescent="0.3">
      <c r="C9456"/>
      <c r="D9456"/>
      <c r="E9456"/>
      <c r="F9456"/>
      <c r="G9456"/>
      <c r="H9456"/>
    </row>
    <row r="9457" spans="3:8" x14ac:dyDescent="0.3">
      <c r="C9457"/>
      <c r="D9457"/>
      <c r="E9457"/>
      <c r="F9457"/>
      <c r="G9457"/>
      <c r="H9457"/>
    </row>
    <row r="9458" spans="3:8" x14ac:dyDescent="0.3">
      <c r="C9458"/>
      <c r="D9458"/>
      <c r="E9458"/>
      <c r="F9458"/>
      <c r="G9458"/>
      <c r="H9458"/>
    </row>
    <row r="9459" spans="3:8" x14ac:dyDescent="0.3">
      <c r="C9459"/>
      <c r="D9459"/>
      <c r="E9459"/>
      <c r="F9459"/>
      <c r="G9459"/>
      <c r="H9459"/>
    </row>
    <row r="9460" spans="3:8" x14ac:dyDescent="0.3">
      <c r="C9460"/>
      <c r="D9460"/>
      <c r="E9460"/>
      <c r="F9460"/>
      <c r="G9460"/>
      <c r="H9460"/>
    </row>
    <row r="9461" spans="3:8" x14ac:dyDescent="0.3">
      <c r="C9461"/>
      <c r="D9461"/>
      <c r="E9461"/>
      <c r="F9461"/>
      <c r="G9461"/>
      <c r="H9461"/>
    </row>
    <row r="9462" spans="3:8" x14ac:dyDescent="0.3">
      <c r="C9462"/>
      <c r="D9462"/>
      <c r="E9462"/>
      <c r="F9462"/>
      <c r="G9462"/>
      <c r="H9462"/>
    </row>
    <row r="9463" spans="3:8" x14ac:dyDescent="0.3">
      <c r="C9463"/>
      <c r="D9463"/>
      <c r="E9463"/>
      <c r="F9463"/>
      <c r="G9463"/>
      <c r="H9463"/>
    </row>
    <row r="9464" spans="3:8" x14ac:dyDescent="0.3">
      <c r="C9464"/>
      <c r="D9464"/>
      <c r="E9464"/>
      <c r="F9464"/>
      <c r="G9464"/>
      <c r="H9464"/>
    </row>
    <row r="9465" spans="3:8" x14ac:dyDescent="0.3">
      <c r="C9465"/>
      <c r="D9465"/>
      <c r="E9465"/>
      <c r="F9465"/>
      <c r="G9465"/>
      <c r="H9465"/>
    </row>
    <row r="9466" spans="3:8" x14ac:dyDescent="0.3">
      <c r="C9466"/>
      <c r="D9466"/>
      <c r="E9466"/>
      <c r="F9466"/>
      <c r="G9466"/>
      <c r="H9466"/>
    </row>
    <row r="9467" spans="3:8" x14ac:dyDescent="0.3">
      <c r="C9467"/>
      <c r="D9467"/>
      <c r="E9467"/>
      <c r="F9467"/>
      <c r="G9467"/>
      <c r="H9467"/>
    </row>
    <row r="9468" spans="3:8" x14ac:dyDescent="0.3">
      <c r="C9468"/>
      <c r="D9468"/>
      <c r="E9468"/>
      <c r="F9468"/>
      <c r="G9468"/>
      <c r="H9468"/>
    </row>
    <row r="9469" spans="3:8" x14ac:dyDescent="0.3">
      <c r="C9469"/>
      <c r="D9469"/>
      <c r="E9469"/>
      <c r="F9469"/>
      <c r="G9469"/>
      <c r="H9469"/>
    </row>
    <row r="9470" spans="3:8" x14ac:dyDescent="0.3">
      <c r="C9470"/>
      <c r="D9470"/>
      <c r="E9470"/>
      <c r="F9470"/>
      <c r="G9470"/>
      <c r="H9470"/>
    </row>
    <row r="9471" spans="3:8" x14ac:dyDescent="0.3">
      <c r="C9471"/>
      <c r="D9471"/>
      <c r="E9471"/>
      <c r="F9471"/>
      <c r="G9471"/>
      <c r="H9471"/>
    </row>
    <row r="9472" spans="3:8" x14ac:dyDescent="0.3">
      <c r="C9472"/>
      <c r="D9472"/>
      <c r="E9472"/>
      <c r="F9472"/>
      <c r="G9472"/>
      <c r="H9472"/>
    </row>
    <row r="9473" spans="3:8" x14ac:dyDescent="0.3">
      <c r="C9473"/>
      <c r="D9473"/>
      <c r="E9473"/>
      <c r="F9473"/>
      <c r="G9473"/>
      <c r="H9473"/>
    </row>
    <row r="9474" spans="3:8" x14ac:dyDescent="0.3">
      <c r="C9474"/>
      <c r="D9474"/>
      <c r="E9474"/>
      <c r="F9474"/>
      <c r="G9474"/>
      <c r="H9474"/>
    </row>
    <row r="9475" spans="3:8" x14ac:dyDescent="0.3">
      <c r="C9475"/>
      <c r="D9475"/>
      <c r="E9475"/>
      <c r="F9475"/>
      <c r="G9475"/>
      <c r="H9475"/>
    </row>
    <row r="9476" spans="3:8" x14ac:dyDescent="0.3">
      <c r="C9476"/>
      <c r="D9476"/>
      <c r="E9476"/>
      <c r="F9476"/>
      <c r="G9476"/>
      <c r="H9476"/>
    </row>
    <row r="9477" spans="3:8" x14ac:dyDescent="0.3">
      <c r="C9477"/>
      <c r="D9477"/>
      <c r="E9477"/>
      <c r="F9477"/>
      <c r="G9477"/>
      <c r="H9477"/>
    </row>
    <row r="9478" spans="3:8" x14ac:dyDescent="0.3">
      <c r="C9478"/>
      <c r="D9478"/>
      <c r="E9478"/>
      <c r="F9478"/>
      <c r="G9478"/>
      <c r="H9478"/>
    </row>
    <row r="9479" spans="3:8" x14ac:dyDescent="0.3">
      <c r="C9479"/>
      <c r="D9479"/>
      <c r="E9479"/>
      <c r="F9479"/>
      <c r="G9479"/>
      <c r="H9479"/>
    </row>
    <row r="9480" spans="3:8" x14ac:dyDescent="0.3">
      <c r="C9480"/>
      <c r="D9480"/>
      <c r="E9480"/>
      <c r="F9480"/>
      <c r="G9480"/>
      <c r="H9480"/>
    </row>
    <row r="9481" spans="3:8" x14ac:dyDescent="0.3">
      <c r="C9481"/>
      <c r="D9481"/>
      <c r="E9481"/>
      <c r="F9481"/>
      <c r="G9481"/>
      <c r="H9481"/>
    </row>
    <row r="9482" spans="3:8" x14ac:dyDescent="0.3">
      <c r="C9482"/>
      <c r="D9482"/>
      <c r="E9482"/>
      <c r="F9482"/>
      <c r="G9482"/>
      <c r="H9482"/>
    </row>
    <row r="9483" spans="3:8" x14ac:dyDescent="0.3">
      <c r="C9483"/>
      <c r="D9483"/>
      <c r="E9483"/>
      <c r="F9483"/>
      <c r="G9483"/>
      <c r="H9483"/>
    </row>
    <row r="9484" spans="3:8" x14ac:dyDescent="0.3">
      <c r="C9484"/>
      <c r="D9484"/>
      <c r="E9484"/>
      <c r="F9484"/>
      <c r="G9484"/>
      <c r="H9484"/>
    </row>
    <row r="9485" spans="3:8" x14ac:dyDescent="0.3">
      <c r="C9485"/>
      <c r="D9485"/>
      <c r="E9485"/>
      <c r="F9485"/>
      <c r="G9485"/>
      <c r="H9485"/>
    </row>
    <row r="9486" spans="3:8" x14ac:dyDescent="0.3">
      <c r="C9486"/>
      <c r="D9486"/>
      <c r="E9486"/>
      <c r="F9486"/>
      <c r="G9486"/>
      <c r="H9486"/>
    </row>
    <row r="9487" spans="3:8" x14ac:dyDescent="0.3">
      <c r="C9487"/>
      <c r="D9487"/>
      <c r="E9487"/>
      <c r="F9487"/>
      <c r="G9487"/>
      <c r="H9487"/>
    </row>
    <row r="9488" spans="3:8" x14ac:dyDescent="0.3">
      <c r="C9488"/>
      <c r="D9488"/>
      <c r="E9488"/>
      <c r="F9488"/>
      <c r="G9488"/>
      <c r="H9488"/>
    </row>
    <row r="9489" spans="3:8" x14ac:dyDescent="0.3">
      <c r="C9489"/>
      <c r="D9489"/>
      <c r="E9489"/>
      <c r="F9489"/>
      <c r="G9489"/>
      <c r="H9489"/>
    </row>
    <row r="9490" spans="3:8" x14ac:dyDescent="0.3">
      <c r="C9490"/>
      <c r="D9490"/>
      <c r="E9490"/>
      <c r="F9490"/>
      <c r="G9490"/>
      <c r="H9490"/>
    </row>
    <row r="9491" spans="3:8" x14ac:dyDescent="0.3">
      <c r="C9491"/>
      <c r="D9491"/>
      <c r="E9491"/>
      <c r="F9491"/>
      <c r="G9491"/>
      <c r="H9491"/>
    </row>
    <row r="9492" spans="3:8" x14ac:dyDescent="0.3">
      <c r="C9492"/>
      <c r="D9492"/>
      <c r="E9492"/>
      <c r="F9492"/>
      <c r="G9492"/>
      <c r="H9492"/>
    </row>
    <row r="9493" spans="3:8" x14ac:dyDescent="0.3">
      <c r="C9493"/>
      <c r="D9493"/>
      <c r="E9493"/>
      <c r="F9493"/>
      <c r="G9493"/>
      <c r="H9493"/>
    </row>
    <row r="9494" spans="3:8" x14ac:dyDescent="0.3">
      <c r="C9494"/>
      <c r="D9494"/>
      <c r="E9494"/>
      <c r="F9494"/>
      <c r="G9494"/>
      <c r="H9494"/>
    </row>
    <row r="9495" spans="3:8" x14ac:dyDescent="0.3">
      <c r="C9495"/>
      <c r="D9495"/>
      <c r="E9495"/>
      <c r="F9495"/>
      <c r="G9495"/>
      <c r="H9495"/>
    </row>
    <row r="9496" spans="3:8" x14ac:dyDescent="0.3">
      <c r="C9496"/>
      <c r="D9496"/>
      <c r="E9496"/>
      <c r="F9496"/>
      <c r="G9496"/>
      <c r="H9496"/>
    </row>
    <row r="9497" spans="3:8" x14ac:dyDescent="0.3">
      <c r="C9497"/>
      <c r="D9497"/>
      <c r="E9497"/>
      <c r="F9497"/>
      <c r="G9497"/>
      <c r="H9497"/>
    </row>
    <row r="9498" spans="3:8" x14ac:dyDescent="0.3">
      <c r="C9498"/>
      <c r="D9498"/>
      <c r="E9498"/>
      <c r="F9498"/>
      <c r="G9498"/>
      <c r="H9498"/>
    </row>
    <row r="9499" spans="3:8" x14ac:dyDescent="0.3">
      <c r="C9499"/>
      <c r="D9499"/>
      <c r="E9499"/>
      <c r="F9499"/>
      <c r="G9499"/>
      <c r="H9499"/>
    </row>
    <row r="9500" spans="3:8" x14ac:dyDescent="0.3">
      <c r="C9500"/>
      <c r="D9500"/>
      <c r="E9500"/>
      <c r="F9500"/>
      <c r="G9500"/>
      <c r="H9500"/>
    </row>
    <row r="9501" spans="3:8" x14ac:dyDescent="0.3">
      <c r="C9501"/>
      <c r="D9501"/>
      <c r="E9501"/>
      <c r="F9501"/>
      <c r="G9501"/>
      <c r="H9501"/>
    </row>
    <row r="9502" spans="3:8" x14ac:dyDescent="0.3">
      <c r="C9502"/>
      <c r="D9502"/>
      <c r="E9502"/>
      <c r="F9502"/>
      <c r="G9502"/>
      <c r="H9502"/>
    </row>
    <row r="9503" spans="3:8" x14ac:dyDescent="0.3">
      <c r="C9503"/>
      <c r="D9503"/>
      <c r="E9503"/>
      <c r="F9503"/>
      <c r="G9503"/>
      <c r="H9503"/>
    </row>
    <row r="9504" spans="3:8" x14ac:dyDescent="0.3">
      <c r="C9504"/>
      <c r="D9504"/>
      <c r="E9504"/>
      <c r="F9504"/>
      <c r="G9504"/>
      <c r="H9504"/>
    </row>
    <row r="9505" spans="3:8" x14ac:dyDescent="0.3">
      <c r="C9505"/>
      <c r="D9505"/>
      <c r="E9505"/>
      <c r="F9505"/>
      <c r="G9505"/>
      <c r="H9505"/>
    </row>
    <row r="9506" spans="3:8" x14ac:dyDescent="0.3">
      <c r="C9506"/>
      <c r="D9506"/>
      <c r="E9506"/>
      <c r="F9506"/>
      <c r="G9506"/>
      <c r="H9506"/>
    </row>
    <row r="9507" spans="3:8" x14ac:dyDescent="0.3">
      <c r="C9507"/>
      <c r="D9507"/>
      <c r="E9507"/>
      <c r="F9507"/>
      <c r="G9507"/>
      <c r="H9507"/>
    </row>
    <row r="9508" spans="3:8" x14ac:dyDescent="0.3">
      <c r="C9508"/>
      <c r="D9508"/>
      <c r="E9508"/>
      <c r="F9508"/>
      <c r="G9508"/>
      <c r="H9508"/>
    </row>
    <row r="9509" spans="3:8" x14ac:dyDescent="0.3">
      <c r="C9509"/>
      <c r="D9509"/>
      <c r="E9509"/>
      <c r="F9509"/>
      <c r="G9509"/>
      <c r="H9509"/>
    </row>
    <row r="9510" spans="3:8" x14ac:dyDescent="0.3">
      <c r="C9510"/>
      <c r="D9510"/>
      <c r="E9510"/>
      <c r="F9510"/>
      <c r="G9510"/>
      <c r="H9510"/>
    </row>
    <row r="9511" spans="3:8" x14ac:dyDescent="0.3">
      <c r="C9511"/>
      <c r="D9511"/>
      <c r="E9511"/>
      <c r="F9511"/>
      <c r="G9511"/>
      <c r="H9511"/>
    </row>
    <row r="9512" spans="3:8" x14ac:dyDescent="0.3">
      <c r="C9512"/>
      <c r="D9512"/>
      <c r="E9512"/>
      <c r="F9512"/>
      <c r="G9512"/>
      <c r="H9512"/>
    </row>
    <row r="9513" spans="3:8" x14ac:dyDescent="0.3">
      <c r="C9513"/>
      <c r="D9513"/>
      <c r="E9513"/>
      <c r="F9513"/>
      <c r="G9513"/>
      <c r="H9513"/>
    </row>
    <row r="9514" spans="3:8" x14ac:dyDescent="0.3">
      <c r="C9514"/>
      <c r="D9514"/>
      <c r="E9514"/>
      <c r="F9514"/>
      <c r="G9514"/>
      <c r="H9514"/>
    </row>
    <row r="9515" spans="3:8" x14ac:dyDescent="0.3">
      <c r="C9515"/>
      <c r="D9515"/>
      <c r="E9515"/>
      <c r="F9515"/>
      <c r="G9515"/>
      <c r="H9515"/>
    </row>
    <row r="9516" spans="3:8" x14ac:dyDescent="0.3">
      <c r="C9516"/>
      <c r="D9516"/>
      <c r="E9516"/>
      <c r="F9516"/>
      <c r="G9516"/>
      <c r="H9516"/>
    </row>
    <row r="9517" spans="3:8" x14ac:dyDescent="0.3">
      <c r="C9517"/>
      <c r="D9517"/>
      <c r="E9517"/>
      <c r="F9517"/>
      <c r="G9517"/>
      <c r="H9517"/>
    </row>
    <row r="9518" spans="3:8" x14ac:dyDescent="0.3">
      <c r="C9518"/>
      <c r="D9518"/>
      <c r="E9518"/>
      <c r="F9518"/>
      <c r="G9518"/>
      <c r="H9518"/>
    </row>
    <row r="9519" spans="3:8" x14ac:dyDescent="0.3">
      <c r="C9519"/>
      <c r="D9519"/>
      <c r="E9519"/>
      <c r="F9519"/>
      <c r="G9519"/>
      <c r="H9519"/>
    </row>
    <row r="9520" spans="3:8" x14ac:dyDescent="0.3">
      <c r="C9520"/>
      <c r="D9520"/>
      <c r="E9520"/>
      <c r="F9520"/>
      <c r="G9520"/>
      <c r="H9520"/>
    </row>
    <row r="9521" spans="3:8" x14ac:dyDescent="0.3">
      <c r="C9521"/>
      <c r="D9521"/>
      <c r="E9521"/>
      <c r="F9521"/>
      <c r="G9521"/>
      <c r="H9521"/>
    </row>
    <row r="9522" spans="3:8" x14ac:dyDescent="0.3">
      <c r="C9522"/>
      <c r="D9522"/>
      <c r="E9522"/>
      <c r="F9522"/>
      <c r="G9522"/>
      <c r="H9522"/>
    </row>
    <row r="9523" spans="3:8" x14ac:dyDescent="0.3">
      <c r="C9523"/>
      <c r="D9523"/>
      <c r="E9523"/>
      <c r="F9523"/>
      <c r="G9523"/>
      <c r="H9523"/>
    </row>
    <row r="9524" spans="3:8" x14ac:dyDescent="0.3">
      <c r="C9524"/>
      <c r="D9524"/>
      <c r="E9524"/>
      <c r="F9524"/>
      <c r="G9524"/>
      <c r="H9524"/>
    </row>
    <row r="9525" spans="3:8" x14ac:dyDescent="0.3">
      <c r="C9525"/>
      <c r="D9525"/>
      <c r="E9525"/>
      <c r="F9525"/>
      <c r="G9525"/>
      <c r="H9525"/>
    </row>
    <row r="9526" spans="3:8" x14ac:dyDescent="0.3">
      <c r="C9526"/>
      <c r="D9526"/>
      <c r="E9526"/>
      <c r="F9526"/>
      <c r="G9526"/>
      <c r="H9526"/>
    </row>
    <row r="9527" spans="3:8" x14ac:dyDescent="0.3">
      <c r="C9527"/>
      <c r="D9527"/>
      <c r="E9527"/>
      <c r="F9527"/>
      <c r="G9527"/>
      <c r="H9527"/>
    </row>
    <row r="9528" spans="3:8" x14ac:dyDescent="0.3">
      <c r="C9528"/>
      <c r="D9528"/>
      <c r="E9528"/>
      <c r="F9528"/>
      <c r="G9528"/>
      <c r="H9528"/>
    </row>
    <row r="9529" spans="3:8" x14ac:dyDescent="0.3">
      <c r="C9529"/>
      <c r="D9529"/>
      <c r="E9529"/>
      <c r="F9529"/>
      <c r="G9529"/>
      <c r="H9529"/>
    </row>
    <row r="9530" spans="3:8" x14ac:dyDescent="0.3">
      <c r="C9530"/>
      <c r="D9530"/>
      <c r="E9530"/>
      <c r="F9530"/>
      <c r="G9530"/>
      <c r="H9530"/>
    </row>
    <row r="9531" spans="3:8" x14ac:dyDescent="0.3">
      <c r="C9531"/>
      <c r="D9531"/>
      <c r="E9531"/>
      <c r="F9531"/>
      <c r="G9531"/>
      <c r="H9531"/>
    </row>
    <row r="9532" spans="3:8" x14ac:dyDescent="0.3">
      <c r="C9532"/>
      <c r="D9532"/>
      <c r="E9532"/>
      <c r="F9532"/>
      <c r="G9532"/>
      <c r="H9532"/>
    </row>
    <row r="9533" spans="3:8" x14ac:dyDescent="0.3">
      <c r="C9533"/>
      <c r="D9533"/>
      <c r="E9533"/>
      <c r="F9533"/>
      <c r="G9533"/>
      <c r="H9533"/>
    </row>
    <row r="9534" spans="3:8" x14ac:dyDescent="0.3">
      <c r="C9534"/>
      <c r="D9534"/>
      <c r="E9534"/>
      <c r="F9534"/>
      <c r="G9534"/>
      <c r="H9534"/>
    </row>
    <row r="9535" spans="3:8" x14ac:dyDescent="0.3">
      <c r="C9535"/>
      <c r="D9535"/>
      <c r="E9535"/>
      <c r="F9535"/>
      <c r="G9535"/>
      <c r="H9535"/>
    </row>
    <row r="9536" spans="3:8" x14ac:dyDescent="0.3">
      <c r="C9536"/>
      <c r="D9536"/>
      <c r="E9536"/>
      <c r="F9536"/>
      <c r="G9536"/>
      <c r="H9536"/>
    </row>
    <row r="9537" spans="3:8" x14ac:dyDescent="0.3">
      <c r="C9537"/>
      <c r="D9537"/>
      <c r="E9537"/>
      <c r="F9537"/>
      <c r="G9537"/>
      <c r="H9537"/>
    </row>
    <row r="9538" spans="3:8" x14ac:dyDescent="0.3">
      <c r="C9538"/>
      <c r="D9538"/>
      <c r="E9538"/>
      <c r="F9538"/>
      <c r="G9538"/>
      <c r="H9538"/>
    </row>
    <row r="9539" spans="3:8" x14ac:dyDescent="0.3">
      <c r="C9539"/>
      <c r="D9539"/>
      <c r="E9539"/>
      <c r="F9539"/>
      <c r="G9539"/>
      <c r="H9539"/>
    </row>
    <row r="9540" spans="3:8" x14ac:dyDescent="0.3">
      <c r="C9540"/>
      <c r="D9540"/>
      <c r="E9540"/>
      <c r="F9540"/>
      <c r="G9540"/>
      <c r="H9540"/>
    </row>
    <row r="9541" spans="3:8" x14ac:dyDescent="0.3">
      <c r="C9541"/>
      <c r="D9541"/>
      <c r="E9541"/>
      <c r="F9541"/>
      <c r="G9541"/>
      <c r="H9541"/>
    </row>
    <row r="9542" spans="3:8" x14ac:dyDescent="0.3">
      <c r="C9542"/>
      <c r="D9542"/>
      <c r="E9542"/>
      <c r="F9542"/>
      <c r="G9542"/>
      <c r="H9542"/>
    </row>
    <row r="9543" spans="3:8" x14ac:dyDescent="0.3">
      <c r="C9543"/>
      <c r="D9543"/>
      <c r="E9543"/>
      <c r="F9543"/>
      <c r="G9543"/>
      <c r="H9543"/>
    </row>
    <row r="9544" spans="3:8" x14ac:dyDescent="0.3">
      <c r="C9544"/>
      <c r="D9544"/>
      <c r="E9544"/>
      <c r="F9544"/>
      <c r="G9544"/>
      <c r="H9544"/>
    </row>
    <row r="9545" spans="3:8" x14ac:dyDescent="0.3">
      <c r="C9545"/>
      <c r="D9545"/>
      <c r="E9545"/>
      <c r="F9545"/>
      <c r="G9545"/>
      <c r="H9545"/>
    </row>
    <row r="9546" spans="3:8" x14ac:dyDescent="0.3">
      <c r="C9546"/>
      <c r="D9546"/>
      <c r="E9546"/>
      <c r="F9546"/>
      <c r="G9546"/>
      <c r="H9546"/>
    </row>
    <row r="9547" spans="3:8" x14ac:dyDescent="0.3">
      <c r="C9547"/>
      <c r="D9547"/>
      <c r="E9547"/>
      <c r="F9547"/>
      <c r="G9547"/>
      <c r="H9547"/>
    </row>
    <row r="9548" spans="3:8" x14ac:dyDescent="0.3">
      <c r="C9548"/>
      <c r="D9548"/>
      <c r="E9548"/>
      <c r="F9548"/>
      <c r="G9548"/>
      <c r="H9548"/>
    </row>
    <row r="9549" spans="3:8" x14ac:dyDescent="0.3">
      <c r="C9549"/>
      <c r="D9549"/>
      <c r="E9549"/>
      <c r="F9549"/>
      <c r="G9549"/>
      <c r="H9549"/>
    </row>
    <row r="9550" spans="3:8" x14ac:dyDescent="0.3">
      <c r="C9550"/>
      <c r="D9550"/>
      <c r="E9550"/>
      <c r="F9550"/>
      <c r="G9550"/>
      <c r="H9550"/>
    </row>
    <row r="9551" spans="3:8" x14ac:dyDescent="0.3">
      <c r="C9551"/>
      <c r="D9551"/>
      <c r="E9551"/>
      <c r="F9551"/>
      <c r="G9551"/>
      <c r="H9551"/>
    </row>
    <row r="9552" spans="3:8" x14ac:dyDescent="0.3">
      <c r="C9552"/>
      <c r="D9552"/>
      <c r="E9552"/>
      <c r="F9552"/>
      <c r="G9552"/>
      <c r="H9552"/>
    </row>
    <row r="9553" spans="3:8" x14ac:dyDescent="0.3">
      <c r="C9553"/>
      <c r="D9553"/>
      <c r="E9553"/>
      <c r="F9553"/>
      <c r="G9553"/>
      <c r="H9553"/>
    </row>
    <row r="9554" spans="3:8" x14ac:dyDescent="0.3">
      <c r="C9554"/>
      <c r="D9554"/>
      <c r="E9554"/>
      <c r="F9554"/>
      <c r="G9554"/>
      <c r="H9554"/>
    </row>
    <row r="9555" spans="3:8" x14ac:dyDescent="0.3">
      <c r="C9555"/>
      <c r="D9555"/>
      <c r="E9555"/>
      <c r="F9555"/>
      <c r="G9555"/>
      <c r="H9555"/>
    </row>
    <row r="9556" spans="3:8" x14ac:dyDescent="0.3">
      <c r="C9556"/>
      <c r="D9556"/>
      <c r="E9556"/>
      <c r="F9556"/>
      <c r="G9556"/>
      <c r="H9556"/>
    </row>
    <row r="9557" spans="3:8" x14ac:dyDescent="0.3">
      <c r="C9557"/>
      <c r="D9557"/>
      <c r="E9557"/>
      <c r="F9557"/>
      <c r="G9557"/>
      <c r="H9557"/>
    </row>
    <row r="9558" spans="3:8" x14ac:dyDescent="0.3">
      <c r="C9558"/>
      <c r="D9558"/>
      <c r="E9558"/>
      <c r="F9558"/>
      <c r="G9558"/>
      <c r="H9558"/>
    </row>
    <row r="9559" spans="3:8" x14ac:dyDescent="0.3">
      <c r="C9559"/>
      <c r="D9559"/>
      <c r="E9559"/>
      <c r="F9559"/>
      <c r="G9559"/>
      <c r="H9559"/>
    </row>
    <row r="9560" spans="3:8" x14ac:dyDescent="0.3">
      <c r="C9560"/>
      <c r="D9560"/>
      <c r="E9560"/>
      <c r="F9560"/>
      <c r="G9560"/>
      <c r="H9560"/>
    </row>
    <row r="9561" spans="3:8" x14ac:dyDescent="0.3">
      <c r="C9561"/>
      <c r="D9561"/>
      <c r="E9561"/>
      <c r="F9561"/>
      <c r="G9561"/>
      <c r="H9561"/>
    </row>
    <row r="9562" spans="3:8" x14ac:dyDescent="0.3">
      <c r="C9562"/>
      <c r="D9562"/>
      <c r="E9562"/>
      <c r="F9562"/>
      <c r="G9562"/>
      <c r="H9562"/>
    </row>
    <row r="9563" spans="3:8" x14ac:dyDescent="0.3">
      <c r="C9563"/>
      <c r="D9563"/>
      <c r="E9563"/>
      <c r="F9563"/>
      <c r="G9563"/>
      <c r="H9563"/>
    </row>
    <row r="9564" spans="3:8" x14ac:dyDescent="0.3">
      <c r="C9564"/>
      <c r="D9564"/>
      <c r="E9564"/>
      <c r="F9564"/>
      <c r="G9564"/>
      <c r="H9564"/>
    </row>
    <row r="9565" spans="3:8" x14ac:dyDescent="0.3">
      <c r="C9565"/>
      <c r="D9565"/>
      <c r="E9565"/>
      <c r="F9565"/>
      <c r="G9565"/>
      <c r="H9565"/>
    </row>
    <row r="9566" spans="3:8" x14ac:dyDescent="0.3">
      <c r="C9566"/>
      <c r="D9566"/>
      <c r="E9566"/>
      <c r="F9566"/>
      <c r="G9566"/>
      <c r="H9566"/>
    </row>
    <row r="9567" spans="3:8" x14ac:dyDescent="0.3">
      <c r="C9567"/>
      <c r="D9567"/>
      <c r="E9567"/>
      <c r="F9567"/>
      <c r="G9567"/>
      <c r="H9567"/>
    </row>
    <row r="9568" spans="3:8" x14ac:dyDescent="0.3">
      <c r="C9568"/>
      <c r="D9568"/>
      <c r="E9568"/>
      <c r="F9568"/>
      <c r="G9568"/>
      <c r="H9568"/>
    </row>
    <row r="9569" spans="3:8" x14ac:dyDescent="0.3">
      <c r="C9569"/>
      <c r="D9569"/>
      <c r="E9569"/>
      <c r="F9569"/>
      <c r="G9569"/>
      <c r="H9569"/>
    </row>
    <row r="9570" spans="3:8" x14ac:dyDescent="0.3">
      <c r="C9570"/>
      <c r="D9570"/>
      <c r="E9570"/>
      <c r="F9570"/>
      <c r="G9570"/>
      <c r="H9570"/>
    </row>
    <row r="9571" spans="3:8" x14ac:dyDescent="0.3">
      <c r="C9571"/>
      <c r="D9571"/>
      <c r="E9571"/>
      <c r="F9571"/>
      <c r="G9571"/>
      <c r="H9571"/>
    </row>
    <row r="9572" spans="3:8" x14ac:dyDescent="0.3">
      <c r="C9572"/>
      <c r="D9572"/>
      <c r="E9572"/>
      <c r="F9572"/>
      <c r="G9572"/>
      <c r="H9572"/>
    </row>
    <row r="9573" spans="3:8" x14ac:dyDescent="0.3">
      <c r="C9573"/>
      <c r="D9573"/>
      <c r="E9573"/>
      <c r="F9573"/>
      <c r="G9573"/>
      <c r="H9573"/>
    </row>
    <row r="9574" spans="3:8" x14ac:dyDescent="0.3">
      <c r="C9574"/>
      <c r="D9574"/>
      <c r="E9574"/>
      <c r="F9574"/>
      <c r="G9574"/>
      <c r="H9574"/>
    </row>
    <row r="9575" spans="3:8" x14ac:dyDescent="0.3">
      <c r="C9575"/>
      <c r="D9575"/>
      <c r="E9575"/>
      <c r="F9575"/>
      <c r="G9575"/>
      <c r="H9575"/>
    </row>
    <row r="9576" spans="3:8" x14ac:dyDescent="0.3">
      <c r="C9576"/>
      <c r="D9576"/>
      <c r="E9576"/>
      <c r="F9576"/>
      <c r="G9576"/>
      <c r="H9576"/>
    </row>
    <row r="9577" spans="3:8" x14ac:dyDescent="0.3">
      <c r="C9577"/>
      <c r="D9577"/>
      <c r="E9577"/>
      <c r="F9577"/>
      <c r="G9577"/>
      <c r="H9577"/>
    </row>
    <row r="9578" spans="3:8" x14ac:dyDescent="0.3">
      <c r="C9578"/>
      <c r="D9578"/>
      <c r="E9578"/>
      <c r="F9578"/>
      <c r="G9578"/>
      <c r="H9578"/>
    </row>
    <row r="9579" spans="3:8" x14ac:dyDescent="0.3">
      <c r="C9579"/>
      <c r="D9579"/>
      <c r="E9579"/>
      <c r="F9579"/>
      <c r="G9579"/>
      <c r="H9579"/>
    </row>
    <row r="9580" spans="3:8" x14ac:dyDescent="0.3">
      <c r="C9580"/>
      <c r="D9580"/>
      <c r="E9580"/>
      <c r="F9580"/>
      <c r="G9580"/>
      <c r="H9580"/>
    </row>
    <row r="9581" spans="3:8" x14ac:dyDescent="0.3">
      <c r="C9581"/>
      <c r="D9581"/>
      <c r="E9581"/>
      <c r="F9581"/>
      <c r="G9581"/>
      <c r="H9581"/>
    </row>
    <row r="9582" spans="3:8" x14ac:dyDescent="0.3">
      <c r="C9582"/>
      <c r="D9582"/>
      <c r="E9582"/>
      <c r="F9582"/>
      <c r="G9582"/>
      <c r="H9582"/>
    </row>
    <row r="9583" spans="3:8" x14ac:dyDescent="0.3">
      <c r="C9583"/>
      <c r="D9583"/>
      <c r="E9583"/>
      <c r="F9583"/>
      <c r="G9583"/>
      <c r="H9583"/>
    </row>
    <row r="9584" spans="3:8" x14ac:dyDescent="0.3">
      <c r="C9584"/>
      <c r="D9584"/>
      <c r="E9584"/>
      <c r="F9584"/>
      <c r="G9584"/>
      <c r="H9584"/>
    </row>
    <row r="9585" spans="3:8" x14ac:dyDescent="0.3">
      <c r="C9585"/>
      <c r="D9585"/>
      <c r="E9585"/>
      <c r="F9585"/>
      <c r="G9585"/>
      <c r="H9585"/>
    </row>
    <row r="9586" spans="3:8" x14ac:dyDescent="0.3">
      <c r="C9586"/>
      <c r="D9586"/>
      <c r="E9586"/>
      <c r="F9586"/>
      <c r="G9586"/>
      <c r="H9586"/>
    </row>
    <row r="9587" spans="3:8" x14ac:dyDescent="0.3">
      <c r="C9587"/>
      <c r="D9587"/>
      <c r="E9587"/>
      <c r="F9587"/>
      <c r="G9587"/>
      <c r="H9587"/>
    </row>
    <row r="9588" spans="3:8" x14ac:dyDescent="0.3">
      <c r="C9588"/>
      <c r="D9588"/>
      <c r="E9588"/>
      <c r="F9588"/>
      <c r="G9588"/>
      <c r="H9588"/>
    </row>
    <row r="9589" spans="3:8" x14ac:dyDescent="0.3">
      <c r="C9589"/>
      <c r="D9589"/>
      <c r="E9589"/>
      <c r="F9589"/>
      <c r="G9589"/>
      <c r="H9589"/>
    </row>
    <row r="9590" spans="3:8" x14ac:dyDescent="0.3">
      <c r="C9590"/>
      <c r="D9590"/>
      <c r="E9590"/>
      <c r="F9590"/>
      <c r="G9590"/>
      <c r="H9590"/>
    </row>
    <row r="9591" spans="3:8" x14ac:dyDescent="0.3">
      <c r="C9591"/>
      <c r="D9591"/>
      <c r="E9591"/>
      <c r="F9591"/>
      <c r="G9591"/>
      <c r="H9591"/>
    </row>
    <row r="9592" spans="3:8" x14ac:dyDescent="0.3">
      <c r="C9592"/>
      <c r="D9592"/>
      <c r="E9592"/>
      <c r="F9592"/>
      <c r="G9592"/>
      <c r="H9592"/>
    </row>
    <row r="9593" spans="3:8" x14ac:dyDescent="0.3">
      <c r="C9593"/>
      <c r="D9593"/>
      <c r="E9593"/>
      <c r="F9593"/>
      <c r="G9593"/>
      <c r="H9593"/>
    </row>
    <row r="9594" spans="3:8" x14ac:dyDescent="0.3">
      <c r="C9594"/>
      <c r="D9594"/>
      <c r="E9594"/>
      <c r="F9594"/>
      <c r="G9594"/>
      <c r="H9594"/>
    </row>
    <row r="9595" spans="3:8" x14ac:dyDescent="0.3">
      <c r="C9595"/>
      <c r="D9595"/>
      <c r="E9595"/>
      <c r="F9595"/>
      <c r="G9595"/>
      <c r="H9595"/>
    </row>
    <row r="9596" spans="3:8" x14ac:dyDescent="0.3">
      <c r="C9596"/>
      <c r="D9596"/>
      <c r="E9596"/>
      <c r="F9596"/>
      <c r="G9596"/>
      <c r="H9596"/>
    </row>
    <row r="9597" spans="3:8" x14ac:dyDescent="0.3">
      <c r="C9597"/>
      <c r="D9597"/>
      <c r="E9597"/>
      <c r="F9597"/>
      <c r="G9597"/>
      <c r="H9597"/>
    </row>
    <row r="9598" spans="3:8" x14ac:dyDescent="0.3">
      <c r="C9598"/>
      <c r="D9598"/>
      <c r="E9598"/>
      <c r="F9598"/>
      <c r="G9598"/>
      <c r="H9598"/>
    </row>
    <row r="9599" spans="3:8" x14ac:dyDescent="0.3">
      <c r="C9599"/>
      <c r="D9599"/>
      <c r="E9599"/>
      <c r="F9599"/>
      <c r="G9599"/>
      <c r="H9599"/>
    </row>
    <row r="9600" spans="3:8" x14ac:dyDescent="0.3">
      <c r="C9600"/>
      <c r="D9600"/>
      <c r="E9600"/>
      <c r="F9600"/>
      <c r="G9600"/>
      <c r="H9600"/>
    </row>
    <row r="9601" spans="3:8" x14ac:dyDescent="0.3">
      <c r="C9601"/>
      <c r="D9601"/>
      <c r="E9601"/>
      <c r="F9601"/>
      <c r="G9601"/>
      <c r="H9601"/>
    </row>
    <row r="9602" spans="3:8" x14ac:dyDescent="0.3">
      <c r="C9602"/>
      <c r="D9602"/>
      <c r="E9602"/>
      <c r="F9602"/>
      <c r="G9602"/>
      <c r="H9602"/>
    </row>
    <row r="9603" spans="3:8" x14ac:dyDescent="0.3">
      <c r="C9603"/>
      <c r="D9603"/>
      <c r="E9603"/>
      <c r="F9603"/>
      <c r="G9603"/>
      <c r="H9603"/>
    </row>
    <row r="9604" spans="3:8" x14ac:dyDescent="0.3">
      <c r="C9604"/>
      <c r="D9604"/>
      <c r="E9604"/>
      <c r="F9604"/>
      <c r="G9604"/>
      <c r="H9604"/>
    </row>
    <row r="9605" spans="3:8" x14ac:dyDescent="0.3">
      <c r="C9605"/>
      <c r="D9605"/>
      <c r="E9605"/>
      <c r="F9605"/>
      <c r="G9605"/>
      <c r="H9605"/>
    </row>
    <row r="9606" spans="3:8" x14ac:dyDescent="0.3">
      <c r="C9606"/>
      <c r="D9606"/>
      <c r="E9606"/>
      <c r="F9606"/>
      <c r="G9606"/>
      <c r="H9606"/>
    </row>
    <row r="9607" spans="3:8" x14ac:dyDescent="0.3">
      <c r="C9607"/>
      <c r="D9607"/>
      <c r="E9607"/>
      <c r="F9607"/>
      <c r="G9607"/>
      <c r="H9607"/>
    </row>
    <row r="9608" spans="3:8" x14ac:dyDescent="0.3">
      <c r="C9608"/>
      <c r="D9608"/>
      <c r="E9608"/>
      <c r="F9608"/>
      <c r="G9608"/>
      <c r="H9608"/>
    </row>
    <row r="9609" spans="3:8" x14ac:dyDescent="0.3">
      <c r="C9609"/>
      <c r="D9609"/>
      <c r="E9609"/>
      <c r="F9609"/>
      <c r="G9609"/>
      <c r="H9609"/>
    </row>
    <row r="9610" spans="3:8" x14ac:dyDescent="0.3">
      <c r="C9610"/>
      <c r="D9610"/>
      <c r="E9610"/>
      <c r="F9610"/>
      <c r="G9610"/>
      <c r="H9610"/>
    </row>
    <row r="9611" spans="3:8" x14ac:dyDescent="0.3">
      <c r="C9611"/>
      <c r="D9611"/>
      <c r="E9611"/>
      <c r="F9611"/>
      <c r="G9611"/>
      <c r="H9611"/>
    </row>
    <row r="9612" spans="3:8" x14ac:dyDescent="0.3">
      <c r="C9612"/>
      <c r="D9612"/>
      <c r="E9612"/>
      <c r="F9612"/>
      <c r="G9612"/>
      <c r="H9612"/>
    </row>
    <row r="9613" spans="3:8" x14ac:dyDescent="0.3">
      <c r="C9613"/>
      <c r="D9613"/>
      <c r="E9613"/>
      <c r="F9613"/>
      <c r="G9613"/>
      <c r="H9613"/>
    </row>
    <row r="9614" spans="3:8" x14ac:dyDescent="0.3">
      <c r="C9614"/>
      <c r="D9614"/>
      <c r="E9614"/>
      <c r="F9614"/>
      <c r="G9614"/>
      <c r="H9614"/>
    </row>
    <row r="9615" spans="3:8" x14ac:dyDescent="0.3">
      <c r="C9615"/>
      <c r="D9615"/>
      <c r="E9615"/>
      <c r="F9615"/>
      <c r="G9615"/>
      <c r="H9615"/>
    </row>
    <row r="9616" spans="3:8" x14ac:dyDescent="0.3">
      <c r="C9616"/>
      <c r="D9616"/>
      <c r="E9616"/>
      <c r="F9616"/>
      <c r="G9616"/>
      <c r="H9616"/>
    </row>
    <row r="9617" spans="3:8" x14ac:dyDescent="0.3">
      <c r="C9617"/>
      <c r="D9617"/>
      <c r="E9617"/>
      <c r="F9617"/>
      <c r="G9617"/>
      <c r="H9617"/>
    </row>
    <row r="9618" spans="3:8" x14ac:dyDescent="0.3">
      <c r="C9618"/>
      <c r="D9618"/>
      <c r="E9618"/>
      <c r="F9618"/>
      <c r="G9618"/>
      <c r="H9618"/>
    </row>
    <row r="9619" spans="3:8" x14ac:dyDescent="0.3">
      <c r="C9619"/>
      <c r="D9619"/>
      <c r="E9619"/>
      <c r="F9619"/>
      <c r="G9619"/>
      <c r="H9619"/>
    </row>
    <row r="9620" spans="3:8" x14ac:dyDescent="0.3">
      <c r="C9620"/>
      <c r="D9620"/>
      <c r="E9620"/>
      <c r="F9620"/>
      <c r="G9620"/>
      <c r="H9620"/>
    </row>
    <row r="9621" spans="3:8" x14ac:dyDescent="0.3">
      <c r="C9621"/>
      <c r="D9621"/>
      <c r="E9621"/>
      <c r="F9621"/>
      <c r="G9621"/>
      <c r="H9621"/>
    </row>
    <row r="9622" spans="3:8" x14ac:dyDescent="0.3">
      <c r="C9622"/>
      <c r="D9622"/>
      <c r="E9622"/>
      <c r="F9622"/>
      <c r="G9622"/>
      <c r="H9622"/>
    </row>
    <row r="9623" spans="3:8" x14ac:dyDescent="0.3">
      <c r="C9623"/>
      <c r="D9623"/>
      <c r="E9623"/>
      <c r="F9623"/>
      <c r="G9623"/>
      <c r="H9623"/>
    </row>
    <row r="9624" spans="3:8" x14ac:dyDescent="0.3">
      <c r="C9624"/>
      <c r="D9624"/>
      <c r="E9624"/>
      <c r="F9624"/>
      <c r="G9624"/>
      <c r="H9624"/>
    </row>
    <row r="9625" spans="3:8" x14ac:dyDescent="0.3">
      <c r="C9625"/>
      <c r="D9625"/>
      <c r="E9625"/>
      <c r="F9625"/>
      <c r="G9625"/>
      <c r="H9625"/>
    </row>
    <row r="9626" spans="3:8" x14ac:dyDescent="0.3">
      <c r="C9626"/>
      <c r="D9626"/>
      <c r="E9626"/>
      <c r="F9626"/>
      <c r="G9626"/>
      <c r="H9626"/>
    </row>
    <row r="9627" spans="3:8" x14ac:dyDescent="0.3">
      <c r="C9627"/>
      <c r="D9627"/>
      <c r="E9627"/>
      <c r="F9627"/>
      <c r="G9627"/>
      <c r="H9627"/>
    </row>
    <row r="9628" spans="3:8" x14ac:dyDescent="0.3">
      <c r="C9628"/>
      <c r="D9628"/>
      <c r="E9628"/>
      <c r="F9628"/>
      <c r="G9628"/>
      <c r="H9628"/>
    </row>
    <row r="9629" spans="3:8" x14ac:dyDescent="0.3">
      <c r="C9629"/>
      <c r="D9629"/>
      <c r="E9629"/>
      <c r="F9629"/>
      <c r="G9629"/>
      <c r="H9629"/>
    </row>
    <row r="9630" spans="3:8" x14ac:dyDescent="0.3">
      <c r="C9630"/>
      <c r="D9630"/>
      <c r="E9630"/>
      <c r="F9630"/>
      <c r="G9630"/>
      <c r="H9630"/>
    </row>
    <row r="9631" spans="3:8" x14ac:dyDescent="0.3">
      <c r="C9631"/>
      <c r="D9631"/>
      <c r="E9631"/>
      <c r="F9631"/>
      <c r="G9631"/>
      <c r="H9631"/>
    </row>
    <row r="9632" spans="3:8" x14ac:dyDescent="0.3">
      <c r="C9632"/>
      <c r="D9632"/>
      <c r="E9632"/>
      <c r="F9632"/>
      <c r="G9632"/>
      <c r="H9632"/>
    </row>
    <row r="9633" spans="3:8" x14ac:dyDescent="0.3">
      <c r="C9633"/>
      <c r="D9633"/>
      <c r="E9633"/>
      <c r="F9633"/>
      <c r="G9633"/>
      <c r="H9633"/>
    </row>
    <row r="9634" spans="3:8" x14ac:dyDescent="0.3">
      <c r="C9634"/>
      <c r="D9634"/>
      <c r="E9634"/>
      <c r="F9634"/>
      <c r="G9634"/>
      <c r="H9634"/>
    </row>
    <row r="9635" spans="3:8" x14ac:dyDescent="0.3">
      <c r="C9635"/>
      <c r="D9635"/>
      <c r="E9635"/>
      <c r="F9635"/>
      <c r="G9635"/>
      <c r="H9635"/>
    </row>
    <row r="9636" spans="3:8" x14ac:dyDescent="0.3">
      <c r="C9636"/>
      <c r="D9636"/>
      <c r="E9636"/>
      <c r="F9636"/>
      <c r="G9636"/>
      <c r="H9636"/>
    </row>
    <row r="9637" spans="3:8" x14ac:dyDescent="0.3">
      <c r="C9637"/>
      <c r="D9637"/>
      <c r="E9637"/>
      <c r="F9637"/>
      <c r="G9637"/>
      <c r="H9637"/>
    </row>
    <row r="9638" spans="3:8" x14ac:dyDescent="0.3">
      <c r="C9638"/>
      <c r="D9638"/>
      <c r="E9638"/>
      <c r="F9638"/>
      <c r="G9638"/>
      <c r="H9638"/>
    </row>
    <row r="9639" spans="3:8" x14ac:dyDescent="0.3">
      <c r="C9639"/>
      <c r="D9639"/>
      <c r="E9639"/>
      <c r="F9639"/>
      <c r="G9639"/>
      <c r="H9639"/>
    </row>
    <row r="9640" spans="3:8" x14ac:dyDescent="0.3">
      <c r="C9640"/>
      <c r="D9640"/>
      <c r="E9640"/>
      <c r="F9640"/>
      <c r="G9640"/>
      <c r="H9640"/>
    </row>
    <row r="9641" spans="3:8" x14ac:dyDescent="0.3">
      <c r="C9641"/>
      <c r="D9641"/>
      <c r="E9641"/>
      <c r="F9641"/>
      <c r="G9641"/>
      <c r="H9641"/>
    </row>
    <row r="9642" spans="3:8" x14ac:dyDescent="0.3">
      <c r="C9642"/>
      <c r="D9642"/>
      <c r="E9642"/>
      <c r="F9642"/>
      <c r="G9642"/>
      <c r="H9642"/>
    </row>
    <row r="9643" spans="3:8" x14ac:dyDescent="0.3">
      <c r="C9643"/>
      <c r="D9643"/>
      <c r="E9643"/>
      <c r="F9643"/>
      <c r="G9643"/>
      <c r="H9643"/>
    </row>
    <row r="9644" spans="3:8" x14ac:dyDescent="0.3">
      <c r="C9644"/>
      <c r="D9644"/>
      <c r="E9644"/>
      <c r="F9644"/>
      <c r="G9644"/>
      <c r="H9644"/>
    </row>
    <row r="9645" spans="3:8" x14ac:dyDescent="0.3">
      <c r="C9645"/>
      <c r="D9645"/>
      <c r="E9645"/>
      <c r="F9645"/>
      <c r="G9645"/>
      <c r="H9645"/>
    </row>
    <row r="9646" spans="3:8" x14ac:dyDescent="0.3">
      <c r="C9646"/>
      <c r="D9646"/>
      <c r="E9646"/>
      <c r="F9646"/>
      <c r="G9646"/>
      <c r="H9646"/>
    </row>
    <row r="9647" spans="3:8" x14ac:dyDescent="0.3">
      <c r="C9647"/>
      <c r="D9647"/>
      <c r="E9647"/>
      <c r="F9647"/>
      <c r="G9647"/>
      <c r="H9647"/>
    </row>
    <row r="9648" spans="3:8" x14ac:dyDescent="0.3">
      <c r="C9648"/>
      <c r="D9648"/>
      <c r="E9648"/>
      <c r="F9648"/>
      <c r="G9648"/>
      <c r="H9648"/>
    </row>
    <row r="9649" spans="3:8" x14ac:dyDescent="0.3">
      <c r="C9649"/>
      <c r="D9649"/>
      <c r="E9649"/>
      <c r="F9649"/>
      <c r="G9649"/>
      <c r="H9649"/>
    </row>
    <row r="9650" spans="3:8" x14ac:dyDescent="0.3">
      <c r="C9650"/>
      <c r="D9650"/>
      <c r="E9650"/>
      <c r="F9650"/>
      <c r="G9650"/>
      <c r="H9650"/>
    </row>
    <row r="9651" spans="3:8" x14ac:dyDescent="0.3">
      <c r="C9651"/>
      <c r="D9651"/>
      <c r="E9651"/>
      <c r="F9651"/>
      <c r="G9651"/>
      <c r="H9651"/>
    </row>
    <row r="9652" spans="3:8" x14ac:dyDescent="0.3">
      <c r="C9652"/>
      <c r="D9652"/>
      <c r="E9652"/>
      <c r="F9652"/>
      <c r="G9652"/>
      <c r="H9652"/>
    </row>
    <row r="9653" spans="3:8" x14ac:dyDescent="0.3">
      <c r="C9653"/>
      <c r="D9653"/>
      <c r="E9653"/>
      <c r="F9653"/>
      <c r="G9653"/>
      <c r="H9653"/>
    </row>
    <row r="9654" spans="3:8" x14ac:dyDescent="0.3">
      <c r="C9654"/>
      <c r="D9654"/>
      <c r="E9654"/>
      <c r="F9654"/>
      <c r="G9654"/>
      <c r="H9654"/>
    </row>
    <row r="9655" spans="3:8" x14ac:dyDescent="0.3">
      <c r="C9655"/>
      <c r="D9655"/>
      <c r="E9655"/>
      <c r="F9655"/>
      <c r="G9655"/>
      <c r="H9655"/>
    </row>
    <row r="9656" spans="3:8" x14ac:dyDescent="0.3">
      <c r="C9656"/>
      <c r="D9656"/>
      <c r="E9656"/>
      <c r="F9656"/>
      <c r="G9656"/>
      <c r="H9656"/>
    </row>
    <row r="9657" spans="3:8" x14ac:dyDescent="0.3">
      <c r="C9657"/>
      <c r="D9657"/>
      <c r="E9657"/>
      <c r="F9657"/>
      <c r="G9657"/>
      <c r="H9657"/>
    </row>
    <row r="9658" spans="3:8" x14ac:dyDescent="0.3">
      <c r="C9658"/>
      <c r="D9658"/>
      <c r="E9658"/>
      <c r="F9658"/>
      <c r="G9658"/>
      <c r="H9658"/>
    </row>
    <row r="9659" spans="3:8" x14ac:dyDescent="0.3">
      <c r="C9659"/>
      <c r="D9659"/>
      <c r="E9659"/>
      <c r="F9659"/>
      <c r="G9659"/>
      <c r="H9659"/>
    </row>
    <row r="9660" spans="3:8" x14ac:dyDescent="0.3">
      <c r="C9660"/>
      <c r="D9660"/>
      <c r="E9660"/>
      <c r="F9660"/>
      <c r="G9660"/>
      <c r="H9660"/>
    </row>
    <row r="9661" spans="3:8" x14ac:dyDescent="0.3">
      <c r="C9661"/>
      <c r="D9661"/>
      <c r="E9661"/>
      <c r="F9661"/>
      <c r="G9661"/>
      <c r="H9661"/>
    </row>
    <row r="9662" spans="3:8" x14ac:dyDescent="0.3">
      <c r="C9662"/>
      <c r="D9662"/>
      <c r="E9662"/>
      <c r="F9662"/>
      <c r="G9662"/>
      <c r="H9662"/>
    </row>
    <row r="9663" spans="3:8" x14ac:dyDescent="0.3">
      <c r="C9663"/>
      <c r="D9663"/>
      <c r="E9663"/>
      <c r="F9663"/>
      <c r="G9663"/>
      <c r="H9663"/>
    </row>
    <row r="9664" spans="3:8" x14ac:dyDescent="0.3">
      <c r="C9664"/>
      <c r="D9664"/>
      <c r="E9664"/>
      <c r="F9664"/>
      <c r="G9664"/>
      <c r="H9664"/>
    </row>
    <row r="9665" spans="3:8" x14ac:dyDescent="0.3">
      <c r="C9665"/>
      <c r="D9665"/>
      <c r="E9665"/>
      <c r="F9665"/>
      <c r="G9665"/>
      <c r="H9665"/>
    </row>
    <row r="9666" spans="3:8" x14ac:dyDescent="0.3">
      <c r="C9666"/>
      <c r="D9666"/>
      <c r="E9666"/>
      <c r="F9666"/>
      <c r="G9666"/>
      <c r="H9666"/>
    </row>
    <row r="9667" spans="3:8" x14ac:dyDescent="0.3">
      <c r="C9667"/>
      <c r="D9667"/>
      <c r="E9667"/>
      <c r="F9667"/>
      <c r="G9667"/>
      <c r="H9667"/>
    </row>
    <row r="9668" spans="3:8" x14ac:dyDescent="0.3">
      <c r="C9668"/>
      <c r="D9668"/>
      <c r="E9668"/>
      <c r="F9668"/>
      <c r="G9668"/>
      <c r="H9668"/>
    </row>
    <row r="9669" spans="3:8" x14ac:dyDescent="0.3">
      <c r="C9669"/>
      <c r="D9669"/>
      <c r="E9669"/>
      <c r="F9669"/>
      <c r="G9669"/>
      <c r="H9669"/>
    </row>
    <row r="9670" spans="3:8" x14ac:dyDescent="0.3">
      <c r="C9670"/>
      <c r="D9670"/>
      <c r="E9670"/>
      <c r="F9670"/>
      <c r="G9670"/>
      <c r="H9670"/>
    </row>
    <row r="9671" spans="3:8" x14ac:dyDescent="0.3">
      <c r="C9671"/>
      <c r="D9671"/>
      <c r="E9671"/>
      <c r="F9671"/>
      <c r="G9671"/>
      <c r="H9671"/>
    </row>
    <row r="9672" spans="3:8" x14ac:dyDescent="0.3">
      <c r="C9672"/>
      <c r="D9672"/>
      <c r="E9672"/>
      <c r="F9672"/>
      <c r="G9672"/>
      <c r="H9672"/>
    </row>
    <row r="9673" spans="3:8" x14ac:dyDescent="0.3">
      <c r="C9673"/>
      <c r="D9673"/>
      <c r="E9673"/>
      <c r="F9673"/>
      <c r="G9673"/>
      <c r="H9673"/>
    </row>
    <row r="9674" spans="3:8" x14ac:dyDescent="0.3">
      <c r="C9674"/>
      <c r="D9674"/>
      <c r="E9674"/>
      <c r="F9674"/>
      <c r="G9674"/>
      <c r="H9674"/>
    </row>
    <row r="9675" spans="3:8" x14ac:dyDescent="0.3">
      <c r="C9675"/>
      <c r="D9675"/>
      <c r="E9675"/>
      <c r="F9675"/>
      <c r="G9675"/>
      <c r="H9675"/>
    </row>
    <row r="9676" spans="3:8" x14ac:dyDescent="0.3">
      <c r="C9676"/>
      <c r="D9676"/>
      <c r="E9676"/>
      <c r="F9676"/>
      <c r="G9676"/>
      <c r="H9676"/>
    </row>
    <row r="9677" spans="3:8" x14ac:dyDescent="0.3">
      <c r="C9677"/>
      <c r="D9677"/>
      <c r="E9677"/>
      <c r="F9677"/>
      <c r="G9677"/>
      <c r="H9677"/>
    </row>
    <row r="9678" spans="3:8" x14ac:dyDescent="0.3">
      <c r="C9678"/>
      <c r="D9678"/>
      <c r="E9678"/>
      <c r="F9678"/>
      <c r="G9678"/>
      <c r="H9678"/>
    </row>
    <row r="9679" spans="3:8" x14ac:dyDescent="0.3">
      <c r="C9679"/>
      <c r="D9679"/>
      <c r="E9679"/>
      <c r="F9679"/>
      <c r="G9679"/>
      <c r="H9679"/>
    </row>
    <row r="9680" spans="3:8" x14ac:dyDescent="0.3">
      <c r="C9680"/>
      <c r="D9680"/>
      <c r="E9680"/>
      <c r="F9680"/>
      <c r="G9680"/>
      <c r="H9680"/>
    </row>
    <row r="9681" spans="3:8" x14ac:dyDescent="0.3">
      <c r="C9681"/>
      <c r="D9681"/>
      <c r="E9681"/>
      <c r="F9681"/>
      <c r="G9681"/>
      <c r="H9681"/>
    </row>
    <row r="9682" spans="3:8" x14ac:dyDescent="0.3">
      <c r="C9682"/>
      <c r="D9682"/>
      <c r="E9682"/>
      <c r="F9682"/>
      <c r="G9682"/>
      <c r="H9682"/>
    </row>
    <row r="9683" spans="3:8" x14ac:dyDescent="0.3">
      <c r="C9683"/>
      <c r="D9683"/>
      <c r="E9683"/>
      <c r="F9683"/>
      <c r="G9683"/>
      <c r="H9683"/>
    </row>
    <row r="9684" spans="3:8" x14ac:dyDescent="0.3">
      <c r="C9684"/>
      <c r="D9684"/>
      <c r="E9684"/>
      <c r="F9684"/>
      <c r="G9684"/>
      <c r="H9684"/>
    </row>
    <row r="9685" spans="3:8" x14ac:dyDescent="0.3">
      <c r="C9685"/>
      <c r="D9685"/>
      <c r="E9685"/>
      <c r="F9685"/>
      <c r="G9685"/>
      <c r="H9685"/>
    </row>
    <row r="9686" spans="3:8" x14ac:dyDescent="0.3">
      <c r="C9686"/>
      <c r="D9686"/>
      <c r="E9686"/>
      <c r="F9686"/>
      <c r="G9686"/>
      <c r="H9686"/>
    </row>
    <row r="9687" spans="3:8" x14ac:dyDescent="0.3">
      <c r="C9687"/>
      <c r="D9687"/>
      <c r="E9687"/>
      <c r="F9687"/>
      <c r="G9687"/>
      <c r="H9687"/>
    </row>
    <row r="9688" spans="3:8" x14ac:dyDescent="0.3">
      <c r="C9688"/>
      <c r="D9688"/>
      <c r="E9688"/>
      <c r="F9688"/>
      <c r="G9688"/>
      <c r="H9688"/>
    </row>
    <row r="9689" spans="3:8" x14ac:dyDescent="0.3">
      <c r="C9689"/>
      <c r="D9689"/>
      <c r="E9689"/>
      <c r="F9689"/>
      <c r="G9689"/>
      <c r="H9689"/>
    </row>
    <row r="9690" spans="3:8" x14ac:dyDescent="0.3">
      <c r="C9690"/>
      <c r="D9690"/>
      <c r="E9690"/>
      <c r="F9690"/>
      <c r="G9690"/>
      <c r="H9690"/>
    </row>
    <row r="9691" spans="3:8" x14ac:dyDescent="0.3">
      <c r="C9691"/>
      <c r="D9691"/>
      <c r="E9691"/>
      <c r="F9691"/>
      <c r="G9691"/>
      <c r="H9691"/>
    </row>
    <row r="9692" spans="3:8" x14ac:dyDescent="0.3">
      <c r="C9692"/>
      <c r="D9692"/>
      <c r="E9692"/>
      <c r="F9692"/>
      <c r="G9692"/>
      <c r="H9692"/>
    </row>
    <row r="9693" spans="3:8" x14ac:dyDescent="0.3">
      <c r="C9693"/>
      <c r="D9693"/>
      <c r="E9693"/>
      <c r="F9693"/>
      <c r="G9693"/>
      <c r="H9693"/>
    </row>
    <row r="9694" spans="3:8" x14ac:dyDescent="0.3">
      <c r="C9694"/>
      <c r="D9694"/>
      <c r="E9694"/>
      <c r="F9694"/>
      <c r="G9694"/>
      <c r="H9694"/>
    </row>
    <row r="9695" spans="3:8" x14ac:dyDescent="0.3">
      <c r="C9695"/>
      <c r="D9695"/>
      <c r="E9695"/>
      <c r="F9695"/>
      <c r="G9695"/>
      <c r="H9695"/>
    </row>
    <row r="9696" spans="3:8" x14ac:dyDescent="0.3">
      <c r="C9696"/>
      <c r="D9696"/>
      <c r="E9696"/>
      <c r="F9696"/>
      <c r="G9696"/>
      <c r="H9696"/>
    </row>
    <row r="9697" spans="3:8" x14ac:dyDescent="0.3">
      <c r="C9697"/>
      <c r="D9697"/>
      <c r="E9697"/>
      <c r="F9697"/>
      <c r="G9697"/>
      <c r="H9697"/>
    </row>
    <row r="9698" spans="3:8" x14ac:dyDescent="0.3">
      <c r="C9698"/>
      <c r="D9698"/>
      <c r="E9698"/>
      <c r="F9698"/>
      <c r="G9698"/>
      <c r="H9698"/>
    </row>
    <row r="9699" spans="3:8" x14ac:dyDescent="0.3">
      <c r="C9699"/>
      <c r="D9699"/>
      <c r="E9699"/>
      <c r="F9699"/>
      <c r="G9699"/>
      <c r="H9699"/>
    </row>
    <row r="9700" spans="3:8" x14ac:dyDescent="0.3">
      <c r="C9700"/>
      <c r="D9700"/>
      <c r="E9700"/>
      <c r="F9700"/>
      <c r="G9700"/>
      <c r="H9700"/>
    </row>
    <row r="9701" spans="3:8" x14ac:dyDescent="0.3">
      <c r="C9701"/>
      <c r="D9701"/>
      <c r="E9701"/>
      <c r="F9701"/>
      <c r="G9701"/>
      <c r="H9701"/>
    </row>
    <row r="9702" spans="3:8" x14ac:dyDescent="0.3">
      <c r="C9702"/>
      <c r="D9702"/>
      <c r="E9702"/>
      <c r="F9702"/>
      <c r="G9702"/>
      <c r="H9702"/>
    </row>
    <row r="9703" spans="3:8" x14ac:dyDescent="0.3">
      <c r="C9703"/>
      <c r="D9703"/>
      <c r="E9703"/>
      <c r="F9703"/>
      <c r="G9703"/>
      <c r="H9703"/>
    </row>
    <row r="9704" spans="3:8" x14ac:dyDescent="0.3">
      <c r="C9704"/>
      <c r="D9704"/>
      <c r="E9704"/>
      <c r="F9704"/>
      <c r="G9704"/>
      <c r="H9704"/>
    </row>
    <row r="9705" spans="3:8" x14ac:dyDescent="0.3">
      <c r="C9705"/>
      <c r="D9705"/>
      <c r="E9705"/>
      <c r="F9705"/>
      <c r="G9705"/>
      <c r="H9705"/>
    </row>
    <row r="9706" spans="3:8" x14ac:dyDescent="0.3">
      <c r="C9706"/>
      <c r="D9706"/>
      <c r="E9706"/>
      <c r="F9706"/>
      <c r="G9706"/>
      <c r="H9706"/>
    </row>
    <row r="9707" spans="3:8" x14ac:dyDescent="0.3">
      <c r="C9707"/>
      <c r="D9707"/>
      <c r="E9707"/>
      <c r="F9707"/>
      <c r="G9707"/>
      <c r="H9707"/>
    </row>
    <row r="9708" spans="3:8" x14ac:dyDescent="0.3">
      <c r="C9708"/>
      <c r="D9708"/>
      <c r="E9708"/>
      <c r="F9708"/>
      <c r="G9708"/>
      <c r="H9708"/>
    </row>
    <row r="9709" spans="3:8" x14ac:dyDescent="0.3">
      <c r="C9709"/>
      <c r="D9709"/>
      <c r="E9709"/>
      <c r="F9709"/>
      <c r="G9709"/>
      <c r="H9709"/>
    </row>
    <row r="9710" spans="3:8" x14ac:dyDescent="0.3">
      <c r="C9710"/>
      <c r="D9710"/>
      <c r="E9710"/>
      <c r="F9710"/>
      <c r="G9710"/>
      <c r="H9710"/>
    </row>
    <row r="9711" spans="3:8" x14ac:dyDescent="0.3">
      <c r="C9711"/>
      <c r="D9711"/>
      <c r="E9711"/>
      <c r="F9711"/>
      <c r="G9711"/>
      <c r="H9711"/>
    </row>
    <row r="9712" spans="3:8" x14ac:dyDescent="0.3">
      <c r="C9712"/>
      <c r="D9712"/>
      <c r="E9712"/>
      <c r="F9712"/>
      <c r="G9712"/>
      <c r="H9712"/>
    </row>
    <row r="9713" spans="3:8" x14ac:dyDescent="0.3">
      <c r="C9713"/>
      <c r="D9713"/>
      <c r="E9713"/>
      <c r="F9713"/>
      <c r="G9713"/>
      <c r="H9713"/>
    </row>
    <row r="9714" spans="3:8" x14ac:dyDescent="0.3">
      <c r="C9714"/>
      <c r="D9714"/>
      <c r="E9714"/>
      <c r="F9714"/>
      <c r="G9714"/>
      <c r="H9714"/>
    </row>
    <row r="9715" spans="3:8" x14ac:dyDescent="0.3">
      <c r="C9715"/>
      <c r="D9715"/>
      <c r="E9715"/>
      <c r="F9715"/>
      <c r="G9715"/>
      <c r="H9715"/>
    </row>
    <row r="9716" spans="3:8" x14ac:dyDescent="0.3">
      <c r="C9716"/>
      <c r="D9716"/>
      <c r="E9716"/>
      <c r="F9716"/>
      <c r="G9716"/>
      <c r="H9716"/>
    </row>
    <row r="9717" spans="3:8" x14ac:dyDescent="0.3">
      <c r="C9717"/>
      <c r="D9717"/>
      <c r="E9717"/>
      <c r="F9717"/>
      <c r="G9717"/>
      <c r="H9717"/>
    </row>
    <row r="9718" spans="3:8" x14ac:dyDescent="0.3">
      <c r="C9718"/>
      <c r="D9718"/>
      <c r="E9718"/>
      <c r="F9718"/>
      <c r="G9718"/>
      <c r="H9718"/>
    </row>
    <row r="9719" spans="3:8" x14ac:dyDescent="0.3">
      <c r="C9719"/>
      <c r="D9719"/>
      <c r="E9719"/>
      <c r="F9719"/>
      <c r="G9719"/>
      <c r="H9719"/>
    </row>
    <row r="9720" spans="3:8" x14ac:dyDescent="0.3">
      <c r="C9720"/>
      <c r="D9720"/>
      <c r="E9720"/>
      <c r="F9720"/>
      <c r="G9720"/>
      <c r="H9720"/>
    </row>
    <row r="9721" spans="3:8" x14ac:dyDescent="0.3">
      <c r="C9721"/>
      <c r="D9721"/>
      <c r="E9721"/>
      <c r="F9721"/>
      <c r="G9721"/>
      <c r="H9721"/>
    </row>
    <row r="9722" spans="3:8" x14ac:dyDescent="0.3">
      <c r="C9722"/>
      <c r="D9722"/>
      <c r="E9722"/>
      <c r="F9722"/>
      <c r="G9722"/>
      <c r="H9722"/>
    </row>
    <row r="9723" spans="3:8" x14ac:dyDescent="0.3">
      <c r="C9723"/>
      <c r="D9723"/>
      <c r="E9723"/>
      <c r="F9723"/>
      <c r="G9723"/>
      <c r="H9723"/>
    </row>
    <row r="9724" spans="3:8" x14ac:dyDescent="0.3">
      <c r="C9724"/>
      <c r="D9724"/>
      <c r="E9724"/>
      <c r="F9724"/>
      <c r="G9724"/>
      <c r="H9724"/>
    </row>
    <row r="9725" spans="3:8" x14ac:dyDescent="0.3">
      <c r="C9725"/>
      <c r="D9725"/>
      <c r="E9725"/>
      <c r="F9725"/>
      <c r="G9725"/>
      <c r="H9725"/>
    </row>
    <row r="9726" spans="3:8" x14ac:dyDescent="0.3">
      <c r="C9726"/>
      <c r="D9726"/>
      <c r="E9726"/>
      <c r="F9726"/>
      <c r="G9726"/>
      <c r="H9726"/>
    </row>
    <row r="9727" spans="3:8" x14ac:dyDescent="0.3">
      <c r="C9727"/>
      <c r="D9727"/>
      <c r="E9727"/>
      <c r="F9727"/>
      <c r="G9727"/>
      <c r="H9727"/>
    </row>
    <row r="9728" spans="3:8" x14ac:dyDescent="0.3">
      <c r="C9728"/>
      <c r="D9728"/>
      <c r="E9728"/>
      <c r="F9728"/>
      <c r="G9728"/>
      <c r="H9728"/>
    </row>
    <row r="9729" spans="3:8" x14ac:dyDescent="0.3">
      <c r="C9729"/>
      <c r="D9729"/>
      <c r="E9729"/>
      <c r="F9729"/>
      <c r="G9729"/>
      <c r="H9729"/>
    </row>
    <row r="9730" spans="3:8" x14ac:dyDescent="0.3">
      <c r="C9730"/>
      <c r="D9730"/>
      <c r="E9730"/>
      <c r="F9730"/>
      <c r="G9730"/>
      <c r="H9730"/>
    </row>
    <row r="9731" spans="3:8" x14ac:dyDescent="0.3">
      <c r="C9731"/>
      <c r="D9731"/>
      <c r="E9731"/>
      <c r="F9731"/>
      <c r="G9731"/>
      <c r="H9731"/>
    </row>
    <row r="9732" spans="3:8" x14ac:dyDescent="0.3">
      <c r="C9732"/>
      <c r="D9732"/>
      <c r="E9732"/>
      <c r="F9732"/>
      <c r="G9732"/>
      <c r="H9732"/>
    </row>
    <row r="9733" spans="3:8" x14ac:dyDescent="0.3">
      <c r="C9733"/>
      <c r="D9733"/>
      <c r="E9733"/>
      <c r="F9733"/>
      <c r="G9733"/>
      <c r="H9733"/>
    </row>
    <row r="9734" spans="3:8" x14ac:dyDescent="0.3">
      <c r="C9734"/>
      <c r="D9734"/>
      <c r="E9734"/>
      <c r="F9734"/>
      <c r="G9734"/>
      <c r="H9734"/>
    </row>
    <row r="9735" spans="3:8" x14ac:dyDescent="0.3">
      <c r="C9735"/>
      <c r="D9735"/>
      <c r="E9735"/>
      <c r="F9735"/>
      <c r="G9735"/>
      <c r="H9735"/>
    </row>
    <row r="9736" spans="3:8" x14ac:dyDescent="0.3">
      <c r="C9736"/>
      <c r="D9736"/>
      <c r="E9736"/>
      <c r="F9736"/>
      <c r="G9736"/>
      <c r="H9736"/>
    </row>
    <row r="9737" spans="3:8" x14ac:dyDescent="0.3">
      <c r="C9737"/>
      <c r="D9737"/>
      <c r="E9737"/>
      <c r="F9737"/>
      <c r="G9737"/>
      <c r="H9737"/>
    </row>
    <row r="9738" spans="3:8" x14ac:dyDescent="0.3">
      <c r="C9738"/>
      <c r="D9738"/>
      <c r="E9738"/>
      <c r="F9738"/>
      <c r="G9738"/>
      <c r="H9738"/>
    </row>
    <row r="9739" spans="3:8" x14ac:dyDescent="0.3">
      <c r="C9739"/>
      <c r="D9739"/>
      <c r="E9739"/>
      <c r="F9739"/>
      <c r="G9739"/>
      <c r="H9739"/>
    </row>
    <row r="9740" spans="3:8" x14ac:dyDescent="0.3">
      <c r="C9740"/>
      <c r="D9740"/>
      <c r="E9740"/>
      <c r="F9740"/>
      <c r="G9740"/>
      <c r="H9740"/>
    </row>
    <row r="9741" spans="3:8" x14ac:dyDescent="0.3">
      <c r="C9741"/>
      <c r="D9741"/>
      <c r="E9741"/>
      <c r="F9741"/>
      <c r="G9741"/>
      <c r="H9741"/>
    </row>
    <row r="9742" spans="3:8" x14ac:dyDescent="0.3">
      <c r="C9742"/>
      <c r="D9742"/>
      <c r="E9742"/>
      <c r="F9742"/>
      <c r="G9742"/>
      <c r="H9742"/>
    </row>
    <row r="9743" spans="3:8" x14ac:dyDescent="0.3">
      <c r="C9743"/>
      <c r="D9743"/>
      <c r="E9743"/>
      <c r="F9743"/>
      <c r="G9743"/>
      <c r="H9743"/>
    </row>
    <row r="9744" spans="3:8" x14ac:dyDescent="0.3">
      <c r="C9744"/>
      <c r="D9744"/>
      <c r="E9744"/>
      <c r="F9744"/>
      <c r="G9744"/>
      <c r="H9744"/>
    </row>
    <row r="9745" spans="3:8" x14ac:dyDescent="0.3">
      <c r="C9745"/>
      <c r="D9745"/>
      <c r="E9745"/>
      <c r="F9745"/>
      <c r="G9745"/>
      <c r="H9745"/>
    </row>
    <row r="9746" spans="3:8" x14ac:dyDescent="0.3">
      <c r="C9746"/>
      <c r="D9746"/>
      <c r="E9746"/>
      <c r="F9746"/>
      <c r="G9746"/>
      <c r="H9746"/>
    </row>
    <row r="9747" spans="3:8" x14ac:dyDescent="0.3">
      <c r="C9747"/>
      <c r="D9747"/>
      <c r="E9747"/>
      <c r="F9747"/>
      <c r="G9747"/>
      <c r="H9747"/>
    </row>
    <row r="9748" spans="3:8" x14ac:dyDescent="0.3">
      <c r="C9748"/>
      <c r="D9748"/>
      <c r="E9748"/>
      <c r="F9748"/>
      <c r="G9748"/>
      <c r="H9748"/>
    </row>
    <row r="9749" spans="3:8" x14ac:dyDescent="0.3">
      <c r="C9749"/>
      <c r="D9749"/>
      <c r="E9749"/>
      <c r="F9749"/>
      <c r="G9749"/>
      <c r="H9749"/>
    </row>
    <row r="9750" spans="3:8" x14ac:dyDescent="0.3">
      <c r="C9750"/>
      <c r="D9750"/>
      <c r="E9750"/>
      <c r="F9750"/>
      <c r="G9750"/>
      <c r="H9750"/>
    </row>
    <row r="9751" spans="3:8" x14ac:dyDescent="0.3">
      <c r="C9751"/>
      <c r="D9751"/>
      <c r="E9751"/>
      <c r="F9751"/>
      <c r="G9751"/>
      <c r="H9751"/>
    </row>
    <row r="9752" spans="3:8" x14ac:dyDescent="0.3">
      <c r="C9752"/>
      <c r="D9752"/>
      <c r="E9752"/>
      <c r="F9752"/>
      <c r="G9752"/>
      <c r="H9752"/>
    </row>
    <row r="9753" spans="3:8" x14ac:dyDescent="0.3">
      <c r="C9753"/>
      <c r="D9753"/>
      <c r="E9753"/>
      <c r="F9753"/>
      <c r="G9753"/>
      <c r="H9753"/>
    </row>
    <row r="9754" spans="3:8" x14ac:dyDescent="0.3">
      <c r="C9754"/>
      <c r="D9754"/>
      <c r="E9754"/>
      <c r="F9754"/>
      <c r="G9754"/>
      <c r="H9754"/>
    </row>
    <row r="9755" spans="3:8" x14ac:dyDescent="0.3">
      <c r="C9755"/>
      <c r="D9755"/>
      <c r="E9755"/>
      <c r="F9755"/>
      <c r="G9755"/>
      <c r="H9755"/>
    </row>
    <row r="9756" spans="3:8" x14ac:dyDescent="0.3">
      <c r="C9756"/>
      <c r="D9756"/>
      <c r="E9756"/>
      <c r="F9756"/>
      <c r="G9756"/>
      <c r="H9756"/>
    </row>
    <row r="9757" spans="3:8" x14ac:dyDescent="0.3">
      <c r="C9757"/>
      <c r="D9757"/>
      <c r="E9757"/>
      <c r="F9757"/>
      <c r="G9757"/>
      <c r="H9757"/>
    </row>
    <row r="9758" spans="3:8" x14ac:dyDescent="0.3">
      <c r="C9758"/>
      <c r="D9758"/>
      <c r="E9758"/>
      <c r="F9758"/>
      <c r="G9758"/>
      <c r="H9758"/>
    </row>
    <row r="9759" spans="3:8" x14ac:dyDescent="0.3">
      <c r="C9759"/>
      <c r="D9759"/>
      <c r="E9759"/>
      <c r="F9759"/>
      <c r="G9759"/>
      <c r="H9759"/>
    </row>
    <row r="9760" spans="3:8" x14ac:dyDescent="0.3">
      <c r="C9760"/>
      <c r="D9760"/>
      <c r="E9760"/>
      <c r="F9760"/>
      <c r="G9760"/>
      <c r="H9760"/>
    </row>
    <row r="9761" spans="3:8" x14ac:dyDescent="0.3">
      <c r="C9761"/>
      <c r="D9761"/>
      <c r="E9761"/>
      <c r="F9761"/>
      <c r="G9761"/>
      <c r="H9761"/>
    </row>
    <row r="9762" spans="3:8" x14ac:dyDescent="0.3">
      <c r="C9762"/>
      <c r="D9762"/>
      <c r="E9762"/>
      <c r="F9762"/>
      <c r="G9762"/>
      <c r="H9762"/>
    </row>
    <row r="9763" spans="3:8" x14ac:dyDescent="0.3">
      <c r="C9763"/>
      <c r="D9763"/>
      <c r="E9763"/>
      <c r="F9763"/>
      <c r="G9763"/>
      <c r="H9763"/>
    </row>
    <row r="9764" spans="3:8" x14ac:dyDescent="0.3">
      <c r="C9764"/>
      <c r="D9764"/>
      <c r="E9764"/>
      <c r="F9764"/>
      <c r="G9764"/>
      <c r="H9764"/>
    </row>
    <row r="9765" spans="3:8" x14ac:dyDescent="0.3">
      <c r="C9765"/>
      <c r="D9765"/>
      <c r="E9765"/>
      <c r="F9765"/>
      <c r="G9765"/>
      <c r="H9765"/>
    </row>
    <row r="9766" spans="3:8" x14ac:dyDescent="0.3">
      <c r="C9766"/>
      <c r="D9766"/>
      <c r="E9766"/>
      <c r="F9766"/>
      <c r="G9766"/>
      <c r="H9766"/>
    </row>
    <row r="9767" spans="3:8" x14ac:dyDescent="0.3">
      <c r="C9767"/>
      <c r="D9767"/>
      <c r="E9767"/>
      <c r="F9767"/>
      <c r="G9767"/>
      <c r="H9767"/>
    </row>
    <row r="9768" spans="3:8" x14ac:dyDescent="0.3">
      <c r="C9768"/>
      <c r="D9768"/>
      <c r="E9768"/>
      <c r="F9768"/>
      <c r="G9768"/>
      <c r="H9768"/>
    </row>
    <row r="9769" spans="3:8" x14ac:dyDescent="0.3">
      <c r="C9769"/>
      <c r="D9769"/>
      <c r="E9769"/>
      <c r="F9769"/>
      <c r="G9769"/>
      <c r="H9769"/>
    </row>
    <row r="9770" spans="3:8" x14ac:dyDescent="0.3">
      <c r="C9770"/>
      <c r="D9770"/>
      <c r="E9770"/>
      <c r="F9770"/>
      <c r="G9770"/>
      <c r="H9770"/>
    </row>
    <row r="9771" spans="3:8" x14ac:dyDescent="0.3">
      <c r="C9771"/>
      <c r="D9771"/>
      <c r="E9771"/>
      <c r="F9771"/>
      <c r="G9771"/>
      <c r="H9771"/>
    </row>
    <row r="9772" spans="3:8" x14ac:dyDescent="0.3">
      <c r="C9772"/>
      <c r="D9772"/>
      <c r="E9772"/>
      <c r="F9772"/>
      <c r="G9772"/>
      <c r="H9772"/>
    </row>
    <row r="9773" spans="3:8" x14ac:dyDescent="0.3">
      <c r="C9773"/>
      <c r="D9773"/>
      <c r="E9773"/>
      <c r="F9773"/>
      <c r="G9773"/>
      <c r="H9773"/>
    </row>
    <row r="9774" spans="3:8" x14ac:dyDescent="0.3">
      <c r="C9774"/>
      <c r="D9774"/>
      <c r="E9774"/>
      <c r="F9774"/>
      <c r="G9774"/>
      <c r="H9774"/>
    </row>
    <row r="9775" spans="3:8" x14ac:dyDescent="0.3">
      <c r="C9775"/>
      <c r="D9775"/>
      <c r="E9775"/>
      <c r="F9775"/>
      <c r="G9775"/>
      <c r="H9775"/>
    </row>
    <row r="9776" spans="3:8" x14ac:dyDescent="0.3">
      <c r="C9776"/>
      <c r="D9776"/>
      <c r="E9776"/>
      <c r="F9776"/>
      <c r="G9776"/>
      <c r="H9776"/>
    </row>
    <row r="9777" spans="3:8" x14ac:dyDescent="0.3">
      <c r="C9777"/>
      <c r="D9777"/>
      <c r="E9777"/>
      <c r="F9777"/>
      <c r="G9777"/>
      <c r="H9777"/>
    </row>
    <row r="9778" spans="3:8" x14ac:dyDescent="0.3">
      <c r="C9778"/>
      <c r="D9778"/>
      <c r="E9778"/>
      <c r="F9778"/>
      <c r="G9778"/>
      <c r="H9778"/>
    </row>
    <row r="9779" spans="3:8" x14ac:dyDescent="0.3">
      <c r="C9779"/>
      <c r="D9779"/>
      <c r="E9779"/>
      <c r="F9779"/>
      <c r="G9779"/>
      <c r="H9779"/>
    </row>
    <row r="9780" spans="3:8" x14ac:dyDescent="0.3">
      <c r="C9780"/>
      <c r="D9780"/>
      <c r="E9780"/>
      <c r="F9780"/>
      <c r="G9780"/>
      <c r="H9780"/>
    </row>
    <row r="9781" spans="3:8" x14ac:dyDescent="0.3">
      <c r="C9781"/>
      <c r="D9781"/>
      <c r="E9781"/>
      <c r="F9781"/>
      <c r="G9781"/>
      <c r="H9781"/>
    </row>
    <row r="9782" spans="3:8" x14ac:dyDescent="0.3">
      <c r="C9782"/>
      <c r="D9782"/>
      <c r="E9782"/>
      <c r="F9782"/>
      <c r="G9782"/>
      <c r="H9782"/>
    </row>
    <row r="9783" spans="3:8" x14ac:dyDescent="0.3">
      <c r="C9783"/>
      <c r="D9783"/>
      <c r="E9783"/>
      <c r="F9783"/>
      <c r="G9783"/>
      <c r="H9783"/>
    </row>
    <row r="9784" spans="3:8" x14ac:dyDescent="0.3">
      <c r="C9784"/>
      <c r="D9784"/>
      <c r="E9784"/>
      <c r="F9784"/>
      <c r="G9784"/>
      <c r="H9784"/>
    </row>
    <row r="9785" spans="3:8" x14ac:dyDescent="0.3">
      <c r="C9785"/>
      <c r="D9785"/>
      <c r="E9785"/>
      <c r="F9785"/>
      <c r="G9785"/>
      <c r="H9785"/>
    </row>
    <row r="9786" spans="3:8" x14ac:dyDescent="0.3">
      <c r="C9786"/>
      <c r="D9786"/>
      <c r="E9786"/>
      <c r="F9786"/>
      <c r="G9786"/>
      <c r="H9786"/>
    </row>
    <row r="9787" spans="3:8" x14ac:dyDescent="0.3">
      <c r="C9787"/>
      <c r="D9787"/>
      <c r="E9787"/>
      <c r="F9787"/>
      <c r="G9787"/>
      <c r="H9787"/>
    </row>
    <row r="9788" spans="3:8" x14ac:dyDescent="0.3">
      <c r="C9788"/>
      <c r="D9788"/>
      <c r="E9788"/>
      <c r="F9788"/>
      <c r="G9788"/>
      <c r="H9788"/>
    </row>
    <row r="9789" spans="3:8" x14ac:dyDescent="0.3">
      <c r="C9789"/>
      <c r="D9789"/>
      <c r="E9789"/>
      <c r="F9789"/>
      <c r="G9789"/>
      <c r="H9789"/>
    </row>
    <row r="9790" spans="3:8" x14ac:dyDescent="0.3">
      <c r="C9790"/>
      <c r="D9790"/>
      <c r="E9790"/>
      <c r="F9790"/>
      <c r="G9790"/>
      <c r="H9790"/>
    </row>
    <row r="9791" spans="3:8" x14ac:dyDescent="0.3">
      <c r="C9791"/>
      <c r="D9791"/>
      <c r="E9791"/>
      <c r="F9791"/>
      <c r="G9791"/>
      <c r="H9791"/>
    </row>
    <row r="9792" spans="3:8" x14ac:dyDescent="0.3">
      <c r="C9792"/>
      <c r="D9792"/>
      <c r="E9792"/>
      <c r="F9792"/>
      <c r="G9792"/>
      <c r="H9792"/>
    </row>
    <row r="9793" spans="3:8" x14ac:dyDescent="0.3">
      <c r="C9793"/>
      <c r="D9793"/>
      <c r="E9793"/>
      <c r="F9793"/>
      <c r="G9793"/>
      <c r="H9793"/>
    </row>
    <row r="9794" spans="3:8" x14ac:dyDescent="0.3">
      <c r="C9794"/>
      <c r="D9794"/>
      <c r="E9794"/>
      <c r="F9794"/>
      <c r="G9794"/>
      <c r="H9794"/>
    </row>
    <row r="9795" spans="3:8" x14ac:dyDescent="0.3">
      <c r="C9795"/>
      <c r="D9795"/>
      <c r="E9795"/>
      <c r="F9795"/>
      <c r="G9795"/>
      <c r="H9795"/>
    </row>
    <row r="9796" spans="3:8" x14ac:dyDescent="0.3">
      <c r="C9796"/>
      <c r="D9796"/>
      <c r="E9796"/>
      <c r="F9796"/>
      <c r="G9796"/>
      <c r="H9796"/>
    </row>
    <row r="9797" spans="3:8" x14ac:dyDescent="0.3">
      <c r="C9797"/>
      <c r="D9797"/>
      <c r="E9797"/>
      <c r="F9797"/>
      <c r="G9797"/>
      <c r="H9797"/>
    </row>
    <row r="9798" spans="3:8" x14ac:dyDescent="0.3">
      <c r="C9798"/>
      <c r="D9798"/>
      <c r="E9798"/>
      <c r="F9798"/>
      <c r="G9798"/>
      <c r="H9798"/>
    </row>
    <row r="9799" spans="3:8" x14ac:dyDescent="0.3">
      <c r="C9799"/>
      <c r="D9799"/>
      <c r="E9799"/>
      <c r="F9799"/>
      <c r="G9799"/>
      <c r="H9799"/>
    </row>
    <row r="9800" spans="3:8" x14ac:dyDescent="0.3">
      <c r="C9800"/>
      <c r="D9800"/>
      <c r="E9800"/>
      <c r="F9800"/>
      <c r="G9800"/>
      <c r="H9800"/>
    </row>
    <row r="9801" spans="3:8" x14ac:dyDescent="0.3">
      <c r="C9801"/>
      <c r="D9801"/>
      <c r="E9801"/>
      <c r="F9801"/>
      <c r="G9801"/>
      <c r="H9801"/>
    </row>
    <row r="9802" spans="3:8" x14ac:dyDescent="0.3">
      <c r="C9802"/>
      <c r="D9802"/>
      <c r="E9802"/>
      <c r="F9802"/>
      <c r="G9802"/>
      <c r="H9802"/>
    </row>
    <row r="9803" spans="3:8" x14ac:dyDescent="0.3">
      <c r="C9803"/>
      <c r="D9803"/>
      <c r="E9803"/>
      <c r="F9803"/>
      <c r="G9803"/>
      <c r="H9803"/>
    </row>
    <row r="9804" spans="3:8" x14ac:dyDescent="0.3">
      <c r="C9804"/>
      <c r="D9804"/>
      <c r="E9804"/>
      <c r="F9804"/>
      <c r="G9804"/>
      <c r="H9804"/>
    </row>
    <row r="9805" spans="3:8" x14ac:dyDescent="0.3">
      <c r="C9805"/>
      <c r="D9805"/>
      <c r="E9805"/>
      <c r="F9805"/>
      <c r="G9805"/>
      <c r="H9805"/>
    </row>
    <row r="9806" spans="3:8" x14ac:dyDescent="0.3">
      <c r="C9806"/>
      <c r="D9806"/>
      <c r="E9806"/>
      <c r="F9806"/>
      <c r="G9806"/>
      <c r="H9806"/>
    </row>
    <row r="9807" spans="3:8" x14ac:dyDescent="0.3">
      <c r="C9807"/>
      <c r="D9807"/>
      <c r="E9807"/>
      <c r="F9807"/>
      <c r="G9807"/>
      <c r="H9807"/>
    </row>
    <row r="9808" spans="3:8" x14ac:dyDescent="0.3">
      <c r="C9808"/>
      <c r="D9808"/>
      <c r="E9808"/>
      <c r="F9808"/>
      <c r="G9808"/>
      <c r="H9808"/>
    </row>
    <row r="9809" spans="3:8" x14ac:dyDescent="0.3">
      <c r="C9809"/>
      <c r="D9809"/>
      <c r="E9809"/>
      <c r="F9809"/>
      <c r="G9809"/>
      <c r="H9809"/>
    </row>
    <row r="9810" spans="3:8" x14ac:dyDescent="0.3">
      <c r="C9810"/>
      <c r="D9810"/>
      <c r="E9810"/>
      <c r="F9810"/>
      <c r="G9810"/>
      <c r="H9810"/>
    </row>
    <row r="9811" spans="3:8" x14ac:dyDescent="0.3">
      <c r="C9811"/>
      <c r="D9811"/>
      <c r="E9811"/>
      <c r="F9811"/>
      <c r="G9811"/>
      <c r="H9811"/>
    </row>
    <row r="9812" spans="3:8" x14ac:dyDescent="0.3">
      <c r="C9812"/>
      <c r="D9812"/>
      <c r="E9812"/>
      <c r="F9812"/>
      <c r="G9812"/>
      <c r="H9812"/>
    </row>
    <row r="9813" spans="3:8" x14ac:dyDescent="0.3">
      <c r="C9813"/>
      <c r="D9813"/>
      <c r="E9813"/>
      <c r="F9813"/>
      <c r="G9813"/>
      <c r="H9813"/>
    </row>
    <row r="9814" spans="3:8" x14ac:dyDescent="0.3">
      <c r="C9814"/>
      <c r="D9814"/>
      <c r="E9814"/>
      <c r="F9814"/>
      <c r="G9814"/>
      <c r="H9814"/>
    </row>
    <row r="9815" spans="3:8" x14ac:dyDescent="0.3">
      <c r="C9815"/>
      <c r="D9815"/>
      <c r="E9815"/>
      <c r="F9815"/>
      <c r="G9815"/>
      <c r="H9815"/>
    </row>
    <row r="9816" spans="3:8" x14ac:dyDescent="0.3">
      <c r="C9816"/>
      <c r="D9816"/>
      <c r="E9816"/>
      <c r="F9816"/>
      <c r="G9816"/>
      <c r="H9816"/>
    </row>
    <row r="9817" spans="3:8" x14ac:dyDescent="0.3">
      <c r="C9817"/>
      <c r="D9817"/>
      <c r="E9817"/>
      <c r="F9817"/>
      <c r="G9817"/>
      <c r="H9817"/>
    </row>
    <row r="9818" spans="3:8" x14ac:dyDescent="0.3">
      <c r="C9818"/>
      <c r="D9818"/>
      <c r="E9818"/>
      <c r="F9818"/>
      <c r="G9818"/>
      <c r="H9818"/>
    </row>
    <row r="9819" spans="3:8" x14ac:dyDescent="0.3">
      <c r="C9819"/>
      <c r="D9819"/>
      <c r="E9819"/>
      <c r="F9819"/>
      <c r="G9819"/>
      <c r="H9819"/>
    </row>
    <row r="9820" spans="3:8" x14ac:dyDescent="0.3">
      <c r="C9820"/>
      <c r="D9820"/>
      <c r="E9820"/>
      <c r="F9820"/>
      <c r="G9820"/>
      <c r="H9820"/>
    </row>
    <row r="9821" spans="3:8" x14ac:dyDescent="0.3">
      <c r="C9821"/>
      <c r="D9821"/>
      <c r="E9821"/>
      <c r="F9821"/>
      <c r="G9821"/>
      <c r="H9821"/>
    </row>
    <row r="9822" spans="3:8" x14ac:dyDescent="0.3">
      <c r="C9822"/>
      <c r="D9822"/>
      <c r="E9822"/>
      <c r="F9822"/>
      <c r="G9822"/>
      <c r="H9822"/>
    </row>
    <row r="9823" spans="3:8" x14ac:dyDescent="0.3">
      <c r="C9823"/>
      <c r="D9823"/>
      <c r="E9823"/>
      <c r="F9823"/>
      <c r="G9823"/>
      <c r="H9823"/>
    </row>
    <row r="9824" spans="3:8" x14ac:dyDescent="0.3">
      <c r="C9824"/>
      <c r="D9824"/>
      <c r="E9824"/>
      <c r="F9824"/>
      <c r="G9824"/>
      <c r="H9824"/>
    </row>
    <row r="9825" spans="3:8" x14ac:dyDescent="0.3">
      <c r="C9825"/>
      <c r="D9825"/>
      <c r="E9825"/>
      <c r="F9825"/>
      <c r="G9825"/>
      <c r="H9825"/>
    </row>
    <row r="9826" spans="3:8" x14ac:dyDescent="0.3">
      <c r="C9826"/>
      <c r="D9826"/>
      <c r="E9826"/>
      <c r="F9826"/>
      <c r="G9826"/>
      <c r="H9826"/>
    </row>
    <row r="9827" spans="3:8" x14ac:dyDescent="0.3">
      <c r="C9827"/>
      <c r="D9827"/>
      <c r="E9827"/>
      <c r="F9827"/>
      <c r="G9827"/>
      <c r="H9827"/>
    </row>
    <row r="9828" spans="3:8" x14ac:dyDescent="0.3">
      <c r="C9828"/>
      <c r="D9828"/>
      <c r="E9828"/>
      <c r="F9828"/>
      <c r="G9828"/>
      <c r="H9828"/>
    </row>
    <row r="9829" spans="3:8" x14ac:dyDescent="0.3">
      <c r="C9829"/>
      <c r="D9829"/>
      <c r="E9829"/>
      <c r="F9829"/>
      <c r="G9829"/>
      <c r="H9829"/>
    </row>
    <row r="9830" spans="3:8" x14ac:dyDescent="0.3">
      <c r="C9830"/>
      <c r="D9830"/>
      <c r="E9830"/>
      <c r="F9830"/>
      <c r="G9830"/>
      <c r="H9830"/>
    </row>
    <row r="9831" spans="3:8" x14ac:dyDescent="0.3">
      <c r="C9831"/>
      <c r="D9831"/>
      <c r="E9831"/>
      <c r="F9831"/>
      <c r="G9831"/>
      <c r="H9831"/>
    </row>
    <row r="9832" spans="3:8" x14ac:dyDescent="0.3">
      <c r="C9832"/>
      <c r="D9832"/>
      <c r="E9832"/>
      <c r="F9832"/>
      <c r="G9832"/>
      <c r="H9832"/>
    </row>
    <row r="9833" spans="3:8" x14ac:dyDescent="0.3">
      <c r="C9833"/>
      <c r="D9833"/>
      <c r="E9833"/>
      <c r="F9833"/>
      <c r="G9833"/>
      <c r="H9833"/>
    </row>
    <row r="9834" spans="3:8" x14ac:dyDescent="0.3">
      <c r="C9834"/>
      <c r="D9834"/>
      <c r="E9834"/>
      <c r="F9834"/>
      <c r="G9834"/>
      <c r="H9834"/>
    </row>
    <row r="9835" spans="3:8" x14ac:dyDescent="0.3">
      <c r="C9835"/>
      <c r="D9835"/>
      <c r="E9835"/>
      <c r="F9835"/>
      <c r="G9835"/>
      <c r="H9835"/>
    </row>
    <row r="9836" spans="3:8" x14ac:dyDescent="0.3">
      <c r="C9836"/>
      <c r="D9836"/>
      <c r="E9836"/>
      <c r="F9836"/>
      <c r="G9836"/>
      <c r="H9836"/>
    </row>
    <row r="9837" spans="3:8" x14ac:dyDescent="0.3">
      <c r="C9837"/>
      <c r="D9837"/>
      <c r="E9837"/>
      <c r="F9837"/>
      <c r="G9837"/>
      <c r="H9837"/>
    </row>
    <row r="9838" spans="3:8" x14ac:dyDescent="0.3">
      <c r="C9838"/>
      <c r="D9838"/>
      <c r="E9838"/>
      <c r="F9838"/>
      <c r="G9838"/>
      <c r="H9838"/>
    </row>
    <row r="9839" spans="3:8" x14ac:dyDescent="0.3">
      <c r="C9839"/>
      <c r="D9839"/>
      <c r="E9839"/>
      <c r="F9839"/>
      <c r="G9839"/>
      <c r="H9839"/>
    </row>
    <row r="9840" spans="3:8" x14ac:dyDescent="0.3">
      <c r="C9840"/>
      <c r="D9840"/>
      <c r="E9840"/>
      <c r="F9840"/>
      <c r="G9840"/>
      <c r="H9840"/>
    </row>
    <row r="9841" spans="3:8" x14ac:dyDescent="0.3">
      <c r="C9841"/>
      <c r="D9841"/>
      <c r="E9841"/>
      <c r="F9841"/>
      <c r="G9841"/>
      <c r="H9841"/>
    </row>
    <row r="9842" spans="3:8" x14ac:dyDescent="0.3">
      <c r="C9842"/>
      <c r="D9842"/>
      <c r="E9842"/>
      <c r="F9842"/>
      <c r="G9842"/>
      <c r="H9842"/>
    </row>
    <row r="9843" spans="3:8" x14ac:dyDescent="0.3">
      <c r="C9843"/>
      <c r="D9843"/>
      <c r="E9843"/>
      <c r="F9843"/>
      <c r="G9843"/>
      <c r="H9843"/>
    </row>
    <row r="9844" spans="3:8" x14ac:dyDescent="0.3">
      <c r="C9844"/>
      <c r="D9844"/>
      <c r="E9844"/>
      <c r="F9844"/>
      <c r="G9844"/>
      <c r="H9844"/>
    </row>
    <row r="9845" spans="3:8" x14ac:dyDescent="0.3">
      <c r="C9845"/>
      <c r="D9845"/>
      <c r="E9845"/>
      <c r="F9845"/>
      <c r="G9845"/>
      <c r="H9845"/>
    </row>
    <row r="9846" spans="3:8" x14ac:dyDescent="0.3">
      <c r="C9846"/>
      <c r="D9846"/>
      <c r="E9846"/>
      <c r="F9846"/>
      <c r="G9846"/>
      <c r="H9846"/>
    </row>
    <row r="9847" spans="3:8" x14ac:dyDescent="0.3">
      <c r="C9847"/>
      <c r="D9847"/>
      <c r="E9847"/>
      <c r="F9847"/>
      <c r="G9847"/>
      <c r="H9847"/>
    </row>
    <row r="9848" spans="3:8" x14ac:dyDescent="0.3">
      <c r="C9848"/>
      <c r="D9848"/>
      <c r="E9848"/>
      <c r="F9848"/>
      <c r="G9848"/>
      <c r="H9848"/>
    </row>
    <row r="9849" spans="3:8" x14ac:dyDescent="0.3">
      <c r="C9849"/>
      <c r="D9849"/>
      <c r="E9849"/>
      <c r="F9849"/>
      <c r="G9849"/>
      <c r="H9849"/>
    </row>
    <row r="9850" spans="3:8" x14ac:dyDescent="0.3">
      <c r="C9850"/>
      <c r="D9850"/>
      <c r="E9850"/>
      <c r="F9850"/>
      <c r="G9850"/>
      <c r="H9850"/>
    </row>
    <row r="9851" spans="3:8" x14ac:dyDescent="0.3">
      <c r="C9851"/>
      <c r="D9851"/>
      <c r="E9851"/>
      <c r="F9851"/>
      <c r="G9851"/>
      <c r="H9851"/>
    </row>
    <row r="9852" spans="3:8" x14ac:dyDescent="0.3">
      <c r="C9852"/>
      <c r="D9852"/>
      <c r="E9852"/>
      <c r="F9852"/>
      <c r="G9852"/>
      <c r="H9852"/>
    </row>
    <row r="9853" spans="3:8" x14ac:dyDescent="0.3">
      <c r="C9853"/>
      <c r="D9853"/>
      <c r="E9853"/>
      <c r="F9853"/>
      <c r="G9853"/>
      <c r="H9853"/>
    </row>
    <row r="9854" spans="3:8" x14ac:dyDescent="0.3">
      <c r="C9854"/>
      <c r="D9854"/>
      <c r="E9854"/>
      <c r="F9854"/>
      <c r="G9854"/>
      <c r="H9854"/>
    </row>
    <row r="9855" spans="3:8" x14ac:dyDescent="0.3">
      <c r="C9855"/>
      <c r="D9855"/>
      <c r="E9855"/>
      <c r="F9855"/>
      <c r="G9855"/>
      <c r="H9855"/>
    </row>
    <row r="9856" spans="3:8" x14ac:dyDescent="0.3">
      <c r="C9856"/>
      <c r="D9856"/>
      <c r="E9856"/>
      <c r="F9856"/>
      <c r="G9856"/>
      <c r="H9856"/>
    </row>
    <row r="9857" spans="3:8" x14ac:dyDescent="0.3">
      <c r="C9857"/>
      <c r="D9857"/>
      <c r="E9857"/>
      <c r="F9857"/>
      <c r="G9857"/>
      <c r="H9857"/>
    </row>
    <row r="9858" spans="3:8" x14ac:dyDescent="0.3">
      <c r="C9858"/>
      <c r="D9858"/>
      <c r="E9858"/>
      <c r="F9858"/>
      <c r="G9858"/>
      <c r="H9858"/>
    </row>
    <row r="9859" spans="3:8" x14ac:dyDescent="0.3">
      <c r="C9859"/>
      <c r="D9859"/>
      <c r="E9859"/>
      <c r="F9859"/>
      <c r="G9859"/>
      <c r="H9859"/>
    </row>
    <row r="9860" spans="3:8" x14ac:dyDescent="0.3">
      <c r="C9860"/>
      <c r="D9860"/>
      <c r="E9860"/>
      <c r="F9860"/>
      <c r="G9860"/>
      <c r="H9860"/>
    </row>
    <row r="9861" spans="3:8" x14ac:dyDescent="0.3">
      <c r="C9861"/>
      <c r="D9861"/>
      <c r="E9861"/>
      <c r="F9861"/>
      <c r="G9861"/>
      <c r="H9861"/>
    </row>
    <row r="9862" spans="3:8" x14ac:dyDescent="0.3">
      <c r="C9862"/>
      <c r="D9862"/>
      <c r="E9862"/>
      <c r="F9862"/>
      <c r="G9862"/>
      <c r="H9862"/>
    </row>
    <row r="9863" spans="3:8" x14ac:dyDescent="0.3">
      <c r="C9863"/>
      <c r="D9863"/>
      <c r="E9863"/>
      <c r="F9863"/>
      <c r="G9863"/>
      <c r="H9863"/>
    </row>
    <row r="9864" spans="3:8" x14ac:dyDescent="0.3">
      <c r="C9864"/>
      <c r="D9864"/>
      <c r="E9864"/>
      <c r="F9864"/>
      <c r="G9864"/>
      <c r="H9864"/>
    </row>
    <row r="9865" spans="3:8" x14ac:dyDescent="0.3">
      <c r="C9865"/>
      <c r="D9865"/>
      <c r="E9865"/>
      <c r="F9865"/>
      <c r="G9865"/>
      <c r="H9865"/>
    </row>
    <row r="9866" spans="3:8" x14ac:dyDescent="0.3">
      <c r="C9866"/>
      <c r="D9866"/>
      <c r="E9866"/>
      <c r="F9866"/>
      <c r="G9866"/>
      <c r="H9866"/>
    </row>
    <row r="9867" spans="3:8" x14ac:dyDescent="0.3">
      <c r="C9867"/>
      <c r="D9867"/>
      <c r="E9867"/>
      <c r="F9867"/>
      <c r="G9867"/>
      <c r="H9867"/>
    </row>
    <row r="9868" spans="3:8" x14ac:dyDescent="0.3">
      <c r="C9868"/>
      <c r="D9868"/>
      <c r="E9868"/>
      <c r="F9868"/>
      <c r="G9868"/>
      <c r="H9868"/>
    </row>
    <row r="9869" spans="3:8" x14ac:dyDescent="0.3">
      <c r="C9869"/>
      <c r="D9869"/>
      <c r="E9869"/>
      <c r="F9869"/>
      <c r="G9869"/>
      <c r="H9869"/>
    </row>
    <row r="9870" spans="3:8" x14ac:dyDescent="0.3">
      <c r="C9870"/>
      <c r="D9870"/>
      <c r="E9870"/>
      <c r="F9870"/>
      <c r="G9870"/>
      <c r="H9870"/>
    </row>
    <row r="9871" spans="3:8" x14ac:dyDescent="0.3">
      <c r="C9871"/>
      <c r="D9871"/>
      <c r="E9871"/>
      <c r="F9871"/>
      <c r="G9871"/>
      <c r="H9871"/>
    </row>
    <row r="9872" spans="3:8" x14ac:dyDescent="0.3">
      <c r="C9872"/>
      <c r="D9872"/>
      <c r="E9872"/>
      <c r="F9872"/>
      <c r="G9872"/>
      <c r="H9872"/>
    </row>
    <row r="9873" spans="3:8" x14ac:dyDescent="0.3">
      <c r="C9873"/>
      <c r="D9873"/>
      <c r="E9873"/>
      <c r="F9873"/>
      <c r="G9873"/>
      <c r="H9873"/>
    </row>
    <row r="9874" spans="3:8" x14ac:dyDescent="0.3">
      <c r="C9874"/>
      <c r="D9874"/>
      <c r="E9874"/>
      <c r="F9874"/>
      <c r="G9874"/>
      <c r="H9874"/>
    </row>
    <row r="9875" spans="3:8" x14ac:dyDescent="0.3">
      <c r="C9875"/>
      <c r="D9875"/>
      <c r="E9875"/>
      <c r="F9875"/>
      <c r="G9875"/>
      <c r="H9875"/>
    </row>
    <row r="9876" spans="3:8" x14ac:dyDescent="0.3">
      <c r="C9876"/>
      <c r="D9876"/>
      <c r="E9876"/>
      <c r="F9876"/>
      <c r="G9876"/>
      <c r="H9876"/>
    </row>
    <row r="9877" spans="3:8" x14ac:dyDescent="0.3">
      <c r="C9877"/>
      <c r="D9877"/>
      <c r="E9877"/>
      <c r="F9877"/>
      <c r="G9877"/>
      <c r="H9877"/>
    </row>
    <row r="9878" spans="3:8" x14ac:dyDescent="0.3">
      <c r="C9878"/>
      <c r="D9878"/>
      <c r="E9878"/>
      <c r="F9878"/>
      <c r="G9878"/>
      <c r="H9878"/>
    </row>
    <row r="9879" spans="3:8" x14ac:dyDescent="0.3">
      <c r="C9879"/>
      <c r="D9879"/>
      <c r="E9879"/>
      <c r="F9879"/>
      <c r="G9879"/>
      <c r="H9879"/>
    </row>
    <row r="9880" spans="3:8" x14ac:dyDescent="0.3">
      <c r="C9880"/>
      <c r="D9880"/>
      <c r="E9880"/>
      <c r="F9880"/>
      <c r="G9880"/>
      <c r="H9880"/>
    </row>
    <row r="9881" spans="3:8" x14ac:dyDescent="0.3">
      <c r="C9881"/>
      <c r="D9881"/>
      <c r="E9881"/>
      <c r="F9881"/>
      <c r="G9881"/>
      <c r="H9881"/>
    </row>
    <row r="9882" spans="3:8" x14ac:dyDescent="0.3">
      <c r="C9882"/>
      <c r="D9882"/>
      <c r="E9882"/>
      <c r="F9882"/>
      <c r="G9882"/>
      <c r="H9882"/>
    </row>
    <row r="9883" spans="3:8" x14ac:dyDescent="0.3">
      <c r="C9883"/>
      <c r="D9883"/>
      <c r="E9883"/>
      <c r="F9883"/>
      <c r="G9883"/>
      <c r="H9883"/>
    </row>
    <row r="9884" spans="3:8" x14ac:dyDescent="0.3">
      <c r="C9884"/>
      <c r="D9884"/>
      <c r="E9884"/>
      <c r="F9884"/>
      <c r="G9884"/>
      <c r="H9884"/>
    </row>
    <row r="9885" spans="3:8" x14ac:dyDescent="0.3">
      <c r="C9885"/>
      <c r="D9885"/>
      <c r="E9885"/>
      <c r="F9885"/>
      <c r="G9885"/>
      <c r="H9885"/>
    </row>
    <row r="9886" spans="3:8" x14ac:dyDescent="0.3">
      <c r="C9886"/>
      <c r="D9886"/>
      <c r="E9886"/>
      <c r="F9886"/>
      <c r="G9886"/>
      <c r="H9886"/>
    </row>
    <row r="9887" spans="3:8" x14ac:dyDescent="0.3">
      <c r="C9887"/>
      <c r="D9887"/>
      <c r="E9887"/>
      <c r="F9887"/>
      <c r="G9887"/>
      <c r="H9887"/>
    </row>
    <row r="9888" spans="3:8" x14ac:dyDescent="0.3">
      <c r="C9888"/>
      <c r="D9888"/>
      <c r="E9888"/>
      <c r="F9888"/>
      <c r="G9888"/>
      <c r="H9888"/>
    </row>
    <row r="9889" spans="3:8" x14ac:dyDescent="0.3">
      <c r="C9889"/>
      <c r="D9889"/>
      <c r="E9889"/>
      <c r="F9889"/>
      <c r="G9889"/>
      <c r="H9889"/>
    </row>
    <row r="9890" spans="3:8" x14ac:dyDescent="0.3">
      <c r="C9890"/>
      <c r="D9890"/>
      <c r="E9890"/>
      <c r="F9890"/>
      <c r="G9890"/>
      <c r="H9890"/>
    </row>
    <row r="9891" spans="3:8" x14ac:dyDescent="0.3">
      <c r="C9891"/>
      <c r="D9891"/>
      <c r="E9891"/>
      <c r="F9891"/>
      <c r="G9891"/>
      <c r="H9891"/>
    </row>
    <row r="9892" spans="3:8" x14ac:dyDescent="0.3">
      <c r="C9892"/>
      <c r="D9892"/>
      <c r="E9892"/>
      <c r="F9892"/>
      <c r="G9892"/>
      <c r="H9892"/>
    </row>
    <row r="9893" spans="3:8" x14ac:dyDescent="0.3">
      <c r="C9893"/>
      <c r="D9893"/>
      <c r="E9893"/>
      <c r="F9893"/>
      <c r="G9893"/>
      <c r="H9893"/>
    </row>
    <row r="9894" spans="3:8" x14ac:dyDescent="0.3">
      <c r="C9894"/>
      <c r="D9894"/>
      <c r="E9894"/>
      <c r="F9894"/>
      <c r="G9894"/>
      <c r="H9894"/>
    </row>
    <row r="9895" spans="3:8" x14ac:dyDescent="0.3">
      <c r="C9895"/>
      <c r="D9895"/>
      <c r="E9895"/>
      <c r="F9895"/>
      <c r="G9895"/>
      <c r="H9895"/>
    </row>
    <row r="9896" spans="3:8" x14ac:dyDescent="0.3">
      <c r="C9896"/>
      <c r="D9896"/>
      <c r="E9896"/>
      <c r="F9896"/>
      <c r="G9896"/>
      <c r="H9896"/>
    </row>
    <row r="9897" spans="3:8" x14ac:dyDescent="0.3">
      <c r="C9897"/>
      <c r="D9897"/>
      <c r="E9897"/>
      <c r="F9897"/>
      <c r="G9897"/>
      <c r="H9897"/>
    </row>
    <row r="9898" spans="3:8" x14ac:dyDescent="0.3">
      <c r="C9898"/>
      <c r="D9898"/>
      <c r="E9898"/>
      <c r="F9898"/>
      <c r="G9898"/>
      <c r="H9898"/>
    </row>
    <row r="9899" spans="3:8" x14ac:dyDescent="0.3">
      <c r="C9899"/>
      <c r="D9899"/>
      <c r="E9899"/>
      <c r="F9899"/>
      <c r="G9899"/>
      <c r="H9899"/>
    </row>
    <row r="9900" spans="3:8" x14ac:dyDescent="0.3">
      <c r="C9900"/>
      <c r="D9900"/>
      <c r="E9900"/>
      <c r="F9900"/>
      <c r="G9900"/>
      <c r="H9900"/>
    </row>
    <row r="9901" spans="3:8" x14ac:dyDescent="0.3">
      <c r="C9901"/>
      <c r="D9901"/>
      <c r="E9901"/>
      <c r="F9901"/>
      <c r="G9901"/>
      <c r="H9901"/>
    </row>
    <row r="9902" spans="3:8" x14ac:dyDescent="0.3">
      <c r="C9902"/>
      <c r="D9902"/>
      <c r="E9902"/>
      <c r="F9902"/>
      <c r="G9902"/>
      <c r="H9902"/>
    </row>
    <row r="9903" spans="3:8" x14ac:dyDescent="0.3">
      <c r="C9903"/>
      <c r="D9903"/>
      <c r="E9903"/>
      <c r="F9903"/>
      <c r="G9903"/>
      <c r="H9903"/>
    </row>
    <row r="9904" spans="3:8" x14ac:dyDescent="0.3">
      <c r="C9904"/>
      <c r="D9904"/>
      <c r="E9904"/>
      <c r="F9904"/>
      <c r="G9904"/>
      <c r="H9904"/>
    </row>
    <row r="9905" spans="3:8" x14ac:dyDescent="0.3">
      <c r="C9905"/>
      <c r="D9905"/>
      <c r="E9905"/>
      <c r="F9905"/>
      <c r="G9905"/>
      <c r="H9905"/>
    </row>
    <row r="9906" spans="3:8" x14ac:dyDescent="0.3">
      <c r="C9906"/>
      <c r="D9906"/>
      <c r="E9906"/>
      <c r="F9906"/>
      <c r="G9906"/>
      <c r="H9906"/>
    </row>
    <row r="9907" spans="3:8" x14ac:dyDescent="0.3">
      <c r="C9907"/>
      <c r="D9907"/>
      <c r="E9907"/>
      <c r="F9907"/>
      <c r="G9907"/>
      <c r="H9907"/>
    </row>
    <row r="9908" spans="3:8" x14ac:dyDescent="0.3">
      <c r="C9908"/>
      <c r="D9908"/>
      <c r="E9908"/>
      <c r="F9908"/>
      <c r="G9908"/>
      <c r="H9908"/>
    </row>
    <row r="9909" spans="3:8" x14ac:dyDescent="0.3">
      <c r="C9909"/>
      <c r="D9909"/>
      <c r="E9909"/>
      <c r="F9909"/>
      <c r="G9909"/>
      <c r="H9909"/>
    </row>
    <row r="9910" spans="3:8" x14ac:dyDescent="0.3">
      <c r="C9910"/>
      <c r="D9910"/>
      <c r="E9910"/>
      <c r="F9910"/>
      <c r="G9910"/>
      <c r="H9910"/>
    </row>
    <row r="9911" spans="3:8" x14ac:dyDescent="0.3">
      <c r="C9911"/>
      <c r="D9911"/>
      <c r="E9911"/>
      <c r="F9911"/>
      <c r="G9911"/>
      <c r="H9911"/>
    </row>
    <row r="9912" spans="3:8" x14ac:dyDescent="0.3">
      <c r="C9912"/>
      <c r="D9912"/>
      <c r="E9912"/>
      <c r="F9912"/>
      <c r="G9912"/>
      <c r="H9912"/>
    </row>
    <row r="9913" spans="3:8" x14ac:dyDescent="0.3">
      <c r="C9913"/>
      <c r="D9913"/>
      <c r="E9913"/>
      <c r="F9913"/>
      <c r="G9913"/>
      <c r="H9913"/>
    </row>
    <row r="9914" spans="3:8" x14ac:dyDescent="0.3">
      <c r="C9914"/>
      <c r="D9914"/>
      <c r="E9914"/>
      <c r="F9914"/>
      <c r="G9914"/>
      <c r="H9914"/>
    </row>
    <row r="9915" spans="3:8" x14ac:dyDescent="0.3">
      <c r="C9915"/>
      <c r="D9915"/>
      <c r="E9915"/>
      <c r="F9915"/>
      <c r="G9915"/>
      <c r="H9915"/>
    </row>
    <row r="9916" spans="3:8" x14ac:dyDescent="0.3">
      <c r="C9916"/>
      <c r="D9916"/>
      <c r="E9916"/>
      <c r="F9916"/>
      <c r="G9916"/>
      <c r="H9916"/>
    </row>
    <row r="9917" spans="3:8" x14ac:dyDescent="0.3">
      <c r="C9917"/>
      <c r="D9917"/>
      <c r="E9917"/>
      <c r="F9917"/>
      <c r="G9917"/>
      <c r="H9917"/>
    </row>
    <row r="9918" spans="3:8" x14ac:dyDescent="0.3">
      <c r="C9918"/>
      <c r="D9918"/>
      <c r="E9918"/>
      <c r="F9918"/>
      <c r="G9918"/>
      <c r="H9918"/>
    </row>
    <row r="9919" spans="3:8" x14ac:dyDescent="0.3">
      <c r="C9919"/>
      <c r="D9919"/>
      <c r="E9919"/>
      <c r="F9919"/>
      <c r="G9919"/>
      <c r="H9919"/>
    </row>
    <row r="9920" spans="3:8" x14ac:dyDescent="0.3">
      <c r="C9920"/>
      <c r="D9920"/>
      <c r="E9920"/>
      <c r="F9920"/>
      <c r="G9920"/>
      <c r="H9920"/>
    </row>
    <row r="9921" spans="3:8" x14ac:dyDescent="0.3">
      <c r="C9921"/>
      <c r="D9921"/>
      <c r="E9921"/>
      <c r="F9921"/>
      <c r="G9921"/>
      <c r="H9921"/>
    </row>
    <row r="9922" spans="3:8" x14ac:dyDescent="0.3">
      <c r="C9922"/>
      <c r="D9922"/>
      <c r="E9922"/>
      <c r="F9922"/>
      <c r="G9922"/>
      <c r="H9922"/>
    </row>
    <row r="9923" spans="3:8" x14ac:dyDescent="0.3">
      <c r="C9923"/>
      <c r="D9923"/>
      <c r="E9923"/>
      <c r="F9923"/>
      <c r="G9923"/>
      <c r="H9923"/>
    </row>
    <row r="9924" spans="3:8" x14ac:dyDescent="0.3">
      <c r="C9924"/>
      <c r="D9924"/>
      <c r="E9924"/>
      <c r="F9924"/>
      <c r="G9924"/>
      <c r="H9924"/>
    </row>
    <row r="9925" spans="3:8" x14ac:dyDescent="0.3">
      <c r="C9925"/>
      <c r="D9925"/>
      <c r="E9925"/>
      <c r="F9925"/>
      <c r="G9925"/>
      <c r="H9925"/>
    </row>
    <row r="9926" spans="3:8" x14ac:dyDescent="0.3">
      <c r="C9926"/>
      <c r="D9926"/>
      <c r="E9926"/>
      <c r="F9926"/>
      <c r="G9926"/>
      <c r="H9926"/>
    </row>
    <row r="9927" spans="3:8" x14ac:dyDescent="0.3">
      <c r="C9927"/>
      <c r="D9927"/>
      <c r="E9927"/>
      <c r="F9927"/>
      <c r="G9927"/>
      <c r="H9927"/>
    </row>
    <row r="9928" spans="3:8" x14ac:dyDescent="0.3">
      <c r="C9928"/>
      <c r="D9928"/>
      <c r="E9928"/>
      <c r="F9928"/>
      <c r="G9928"/>
      <c r="H9928"/>
    </row>
    <row r="9929" spans="3:8" x14ac:dyDescent="0.3">
      <c r="C9929"/>
      <c r="D9929"/>
      <c r="E9929"/>
      <c r="F9929"/>
      <c r="G9929"/>
      <c r="H9929"/>
    </row>
    <row r="9930" spans="3:8" x14ac:dyDescent="0.3">
      <c r="C9930"/>
      <c r="D9930"/>
      <c r="E9930"/>
      <c r="F9930"/>
      <c r="G9930"/>
      <c r="H9930"/>
    </row>
    <row r="9931" spans="3:8" x14ac:dyDescent="0.3">
      <c r="C9931"/>
      <c r="D9931"/>
      <c r="E9931"/>
      <c r="F9931"/>
      <c r="G9931"/>
      <c r="H9931"/>
    </row>
    <row r="9932" spans="3:8" x14ac:dyDescent="0.3">
      <c r="C9932"/>
      <c r="D9932"/>
      <c r="E9932"/>
      <c r="F9932"/>
      <c r="G9932"/>
      <c r="H9932"/>
    </row>
    <row r="9933" spans="3:8" x14ac:dyDescent="0.3">
      <c r="C9933"/>
      <c r="D9933"/>
      <c r="E9933"/>
      <c r="F9933"/>
      <c r="G9933"/>
      <c r="H9933"/>
    </row>
    <row r="9934" spans="3:8" x14ac:dyDescent="0.3">
      <c r="C9934"/>
      <c r="D9934"/>
      <c r="E9934"/>
      <c r="F9934"/>
      <c r="G9934"/>
      <c r="H9934"/>
    </row>
    <row r="9935" spans="3:8" x14ac:dyDescent="0.3">
      <c r="C9935"/>
      <c r="D9935"/>
      <c r="E9935"/>
      <c r="F9935"/>
      <c r="G9935"/>
      <c r="H9935"/>
    </row>
    <row r="9936" spans="3:8" x14ac:dyDescent="0.3">
      <c r="C9936"/>
      <c r="D9936"/>
      <c r="E9936"/>
      <c r="F9936"/>
      <c r="G9936"/>
      <c r="H9936"/>
    </row>
    <row r="9937" spans="3:8" x14ac:dyDescent="0.3">
      <c r="C9937"/>
      <c r="D9937"/>
      <c r="E9937"/>
      <c r="F9937"/>
      <c r="G9937"/>
      <c r="H9937"/>
    </row>
    <row r="9938" spans="3:8" x14ac:dyDescent="0.3">
      <c r="C9938"/>
      <c r="D9938"/>
      <c r="E9938"/>
      <c r="F9938"/>
      <c r="G9938"/>
      <c r="H9938"/>
    </row>
    <row r="9939" spans="3:8" x14ac:dyDescent="0.3">
      <c r="C9939"/>
      <c r="D9939"/>
      <c r="E9939"/>
      <c r="F9939"/>
      <c r="G9939"/>
      <c r="H9939"/>
    </row>
    <row r="9940" spans="3:8" x14ac:dyDescent="0.3">
      <c r="C9940"/>
      <c r="D9940"/>
      <c r="E9940"/>
      <c r="F9940"/>
      <c r="G9940"/>
      <c r="H9940"/>
    </row>
    <row r="9941" spans="3:8" x14ac:dyDescent="0.3">
      <c r="C9941"/>
      <c r="D9941"/>
      <c r="E9941"/>
      <c r="F9941"/>
      <c r="G9941"/>
      <c r="H9941"/>
    </row>
    <row r="9942" spans="3:8" x14ac:dyDescent="0.3">
      <c r="C9942"/>
      <c r="D9942"/>
      <c r="E9942"/>
      <c r="F9942"/>
      <c r="G9942"/>
      <c r="H9942"/>
    </row>
    <row r="9943" spans="3:8" x14ac:dyDescent="0.3">
      <c r="C9943"/>
      <c r="D9943"/>
      <c r="E9943"/>
      <c r="F9943"/>
      <c r="G9943"/>
      <c r="H9943"/>
    </row>
    <row r="9944" spans="3:8" x14ac:dyDescent="0.3">
      <c r="C9944"/>
      <c r="D9944"/>
      <c r="E9944"/>
      <c r="F9944"/>
      <c r="G9944"/>
      <c r="H9944"/>
    </row>
    <row r="9945" spans="3:8" x14ac:dyDescent="0.3">
      <c r="C9945"/>
      <c r="D9945"/>
      <c r="E9945"/>
      <c r="F9945"/>
      <c r="G9945"/>
      <c r="H9945"/>
    </row>
    <row r="9946" spans="3:8" x14ac:dyDescent="0.3">
      <c r="C9946"/>
      <c r="D9946"/>
      <c r="E9946"/>
      <c r="F9946"/>
      <c r="G9946"/>
      <c r="H9946"/>
    </row>
    <row r="9947" spans="3:8" x14ac:dyDescent="0.3">
      <c r="C9947"/>
      <c r="D9947"/>
      <c r="E9947"/>
      <c r="F9947"/>
      <c r="G9947"/>
      <c r="H9947"/>
    </row>
    <row r="9948" spans="3:8" x14ac:dyDescent="0.3">
      <c r="C9948"/>
      <c r="D9948"/>
      <c r="E9948"/>
      <c r="F9948"/>
      <c r="G9948"/>
      <c r="H9948"/>
    </row>
    <row r="9949" spans="3:8" x14ac:dyDescent="0.3">
      <c r="C9949"/>
      <c r="D9949"/>
      <c r="E9949"/>
      <c r="F9949"/>
      <c r="G9949"/>
      <c r="H9949"/>
    </row>
    <row r="9950" spans="3:8" x14ac:dyDescent="0.3">
      <c r="C9950"/>
      <c r="D9950"/>
      <c r="E9950"/>
      <c r="F9950"/>
      <c r="G9950"/>
      <c r="H9950"/>
    </row>
    <row r="9951" spans="3:8" x14ac:dyDescent="0.3">
      <c r="C9951"/>
      <c r="D9951"/>
      <c r="E9951"/>
      <c r="F9951"/>
      <c r="G9951"/>
      <c r="H9951"/>
    </row>
    <row r="9952" spans="3:8" x14ac:dyDescent="0.3">
      <c r="C9952"/>
      <c r="D9952"/>
      <c r="E9952"/>
      <c r="F9952"/>
      <c r="G9952"/>
      <c r="H9952"/>
    </row>
    <row r="9953" spans="3:8" x14ac:dyDescent="0.3">
      <c r="C9953"/>
      <c r="D9953"/>
      <c r="E9953"/>
      <c r="F9953"/>
      <c r="G9953"/>
      <c r="H9953"/>
    </row>
    <row r="9954" spans="3:8" x14ac:dyDescent="0.3">
      <c r="C9954"/>
      <c r="D9954"/>
      <c r="E9954"/>
      <c r="F9954"/>
      <c r="G9954"/>
      <c r="H9954"/>
    </row>
    <row r="9955" spans="3:8" x14ac:dyDescent="0.3">
      <c r="C9955"/>
      <c r="D9955"/>
      <c r="E9955"/>
      <c r="F9955"/>
      <c r="G9955"/>
      <c r="H9955"/>
    </row>
    <row r="9956" spans="3:8" x14ac:dyDescent="0.3">
      <c r="C9956"/>
      <c r="D9956"/>
      <c r="E9956"/>
      <c r="F9956"/>
      <c r="G9956"/>
      <c r="H9956"/>
    </row>
    <row r="9957" spans="3:8" x14ac:dyDescent="0.3">
      <c r="C9957"/>
      <c r="D9957"/>
      <c r="E9957"/>
      <c r="F9957"/>
      <c r="G9957"/>
      <c r="H9957"/>
    </row>
    <row r="9958" spans="3:8" x14ac:dyDescent="0.3">
      <c r="C9958"/>
      <c r="D9958"/>
      <c r="E9958"/>
      <c r="F9958"/>
      <c r="G9958"/>
      <c r="H9958"/>
    </row>
    <row r="9959" spans="3:8" x14ac:dyDescent="0.3">
      <c r="C9959"/>
      <c r="D9959"/>
      <c r="E9959"/>
      <c r="F9959"/>
      <c r="G9959"/>
      <c r="H9959"/>
    </row>
    <row r="9960" spans="3:8" x14ac:dyDescent="0.3">
      <c r="C9960"/>
      <c r="D9960"/>
      <c r="E9960"/>
      <c r="F9960"/>
      <c r="G9960"/>
      <c r="H9960"/>
    </row>
    <row r="9961" spans="3:8" x14ac:dyDescent="0.3">
      <c r="C9961"/>
      <c r="D9961"/>
      <c r="E9961"/>
      <c r="F9961"/>
      <c r="G9961"/>
      <c r="H9961"/>
    </row>
    <row r="9962" spans="3:8" x14ac:dyDescent="0.3">
      <c r="C9962"/>
      <c r="D9962"/>
      <c r="E9962"/>
      <c r="F9962"/>
      <c r="G9962"/>
      <c r="H9962"/>
    </row>
    <row r="9963" spans="3:8" x14ac:dyDescent="0.3">
      <c r="C9963"/>
      <c r="D9963"/>
      <c r="E9963"/>
      <c r="F9963"/>
      <c r="G9963"/>
      <c r="H9963"/>
    </row>
    <row r="9964" spans="3:8" x14ac:dyDescent="0.3">
      <c r="C9964"/>
      <c r="D9964"/>
      <c r="E9964"/>
      <c r="F9964"/>
      <c r="G9964"/>
      <c r="H9964"/>
    </row>
    <row r="9965" spans="3:8" x14ac:dyDescent="0.3">
      <c r="C9965"/>
      <c r="D9965"/>
      <c r="E9965"/>
      <c r="F9965"/>
      <c r="G9965"/>
      <c r="H9965"/>
    </row>
    <row r="9966" spans="3:8" x14ac:dyDescent="0.3">
      <c r="C9966"/>
      <c r="D9966"/>
      <c r="E9966"/>
      <c r="F9966"/>
      <c r="G9966"/>
      <c r="H9966"/>
    </row>
    <row r="9967" spans="3:8" x14ac:dyDescent="0.3">
      <c r="C9967"/>
      <c r="D9967"/>
      <c r="E9967"/>
      <c r="F9967"/>
      <c r="G9967"/>
      <c r="H9967"/>
    </row>
    <row r="9968" spans="3:8" x14ac:dyDescent="0.3">
      <c r="C9968"/>
      <c r="D9968"/>
      <c r="E9968"/>
      <c r="F9968"/>
      <c r="G9968"/>
      <c r="H9968"/>
    </row>
    <row r="9969" spans="3:8" x14ac:dyDescent="0.3">
      <c r="C9969"/>
      <c r="D9969"/>
      <c r="E9969"/>
      <c r="F9969"/>
      <c r="G9969"/>
      <c r="H9969"/>
    </row>
    <row r="9970" spans="3:8" x14ac:dyDescent="0.3">
      <c r="C9970"/>
      <c r="D9970"/>
      <c r="E9970"/>
      <c r="F9970"/>
      <c r="G9970"/>
      <c r="H9970"/>
    </row>
    <row r="9971" spans="3:8" x14ac:dyDescent="0.3">
      <c r="C9971"/>
      <c r="D9971"/>
      <c r="E9971"/>
      <c r="F9971"/>
      <c r="G9971"/>
      <c r="H9971"/>
    </row>
    <row r="9972" spans="3:8" x14ac:dyDescent="0.3">
      <c r="C9972"/>
      <c r="D9972"/>
      <c r="E9972"/>
      <c r="F9972"/>
      <c r="G9972"/>
      <c r="H9972"/>
    </row>
    <row r="9973" spans="3:8" x14ac:dyDescent="0.3">
      <c r="C9973"/>
      <c r="D9973"/>
      <c r="E9973"/>
      <c r="F9973"/>
      <c r="G9973"/>
      <c r="H9973"/>
    </row>
    <row r="9974" spans="3:8" x14ac:dyDescent="0.3">
      <c r="C9974"/>
      <c r="D9974"/>
      <c r="E9974"/>
      <c r="F9974"/>
      <c r="G9974"/>
      <c r="H9974"/>
    </row>
    <row r="9975" spans="3:8" x14ac:dyDescent="0.3">
      <c r="C9975"/>
      <c r="D9975"/>
      <c r="E9975"/>
      <c r="F9975"/>
      <c r="G9975"/>
      <c r="H9975"/>
    </row>
    <row r="9976" spans="3:8" x14ac:dyDescent="0.3">
      <c r="C9976"/>
      <c r="D9976"/>
      <c r="E9976"/>
      <c r="F9976"/>
      <c r="G9976"/>
      <c r="H9976"/>
    </row>
    <row r="9977" spans="3:8" x14ac:dyDescent="0.3">
      <c r="C9977"/>
      <c r="D9977"/>
      <c r="E9977"/>
      <c r="F9977"/>
      <c r="G9977"/>
      <c r="H9977"/>
    </row>
    <row r="9978" spans="3:8" x14ac:dyDescent="0.3">
      <c r="C9978"/>
      <c r="D9978"/>
      <c r="E9978"/>
      <c r="F9978"/>
      <c r="G9978"/>
      <c r="H9978"/>
    </row>
    <row r="9979" spans="3:8" x14ac:dyDescent="0.3">
      <c r="C9979"/>
      <c r="D9979"/>
      <c r="E9979"/>
      <c r="F9979"/>
      <c r="G9979"/>
      <c r="H9979"/>
    </row>
    <row r="9980" spans="3:8" x14ac:dyDescent="0.3">
      <c r="C9980"/>
      <c r="D9980"/>
      <c r="E9980"/>
      <c r="F9980"/>
      <c r="G9980"/>
      <c r="H9980"/>
    </row>
    <row r="9981" spans="3:8" x14ac:dyDescent="0.3">
      <c r="C9981"/>
      <c r="D9981"/>
      <c r="E9981"/>
      <c r="F9981"/>
      <c r="G9981"/>
      <c r="H9981"/>
    </row>
    <row r="9982" spans="3:8" x14ac:dyDescent="0.3">
      <c r="C9982"/>
      <c r="D9982"/>
      <c r="E9982"/>
      <c r="F9982"/>
      <c r="G9982"/>
      <c r="H9982"/>
    </row>
    <row r="9983" spans="3:8" x14ac:dyDescent="0.3">
      <c r="C9983"/>
      <c r="D9983"/>
      <c r="E9983"/>
      <c r="F9983"/>
      <c r="G9983"/>
      <c r="H9983"/>
    </row>
    <row r="9984" spans="3:8" x14ac:dyDescent="0.3">
      <c r="C9984"/>
      <c r="D9984"/>
      <c r="E9984"/>
      <c r="F9984"/>
      <c r="G9984"/>
      <c r="H9984"/>
    </row>
    <row r="9985" spans="3:8" x14ac:dyDescent="0.3">
      <c r="C9985"/>
      <c r="D9985"/>
      <c r="E9985"/>
      <c r="F9985"/>
      <c r="G9985"/>
      <c r="H9985"/>
    </row>
    <row r="9986" spans="3:8" x14ac:dyDescent="0.3">
      <c r="C9986"/>
      <c r="D9986"/>
      <c r="E9986"/>
      <c r="F9986"/>
      <c r="G9986"/>
      <c r="H9986"/>
    </row>
    <row r="9987" spans="3:8" x14ac:dyDescent="0.3">
      <c r="C9987"/>
      <c r="D9987"/>
      <c r="E9987"/>
      <c r="F9987"/>
      <c r="G9987"/>
      <c r="H9987"/>
    </row>
    <row r="9988" spans="3:8" x14ac:dyDescent="0.3">
      <c r="C9988"/>
      <c r="D9988"/>
      <c r="E9988"/>
      <c r="F9988"/>
      <c r="G9988"/>
      <c r="H9988"/>
    </row>
    <row r="9989" spans="3:8" x14ac:dyDescent="0.3">
      <c r="C9989"/>
      <c r="D9989"/>
      <c r="E9989"/>
      <c r="F9989"/>
      <c r="G9989"/>
      <c r="H9989"/>
    </row>
    <row r="9990" spans="3:8" x14ac:dyDescent="0.3">
      <c r="C9990"/>
      <c r="D9990"/>
      <c r="E9990"/>
      <c r="F9990"/>
      <c r="G9990"/>
      <c r="H9990"/>
    </row>
    <row r="9991" spans="3:8" x14ac:dyDescent="0.3">
      <c r="C9991"/>
      <c r="D9991"/>
      <c r="E9991"/>
      <c r="F9991"/>
      <c r="G9991"/>
      <c r="H9991"/>
    </row>
    <row r="9992" spans="3:8" x14ac:dyDescent="0.3">
      <c r="C9992"/>
      <c r="D9992"/>
      <c r="E9992"/>
      <c r="F9992"/>
      <c r="G9992"/>
      <c r="H9992"/>
    </row>
    <row r="9993" spans="3:8" x14ac:dyDescent="0.3">
      <c r="C9993"/>
      <c r="D9993"/>
      <c r="E9993"/>
      <c r="F9993"/>
      <c r="G9993"/>
      <c r="H9993"/>
    </row>
    <row r="9994" spans="3:8" x14ac:dyDescent="0.3">
      <c r="C9994"/>
      <c r="D9994"/>
      <c r="E9994"/>
      <c r="F9994"/>
      <c r="G9994"/>
      <c r="H9994"/>
    </row>
    <row r="9995" spans="3:8" x14ac:dyDescent="0.3">
      <c r="C9995"/>
      <c r="D9995"/>
      <c r="E9995"/>
      <c r="F9995"/>
      <c r="G9995"/>
      <c r="H9995"/>
    </row>
    <row r="9996" spans="3:8" x14ac:dyDescent="0.3">
      <c r="C9996"/>
      <c r="D9996"/>
      <c r="E9996"/>
      <c r="F9996"/>
      <c r="G9996"/>
      <c r="H9996"/>
    </row>
    <row r="9997" spans="3:8" x14ac:dyDescent="0.3">
      <c r="C9997"/>
      <c r="D9997"/>
      <c r="E9997"/>
      <c r="F9997"/>
      <c r="G9997"/>
      <c r="H9997"/>
    </row>
    <row r="9998" spans="3:8" x14ac:dyDescent="0.3">
      <c r="C9998"/>
      <c r="D9998"/>
      <c r="E9998"/>
      <c r="F9998"/>
      <c r="G9998"/>
      <c r="H9998"/>
    </row>
    <row r="9999" spans="3:8" x14ac:dyDescent="0.3">
      <c r="C9999"/>
      <c r="D9999"/>
      <c r="E9999"/>
      <c r="F9999"/>
      <c r="G9999"/>
      <c r="H9999"/>
    </row>
    <row r="10000" spans="3:8" x14ac:dyDescent="0.3">
      <c r="C10000"/>
      <c r="D10000"/>
      <c r="E10000"/>
      <c r="F10000"/>
      <c r="G10000"/>
      <c r="H10000"/>
    </row>
    <row r="10001" spans="3:8" x14ac:dyDescent="0.3">
      <c r="C10001"/>
      <c r="D10001"/>
      <c r="E10001"/>
      <c r="F10001"/>
      <c r="G10001"/>
      <c r="H10001"/>
    </row>
    <row r="10002" spans="3:8" x14ac:dyDescent="0.3">
      <c r="C10002"/>
      <c r="D10002"/>
      <c r="E10002"/>
      <c r="F10002"/>
      <c r="G10002"/>
      <c r="H10002"/>
    </row>
    <row r="10003" spans="3:8" x14ac:dyDescent="0.3">
      <c r="C10003"/>
      <c r="D10003"/>
      <c r="E10003"/>
      <c r="F10003"/>
      <c r="G10003"/>
      <c r="H10003"/>
    </row>
    <row r="10004" spans="3:8" x14ac:dyDescent="0.3">
      <c r="C10004"/>
      <c r="D10004"/>
      <c r="E10004"/>
      <c r="F10004"/>
      <c r="G10004"/>
      <c r="H10004"/>
    </row>
    <row r="10005" spans="3:8" x14ac:dyDescent="0.3">
      <c r="C10005"/>
      <c r="D10005"/>
      <c r="E10005"/>
      <c r="F10005"/>
      <c r="G10005"/>
      <c r="H10005"/>
    </row>
    <row r="10006" spans="3:8" x14ac:dyDescent="0.3">
      <c r="C10006"/>
      <c r="D10006"/>
      <c r="E10006"/>
      <c r="F10006"/>
      <c r="G10006"/>
      <c r="H10006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Impacto">
    <tabColor theme="6" tint="-0.249977111117893"/>
  </sheetPr>
  <dimension ref="A2:I12"/>
  <sheetViews>
    <sheetView zoomScale="85" zoomScaleNormal="85" workbookViewId="0">
      <selection activeCell="L9" sqref="L9"/>
    </sheetView>
  </sheetViews>
  <sheetFormatPr baseColWidth="10" defaultColWidth="11.5546875" defaultRowHeight="14.4" x14ac:dyDescent="0.3"/>
  <cols>
    <col min="1" max="1" width="11.5546875" style="2"/>
    <col min="2" max="2" width="21.5546875" style="2" customWidth="1"/>
    <col min="3" max="3" width="12.33203125" style="2" bestFit="1" customWidth="1"/>
    <col min="4" max="4" width="11.5546875" style="2"/>
    <col min="5" max="5" width="30.109375" style="2" customWidth="1"/>
    <col min="6" max="6" width="12.33203125" style="2" bestFit="1" customWidth="1"/>
    <col min="7" max="7" width="11.5546875" style="2"/>
    <col min="8" max="8" width="30.109375" style="2" customWidth="1"/>
    <col min="9" max="9" width="12.33203125" style="2" bestFit="1" customWidth="1"/>
    <col min="10" max="16384" width="11.5546875" style="2"/>
  </cols>
  <sheetData>
    <row r="2" spans="1:9" x14ac:dyDescent="0.3">
      <c r="B2" s="5" t="str">
        <f>Localization!$B$21</f>
        <v>Parameter</v>
      </c>
      <c r="C2" s="5" t="str">
        <f>"R2 "&amp; Localization!$B$4</f>
        <v>R2 Cost</v>
      </c>
      <c r="E2" s="5" t="str">
        <f>Localization!$B$21</f>
        <v>Parameter</v>
      </c>
      <c r="F2" s="5" t="str">
        <f>"R2 "&amp; unitQALE</f>
        <v>R2 QALY</v>
      </c>
      <c r="H2" s="5" t="str">
        <f>Localization!$B$21</f>
        <v>Parameter</v>
      </c>
      <c r="I2" s="5" t="str">
        <f>"R2 "&amp; unitLE</f>
        <v>R2 LY</v>
      </c>
    </row>
    <row r="3" spans="1:9" ht="15" customHeight="1" x14ac:dyDescent="0.3">
      <c r="A3" s="2">
        <v>1</v>
      </c>
      <c r="B3" s="3" t="str">
        <f t="shared" ref="B3:B12" ca="1" si="0">INDEX(INDIRECT("Process!$"&amp;colDist1&amp;"$1:$"&amp;colDistN&amp;"$1"),1,MATCH($C3,INDIRECT("Process!$"&amp;colDist1&amp;"$7:$"&amp;colDistN&amp;"$7"),0))</f>
        <v>SampleParam</v>
      </c>
      <c r="C3" s="6">
        <f t="shared" ref="C3:C12" ca="1" si="1">LARGE(INDIRECT("Process!$"&amp;colDist1&amp;"$7:$"&amp;colDistN&amp;"$7"),$A3)</f>
        <v>1.0343508649858291E-6</v>
      </c>
      <c r="E3" s="3" t="str">
        <f t="shared" ref="E3:E12" ca="1" si="2">INDEX(INDIRECT("Process!$"&amp;colDist1&amp;"$1:$"&amp;colDistN&amp;"$1"),1,MATCH($F3,INDIRECT("Process!$"&amp;colDist1&amp;"$8:$"&amp;colDistN&amp;"$8"),0))</f>
        <v>SampleParam</v>
      </c>
      <c r="F3" s="6">
        <f t="shared" ref="F3:F12" ca="1" si="3">LARGE(INDIRECT("Process!$"&amp;colDist1&amp;"$8:$"&amp;colDistN&amp;"$8"),$A3)</f>
        <v>5.6471822259082617E-6</v>
      </c>
      <c r="H3" s="3" t="str">
        <f t="shared" ref="H3:H12" ca="1" si="4">INDEX(INDIRECT("Process!$"&amp;colDist1&amp;"$1:$"&amp;colDistN&amp;"$1"),1,MATCH($I3,INDIRECT("Process!$"&amp;colDist1&amp;"$9:$"&amp;colDistN&amp;"$9"),0))</f>
        <v>SampleParam</v>
      </c>
      <c r="I3" s="6">
        <f t="shared" ref="I3:I12" ca="1" si="5">LARGE(INDIRECT("Process!$"&amp;colDist1&amp;"$9:$"&amp;colDistN&amp;"$9"),$A3)</f>
        <v>7.4388561797772074E-6</v>
      </c>
    </row>
    <row r="4" spans="1:9" x14ac:dyDescent="0.3">
      <c r="A4" s="2">
        <v>2</v>
      </c>
      <c r="B4" s="3" t="e">
        <f t="shared" ca="1" si="0"/>
        <v>#NUM!</v>
      </c>
      <c r="C4" s="6" t="e">
        <f t="shared" ca="1" si="1"/>
        <v>#NUM!</v>
      </c>
      <c r="E4" s="3" t="e">
        <f t="shared" ca="1" si="2"/>
        <v>#NUM!</v>
      </c>
      <c r="F4" s="6" t="e">
        <f t="shared" ca="1" si="3"/>
        <v>#NUM!</v>
      </c>
      <c r="H4" s="3" t="e">
        <f t="shared" ca="1" si="4"/>
        <v>#NUM!</v>
      </c>
      <c r="I4" s="6" t="e">
        <f t="shared" ca="1" si="5"/>
        <v>#NUM!</v>
      </c>
    </row>
    <row r="5" spans="1:9" x14ac:dyDescent="0.3">
      <c r="A5" s="2">
        <v>3</v>
      </c>
      <c r="B5" s="3" t="e">
        <f t="shared" ca="1" si="0"/>
        <v>#NUM!</v>
      </c>
      <c r="C5" s="6" t="e">
        <f t="shared" ca="1" si="1"/>
        <v>#NUM!</v>
      </c>
      <c r="E5" s="3" t="e">
        <f t="shared" ca="1" si="2"/>
        <v>#NUM!</v>
      </c>
      <c r="F5" s="6" t="e">
        <f t="shared" ca="1" si="3"/>
        <v>#NUM!</v>
      </c>
      <c r="H5" s="3" t="e">
        <f t="shared" ca="1" si="4"/>
        <v>#NUM!</v>
      </c>
      <c r="I5" s="6" t="e">
        <f t="shared" ca="1" si="5"/>
        <v>#NUM!</v>
      </c>
    </row>
    <row r="6" spans="1:9" x14ac:dyDescent="0.3">
      <c r="A6" s="2">
        <v>4</v>
      </c>
      <c r="B6" s="3" t="e">
        <f t="shared" ca="1" si="0"/>
        <v>#NUM!</v>
      </c>
      <c r="C6" s="6" t="e">
        <f t="shared" ca="1" si="1"/>
        <v>#NUM!</v>
      </c>
      <c r="E6" s="3" t="e">
        <f t="shared" ca="1" si="2"/>
        <v>#NUM!</v>
      </c>
      <c r="F6" s="6" t="e">
        <f t="shared" ca="1" si="3"/>
        <v>#NUM!</v>
      </c>
      <c r="H6" s="3" t="e">
        <f t="shared" ca="1" si="4"/>
        <v>#NUM!</v>
      </c>
      <c r="I6" s="6" t="e">
        <f t="shared" ca="1" si="5"/>
        <v>#NUM!</v>
      </c>
    </row>
    <row r="7" spans="1:9" x14ac:dyDescent="0.3">
      <c r="A7" s="2">
        <v>5</v>
      </c>
      <c r="B7" s="3" t="e">
        <f t="shared" ca="1" si="0"/>
        <v>#NUM!</v>
      </c>
      <c r="C7" s="6" t="e">
        <f t="shared" ca="1" si="1"/>
        <v>#NUM!</v>
      </c>
      <c r="E7" s="3" t="e">
        <f t="shared" ca="1" si="2"/>
        <v>#NUM!</v>
      </c>
      <c r="F7" s="6" t="e">
        <f t="shared" ca="1" si="3"/>
        <v>#NUM!</v>
      </c>
      <c r="H7" s="3" t="e">
        <f t="shared" ca="1" si="4"/>
        <v>#NUM!</v>
      </c>
      <c r="I7" s="6" t="e">
        <f t="shared" ca="1" si="5"/>
        <v>#NUM!</v>
      </c>
    </row>
    <row r="8" spans="1:9" x14ac:dyDescent="0.3">
      <c r="A8" s="2">
        <v>6</v>
      </c>
      <c r="B8" s="3" t="e">
        <f t="shared" ca="1" si="0"/>
        <v>#NUM!</v>
      </c>
      <c r="C8" s="6" t="e">
        <f t="shared" ca="1" si="1"/>
        <v>#NUM!</v>
      </c>
      <c r="E8" s="3" t="e">
        <f t="shared" ca="1" si="2"/>
        <v>#NUM!</v>
      </c>
      <c r="F8" s="6" t="e">
        <f t="shared" ca="1" si="3"/>
        <v>#NUM!</v>
      </c>
      <c r="H8" s="3" t="e">
        <f t="shared" ca="1" si="4"/>
        <v>#NUM!</v>
      </c>
      <c r="I8" s="6" t="e">
        <f t="shared" ca="1" si="5"/>
        <v>#NUM!</v>
      </c>
    </row>
    <row r="9" spans="1:9" x14ac:dyDescent="0.3">
      <c r="A9" s="2">
        <v>7</v>
      </c>
      <c r="B9" s="3" t="e">
        <f t="shared" ca="1" si="0"/>
        <v>#NUM!</v>
      </c>
      <c r="C9" s="6" t="e">
        <f t="shared" ca="1" si="1"/>
        <v>#NUM!</v>
      </c>
      <c r="E9" s="3" t="e">
        <f t="shared" ca="1" si="2"/>
        <v>#NUM!</v>
      </c>
      <c r="F9" s="6" t="e">
        <f t="shared" ca="1" si="3"/>
        <v>#NUM!</v>
      </c>
      <c r="H9" s="3" t="e">
        <f t="shared" ca="1" si="4"/>
        <v>#NUM!</v>
      </c>
      <c r="I9" s="6" t="e">
        <f t="shared" ca="1" si="5"/>
        <v>#NUM!</v>
      </c>
    </row>
    <row r="10" spans="1:9" x14ac:dyDescent="0.3">
      <c r="A10" s="2">
        <v>8</v>
      </c>
      <c r="B10" s="3" t="e">
        <f t="shared" ca="1" si="0"/>
        <v>#NUM!</v>
      </c>
      <c r="C10" s="6" t="e">
        <f t="shared" ca="1" si="1"/>
        <v>#NUM!</v>
      </c>
      <c r="E10" s="3" t="e">
        <f t="shared" ca="1" si="2"/>
        <v>#NUM!</v>
      </c>
      <c r="F10" s="6" t="e">
        <f t="shared" ca="1" si="3"/>
        <v>#NUM!</v>
      </c>
      <c r="H10" s="3" t="e">
        <f t="shared" ca="1" si="4"/>
        <v>#NUM!</v>
      </c>
      <c r="I10" s="6" t="e">
        <f t="shared" ca="1" si="5"/>
        <v>#NUM!</v>
      </c>
    </row>
    <row r="11" spans="1:9" x14ac:dyDescent="0.3">
      <c r="A11" s="2">
        <v>9</v>
      </c>
      <c r="B11" s="3" t="e">
        <f t="shared" ca="1" si="0"/>
        <v>#NUM!</v>
      </c>
      <c r="C11" s="6" t="e">
        <f t="shared" ca="1" si="1"/>
        <v>#NUM!</v>
      </c>
      <c r="E11" s="3" t="e">
        <f t="shared" ca="1" si="2"/>
        <v>#NUM!</v>
      </c>
      <c r="F11" s="6" t="e">
        <f t="shared" ca="1" si="3"/>
        <v>#NUM!</v>
      </c>
      <c r="H11" s="3" t="e">
        <f t="shared" ca="1" si="4"/>
        <v>#NUM!</v>
      </c>
      <c r="I11" s="6" t="e">
        <f t="shared" ca="1" si="5"/>
        <v>#NUM!</v>
      </c>
    </row>
    <row r="12" spans="1:9" x14ac:dyDescent="0.3">
      <c r="A12" s="2">
        <v>10</v>
      </c>
      <c r="B12" s="3" t="e">
        <f t="shared" ca="1" si="0"/>
        <v>#NUM!</v>
      </c>
      <c r="C12" s="6" t="e">
        <f t="shared" ca="1" si="1"/>
        <v>#NUM!</v>
      </c>
      <c r="E12" s="3" t="e">
        <f t="shared" ca="1" si="2"/>
        <v>#NUM!</v>
      </c>
      <c r="F12" s="6" t="e">
        <f t="shared" ca="1" si="3"/>
        <v>#NUM!</v>
      </c>
      <c r="H12" s="3" t="e">
        <f t="shared" ca="1" si="4"/>
        <v>#NUM!</v>
      </c>
      <c r="I12" s="6" t="e">
        <f t="shared" ca="1" si="5"/>
        <v>#NUM!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OneWay">
    <tabColor theme="4" tint="-0.249977111117893"/>
  </sheetPr>
  <dimension ref="B2:P61"/>
  <sheetViews>
    <sheetView topLeftCell="A28" workbookViewId="0">
      <selection activeCell="C49" sqref="C49"/>
    </sheetView>
  </sheetViews>
  <sheetFormatPr baseColWidth="10" defaultColWidth="11.5546875" defaultRowHeight="14.4" x14ac:dyDescent="0.3"/>
  <cols>
    <col min="1" max="1" width="11.5546875" style="2"/>
    <col min="2" max="2" width="2.6640625" style="2" customWidth="1"/>
    <col min="3" max="3" width="16.44140625" style="2" bestFit="1" customWidth="1"/>
    <col min="4" max="4" width="14.33203125" style="2" bestFit="1" customWidth="1"/>
    <col min="5" max="6" width="11.5546875" style="2" bestFit="1" customWidth="1"/>
    <col min="7" max="9" width="10" style="2" customWidth="1"/>
    <col min="10" max="10" width="13.88671875" style="2" bestFit="1" customWidth="1"/>
    <col min="11" max="11" width="17.44140625" style="2" bestFit="1" customWidth="1"/>
    <col min="12" max="12" width="11.109375" style="2" customWidth="1"/>
    <col min="13" max="13" width="11.33203125" style="2" customWidth="1"/>
    <col min="14" max="14" width="10.6640625" style="2" customWidth="1"/>
    <col min="15" max="15" width="10.109375" style="2" customWidth="1"/>
    <col min="16" max="16" width="4.33203125" style="2" customWidth="1"/>
    <col min="17" max="17" width="14.5546875" style="2" bestFit="1" customWidth="1"/>
    <col min="18" max="18" width="17.33203125" style="2" bestFit="1" customWidth="1"/>
    <col min="19" max="19" width="10.44140625" style="2" bestFit="1" customWidth="1"/>
    <col min="20" max="20" width="21.33203125" style="2" bestFit="1" customWidth="1"/>
    <col min="21" max="23" width="11.5546875" style="2"/>
    <col min="24" max="24" width="13" style="2" bestFit="1" customWidth="1"/>
    <col min="25" max="16384" width="11.5546875" style="2"/>
  </cols>
  <sheetData>
    <row r="2" spans="2:16" x14ac:dyDescent="0.3">
      <c r="B2" s="11"/>
      <c r="C2" s="11" t="str">
        <f>Localization!$B$51</f>
        <v>Results</v>
      </c>
      <c r="D2" s="11"/>
    </row>
    <row r="3" spans="2:16" x14ac:dyDescent="0.3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16" x14ac:dyDescent="0.3">
      <c r="B4" s="3"/>
      <c r="C4" s="3"/>
      <c r="D4" s="3"/>
      <c r="E4" s="86" t="str">
        <f>Localization!$B$4&amp;" (Inc)"</f>
        <v>Cost (Inc)</v>
      </c>
      <c r="F4" s="86" t="str">
        <f>unitQALE&amp;" (inc)"</f>
        <v>QALY (inc)</v>
      </c>
      <c r="G4" s="86" t="str">
        <f>Localization!$B$13&amp;" "&amp;unitQALE</f>
        <v>ICER QALY</v>
      </c>
      <c r="H4" s="86" t="str">
        <f>unitLE&amp;" (inc)"</f>
        <v>LY (inc)</v>
      </c>
      <c r="I4" s="86" t="str">
        <f>Localization!$B$13&amp;" "&amp;unitLE</f>
        <v>ICER LY</v>
      </c>
      <c r="J4" s="86" t="str">
        <f>Localization!$B$4&amp;" "&amp;intervention1</f>
        <v>Cost A</v>
      </c>
      <c r="K4" s="86" t="str">
        <f>Localization!$B$4&amp;" "&amp;intervention2</f>
        <v>Cost B</v>
      </c>
      <c r="L4" s="86" t="str">
        <f>unitQALE&amp;" "&amp;intervention1</f>
        <v>QALY A</v>
      </c>
      <c r="M4" s="86" t="str">
        <f>unitQALE&amp;" "&amp;intervention2</f>
        <v>QALY B</v>
      </c>
      <c r="N4" s="86" t="str">
        <f>unitLE&amp;" "&amp;intervention1</f>
        <v>LY A</v>
      </c>
      <c r="O4" s="86" t="str">
        <f>unitLE&amp;" "&amp;intervention2</f>
        <v>LY B</v>
      </c>
      <c r="P4" s="3"/>
    </row>
    <row r="5" spans="2:16" x14ac:dyDescent="0.3">
      <c r="B5" s="3"/>
      <c r="C5" s="3"/>
      <c r="D5" s="64" t="str">
        <f>Localization!$B$20</f>
        <v>Base case</v>
      </c>
      <c r="E5" s="65" t="e">
        <f ca="1">J5-K5</f>
        <v>#REF!</v>
      </c>
      <c r="F5" s="66" t="e">
        <f ca="1">L5-M5</f>
        <v>#REF!</v>
      </c>
      <c r="G5" s="84" t="e">
        <f ca="1">E5/F5</f>
        <v>#REF!</v>
      </c>
      <c r="H5" s="66" t="e">
        <f ca="1">N5-O5</f>
        <v>#REF!</v>
      </c>
      <c r="I5" s="84" t="e">
        <f ca="1">E5/H5</f>
        <v>#REF!</v>
      </c>
      <c r="J5" s="65" t="e">
        <f ca="1">Process!G11</f>
        <v>#REF!</v>
      </c>
      <c r="K5" s="65" t="e">
        <f ca="1">Process!J11</f>
        <v>#REF!</v>
      </c>
      <c r="L5" s="2" t="e">
        <f ca="1">Process!I11</f>
        <v>#REF!</v>
      </c>
      <c r="M5" s="2" t="e">
        <f ca="1">Process!L11</f>
        <v>#REF!</v>
      </c>
      <c r="N5" s="2" t="e">
        <f ca="1">Process!H11</f>
        <v>#REF!</v>
      </c>
      <c r="O5" s="2" t="e">
        <f ca="1">Process!K11</f>
        <v>#REF!</v>
      </c>
      <c r="P5" s="3"/>
    </row>
    <row r="6" spans="2:16" x14ac:dyDescent="0.3">
      <c r="B6" s="3"/>
      <c r="C6" s="11" t="str">
        <f>Localization!$B$21</f>
        <v>Parameter</v>
      </c>
      <c r="D6" s="11" t="str">
        <f>Localization!$B$22</f>
        <v>Value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2:16" x14ac:dyDescent="0.3">
      <c r="B7" s="3"/>
      <c r="C7" s="2" t="str">
        <f>Process!M1</f>
        <v>SampleParam</v>
      </c>
      <c r="D7" s="71">
        <f ca="1">MIN(OFFSET(Process!M12,0,0,nSim))</f>
        <v>9</v>
      </c>
      <c r="E7" s="47">
        <v>0.46</v>
      </c>
      <c r="F7" s="63">
        <v>4.9528642705354287E-5</v>
      </c>
      <c r="G7" s="68">
        <v>9242.1462013088694</v>
      </c>
      <c r="H7" s="91">
        <v>3.0904307600110315E-5</v>
      </c>
      <c r="I7" s="68">
        <v>14811.881986109936</v>
      </c>
      <c r="J7" s="47">
        <v>0.54</v>
      </c>
      <c r="K7" s="47">
        <v>0.08</v>
      </c>
      <c r="L7" s="1">
        <v>30.958100655419042</v>
      </c>
      <c r="M7" s="1">
        <v>30.958051126776336</v>
      </c>
      <c r="N7" s="1">
        <v>30.95810151936298</v>
      </c>
      <c r="O7" s="1">
        <v>30.95807061505538</v>
      </c>
      <c r="P7" s="3"/>
    </row>
    <row r="8" spans="2:16" x14ac:dyDescent="0.3">
      <c r="B8" s="3"/>
      <c r="C8" s="2" t="str">
        <f>Process!M1</f>
        <v>SampleParam</v>
      </c>
      <c r="D8" s="71">
        <f ca="1">MAX(OFFSET(Process!M12,0,0,nSim))</f>
        <v>15</v>
      </c>
      <c r="E8" s="47">
        <v>1.31</v>
      </c>
      <c r="F8" s="63">
        <v>1.6509547568333005E-4</v>
      </c>
      <c r="G8" s="68">
        <v>7964.6281241995139</v>
      </c>
      <c r="H8" s="91">
        <v>1.0301435866466591E-4</v>
      </c>
      <c r="I8" s="68">
        <v>12764.473669985275</v>
      </c>
      <c r="J8" s="47">
        <v>1.59</v>
      </c>
      <c r="K8" s="47">
        <v>0.28000000000000003</v>
      </c>
      <c r="L8" s="1">
        <v>30.958098564670308</v>
      </c>
      <c r="M8" s="1">
        <v>30.957933469194625</v>
      </c>
      <c r="N8" s="1">
        <v>30.958101444483439</v>
      </c>
      <c r="O8" s="1">
        <v>30.957998430124775</v>
      </c>
      <c r="P8" s="3"/>
    </row>
    <row r="9" spans="2:16" x14ac:dyDescent="0.3">
      <c r="B9" s="3"/>
      <c r="E9" s="47"/>
      <c r="F9" s="63"/>
      <c r="G9" s="68"/>
      <c r="H9" s="91"/>
      <c r="I9" s="68"/>
      <c r="J9" s="47"/>
      <c r="K9" s="47"/>
      <c r="L9" s="1"/>
      <c r="M9" s="1"/>
      <c r="N9" s="1"/>
      <c r="O9" s="1"/>
      <c r="P9" s="3"/>
    </row>
    <row r="10" spans="2:16" x14ac:dyDescent="0.3">
      <c r="B10" s="3"/>
      <c r="E10" s="47"/>
      <c r="F10" s="63"/>
      <c r="G10" s="68"/>
      <c r="H10" s="91"/>
      <c r="I10" s="68"/>
      <c r="J10" s="47"/>
      <c r="K10" s="47"/>
      <c r="L10" s="1"/>
      <c r="M10" s="1"/>
      <c r="N10" s="1"/>
      <c r="O10" s="1"/>
      <c r="P10" s="3"/>
    </row>
    <row r="11" spans="2:16" x14ac:dyDescent="0.3">
      <c r="B11" s="3"/>
      <c r="E11" s="47"/>
      <c r="F11" s="63"/>
      <c r="G11" s="68"/>
      <c r="H11" s="91"/>
      <c r="I11" s="68"/>
      <c r="J11" s="47"/>
      <c r="K11" s="47"/>
      <c r="L11" s="1"/>
      <c r="M11" s="1"/>
      <c r="N11" s="1"/>
      <c r="O11" s="1"/>
      <c r="P11" s="3"/>
    </row>
    <row r="12" spans="2:16" x14ac:dyDescent="0.3">
      <c r="B12" s="3"/>
      <c r="E12" s="47"/>
      <c r="F12" s="63"/>
      <c r="G12" s="68"/>
      <c r="H12" s="91"/>
      <c r="I12" s="68"/>
      <c r="J12" s="47"/>
      <c r="K12" s="47"/>
      <c r="L12" s="1"/>
      <c r="M12" s="1"/>
      <c r="N12" s="1"/>
      <c r="O12" s="1"/>
      <c r="P12" s="3"/>
    </row>
    <row r="13" spans="2:16" x14ac:dyDescent="0.3">
      <c r="B13" s="3"/>
      <c r="E13" s="47"/>
      <c r="F13" s="63"/>
      <c r="G13" s="68"/>
      <c r="H13" s="91"/>
      <c r="I13" s="68"/>
      <c r="J13" s="47"/>
      <c r="K13" s="47"/>
      <c r="L13" s="1"/>
      <c r="M13" s="1"/>
      <c r="N13" s="1"/>
      <c r="O13" s="1"/>
      <c r="P13" s="3"/>
    </row>
    <row r="14" spans="2:16" x14ac:dyDescent="0.3">
      <c r="B14" s="3"/>
      <c r="E14" s="47"/>
      <c r="F14" s="63"/>
      <c r="G14" s="68"/>
      <c r="H14" s="91"/>
      <c r="I14" s="68"/>
      <c r="J14" s="47"/>
      <c r="K14" s="47"/>
      <c r="L14" s="1"/>
      <c r="M14" s="1"/>
      <c r="N14" s="1"/>
      <c r="O14" s="1"/>
      <c r="P14" s="3"/>
    </row>
    <row r="15" spans="2:16" x14ac:dyDescent="0.3">
      <c r="B15" s="3"/>
      <c r="E15" s="47"/>
      <c r="F15" s="63"/>
      <c r="G15" s="68"/>
      <c r="H15" s="91"/>
      <c r="I15" s="68"/>
      <c r="J15" s="47"/>
      <c r="K15" s="47"/>
      <c r="L15" s="1"/>
      <c r="M15" s="1"/>
      <c r="N15" s="1"/>
      <c r="O15" s="1"/>
      <c r="P15" s="3"/>
    </row>
    <row r="16" spans="2:16" x14ac:dyDescent="0.3">
      <c r="B16" s="3"/>
      <c r="E16" s="47"/>
      <c r="F16" s="63"/>
      <c r="G16" s="68"/>
      <c r="H16" s="91"/>
      <c r="I16" s="68"/>
      <c r="J16" s="47"/>
      <c r="K16" s="47"/>
      <c r="L16" s="1"/>
      <c r="M16" s="1"/>
      <c r="N16" s="1"/>
      <c r="O16" s="1"/>
      <c r="P16" s="3"/>
    </row>
    <row r="17" spans="2:16" x14ac:dyDescent="0.3">
      <c r="B17" s="3"/>
      <c r="E17" s="47"/>
      <c r="F17" s="63"/>
      <c r="G17" s="68"/>
      <c r="H17" s="91"/>
      <c r="I17" s="68"/>
      <c r="J17" s="47"/>
      <c r="K17" s="47"/>
      <c r="L17" s="1"/>
      <c r="M17" s="1"/>
      <c r="N17" s="1"/>
      <c r="O17" s="1"/>
      <c r="P17" s="3"/>
    </row>
    <row r="18" spans="2:16" x14ac:dyDescent="0.3">
      <c r="B18" s="3"/>
      <c r="E18" s="47"/>
      <c r="F18" s="63"/>
      <c r="G18" s="68"/>
      <c r="H18" s="91"/>
      <c r="I18" s="68"/>
      <c r="J18" s="47"/>
      <c r="K18" s="47"/>
      <c r="L18" s="1"/>
      <c r="M18" s="1"/>
      <c r="N18" s="1"/>
      <c r="O18" s="1"/>
      <c r="P18" s="3"/>
    </row>
    <row r="19" spans="2:16" x14ac:dyDescent="0.3">
      <c r="B19" s="3"/>
      <c r="E19" s="47"/>
      <c r="F19" s="63"/>
      <c r="G19" s="68"/>
      <c r="H19" s="91"/>
      <c r="I19" s="68"/>
      <c r="J19" s="47"/>
      <c r="K19" s="47"/>
      <c r="L19" s="1"/>
      <c r="M19" s="1"/>
      <c r="N19" s="1"/>
      <c r="O19" s="1"/>
      <c r="P19" s="3"/>
    </row>
    <row r="20" spans="2:16" x14ac:dyDescent="0.3">
      <c r="B20" s="3"/>
      <c r="E20" s="47"/>
      <c r="F20" s="63"/>
      <c r="G20" s="68"/>
      <c r="H20" s="91"/>
      <c r="I20" s="68"/>
      <c r="J20" s="47"/>
      <c r="K20" s="47"/>
      <c r="L20" s="1"/>
      <c r="M20" s="1"/>
      <c r="N20" s="1"/>
      <c r="O20" s="1"/>
      <c r="P20" s="3"/>
    </row>
    <row r="21" spans="2:16" x14ac:dyDescent="0.3">
      <c r="B21" s="3"/>
      <c r="E21" s="47"/>
      <c r="F21" s="63"/>
      <c r="G21" s="68"/>
      <c r="H21" s="91"/>
      <c r="I21" s="68"/>
      <c r="J21" s="47"/>
      <c r="K21" s="47"/>
      <c r="L21" s="1"/>
      <c r="M21" s="1"/>
      <c r="N21" s="1"/>
      <c r="O21" s="1"/>
      <c r="P21" s="3"/>
    </row>
    <row r="22" spans="2:16" x14ac:dyDescent="0.3">
      <c r="B22" s="3"/>
      <c r="E22" s="47"/>
      <c r="F22" s="63"/>
      <c r="G22" s="68"/>
      <c r="H22" s="91"/>
      <c r="I22" s="68"/>
      <c r="J22" s="47"/>
      <c r="K22" s="47"/>
      <c r="L22" s="1"/>
      <c r="M22" s="1"/>
      <c r="N22" s="1"/>
      <c r="O22" s="1"/>
      <c r="P22" s="3"/>
    </row>
    <row r="23" spans="2:16" x14ac:dyDescent="0.3">
      <c r="B23" s="3"/>
      <c r="E23" s="47"/>
      <c r="F23" s="63"/>
      <c r="G23" s="68"/>
      <c r="H23" s="91"/>
      <c r="I23" s="68"/>
      <c r="J23" s="47"/>
      <c r="K23" s="47"/>
      <c r="L23" s="1"/>
      <c r="M23" s="1"/>
      <c r="N23" s="1"/>
      <c r="O23" s="1"/>
      <c r="P23" s="3"/>
    </row>
    <row r="24" spans="2:16" x14ac:dyDescent="0.3">
      <c r="B24" s="3"/>
      <c r="E24" s="47"/>
      <c r="F24" s="63"/>
      <c r="G24" s="68"/>
      <c r="H24" s="91"/>
      <c r="I24" s="68"/>
      <c r="J24" s="47"/>
      <c r="K24" s="47"/>
      <c r="L24" s="1"/>
      <c r="M24" s="1"/>
      <c r="N24" s="1"/>
      <c r="O24" s="1"/>
      <c r="P24" s="3"/>
    </row>
    <row r="25" spans="2:16" x14ac:dyDescent="0.3">
      <c r="B25" s="3"/>
      <c r="E25" s="47"/>
      <c r="F25" s="63"/>
      <c r="G25" s="68"/>
      <c r="H25" s="91"/>
      <c r="I25" s="68"/>
      <c r="J25" s="47"/>
      <c r="K25" s="47"/>
      <c r="L25" s="1"/>
      <c r="M25" s="1"/>
      <c r="N25" s="1"/>
      <c r="O25" s="1"/>
      <c r="P25" s="3"/>
    </row>
    <row r="26" spans="2:16" x14ac:dyDescent="0.3">
      <c r="B26" s="3"/>
      <c r="E26" s="47"/>
      <c r="F26" s="63"/>
      <c r="G26" s="68"/>
      <c r="H26" s="91"/>
      <c r="I26" s="68"/>
      <c r="J26" s="47"/>
      <c r="K26" s="47"/>
      <c r="L26" s="1"/>
      <c r="M26" s="1"/>
      <c r="N26" s="1"/>
      <c r="O26" s="1"/>
      <c r="P26" s="3"/>
    </row>
    <row r="27" spans="2:16" x14ac:dyDescent="0.3">
      <c r="B27" s="3"/>
      <c r="E27" s="47"/>
      <c r="F27" s="63"/>
      <c r="G27" s="68"/>
      <c r="H27" s="91"/>
      <c r="I27" s="68"/>
      <c r="J27" s="47"/>
      <c r="K27" s="47"/>
      <c r="L27" s="1"/>
      <c r="M27" s="1"/>
      <c r="N27" s="1"/>
      <c r="O27" s="1"/>
      <c r="P27" s="3"/>
    </row>
    <row r="28" spans="2:16" x14ac:dyDescent="0.3">
      <c r="B28" s="3"/>
      <c r="E28" s="47"/>
      <c r="F28" s="63"/>
      <c r="G28" s="68"/>
      <c r="H28" s="91"/>
      <c r="I28" s="68"/>
      <c r="J28" s="47"/>
      <c r="K28" s="47"/>
      <c r="L28" s="1"/>
      <c r="M28" s="1"/>
      <c r="N28" s="1"/>
      <c r="O28" s="1"/>
      <c r="P28" s="3"/>
    </row>
    <row r="29" spans="2:16" x14ac:dyDescent="0.3">
      <c r="B29" s="3"/>
      <c r="E29" s="47"/>
      <c r="F29" s="63"/>
      <c r="G29" s="68"/>
      <c r="H29" s="91"/>
      <c r="I29" s="68"/>
      <c r="J29" s="47"/>
      <c r="K29" s="47"/>
      <c r="L29" s="1"/>
      <c r="M29" s="1"/>
      <c r="N29" s="1"/>
      <c r="O29" s="1"/>
      <c r="P29" s="3"/>
    </row>
    <row r="30" spans="2:16" x14ac:dyDescent="0.3">
      <c r="B30" s="3"/>
      <c r="E30" s="47"/>
      <c r="F30" s="63"/>
      <c r="G30" s="68"/>
      <c r="H30" s="91"/>
      <c r="I30" s="68"/>
      <c r="J30" s="47"/>
      <c r="K30" s="47"/>
      <c r="L30" s="1"/>
      <c r="M30" s="1"/>
      <c r="N30" s="1"/>
      <c r="O30" s="1"/>
      <c r="P30" s="3"/>
    </row>
    <row r="31" spans="2:16" x14ac:dyDescent="0.3">
      <c r="B31" s="3"/>
      <c r="E31" s="47"/>
      <c r="F31" s="63"/>
      <c r="G31" s="68"/>
      <c r="H31" s="91"/>
      <c r="I31" s="68"/>
      <c r="J31" s="47"/>
      <c r="K31" s="47"/>
      <c r="L31" s="1"/>
      <c r="M31" s="1"/>
      <c r="N31" s="1"/>
      <c r="O31" s="1"/>
      <c r="P31" s="3"/>
    </row>
    <row r="32" spans="2:16" x14ac:dyDescent="0.3">
      <c r="B32" s="3"/>
      <c r="E32" s="47"/>
      <c r="F32" s="63"/>
      <c r="G32" s="68"/>
      <c r="H32" s="91"/>
      <c r="I32" s="68"/>
      <c r="J32" s="47"/>
      <c r="K32" s="47"/>
      <c r="L32" s="1"/>
      <c r="M32" s="1"/>
      <c r="N32" s="1"/>
      <c r="O32" s="1"/>
      <c r="P32" s="3"/>
    </row>
    <row r="33" spans="2:16" x14ac:dyDescent="0.3">
      <c r="B33" s="3"/>
      <c r="E33" s="47"/>
      <c r="F33" s="63"/>
      <c r="G33" s="68"/>
      <c r="H33" s="91"/>
      <c r="I33" s="68"/>
      <c r="J33" s="47"/>
      <c r="K33" s="47"/>
      <c r="L33" s="1"/>
      <c r="M33" s="1"/>
      <c r="N33" s="1"/>
      <c r="O33" s="1"/>
      <c r="P33" s="3"/>
    </row>
    <row r="34" spans="2:16" x14ac:dyDescent="0.3">
      <c r="B34" s="3"/>
      <c r="E34" s="47"/>
      <c r="F34" s="63"/>
      <c r="G34" s="68"/>
      <c r="H34" s="91"/>
      <c r="I34" s="68"/>
      <c r="J34" s="47"/>
      <c r="K34" s="47"/>
      <c r="L34" s="1"/>
      <c r="M34" s="1"/>
      <c r="N34" s="1"/>
      <c r="O34" s="1"/>
      <c r="P34" s="3"/>
    </row>
    <row r="35" spans="2:16" x14ac:dyDescent="0.3">
      <c r="B35" s="3"/>
      <c r="E35" s="47"/>
      <c r="F35" s="63"/>
      <c r="G35" s="68"/>
      <c r="H35" s="91"/>
      <c r="I35" s="68"/>
      <c r="J35" s="47"/>
      <c r="K35" s="47"/>
      <c r="L35" s="1"/>
      <c r="M35" s="1"/>
      <c r="N35" s="1"/>
      <c r="O35" s="1"/>
      <c r="P35" s="3"/>
    </row>
    <row r="36" spans="2:16" x14ac:dyDescent="0.3">
      <c r="B36" s="3"/>
      <c r="E36" s="47"/>
      <c r="F36" s="63"/>
      <c r="G36" s="68"/>
      <c r="H36" s="91"/>
      <c r="I36" s="68"/>
      <c r="J36" s="47"/>
      <c r="K36" s="47"/>
      <c r="L36" s="1"/>
      <c r="M36" s="1"/>
      <c r="N36" s="1"/>
      <c r="O36" s="1"/>
      <c r="P36" s="3"/>
    </row>
    <row r="37" spans="2:16" x14ac:dyDescent="0.3">
      <c r="B37" s="3"/>
      <c r="E37" s="47"/>
      <c r="F37" s="63"/>
      <c r="G37" s="68"/>
      <c r="H37" s="91"/>
      <c r="I37" s="68"/>
      <c r="J37" s="47"/>
      <c r="K37" s="47"/>
      <c r="L37" s="1"/>
      <c r="M37" s="1"/>
      <c r="N37" s="1"/>
      <c r="O37" s="1"/>
      <c r="P37" s="3"/>
    </row>
    <row r="38" spans="2:16" x14ac:dyDescent="0.3">
      <c r="B38" s="3"/>
      <c r="E38" s="47"/>
      <c r="F38" s="63"/>
      <c r="G38" s="68"/>
      <c r="H38" s="91"/>
      <c r="I38" s="68"/>
      <c r="J38" s="47"/>
      <c r="K38" s="47"/>
      <c r="L38" s="1"/>
      <c r="M38" s="1"/>
      <c r="N38" s="1"/>
      <c r="O38" s="1"/>
      <c r="P38" s="3"/>
    </row>
    <row r="39" spans="2:16" x14ac:dyDescent="0.3">
      <c r="B39" s="3"/>
      <c r="E39" s="47"/>
      <c r="F39" s="63"/>
      <c r="G39" s="68"/>
      <c r="H39" s="91"/>
      <c r="I39" s="68"/>
      <c r="J39" s="47"/>
      <c r="K39" s="47"/>
      <c r="L39" s="1"/>
      <c r="M39" s="1"/>
      <c r="N39" s="1"/>
      <c r="O39" s="1"/>
      <c r="P39" s="3"/>
    </row>
    <row r="40" spans="2:16" x14ac:dyDescent="0.3">
      <c r="B40" s="3"/>
      <c r="D40" s="71"/>
      <c r="E40" s="47"/>
      <c r="F40" s="63"/>
      <c r="G40" s="68"/>
      <c r="H40" s="91"/>
      <c r="I40" s="68"/>
      <c r="J40" s="47"/>
      <c r="K40" s="47"/>
      <c r="L40" s="1"/>
      <c r="M40" s="1"/>
      <c r="N40" s="1"/>
      <c r="O40" s="1"/>
      <c r="P40" s="3"/>
    </row>
    <row r="41" spans="2:16" x14ac:dyDescent="0.3">
      <c r="B41" s="3"/>
      <c r="D41" s="71"/>
      <c r="E41" s="47"/>
      <c r="F41" s="63"/>
      <c r="G41" s="68"/>
      <c r="H41" s="91"/>
      <c r="I41" s="68"/>
      <c r="J41" s="47"/>
      <c r="K41" s="47"/>
      <c r="L41" s="1"/>
      <c r="M41" s="1"/>
      <c r="N41" s="1"/>
      <c r="O41" s="1"/>
      <c r="P41" s="3"/>
    </row>
    <row r="42" spans="2:16" x14ac:dyDescent="0.3">
      <c r="B42" s="3"/>
      <c r="E42" s="47"/>
      <c r="F42" s="63"/>
      <c r="G42" s="68"/>
      <c r="H42" s="91"/>
      <c r="I42" s="68"/>
      <c r="J42" s="47"/>
      <c r="K42" s="47"/>
      <c r="L42" s="1"/>
      <c r="M42" s="1"/>
      <c r="N42" s="1"/>
      <c r="O42" s="1"/>
      <c r="P42" s="3"/>
    </row>
    <row r="43" spans="2:16" x14ac:dyDescent="0.3">
      <c r="B43" s="3"/>
      <c r="D43" s="71"/>
      <c r="E43" s="47"/>
      <c r="F43" s="63"/>
      <c r="G43" s="68"/>
      <c r="H43" s="91"/>
      <c r="I43" s="68"/>
      <c r="J43" s="47"/>
      <c r="K43" s="47"/>
      <c r="L43" s="1"/>
      <c r="M43" s="1"/>
      <c r="N43" s="1"/>
      <c r="O43" s="1"/>
      <c r="P43" s="3"/>
    </row>
    <row r="44" spans="2:16" x14ac:dyDescent="0.3">
      <c r="B44" s="3"/>
      <c r="D44" s="71"/>
      <c r="E44" s="47"/>
      <c r="F44" s="63"/>
      <c r="G44" s="68"/>
      <c r="H44" s="91"/>
      <c r="I44" s="68"/>
      <c r="J44" s="47"/>
      <c r="K44" s="47"/>
      <c r="L44" s="1"/>
      <c r="M44" s="1"/>
      <c r="N44" s="1"/>
      <c r="O44" s="1"/>
      <c r="P44" s="3"/>
    </row>
    <row r="45" spans="2:16" x14ac:dyDescent="0.3">
      <c r="B45" s="3"/>
      <c r="E45" s="47"/>
      <c r="F45" s="63"/>
      <c r="G45" s="68"/>
      <c r="H45" s="91"/>
      <c r="I45" s="68"/>
      <c r="J45" s="47"/>
      <c r="K45" s="47"/>
      <c r="L45" s="1"/>
      <c r="M45" s="1"/>
      <c r="N45" s="1"/>
      <c r="O45" s="1"/>
      <c r="P45" s="3"/>
    </row>
    <row r="46" spans="2:16" x14ac:dyDescent="0.3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2:16" x14ac:dyDescent="0.3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2:16" x14ac:dyDescent="0.3">
      <c r="B48" s="3"/>
      <c r="C48" s="3"/>
      <c r="D48" s="11" t="s">
        <v>115</v>
      </c>
      <c r="E48" s="11" t="s">
        <v>116</v>
      </c>
      <c r="F48" s="11" t="s">
        <v>117</v>
      </c>
      <c r="G48" s="3"/>
      <c r="H48" s="3"/>
      <c r="I48" s="3"/>
      <c r="J48" s="11" t="s">
        <v>115</v>
      </c>
      <c r="K48" s="11" t="s">
        <v>116</v>
      </c>
      <c r="L48" s="11" t="s">
        <v>117</v>
      </c>
      <c r="M48" s="3"/>
      <c r="N48" s="3"/>
      <c r="O48" s="3"/>
      <c r="P48" s="3"/>
    </row>
    <row r="49" spans="2:16" x14ac:dyDescent="0.3">
      <c r="B49" s="3"/>
      <c r="C49" s="3" t="e" cm="1">
        <f t="array" aca="1" ref="C49" ca="1">OFFSET(INDIRECT(C7),0,9)</f>
        <v>#REF!</v>
      </c>
      <c r="D49" s="67">
        <f>$G$19</f>
        <v>0</v>
      </c>
      <c r="E49" s="67">
        <f>$G$20</f>
        <v>0</v>
      </c>
      <c r="F49" s="67">
        <f t="shared" ref="F49:F58" si="0">ABS(E49-D49)</f>
        <v>0</v>
      </c>
      <c r="G49" s="3"/>
      <c r="H49" s="3"/>
      <c r="I49" s="3" t="e">
        <f>Process!#REF!&amp;" ("&amp;Localization!$B$20&amp;": "&amp;FIXED(pUndetectedSuddenDeath,3)&amp;")"</f>
        <v>#REF!</v>
      </c>
      <c r="J49" s="67">
        <f>$I$19</f>
        <v>0</v>
      </c>
      <c r="K49" s="67">
        <f>$I$20</f>
        <v>0</v>
      </c>
      <c r="L49" s="67">
        <f t="shared" ref="L49:L58" si="1">ABS(K49-J49)</f>
        <v>0</v>
      </c>
      <c r="M49" s="3"/>
      <c r="N49" s="3"/>
      <c r="O49" s="3"/>
      <c r="P49" s="3"/>
    </row>
    <row r="50" spans="2:16" x14ac:dyDescent="0.3">
      <c r="B50" s="3"/>
      <c r="C50" s="3" t="e">
        <f>Process!#REF!&amp;" ("&amp;Localization!$B$20&amp;": "&amp;FIXED(RRClinicallyDetected,3)&amp;")"</f>
        <v>#REF!</v>
      </c>
      <c r="D50" s="67">
        <f>$G$17</f>
        <v>0</v>
      </c>
      <c r="E50" s="67">
        <f>$G$18</f>
        <v>0</v>
      </c>
      <c r="F50" s="67">
        <f t="shared" si="0"/>
        <v>0</v>
      </c>
      <c r="G50" s="3"/>
      <c r="H50" s="3"/>
      <c r="I50" s="3" t="e">
        <f>Process!#REF!&amp;" ("&amp;Localization!$B$20&amp;": "&amp;FIXED(RRClinicallyDetected,3)&amp;")"</f>
        <v>#REF!</v>
      </c>
      <c r="J50" s="67">
        <f>$I$17</f>
        <v>0</v>
      </c>
      <c r="K50" s="67">
        <f>$I$18</f>
        <v>0</v>
      </c>
      <c r="L50" s="67">
        <f t="shared" si="1"/>
        <v>0</v>
      </c>
      <c r="M50" s="3"/>
      <c r="N50" s="3"/>
      <c r="O50" s="3"/>
      <c r="P50" s="3"/>
    </row>
    <row r="51" spans="2:16" x14ac:dyDescent="0.3">
      <c r="B51" s="3"/>
      <c r="C51" s="3" t="e">
        <f>Process!#REF!&amp;" ("&amp;Localization!$B$20&amp;": "&amp;FIXED(specificity,5)&amp;")"</f>
        <v>#REF!</v>
      </c>
      <c r="D51" s="67">
        <f>$G$9</f>
        <v>0</v>
      </c>
      <c r="E51" s="67">
        <f>$G$10</f>
        <v>0</v>
      </c>
      <c r="F51" s="67">
        <f t="shared" si="0"/>
        <v>0</v>
      </c>
      <c r="G51" s="3"/>
      <c r="H51" s="3"/>
      <c r="I51" s="3" t="e">
        <f>Process!#REF!&amp;" ("&amp;Localization!$B$20&amp;": "&amp;FIXED(specificity,5)&amp;")"</f>
        <v>#REF!</v>
      </c>
      <c r="J51" s="67">
        <f>$I$9</f>
        <v>0</v>
      </c>
      <c r="K51" s="67">
        <f>$I$10</f>
        <v>0</v>
      </c>
      <c r="L51" s="67">
        <f t="shared" si="1"/>
        <v>0</v>
      </c>
      <c r="M51" s="3"/>
      <c r="N51" s="3"/>
      <c r="O51" s="3"/>
      <c r="P51" s="3"/>
    </row>
    <row r="52" spans="2:16" x14ac:dyDescent="0.3">
      <c r="B52" s="3"/>
      <c r="C52" s="3" t="e">
        <f>Process!#REF!&amp;" ("&amp;Localization!$B$20&amp;": "&amp;doseCarnitine&amp;")"</f>
        <v>#REF!</v>
      </c>
      <c r="D52" s="67">
        <f>$G$23</f>
        <v>0</v>
      </c>
      <c r="E52" s="67">
        <f>$G$24</f>
        <v>0</v>
      </c>
      <c r="F52" s="67">
        <f t="shared" si="0"/>
        <v>0</v>
      </c>
      <c r="G52" s="3"/>
      <c r="H52" s="3"/>
      <c r="I52" s="3" t="e">
        <f>Process!#REF!&amp;" ("&amp;Localization!$B$20&amp;": "&amp;FIXED(sensitivity,3)&amp;")"</f>
        <v>#REF!</v>
      </c>
      <c r="J52" s="67">
        <f>$I$11</f>
        <v>0</v>
      </c>
      <c r="K52" s="67">
        <f>$I$12</f>
        <v>0</v>
      </c>
      <c r="L52" s="67">
        <f t="shared" si="1"/>
        <v>0</v>
      </c>
      <c r="M52" s="3"/>
      <c r="N52" s="3"/>
      <c r="O52" s="3"/>
      <c r="P52" s="3"/>
    </row>
    <row r="53" spans="2:16" x14ac:dyDescent="0.3">
      <c r="B53" s="3"/>
      <c r="C53" s="3" t="e">
        <f>Process!#REF!&amp;" ("&amp;Localization!$B$20&amp;": "&amp;FIXED(sensitivity,3)&amp;")"</f>
        <v>#REF!</v>
      </c>
      <c r="D53" s="67">
        <f>$G$11</f>
        <v>0</v>
      </c>
      <c r="E53" s="67">
        <f>$G$12</f>
        <v>0</v>
      </c>
      <c r="F53" s="67">
        <f t="shared" si="0"/>
        <v>0</v>
      </c>
      <c r="G53" s="3"/>
      <c r="H53" s="3"/>
      <c r="I53" s="3" t="e">
        <f>Process!#REF!&amp;" ("&amp;Localization!$B$20&amp;": "&amp;doseCarnitine&amp;")"</f>
        <v>#REF!</v>
      </c>
      <c r="J53" s="67">
        <f>$I$23</f>
        <v>0</v>
      </c>
      <c r="K53" s="67">
        <f>$I$24</f>
        <v>0</v>
      </c>
      <c r="L53" s="67">
        <f t="shared" si="1"/>
        <v>0</v>
      </c>
      <c r="M53" s="3"/>
      <c r="N53" s="3"/>
      <c r="O53" s="3"/>
      <c r="P53" s="3"/>
    </row>
    <row r="54" spans="2:16" x14ac:dyDescent="0.3">
      <c r="B54" s="3"/>
      <c r="C54" s="3" t="e">
        <f>Process!#REF!&amp;" ("&amp;Localization!$B$20&amp;": "&amp;FIXED(pRecallTN,5)&amp;")"</f>
        <v>#REF!</v>
      </c>
      <c r="D54" s="67">
        <f>$G$13</f>
        <v>0</v>
      </c>
      <c r="E54" s="67">
        <f>$G$14</f>
        <v>0</v>
      </c>
      <c r="F54" s="67">
        <f t="shared" si="0"/>
        <v>0</v>
      </c>
      <c r="G54" s="3"/>
      <c r="H54" s="3"/>
      <c r="I54" s="3" t="e">
        <f>Process!#REF!&amp;" ("&amp;Localization!$B$20&amp;": "&amp;FIXED(pRecallTN,5)&amp;")"</f>
        <v>#REF!</v>
      </c>
      <c r="J54" s="67">
        <f>$I$13</f>
        <v>0</v>
      </c>
      <c r="K54" s="67">
        <f>$I$14</f>
        <v>0</v>
      </c>
      <c r="L54" s="67">
        <f t="shared" si="1"/>
        <v>0</v>
      </c>
      <c r="M54" s="3"/>
      <c r="N54" s="3"/>
      <c r="O54" s="3"/>
      <c r="P54" s="3"/>
    </row>
    <row r="55" spans="2:16" x14ac:dyDescent="0.3">
      <c r="B55" s="3"/>
      <c r="C55" s="3" t="e">
        <f>Process!#REF!&amp;" ("&amp;Localization!$B$20&amp;": "&amp;doseCarnitineAdults&amp;")"</f>
        <v>#REF!</v>
      </c>
      <c r="D55" s="67">
        <f>$G$25</f>
        <v>0</v>
      </c>
      <c r="E55" s="67">
        <f>$G$26</f>
        <v>0</v>
      </c>
      <c r="F55" s="67">
        <f t="shared" si="0"/>
        <v>0</v>
      </c>
      <c r="G55" s="3"/>
      <c r="H55" s="3"/>
      <c r="I55" s="3" t="e">
        <f>Process!#REF!&amp;" ("&amp;Localization!$B$20&amp;": "&amp;doseCarnitineAdults&amp;")"</f>
        <v>#REF!</v>
      </c>
      <c r="J55" s="67">
        <f>$I$25</f>
        <v>0</v>
      </c>
      <c r="K55" s="67">
        <f>$I$26</f>
        <v>0</v>
      </c>
      <c r="L55" s="67">
        <f t="shared" si="1"/>
        <v>0</v>
      </c>
      <c r="M55" s="3"/>
      <c r="N55" s="3"/>
      <c r="O55" s="3"/>
      <c r="P55" s="3"/>
    </row>
    <row r="56" spans="2:16" x14ac:dyDescent="0.3">
      <c r="B56" s="3"/>
      <c r="C56" s="3" t="e">
        <f>Process!#REF!&amp;" ("&amp;Localization!$B$20&amp;": 1:"&amp;FIXED(1/pBirthPrevalenceCUD,0)&amp;")"</f>
        <v>#REF!</v>
      </c>
      <c r="D56" s="67">
        <f>$G$7</f>
        <v>9242.1462013088694</v>
      </c>
      <c r="E56" s="67">
        <f>$G$8</f>
        <v>7964.6281241995139</v>
      </c>
      <c r="F56" s="67">
        <f t="shared" si="0"/>
        <v>1277.5180771093555</v>
      </c>
      <c r="G56" s="3"/>
      <c r="H56" s="3"/>
      <c r="I56" s="3" t="e">
        <f>Process!#REF!&amp;" ("&amp;Localization!$B$20&amp;": 1:"&amp;FIXED(1/pBirthPrevalenceCUD,0)&amp;")"</f>
        <v>#REF!</v>
      </c>
      <c r="J56" s="67">
        <f>$I$7</f>
        <v>14811.881986109936</v>
      </c>
      <c r="K56" s="67">
        <f>$I$8</f>
        <v>12764.473669985275</v>
      </c>
      <c r="L56" s="67">
        <f t="shared" si="1"/>
        <v>2047.4083161246617</v>
      </c>
      <c r="M56" s="3"/>
      <c r="N56" s="3"/>
      <c r="O56" s="3"/>
      <c r="P56" s="3"/>
    </row>
    <row r="57" spans="2:16" x14ac:dyDescent="0.3">
      <c r="B57" s="3"/>
      <c r="C57" s="3" t="e">
        <f>Process!#REF!&amp;" ("&amp;Localization!$B$20&amp;": "&amp;FIXED(pSymptomaticScreening,3)&amp;")"</f>
        <v>#REF!</v>
      </c>
      <c r="D57" s="67">
        <f>$G$21</f>
        <v>0</v>
      </c>
      <c r="E57" s="67">
        <f>$G$22</f>
        <v>0</v>
      </c>
      <c r="F57" s="67">
        <f t="shared" si="0"/>
        <v>0</v>
      </c>
      <c r="G57" s="3"/>
      <c r="H57" s="3"/>
      <c r="I57" s="3" t="e">
        <f>Process!#REF!&amp;" ("&amp;Localization!$B$20&amp;": "&amp;FIXED(pSymptomaticScreening,3)&amp;")"</f>
        <v>#REF!</v>
      </c>
      <c r="J57" s="67">
        <f>$I$21</f>
        <v>0</v>
      </c>
      <c r="K57" s="67">
        <f>$I$22</f>
        <v>0</v>
      </c>
      <c r="L57" s="67">
        <f t="shared" si="1"/>
        <v>0</v>
      </c>
      <c r="M57" s="3"/>
      <c r="N57" s="3"/>
      <c r="O57" s="3"/>
      <c r="P57" s="3"/>
    </row>
    <row r="58" spans="2:16" x14ac:dyDescent="0.3">
      <c r="B58" s="3"/>
      <c r="C58" s="3" t="e">
        <f>Process!#REF!&amp;" ("&amp;Localization!$B$20&amp;": "&amp;AgesForEarlyMortality&amp;")"</f>
        <v>#REF!</v>
      </c>
      <c r="D58" s="67">
        <f>$G$15</f>
        <v>0</v>
      </c>
      <c r="E58" s="67">
        <f>$G$16</f>
        <v>0</v>
      </c>
      <c r="F58" s="67">
        <f t="shared" si="0"/>
        <v>0</v>
      </c>
      <c r="G58" s="3"/>
      <c r="H58" s="3"/>
      <c r="I58" s="3" t="e">
        <f>Process!#REF!&amp;" ("&amp;Localization!$B$20&amp;": "&amp;AgesForEarlyMortality&amp;")"</f>
        <v>#REF!</v>
      </c>
      <c r="J58" s="67">
        <f>$I$15</f>
        <v>0</v>
      </c>
      <c r="K58" s="67">
        <f>$I$16</f>
        <v>0</v>
      </c>
      <c r="L58" s="67">
        <f t="shared" si="1"/>
        <v>0</v>
      </c>
      <c r="M58" s="3"/>
      <c r="N58" s="3"/>
      <c r="O58" s="3"/>
      <c r="P58" s="3"/>
    </row>
    <row r="59" spans="2:16" x14ac:dyDescent="0.3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</row>
    <row r="60" spans="2:16" x14ac:dyDescent="0.3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</row>
    <row r="61" spans="2:16" x14ac:dyDescent="0.3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</row>
  </sheetData>
  <sortState xmlns:xlrd2="http://schemas.microsoft.com/office/spreadsheetml/2017/richdata2" ref="I49:L58">
    <sortCondition descending="1" ref="L49"/>
  </sortState>
  <conditionalFormatting sqref="I7:I45">
    <cfRule type="cellIs" dxfId="1" priority="2" operator="greaterThan">
      <formula>30000</formula>
    </cfRule>
  </conditionalFormatting>
  <conditionalFormatting sqref="G7:G45">
    <cfRule type="cellIs" dxfId="0" priority="1" operator="greaterThan">
      <formula>30000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OneWaySensitivity">
                <anchor moveWithCells="1">
                  <from>
                    <xdr:col>2</xdr:col>
                    <xdr:colOff>7620</xdr:colOff>
                    <xdr:row>2</xdr:row>
                    <xdr:rowOff>99060</xdr:rowOff>
                  </from>
                  <to>
                    <xdr:col>2</xdr:col>
                    <xdr:colOff>899160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TwoWay">
    <tabColor theme="4" tint="-0.249977111117893"/>
  </sheetPr>
  <dimension ref="B2:P48"/>
  <sheetViews>
    <sheetView workbookViewId="0">
      <selection activeCell="O6" sqref="O6"/>
    </sheetView>
  </sheetViews>
  <sheetFormatPr baseColWidth="10" defaultColWidth="11.5546875" defaultRowHeight="14.4" x14ac:dyDescent="0.3"/>
  <cols>
    <col min="1" max="1" width="11.5546875" style="2"/>
    <col min="2" max="2" width="2.6640625" style="2" customWidth="1"/>
    <col min="3" max="3" width="16.44140625" style="2" bestFit="1" customWidth="1"/>
    <col min="4" max="4" width="21.44140625" style="2" bestFit="1" customWidth="1"/>
    <col min="5" max="7" width="13" style="2" bestFit="1" customWidth="1"/>
    <col min="8" max="8" width="11.6640625" style="2" bestFit="1" customWidth="1"/>
    <col min="9" max="9" width="10" style="2" bestFit="1" customWidth="1"/>
    <col min="10" max="10" width="12.6640625" style="2" bestFit="1" customWidth="1"/>
    <col min="11" max="11" width="15.33203125" style="2" bestFit="1" customWidth="1"/>
    <col min="12" max="12" width="12.33203125" style="2" customWidth="1"/>
    <col min="13" max="13" width="11.88671875" style="2" customWidth="1"/>
    <col min="14" max="14" width="11.5546875" style="2" customWidth="1"/>
    <col min="15" max="15" width="12" style="2" bestFit="1" customWidth="1"/>
    <col min="16" max="16" width="4.33203125" style="2" customWidth="1"/>
    <col min="17" max="17" width="14.5546875" style="2" bestFit="1" customWidth="1"/>
    <col min="18" max="18" width="17.33203125" style="2" bestFit="1" customWidth="1"/>
    <col min="19" max="19" width="10.44140625" style="2" bestFit="1" customWidth="1"/>
    <col min="20" max="20" width="21.33203125" style="2" bestFit="1" customWidth="1"/>
    <col min="21" max="23" width="11.5546875" style="2"/>
    <col min="24" max="24" width="13" style="2" bestFit="1" customWidth="1"/>
    <col min="25" max="16384" width="11.5546875" style="2"/>
  </cols>
  <sheetData>
    <row r="2" spans="2:16" x14ac:dyDescent="0.3">
      <c r="B2" s="11"/>
      <c r="C2" s="11" t="str">
        <f>Localization!$B$51</f>
        <v>Results</v>
      </c>
      <c r="D2" s="11"/>
    </row>
    <row r="3" spans="2:16" x14ac:dyDescent="0.3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16" x14ac:dyDescent="0.3">
      <c r="B4" s="3"/>
      <c r="C4" s="3"/>
      <c r="D4" s="3"/>
      <c r="E4" s="86" t="str">
        <f>Localization!$B$4&amp;" (Inc)"</f>
        <v>Cost (Inc)</v>
      </c>
      <c r="F4" s="86" t="str">
        <f>unitQALE&amp;" (inc)"</f>
        <v>QALY (inc)</v>
      </c>
      <c r="G4" s="86" t="str">
        <f>Localization!$B$13&amp;" "&amp;unitQALE</f>
        <v>ICER QALY</v>
      </c>
      <c r="H4" s="86" t="str">
        <f>unitLE&amp;" (inc)"</f>
        <v>LY (inc)</v>
      </c>
      <c r="I4" s="86" t="str">
        <f>Localization!$B$13&amp;" "&amp;unitLE</f>
        <v>ICER LY</v>
      </c>
      <c r="J4" s="86" t="str">
        <f>Localization!$B$4&amp;" "&amp;intervention1</f>
        <v>Cost A</v>
      </c>
      <c r="K4" s="86" t="str">
        <f>Localization!$B$4&amp;" "&amp;intervention2</f>
        <v>Cost B</v>
      </c>
      <c r="L4" s="86" t="str">
        <f>unitQALE&amp;" "&amp;intervention1</f>
        <v>QALY A</v>
      </c>
      <c r="M4" s="86" t="str">
        <f>unitQALE&amp;" "&amp;intervention2</f>
        <v>QALY B</v>
      </c>
      <c r="N4" s="86" t="str">
        <f>unitLE&amp;" "&amp;intervention1</f>
        <v>LY A</v>
      </c>
      <c r="O4" s="86" t="str">
        <f>unitLE&amp;" "&amp;intervention2</f>
        <v>LY B</v>
      </c>
      <c r="P4" s="3"/>
    </row>
    <row r="5" spans="2:16" x14ac:dyDescent="0.3">
      <c r="B5" s="3"/>
      <c r="C5" s="3"/>
      <c r="D5" s="64" t="str">
        <f>Localization!$B$20</f>
        <v>Base case</v>
      </c>
      <c r="E5" s="65" t="e">
        <f ca="1">J5-K5</f>
        <v>#REF!</v>
      </c>
      <c r="F5" s="66" t="e">
        <f ca="1">L5-M5</f>
        <v>#REF!</v>
      </c>
      <c r="G5" s="84" t="e">
        <f ca="1">E5/F5</f>
        <v>#REF!</v>
      </c>
      <c r="H5" s="66" t="e">
        <f ca="1">N5-O5</f>
        <v>#REF!</v>
      </c>
      <c r="I5" s="84" t="e">
        <f ca="1">E5/H5</f>
        <v>#REF!</v>
      </c>
      <c r="J5" s="65" t="e">
        <f ca="1">Process!G11</f>
        <v>#REF!</v>
      </c>
      <c r="K5" s="65" t="e">
        <f ca="1">Process!J11</f>
        <v>#REF!</v>
      </c>
      <c r="L5" s="2" t="e">
        <f ca="1">Process!I11</f>
        <v>#REF!</v>
      </c>
      <c r="M5" s="2" t="e">
        <f ca="1">Process!L11</f>
        <v>#REF!</v>
      </c>
      <c r="N5" s="2" t="e">
        <f ca="1">Process!H11</f>
        <v>#REF!</v>
      </c>
      <c r="O5" s="2" t="e">
        <f ca="1">Process!K11</f>
        <v>#REF!</v>
      </c>
      <c r="P5" s="3"/>
    </row>
    <row r="6" spans="2:16" x14ac:dyDescent="0.3">
      <c r="B6" s="3"/>
      <c r="C6" s="11" t="s">
        <v>208</v>
      </c>
      <c r="D6" s="11" t="s">
        <v>207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2:16" x14ac:dyDescent="0.3">
      <c r="B7" s="3"/>
      <c r="C7" s="2">
        <v>0.05</v>
      </c>
      <c r="D7" s="2">
        <v>0</v>
      </c>
      <c r="E7" s="47">
        <v>0.63</v>
      </c>
      <c r="F7" s="88">
        <v>2.9412654367177993E-5</v>
      </c>
      <c r="G7" s="68">
        <v>21430.892010211654</v>
      </c>
      <c r="H7" s="88">
        <v>2.4084178882333163E-6</v>
      </c>
      <c r="I7" s="68">
        <v>261723.44199745762</v>
      </c>
      <c r="J7" s="87">
        <v>0.66</v>
      </c>
      <c r="K7" s="87">
        <v>0.03</v>
      </c>
      <c r="L7" s="1">
        <v>30.958100458605987</v>
      </c>
      <c r="M7" s="1">
        <v>30.95807104595162</v>
      </c>
      <c r="N7" s="1">
        <v>30.958101548953294</v>
      </c>
      <c r="O7" s="1">
        <v>30.958099140535406</v>
      </c>
      <c r="P7" s="3"/>
    </row>
    <row r="8" spans="2:16" x14ac:dyDescent="0.3">
      <c r="B8" s="3"/>
      <c r="C8" s="2">
        <v>0.05</v>
      </c>
      <c r="D8" s="2">
        <v>2.5000000000000001E-2</v>
      </c>
      <c r="E8" s="47">
        <v>0.63</v>
      </c>
      <c r="F8" s="88">
        <v>3.7972607596969965E-5</v>
      </c>
      <c r="G8" s="68">
        <v>16576.485223696785</v>
      </c>
      <c r="H8" s="88">
        <v>1.1647040317086521E-5</v>
      </c>
      <c r="I8" s="68">
        <v>54043.976117519356</v>
      </c>
      <c r="J8" s="87">
        <v>0.66</v>
      </c>
      <c r="K8" s="87">
        <v>0.03</v>
      </c>
      <c r="L8" s="1">
        <v>30.958100449717278</v>
      </c>
      <c r="M8" s="1">
        <v>30.958062477109682</v>
      </c>
      <c r="N8" s="1">
        <v>30.958101539359848</v>
      </c>
      <c r="O8" s="1">
        <v>30.958089892319531</v>
      </c>
      <c r="P8" s="3"/>
    </row>
    <row r="9" spans="2:16" x14ac:dyDescent="0.3">
      <c r="B9" s="3"/>
      <c r="C9" s="2">
        <v>0.05</v>
      </c>
      <c r="D9" s="2">
        <v>0.05</v>
      </c>
      <c r="E9" s="47">
        <v>0.63</v>
      </c>
      <c r="F9" s="88">
        <v>4.6532560823209224E-5</v>
      </c>
      <c r="G9" s="68">
        <v>13508.07492379904</v>
      </c>
      <c r="H9" s="88">
        <v>2.0885662753045153E-5</v>
      </c>
      <c r="I9" s="68">
        <v>30095.540918590221</v>
      </c>
      <c r="J9" s="87">
        <v>0.66</v>
      </c>
      <c r="K9" s="87">
        <v>0.03</v>
      </c>
      <c r="L9" s="1">
        <v>30.958100440828566</v>
      </c>
      <c r="M9" s="1">
        <v>30.958053908267743</v>
      </c>
      <c r="N9" s="1">
        <v>30.958101529766406</v>
      </c>
      <c r="O9" s="1">
        <v>30.958080644103653</v>
      </c>
      <c r="P9" s="3"/>
    </row>
    <row r="10" spans="2:16" x14ac:dyDescent="0.3">
      <c r="B10" s="3"/>
      <c r="C10" s="2">
        <v>0.05</v>
      </c>
      <c r="D10" s="2">
        <v>7.4999999999999997E-2</v>
      </c>
      <c r="E10" s="47">
        <v>0.63</v>
      </c>
      <c r="F10" s="88">
        <v>5.5092514049448482E-5</v>
      </c>
      <c r="G10" s="68">
        <v>11393.167984537946</v>
      </c>
      <c r="H10" s="88">
        <v>3.0124285181898358E-5</v>
      </c>
      <c r="I10" s="68">
        <v>20836.287515730146</v>
      </c>
      <c r="J10" s="87">
        <v>0.66</v>
      </c>
      <c r="K10" s="87">
        <v>0.03</v>
      </c>
      <c r="L10" s="1">
        <v>30.958100431939855</v>
      </c>
      <c r="M10" s="1">
        <v>30.958045339425805</v>
      </c>
      <c r="N10" s="1">
        <v>30.95810152017296</v>
      </c>
      <c r="O10" s="1">
        <v>30.958071395887778</v>
      </c>
      <c r="P10" s="3"/>
    </row>
    <row r="11" spans="2:16" x14ac:dyDescent="0.3">
      <c r="B11" s="3"/>
      <c r="C11" s="2">
        <v>0.05</v>
      </c>
      <c r="D11" s="2">
        <v>0.1</v>
      </c>
      <c r="E11" s="47">
        <v>0.63</v>
      </c>
      <c r="F11" s="88">
        <v>6.3652467275687741E-5</v>
      </c>
      <c r="G11" s="68">
        <v>9847.08438403338</v>
      </c>
      <c r="H11" s="88">
        <v>3.9362907610751563E-5</v>
      </c>
      <c r="I11" s="68">
        <v>15923.397293558139</v>
      </c>
      <c r="J11" s="87">
        <v>0.66</v>
      </c>
      <c r="K11" s="87">
        <v>0.03</v>
      </c>
      <c r="L11" s="1">
        <v>30.958100423051146</v>
      </c>
      <c r="M11" s="1">
        <v>30.95803677058387</v>
      </c>
      <c r="N11" s="1">
        <v>30.958101510579514</v>
      </c>
      <c r="O11" s="1">
        <v>30.958062147671903</v>
      </c>
      <c r="P11" s="3"/>
    </row>
    <row r="12" spans="2:16" x14ac:dyDescent="0.3">
      <c r="B12" s="3"/>
      <c r="C12" s="2">
        <v>0.1</v>
      </c>
      <c r="D12" s="2">
        <f>D7</f>
        <v>0</v>
      </c>
      <c r="E12" s="47">
        <v>0.6</v>
      </c>
      <c r="F12" s="88">
        <v>3.1312527323024142E-5</v>
      </c>
      <c r="G12" s="68">
        <v>19248.588787368917</v>
      </c>
      <c r="H12" s="88">
        <v>4.8168357800193462E-6</v>
      </c>
      <c r="I12" s="68">
        <v>125128.19408008229</v>
      </c>
      <c r="J12" s="87">
        <v>0.66</v>
      </c>
      <c r="K12" s="87">
        <v>0.06</v>
      </c>
      <c r="L12" s="1">
        <v>30.958100456633147</v>
      </c>
      <c r="M12" s="1">
        <v>30.958069144105824</v>
      </c>
      <c r="N12" s="1">
        <v>30.958101546452379</v>
      </c>
      <c r="O12" s="1">
        <v>30.958096729616599</v>
      </c>
      <c r="P12" s="3"/>
    </row>
    <row r="13" spans="2:16" x14ac:dyDescent="0.3">
      <c r="B13" s="3"/>
      <c r="C13" s="2">
        <v>0.1</v>
      </c>
      <c r="D13" s="2">
        <f t="shared" ref="D13:D36" si="0">D8</f>
        <v>2.5000000000000001E-2</v>
      </c>
      <c r="E13" s="47">
        <v>0.6</v>
      </c>
      <c r="F13" s="88">
        <v>3.9422448605108684E-5</v>
      </c>
      <c r="G13" s="68">
        <v>15267.482584050784</v>
      </c>
      <c r="H13" s="88">
        <v>1.3569745838992731E-5</v>
      </c>
      <c r="I13" s="68">
        <v>44354.666228871021</v>
      </c>
      <c r="J13" s="87">
        <v>0.66</v>
      </c>
      <c r="K13" s="87">
        <v>0.06</v>
      </c>
      <c r="L13" s="1">
        <v>30.958100448211752</v>
      </c>
      <c r="M13" s="1">
        <v>30.958061025763147</v>
      </c>
      <c r="N13" s="1">
        <v>30.958101537363302</v>
      </c>
      <c r="O13" s="1">
        <v>30.958087967617463</v>
      </c>
      <c r="P13" s="3"/>
    </row>
    <row r="14" spans="2:16" x14ac:dyDescent="0.3">
      <c r="B14" s="3"/>
      <c r="C14" s="2">
        <v>0.1</v>
      </c>
      <c r="D14" s="2">
        <f t="shared" si="0"/>
        <v>0.05</v>
      </c>
      <c r="E14" s="47">
        <v>0.6</v>
      </c>
      <c r="F14" s="88">
        <v>4.753236989074594E-5</v>
      </c>
      <c r="G14" s="68">
        <v>12644.880405618889</v>
      </c>
      <c r="H14" s="88">
        <v>2.2322655894413401E-5</v>
      </c>
      <c r="I14" s="68">
        <v>26925.1622883522</v>
      </c>
      <c r="J14" s="87">
        <v>0.66</v>
      </c>
      <c r="K14" s="87">
        <v>0.06</v>
      </c>
      <c r="L14" s="1">
        <v>30.958100439790357</v>
      </c>
      <c r="M14" s="1">
        <v>30.958052907420466</v>
      </c>
      <c r="N14" s="1">
        <v>30.958101528274224</v>
      </c>
      <c r="O14" s="1">
        <v>30.958079205618329</v>
      </c>
      <c r="P14" s="3"/>
    </row>
    <row r="15" spans="2:16" x14ac:dyDescent="0.3">
      <c r="B15" s="3"/>
      <c r="C15" s="2">
        <v>0.1</v>
      </c>
      <c r="D15" s="2">
        <f t="shared" si="0"/>
        <v>7.4999999999999997E-2</v>
      </c>
      <c r="E15" s="47">
        <v>0.6</v>
      </c>
      <c r="F15" s="88">
        <v>5.5642291176383196E-5</v>
      </c>
      <c r="G15" s="68">
        <v>10786.772168070973</v>
      </c>
      <c r="H15" s="88">
        <v>3.1075565953386786E-5</v>
      </c>
      <c r="I15" s="68">
        <v>19314.23288410611</v>
      </c>
      <c r="J15" s="87">
        <v>0.66</v>
      </c>
      <c r="K15" s="87">
        <v>0.06</v>
      </c>
      <c r="L15" s="1">
        <v>30.958100431368965</v>
      </c>
      <c r="M15" s="1">
        <v>30.958044789077789</v>
      </c>
      <c r="N15" s="1">
        <v>30.958101519185146</v>
      </c>
      <c r="O15" s="1">
        <v>30.958070443619192</v>
      </c>
      <c r="P15" s="3"/>
    </row>
    <row r="16" spans="2:16" x14ac:dyDescent="0.3">
      <c r="B16" s="3"/>
      <c r="C16" s="2">
        <v>0.1</v>
      </c>
      <c r="D16" s="2">
        <f t="shared" si="0"/>
        <v>0.1</v>
      </c>
      <c r="E16" s="47">
        <v>0.6</v>
      </c>
      <c r="F16" s="88">
        <v>6.3752212462020452E-5</v>
      </c>
      <c r="G16" s="68">
        <v>9401.4039646257133</v>
      </c>
      <c r="H16" s="88">
        <v>3.9828476008807456E-5</v>
      </c>
      <c r="I16" s="68">
        <v>15048.537203923157</v>
      </c>
      <c r="J16" s="87">
        <v>0.66</v>
      </c>
      <c r="K16" s="87">
        <v>0.06</v>
      </c>
      <c r="L16" s="1">
        <v>30.95810042294757</v>
      </c>
      <c r="M16" s="1">
        <v>30.958036670735108</v>
      </c>
      <c r="N16" s="1">
        <v>30.958101510096064</v>
      </c>
      <c r="O16" s="1">
        <v>30.958061681620055</v>
      </c>
      <c r="P16" s="3"/>
    </row>
    <row r="17" spans="2:16" x14ac:dyDescent="0.3">
      <c r="B17" s="3"/>
      <c r="C17" s="2">
        <v>0.2</v>
      </c>
      <c r="D17" s="2">
        <f t="shared" si="0"/>
        <v>0</v>
      </c>
      <c r="E17" s="47">
        <v>0.55000000000000004</v>
      </c>
      <c r="F17" s="88">
        <v>3.5112273231163726E-5</v>
      </c>
      <c r="G17" s="68">
        <v>15592.469460597973</v>
      </c>
      <c r="H17" s="88">
        <v>9.6336715600386924E-6</v>
      </c>
      <c r="I17" s="68">
        <v>56830.570217913177</v>
      </c>
      <c r="J17" s="87">
        <v>0.66</v>
      </c>
      <c r="K17" s="87">
        <v>0.11</v>
      </c>
      <c r="L17" s="1">
        <v>30.958100452687468</v>
      </c>
      <c r="M17" s="1">
        <v>30.958065340414237</v>
      </c>
      <c r="N17" s="1">
        <v>30.958101541450546</v>
      </c>
      <c r="O17" s="1">
        <v>30.958091907778986</v>
      </c>
      <c r="P17" s="3"/>
    </row>
    <row r="18" spans="2:16" x14ac:dyDescent="0.3">
      <c r="B18" s="3"/>
      <c r="C18" s="2">
        <v>0.2</v>
      </c>
      <c r="D18" s="2">
        <f t="shared" si="0"/>
        <v>2.5000000000000001E-2</v>
      </c>
      <c r="E18" s="47">
        <v>0.55000000000000004</v>
      </c>
      <c r="F18" s="88">
        <v>4.232213062849155E-5</v>
      </c>
      <c r="G18" s="68">
        <v>12918.534509142</v>
      </c>
      <c r="H18" s="88">
        <v>1.7415156868594295E-5</v>
      </c>
      <c r="I18" s="68">
        <v>31394.486374713608</v>
      </c>
      <c r="J18" s="87">
        <v>0.66</v>
      </c>
      <c r="K18" s="87">
        <v>0.11</v>
      </c>
      <c r="L18" s="1">
        <v>30.958100445200703</v>
      </c>
      <c r="M18" s="1">
        <v>30.958058123070074</v>
      </c>
      <c r="N18" s="1">
        <v>30.958101533370201</v>
      </c>
      <c r="O18" s="1">
        <v>30.958084118213332</v>
      </c>
      <c r="P18" s="3"/>
    </row>
    <row r="19" spans="2:16" x14ac:dyDescent="0.3">
      <c r="B19" s="3"/>
      <c r="C19" s="2">
        <v>0.2</v>
      </c>
      <c r="D19" s="2">
        <f t="shared" si="0"/>
        <v>0.05</v>
      </c>
      <c r="E19" s="47">
        <v>0.55000000000000004</v>
      </c>
      <c r="F19" s="88">
        <v>4.9531988029372087E-5</v>
      </c>
      <c r="G19" s="68">
        <v>11023.033472355393</v>
      </c>
      <c r="H19" s="88">
        <v>2.5196642177149897E-5</v>
      </c>
      <c r="I19" s="68">
        <v>21669.266807909036</v>
      </c>
      <c r="J19" s="87">
        <v>0.66</v>
      </c>
      <c r="K19" s="87">
        <v>0.11</v>
      </c>
      <c r="L19" s="1">
        <v>30.958100437713941</v>
      </c>
      <c r="M19" s="1">
        <v>30.958050905725912</v>
      </c>
      <c r="N19" s="1">
        <v>30.958101525289855</v>
      </c>
      <c r="O19" s="1">
        <v>30.958076328647678</v>
      </c>
      <c r="P19" s="3"/>
    </row>
    <row r="20" spans="2:16" x14ac:dyDescent="0.3">
      <c r="B20" s="3"/>
      <c r="C20" s="2">
        <v>0.2</v>
      </c>
      <c r="D20" s="2">
        <f t="shared" si="0"/>
        <v>7.4999999999999997E-2</v>
      </c>
      <c r="E20" s="47">
        <v>0.55000000000000004</v>
      </c>
      <c r="F20" s="88">
        <v>5.6741845430252624E-5</v>
      </c>
      <c r="G20" s="68">
        <v>9609.2330949261341</v>
      </c>
      <c r="H20" s="88">
        <v>3.2978127492810927E-5</v>
      </c>
      <c r="I20" s="68">
        <v>16533.553007047707</v>
      </c>
      <c r="J20" s="87">
        <v>0.66</v>
      </c>
      <c r="K20" s="87">
        <v>0.11</v>
      </c>
      <c r="L20" s="1">
        <v>30.95810043022718</v>
      </c>
      <c r="M20" s="1">
        <v>30.95804368838175</v>
      </c>
      <c r="N20" s="1">
        <v>30.958101517209514</v>
      </c>
      <c r="O20" s="1">
        <v>30.958068539082021</v>
      </c>
      <c r="P20" s="3"/>
    </row>
    <row r="21" spans="2:16" x14ac:dyDescent="0.3">
      <c r="B21" s="3"/>
      <c r="C21" s="2">
        <v>0.2</v>
      </c>
      <c r="D21" s="2">
        <f t="shared" si="0"/>
        <v>0.1</v>
      </c>
      <c r="E21" s="47">
        <v>0.54</v>
      </c>
      <c r="F21" s="88">
        <v>6.3951702831133161E-5</v>
      </c>
      <c r="G21" s="68">
        <v>8514.2138808848722</v>
      </c>
      <c r="H21" s="88">
        <v>4.0759612801366529E-5</v>
      </c>
      <c r="I21" s="68">
        <v>13358.774495836311</v>
      </c>
      <c r="J21" s="87">
        <v>0.66</v>
      </c>
      <c r="K21" s="87">
        <v>0.11</v>
      </c>
      <c r="L21" s="1">
        <v>30.958100422740419</v>
      </c>
      <c r="M21" s="1">
        <v>30.958036471037587</v>
      </c>
      <c r="N21" s="1">
        <v>30.958101509129168</v>
      </c>
      <c r="O21" s="1">
        <v>30.958060749516367</v>
      </c>
      <c r="P21" s="3"/>
    </row>
    <row r="22" spans="2:16" x14ac:dyDescent="0.3">
      <c r="B22" s="3"/>
      <c r="C22" s="2">
        <v>0.3</v>
      </c>
      <c r="D22" s="2">
        <f t="shared" si="0"/>
        <v>0</v>
      </c>
      <c r="E22" s="47">
        <v>0.49</v>
      </c>
      <c r="F22" s="88">
        <v>3.8912019135750597E-5</v>
      </c>
      <c r="G22" s="68">
        <v>12650.387841523752</v>
      </c>
      <c r="H22" s="88">
        <v>1.4450507336505325E-5</v>
      </c>
      <c r="I22" s="68">
        <v>34064.695605565088</v>
      </c>
      <c r="J22" s="87">
        <v>0.66</v>
      </c>
      <c r="K22" s="87">
        <v>0.17</v>
      </c>
      <c r="L22" s="1">
        <v>30.958100448741785</v>
      </c>
      <c r="M22" s="1">
        <v>30.958061536722649</v>
      </c>
      <c r="N22" s="1">
        <v>30.958101536448712</v>
      </c>
      <c r="O22" s="1">
        <v>30.958087085941376</v>
      </c>
      <c r="P22" s="3"/>
    </row>
    <row r="23" spans="2:16" x14ac:dyDescent="0.3">
      <c r="B23" s="3"/>
      <c r="C23" s="2">
        <v>0.3</v>
      </c>
      <c r="D23" s="2">
        <f t="shared" si="0"/>
        <v>2.5000000000000001E-2</v>
      </c>
      <c r="E23" s="47">
        <v>0.49</v>
      </c>
      <c r="F23" s="88">
        <v>4.5221812651874416E-5</v>
      </c>
      <c r="G23" s="68">
        <v>10870.821705764973</v>
      </c>
      <c r="H23" s="88">
        <v>2.1260567901748573E-5</v>
      </c>
      <c r="I23" s="68">
        <v>23122.536746048165</v>
      </c>
      <c r="J23" s="87">
        <v>0.66</v>
      </c>
      <c r="K23" s="87">
        <v>0.17</v>
      </c>
      <c r="L23" s="1">
        <v>30.958100442189657</v>
      </c>
      <c r="M23" s="1">
        <v>30.958055220377005</v>
      </c>
      <c r="N23" s="1">
        <v>30.9581015293771</v>
      </c>
      <c r="O23" s="1">
        <v>30.958080268809198</v>
      </c>
      <c r="P23" s="3"/>
    </row>
    <row r="24" spans="2:16" x14ac:dyDescent="0.3">
      <c r="B24" s="3"/>
      <c r="C24" s="2">
        <v>0.3</v>
      </c>
      <c r="D24" s="2">
        <f t="shared" si="0"/>
        <v>0.05</v>
      </c>
      <c r="E24" s="47">
        <v>0.49</v>
      </c>
      <c r="F24" s="88">
        <v>5.1531606167998234E-5</v>
      </c>
      <c r="G24" s="68">
        <v>9527.0539353168951</v>
      </c>
      <c r="H24" s="88">
        <v>2.807062846699182E-5</v>
      </c>
      <c r="I24" s="68">
        <v>17489.611674114392</v>
      </c>
      <c r="J24" s="87">
        <v>0.66</v>
      </c>
      <c r="K24" s="87">
        <v>0.17</v>
      </c>
      <c r="L24" s="1">
        <v>30.958100435637526</v>
      </c>
      <c r="M24" s="1">
        <v>30.958048904031358</v>
      </c>
      <c r="N24" s="1">
        <v>30.958101522305491</v>
      </c>
      <c r="O24" s="1">
        <v>30.958073451677024</v>
      </c>
      <c r="P24" s="3"/>
    </row>
    <row r="25" spans="2:16" x14ac:dyDescent="0.3">
      <c r="B25" s="3"/>
      <c r="C25" s="2">
        <v>0.3</v>
      </c>
      <c r="D25" s="2">
        <f t="shared" si="0"/>
        <v>7.4999999999999997E-2</v>
      </c>
      <c r="E25" s="47">
        <v>0.49</v>
      </c>
      <c r="F25" s="88">
        <v>5.7841399680569339E-5</v>
      </c>
      <c r="G25" s="68">
        <v>8476.463619996488</v>
      </c>
      <c r="H25" s="88">
        <v>3.4880689032235068E-5</v>
      </c>
      <c r="I25" s="68">
        <v>14056.216597926703</v>
      </c>
      <c r="J25" s="87">
        <v>0.66</v>
      </c>
      <c r="K25" s="87">
        <v>0.17</v>
      </c>
      <c r="L25" s="1">
        <v>30.958100429085395</v>
      </c>
      <c r="M25" s="1">
        <v>30.958042587685714</v>
      </c>
      <c r="N25" s="1">
        <v>30.958101515233881</v>
      </c>
      <c r="O25" s="1">
        <v>30.958066634544849</v>
      </c>
      <c r="P25" s="3"/>
    </row>
    <row r="26" spans="2:16" x14ac:dyDescent="0.3">
      <c r="B26" s="3"/>
      <c r="C26" s="2">
        <v>0.3</v>
      </c>
      <c r="D26" s="2">
        <f t="shared" si="0"/>
        <v>0.1</v>
      </c>
      <c r="E26" s="47">
        <v>0.49</v>
      </c>
      <c r="F26" s="88">
        <v>6.4151193196693157E-5</v>
      </c>
      <c r="G26" s="68">
        <v>7632.5415710780044</v>
      </c>
      <c r="H26" s="88">
        <v>4.1690749593925602E-5</v>
      </c>
      <c r="I26" s="68">
        <v>11744.491372238546</v>
      </c>
      <c r="J26" s="87">
        <v>0.66</v>
      </c>
      <c r="K26" s="87">
        <v>0.17</v>
      </c>
      <c r="L26" s="1">
        <v>30.958100422533267</v>
      </c>
      <c r="M26" s="1">
        <v>30.95803627134007</v>
      </c>
      <c r="N26" s="1">
        <v>30.958101508162269</v>
      </c>
      <c r="O26" s="1">
        <v>30.958059817412675</v>
      </c>
      <c r="P26" s="3"/>
    </row>
    <row r="27" spans="2:16" x14ac:dyDescent="0.3">
      <c r="B27" s="3"/>
      <c r="C27" s="2">
        <v>0.4</v>
      </c>
      <c r="D27" s="2">
        <f t="shared" si="0"/>
        <v>0</v>
      </c>
      <c r="E27" s="47">
        <v>0.44</v>
      </c>
      <c r="F27" s="88">
        <v>4.2711765043890182E-5</v>
      </c>
      <c r="G27" s="68">
        <v>10231.776163544429</v>
      </c>
      <c r="H27" s="88">
        <v>1.9267343116524671E-5</v>
      </c>
      <c r="I27" s="68">
        <v>22681.758291010927</v>
      </c>
      <c r="J27" s="87">
        <v>0.66</v>
      </c>
      <c r="K27" s="87">
        <v>0.22</v>
      </c>
      <c r="L27" s="1">
        <v>30.958100444796106</v>
      </c>
      <c r="M27" s="1">
        <v>30.958057733031062</v>
      </c>
      <c r="N27" s="1">
        <v>30.958101531446879</v>
      </c>
      <c r="O27" s="1">
        <v>30.958082264103762</v>
      </c>
      <c r="P27" s="3"/>
    </row>
    <row r="28" spans="2:16" x14ac:dyDescent="0.3">
      <c r="B28" s="3"/>
      <c r="C28" s="2">
        <v>0.4</v>
      </c>
      <c r="D28" s="2">
        <f t="shared" si="0"/>
        <v>2.5000000000000001E-2</v>
      </c>
      <c r="E28" s="47">
        <v>0.44</v>
      </c>
      <c r="F28" s="88">
        <v>4.8121494675257281E-5</v>
      </c>
      <c r="G28" s="68">
        <v>9069.8891009280487</v>
      </c>
      <c r="H28" s="88">
        <v>2.5105978934902851E-5</v>
      </c>
      <c r="I28" s="68">
        <v>17384.568879276489</v>
      </c>
      <c r="J28" s="87">
        <v>0.66</v>
      </c>
      <c r="K28" s="87">
        <v>0.22</v>
      </c>
      <c r="L28" s="1">
        <v>30.958100439178608</v>
      </c>
      <c r="M28" s="1">
        <v>30.958052317683933</v>
      </c>
      <c r="N28" s="1">
        <v>30.958101525384002</v>
      </c>
      <c r="O28" s="1">
        <v>30.958076419405067</v>
      </c>
      <c r="P28" s="3"/>
    </row>
    <row r="29" spans="2:16" x14ac:dyDescent="0.3">
      <c r="B29" s="3"/>
      <c r="C29" s="2">
        <v>0.4</v>
      </c>
      <c r="D29" s="2">
        <f t="shared" si="0"/>
        <v>0.05</v>
      </c>
      <c r="E29" s="47">
        <v>0.44</v>
      </c>
      <c r="F29" s="88">
        <v>5.3531224306624381E-5</v>
      </c>
      <c r="G29" s="68">
        <v>8142.8367521577366</v>
      </c>
      <c r="H29" s="88">
        <v>3.094461475328103E-5</v>
      </c>
      <c r="I29" s="68">
        <v>14086.328886216394</v>
      </c>
      <c r="J29" s="87">
        <v>0.66</v>
      </c>
      <c r="K29" s="87">
        <v>0.22</v>
      </c>
      <c r="L29" s="1">
        <v>30.958100433561111</v>
      </c>
      <c r="M29" s="1">
        <v>30.958046902336804</v>
      </c>
      <c r="N29" s="1">
        <v>30.958101519321126</v>
      </c>
      <c r="O29" s="1">
        <v>30.958070574706372</v>
      </c>
      <c r="P29" s="3"/>
    </row>
    <row r="30" spans="2:16" x14ac:dyDescent="0.3">
      <c r="B30" s="3"/>
      <c r="C30" s="2">
        <v>0.4</v>
      </c>
      <c r="D30" s="2">
        <f t="shared" si="0"/>
        <v>7.4999999999999997E-2</v>
      </c>
      <c r="E30" s="47">
        <v>0.44</v>
      </c>
      <c r="F30" s="88">
        <v>5.8940953934438767E-5</v>
      </c>
      <c r="G30" s="68">
        <v>7385.9581871157097</v>
      </c>
      <c r="H30" s="88">
        <v>3.678325057165921E-5</v>
      </c>
      <c r="I30" s="68">
        <v>11835.153622988815</v>
      </c>
      <c r="J30" s="87">
        <v>0.66</v>
      </c>
      <c r="K30" s="87">
        <v>0.22</v>
      </c>
      <c r="L30" s="1">
        <v>30.958100427943613</v>
      </c>
      <c r="M30" s="1">
        <v>30.958041486989679</v>
      </c>
      <c r="N30" s="1">
        <v>30.958101513258249</v>
      </c>
      <c r="O30" s="1">
        <v>30.958064730007678</v>
      </c>
      <c r="P30" s="3"/>
    </row>
    <row r="31" spans="2:16" x14ac:dyDescent="0.3">
      <c r="B31" s="3"/>
      <c r="C31" s="2">
        <v>0.4</v>
      </c>
      <c r="D31" s="2">
        <f t="shared" si="0"/>
        <v>0.1</v>
      </c>
      <c r="E31" s="47">
        <v>0.43</v>
      </c>
      <c r="F31" s="88">
        <v>6.4350683562253153E-5</v>
      </c>
      <c r="G31" s="68">
        <v>6756.3357185533578</v>
      </c>
      <c r="H31" s="88">
        <v>4.2621886386484675E-5</v>
      </c>
      <c r="I31" s="68">
        <v>10200.740950847303</v>
      </c>
      <c r="J31" s="87">
        <v>0.66</v>
      </c>
      <c r="K31" s="87">
        <v>0.22</v>
      </c>
      <c r="L31" s="1">
        <v>30.958100422326112</v>
      </c>
      <c r="M31" s="1">
        <v>30.95803607164255</v>
      </c>
      <c r="N31" s="1">
        <v>30.958101507195369</v>
      </c>
      <c r="O31" s="1">
        <v>30.958058885308983</v>
      </c>
      <c r="P31" s="3"/>
    </row>
    <row r="32" spans="2:16" x14ac:dyDescent="0.3">
      <c r="B32" s="3"/>
      <c r="C32" s="2">
        <v>0.5</v>
      </c>
      <c r="D32" s="2">
        <f t="shared" si="0"/>
        <v>0</v>
      </c>
      <c r="E32" s="47">
        <v>0.38</v>
      </c>
      <c r="F32" s="88">
        <v>4.6511510952029766E-5</v>
      </c>
      <c r="G32" s="68">
        <v>8208.3402017984026</v>
      </c>
      <c r="H32" s="88">
        <v>2.4084178896544017E-5</v>
      </c>
      <c r="I32" s="68">
        <v>15851.995902950084</v>
      </c>
      <c r="J32" s="87">
        <v>0.66</v>
      </c>
      <c r="K32" s="87">
        <v>0.28000000000000003</v>
      </c>
      <c r="L32" s="1">
        <v>30.958100440850426</v>
      </c>
      <c r="M32" s="1">
        <v>30.958053929339474</v>
      </c>
      <c r="N32" s="1">
        <v>30.958101526445045</v>
      </c>
      <c r="O32" s="1">
        <v>30.958077442266148</v>
      </c>
      <c r="P32" s="3"/>
    </row>
    <row r="33" spans="2:16" x14ac:dyDescent="0.3">
      <c r="B33" s="3"/>
      <c r="C33" s="2">
        <v>0.5</v>
      </c>
      <c r="D33" s="2">
        <f t="shared" si="0"/>
        <v>2.5000000000000001E-2</v>
      </c>
      <c r="E33" s="47">
        <v>0.38</v>
      </c>
      <c r="F33" s="88">
        <v>5.1021176695087433E-5</v>
      </c>
      <c r="G33" s="68">
        <v>7473.6609835509316</v>
      </c>
      <c r="H33" s="88">
        <v>2.8951389964504415E-5</v>
      </c>
      <c r="I33" s="68">
        <v>13170.869449392265</v>
      </c>
      <c r="J33" s="87">
        <v>0.66</v>
      </c>
      <c r="K33" s="87">
        <v>0.28000000000000003</v>
      </c>
      <c r="L33" s="1">
        <v>30.958100436167559</v>
      </c>
      <c r="M33" s="1">
        <v>30.958049414990864</v>
      </c>
      <c r="N33" s="1">
        <v>30.958101521390901</v>
      </c>
      <c r="O33" s="1">
        <v>30.958072570000937</v>
      </c>
      <c r="P33" s="3"/>
    </row>
    <row r="34" spans="2:16" x14ac:dyDescent="0.3">
      <c r="B34" s="3"/>
      <c r="C34" s="2">
        <v>0.5</v>
      </c>
      <c r="D34" s="2">
        <f t="shared" si="0"/>
        <v>0.05</v>
      </c>
      <c r="E34" s="47">
        <v>0.38</v>
      </c>
      <c r="F34" s="88">
        <v>5.5530842441697814E-5</v>
      </c>
      <c r="G34" s="68">
        <v>6858.3085230120114</v>
      </c>
      <c r="H34" s="88">
        <v>3.3818601036017526E-5</v>
      </c>
      <c r="I34" s="68">
        <v>11261.484459464258</v>
      </c>
      <c r="J34" s="87">
        <v>0.66</v>
      </c>
      <c r="K34" s="87">
        <v>0.28000000000000003</v>
      </c>
      <c r="L34" s="1">
        <v>30.958100431484691</v>
      </c>
      <c r="M34" s="1">
        <v>30.95804490064225</v>
      </c>
      <c r="N34" s="1">
        <v>30.958101516336757</v>
      </c>
      <c r="O34" s="1">
        <v>30.958067697735721</v>
      </c>
      <c r="P34" s="3"/>
    </row>
    <row r="35" spans="2:16" x14ac:dyDescent="0.3">
      <c r="B35" s="3"/>
      <c r="C35" s="2">
        <v>0.5</v>
      </c>
      <c r="D35" s="2">
        <f t="shared" si="0"/>
        <v>7.4999999999999997E-2</v>
      </c>
      <c r="E35" s="47">
        <v>0.38</v>
      </c>
      <c r="F35" s="88">
        <v>6.0040508188308195E-5</v>
      </c>
      <c r="G35" s="68">
        <v>6335.3947841668278</v>
      </c>
      <c r="H35" s="88">
        <v>3.8685812107530637E-5</v>
      </c>
      <c r="I35" s="68">
        <v>9832.5536338136753</v>
      </c>
      <c r="J35" s="87">
        <v>0.66</v>
      </c>
      <c r="K35" s="87">
        <v>0.28000000000000003</v>
      </c>
      <c r="L35" s="1">
        <v>30.958100426801828</v>
      </c>
      <c r="M35" s="1">
        <v>30.958040386293639</v>
      </c>
      <c r="N35" s="1">
        <v>30.958101511282614</v>
      </c>
      <c r="O35" s="1">
        <v>30.958062825470506</v>
      </c>
      <c r="P35" s="3"/>
    </row>
    <row r="36" spans="2:16" x14ac:dyDescent="0.3">
      <c r="B36" s="3"/>
      <c r="C36" s="2">
        <v>0.5</v>
      </c>
      <c r="D36" s="2">
        <f t="shared" si="0"/>
        <v>0.1</v>
      </c>
      <c r="E36" s="47">
        <v>0.38</v>
      </c>
      <c r="F36" s="88">
        <v>6.4550173931365862E-5</v>
      </c>
      <c r="G36" s="68">
        <v>5885.5456412229532</v>
      </c>
      <c r="H36" s="88">
        <v>4.3553023179043748E-5</v>
      </c>
      <c r="I36" s="68">
        <v>8722.9993945571896</v>
      </c>
      <c r="J36" s="87">
        <v>0.66</v>
      </c>
      <c r="K36" s="87">
        <v>0.28000000000000003</v>
      </c>
      <c r="L36" s="1">
        <v>30.95810042211896</v>
      </c>
      <c r="M36" s="1">
        <v>30.958035871945029</v>
      </c>
      <c r="N36" s="1">
        <v>30.958101506228473</v>
      </c>
      <c r="O36" s="1">
        <v>30.958057953205294</v>
      </c>
      <c r="P36" s="3"/>
    </row>
    <row r="37" spans="2:16" x14ac:dyDescent="0.3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</row>
    <row r="38" spans="2:16" x14ac:dyDescent="0.3">
      <c r="B38" s="3"/>
      <c r="C38" s="3"/>
      <c r="D38" s="82" t="str">
        <f>D6</f>
        <v>pUndetectedSuddenDeath</v>
      </c>
      <c r="E38" s="82"/>
      <c r="F38" s="82"/>
      <c r="G38" s="82"/>
      <c r="H38" s="82"/>
      <c r="I38" s="3"/>
      <c r="J38" s="3"/>
      <c r="K38" s="82" t="str">
        <f>D6</f>
        <v>pUndetectedSuddenDeath</v>
      </c>
      <c r="L38" s="82"/>
      <c r="M38" s="82"/>
      <c r="N38" s="82"/>
      <c r="O38" s="82"/>
      <c r="P38" s="3"/>
    </row>
    <row r="39" spans="2:16" x14ac:dyDescent="0.3">
      <c r="B39" s="3"/>
      <c r="C39" s="82" t="str">
        <f>C6</f>
        <v>RRClinicallyDetected</v>
      </c>
      <c r="D39" s="92">
        <f>D7</f>
        <v>0</v>
      </c>
      <c r="E39" s="92">
        <f>D8</f>
        <v>2.5000000000000001E-2</v>
      </c>
      <c r="F39" s="92">
        <f>D9</f>
        <v>0.05</v>
      </c>
      <c r="G39" s="92">
        <f>D10</f>
        <v>7.4999999999999997E-2</v>
      </c>
      <c r="H39" s="92">
        <f>D11</f>
        <v>0.1</v>
      </c>
      <c r="I39" s="3"/>
      <c r="J39" s="82" t="str">
        <f>C6</f>
        <v>RRClinicallyDetected</v>
      </c>
      <c r="K39" s="92">
        <f>D7</f>
        <v>0</v>
      </c>
      <c r="L39" s="92">
        <f>D8</f>
        <v>2.5000000000000001E-2</v>
      </c>
      <c r="M39" s="92">
        <f>D9</f>
        <v>0.05</v>
      </c>
      <c r="N39" s="92">
        <f>D10</f>
        <v>7.4999999999999997E-2</v>
      </c>
      <c r="O39" s="92">
        <f>D11</f>
        <v>0.1</v>
      </c>
      <c r="P39" s="3"/>
    </row>
    <row r="40" spans="2:16" x14ac:dyDescent="0.3">
      <c r="B40" s="3"/>
      <c r="C40" s="83">
        <f>C7</f>
        <v>0.05</v>
      </c>
      <c r="D40" s="81">
        <f>VLOOKUP(D$39,$D$7:$G$11,4)</f>
        <v>21430.892010211654</v>
      </c>
      <c r="E40" s="81">
        <f>VLOOKUP(E$39,$D$7:$G$11,4)</f>
        <v>16576.485223696785</v>
      </c>
      <c r="F40" s="81">
        <f>VLOOKUP(F$39,$D$7:$G$11,4)</f>
        <v>13508.07492379904</v>
      </c>
      <c r="G40" s="81">
        <f>VLOOKUP(G$39,$D$7:$G$11,4)</f>
        <v>11393.167984537946</v>
      </c>
      <c r="H40" s="81">
        <f>VLOOKUP(H$39,$D$7:$G$11,4)</f>
        <v>9847.08438403338</v>
      </c>
      <c r="I40" s="3"/>
      <c r="J40" s="83">
        <f>C7</f>
        <v>0.05</v>
      </c>
      <c r="K40" s="81">
        <f>VLOOKUP(K$39,$D$7:$I$11,6)</f>
        <v>261723.44199745762</v>
      </c>
      <c r="L40" s="81">
        <f>VLOOKUP(L$39,$D$7:$I$11,6)</f>
        <v>54043.976117519356</v>
      </c>
      <c r="M40" s="81">
        <f>VLOOKUP(M$39,$D$7:$I$11,6)</f>
        <v>30095.540918590221</v>
      </c>
      <c r="N40" s="81">
        <f>VLOOKUP(N$39,$D$7:$I$11,6)</f>
        <v>20836.287515730146</v>
      </c>
      <c r="O40" s="81">
        <f>VLOOKUP(O$39,$D$7:$I$11,6)</f>
        <v>15923.397293558139</v>
      </c>
      <c r="P40" s="3"/>
    </row>
    <row r="41" spans="2:16" x14ac:dyDescent="0.3">
      <c r="B41" s="3"/>
      <c r="C41" s="83">
        <f>C12</f>
        <v>0.1</v>
      </c>
      <c r="D41" s="81">
        <f>VLOOKUP(D$39,$D$12:$G$16,4)</f>
        <v>19248.588787368917</v>
      </c>
      <c r="E41" s="81">
        <f>VLOOKUP(E$39,$D$12:$G$16,4)</f>
        <v>15267.482584050784</v>
      </c>
      <c r="F41" s="81">
        <f>VLOOKUP(F$39,$D$12:$G$16,4)</f>
        <v>12644.880405618889</v>
      </c>
      <c r="G41" s="81">
        <f>VLOOKUP(G$39,$D$12:$G$16,4)</f>
        <v>10786.772168070973</v>
      </c>
      <c r="H41" s="81">
        <f>VLOOKUP(H$39,$D$12:$G$16,4)</f>
        <v>9401.4039646257133</v>
      </c>
      <c r="I41" s="3"/>
      <c r="J41" s="83">
        <f>C12</f>
        <v>0.1</v>
      </c>
      <c r="K41" s="81">
        <f>VLOOKUP(K$39,$D$12:$I$16,6)</f>
        <v>125128.19408008229</v>
      </c>
      <c r="L41" s="81">
        <f>VLOOKUP(L$39,$D$12:$I$16,6)</f>
        <v>44354.666228871021</v>
      </c>
      <c r="M41" s="81">
        <f>VLOOKUP(M$39,$D$12:$I$16,6)</f>
        <v>26925.1622883522</v>
      </c>
      <c r="N41" s="81">
        <f>VLOOKUP(N$39,$D$12:$I$16,6)</f>
        <v>19314.23288410611</v>
      </c>
      <c r="O41" s="81">
        <f>VLOOKUP(O$39,$D$12:$I$16,6)</f>
        <v>15048.537203923157</v>
      </c>
      <c r="P41" s="3"/>
    </row>
    <row r="42" spans="2:16" x14ac:dyDescent="0.3">
      <c r="B42" s="3"/>
      <c r="C42" s="83">
        <f>C17</f>
        <v>0.2</v>
      </c>
      <c r="D42" s="81">
        <f>VLOOKUP(D$39,$D$17:$G$21,4)</f>
        <v>15592.469460597973</v>
      </c>
      <c r="E42" s="81">
        <f>VLOOKUP(E$39,$D$17:$G$21,4)</f>
        <v>12918.534509142</v>
      </c>
      <c r="F42" s="81">
        <f>VLOOKUP(F$39,$D$17:$G$21,4)</f>
        <v>11023.033472355393</v>
      </c>
      <c r="G42" s="81">
        <f>VLOOKUP(G$39,$D$17:$G$21,4)</f>
        <v>9609.2330949261341</v>
      </c>
      <c r="H42" s="81">
        <f>VLOOKUP(H$39,$D$17:$G$21,4)</f>
        <v>8514.2138808848722</v>
      </c>
      <c r="I42" s="3"/>
      <c r="J42" s="83">
        <f>C17</f>
        <v>0.2</v>
      </c>
      <c r="K42" s="81">
        <f>VLOOKUP(K$39,$D$17:$I$21,6)</f>
        <v>56830.570217913177</v>
      </c>
      <c r="L42" s="81">
        <f>VLOOKUP(L$39,$D$17:$I$21,6)</f>
        <v>31394.486374713608</v>
      </c>
      <c r="M42" s="81">
        <f>VLOOKUP(M$39,$D$17:$I$21,6)</f>
        <v>21669.266807909036</v>
      </c>
      <c r="N42" s="81">
        <f>VLOOKUP(N$39,$D$17:$I$21,6)</f>
        <v>16533.553007047707</v>
      </c>
      <c r="O42" s="81">
        <f>VLOOKUP(O$39,$D$17:$I$21,6)</f>
        <v>13358.774495836311</v>
      </c>
      <c r="P42" s="3"/>
    </row>
    <row r="43" spans="2:16" x14ac:dyDescent="0.3">
      <c r="B43" s="3"/>
      <c r="C43" s="83">
        <f>C22</f>
        <v>0.3</v>
      </c>
      <c r="D43" s="81">
        <f>VLOOKUP(D$39,$D$22:$G$26,4)</f>
        <v>12650.387841523752</v>
      </c>
      <c r="E43" s="81">
        <f>VLOOKUP(E$39,$D$22:$G$26,4)</f>
        <v>10870.821705764973</v>
      </c>
      <c r="F43" s="81">
        <f>VLOOKUP(F$39,$D$22:$G$26,4)</f>
        <v>9527.0539353168951</v>
      </c>
      <c r="G43" s="81">
        <f>VLOOKUP(G$39,$D$22:$G$26,4)</f>
        <v>8476.463619996488</v>
      </c>
      <c r="H43" s="81">
        <f>VLOOKUP(H$39,$D$22:$G$26,4)</f>
        <v>7632.5415710780044</v>
      </c>
      <c r="I43" s="3"/>
      <c r="J43" s="83">
        <f>C22</f>
        <v>0.3</v>
      </c>
      <c r="K43" s="81">
        <f>VLOOKUP(K$39,$D$22:$I$26,6)</f>
        <v>34064.695605565088</v>
      </c>
      <c r="L43" s="81">
        <f>VLOOKUP(L$39,$D$22:$I$26,6)</f>
        <v>23122.536746048165</v>
      </c>
      <c r="M43" s="81">
        <f>VLOOKUP(M$39,$D$22:$I$26,6)</f>
        <v>17489.611674114392</v>
      </c>
      <c r="N43" s="81">
        <f>VLOOKUP(N$39,$D$22:$I$26,6)</f>
        <v>14056.216597926703</v>
      </c>
      <c r="O43" s="81">
        <f>VLOOKUP(O$39,$D$22:$I$26,6)</f>
        <v>11744.491372238546</v>
      </c>
      <c r="P43" s="3"/>
    </row>
    <row r="44" spans="2:16" x14ac:dyDescent="0.3">
      <c r="B44" s="3"/>
      <c r="C44" s="83">
        <f>C27</f>
        <v>0.4</v>
      </c>
      <c r="D44" s="81">
        <f>VLOOKUP(D$39,$D$27:$G$31,4)</f>
        <v>10231.776163544429</v>
      </c>
      <c r="E44" s="81">
        <f>VLOOKUP(E$39,$D$27:$G$31,4)</f>
        <v>9069.8891009280487</v>
      </c>
      <c r="F44" s="81">
        <f>VLOOKUP(F$39,$D$27:$G$31,4)</f>
        <v>8142.8367521577366</v>
      </c>
      <c r="G44" s="81">
        <f>VLOOKUP(G$39,$D$27:$G$31,4)</f>
        <v>7385.9581871157097</v>
      </c>
      <c r="H44" s="81">
        <f>VLOOKUP(H$39,$D$27:$G$31,4)</f>
        <v>6756.3357185533578</v>
      </c>
      <c r="I44" s="3"/>
      <c r="J44" s="83">
        <f>C27</f>
        <v>0.4</v>
      </c>
      <c r="K44" s="81">
        <f>VLOOKUP(K$39,$D$27:$I$31,6)</f>
        <v>22681.758291010927</v>
      </c>
      <c r="L44" s="81">
        <f>VLOOKUP(L$39,$D$27:$I$31,6)</f>
        <v>17384.568879276489</v>
      </c>
      <c r="M44" s="81">
        <f>VLOOKUP(M$39,$D$27:$I$31,6)</f>
        <v>14086.328886216394</v>
      </c>
      <c r="N44" s="81">
        <f>VLOOKUP(N$39,$D$27:$I$31,6)</f>
        <v>11835.153622988815</v>
      </c>
      <c r="O44" s="81">
        <f>VLOOKUP(O$39,$D$27:$I$31,6)</f>
        <v>10200.740950847303</v>
      </c>
      <c r="P44" s="3"/>
    </row>
    <row r="45" spans="2:16" x14ac:dyDescent="0.3">
      <c r="B45" s="3"/>
      <c r="C45" s="83">
        <f>C32</f>
        <v>0.5</v>
      </c>
      <c r="D45" s="81">
        <f>VLOOKUP(D$39,$D$32:$G$36,4)</f>
        <v>8208.3402017984026</v>
      </c>
      <c r="E45" s="81">
        <f>VLOOKUP(E$39,$D$32:$G$36,4)</f>
        <v>7473.6609835509316</v>
      </c>
      <c r="F45" s="81">
        <f>VLOOKUP(F$39,$D$32:$G$36,4)</f>
        <v>6858.3085230120114</v>
      </c>
      <c r="G45" s="81">
        <f>VLOOKUP(G$39,$D$32:$G$36,4)</f>
        <v>6335.3947841668278</v>
      </c>
      <c r="H45" s="81">
        <f>VLOOKUP(H$39,$D$32:$G$36,4)</f>
        <v>5885.5456412229532</v>
      </c>
      <c r="I45" s="3"/>
      <c r="J45" s="83">
        <f>C32</f>
        <v>0.5</v>
      </c>
      <c r="K45" s="81">
        <f>VLOOKUP(K$39,$D$32:$I$36,6)</f>
        <v>15851.995902950084</v>
      </c>
      <c r="L45" s="81">
        <f>VLOOKUP(L$39,$D$32:$I$36,6)</f>
        <v>13170.869449392265</v>
      </c>
      <c r="M45" s="81">
        <f>VLOOKUP(M$39,$D$32:$I$36,6)</f>
        <v>11261.484459464258</v>
      </c>
      <c r="N45" s="81">
        <f>VLOOKUP(N$39,$D$32:$I$36,6)</f>
        <v>9832.5536338136753</v>
      </c>
      <c r="O45" s="81">
        <f>VLOOKUP(O$39,$D$32:$I$36,6)</f>
        <v>8722.9993945571896</v>
      </c>
      <c r="P45" s="3"/>
    </row>
    <row r="46" spans="2:16" x14ac:dyDescent="0.3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2:16" x14ac:dyDescent="0.3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2:16" x14ac:dyDescent="0.3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TwoWaySensitivity">
                <anchor moveWithCells="1">
                  <from>
                    <xdr:col>2</xdr:col>
                    <xdr:colOff>22860</xdr:colOff>
                    <xdr:row>2</xdr:row>
                    <xdr:rowOff>114300</xdr:rowOff>
                  </from>
                  <to>
                    <xdr:col>2</xdr:col>
                    <xdr:colOff>914400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BI">
    <tabColor theme="4" tint="-0.249977111117893"/>
  </sheetPr>
  <dimension ref="B2:Y52"/>
  <sheetViews>
    <sheetView zoomScaleNormal="100" workbookViewId="0">
      <selection activeCell="C4" sqref="C4"/>
    </sheetView>
  </sheetViews>
  <sheetFormatPr baseColWidth="10" defaultColWidth="11.5546875" defaultRowHeight="14.4" x14ac:dyDescent="0.3"/>
  <cols>
    <col min="1" max="1" width="2.6640625" style="33" customWidth="1"/>
    <col min="2" max="2" width="11.5546875" style="33"/>
    <col min="3" max="3" width="15" style="33" bestFit="1" customWidth="1"/>
    <col min="4" max="4" width="4.33203125" style="33" bestFit="1" customWidth="1"/>
    <col min="5" max="5" width="27.33203125" style="33" bestFit="1" customWidth="1"/>
    <col min="6" max="15" width="13" style="33" bestFit="1" customWidth="1"/>
    <col min="16" max="22" width="11.5546875" style="33"/>
    <col min="23" max="25" width="13" style="33" bestFit="1" customWidth="1"/>
    <col min="26" max="16384" width="11.5546875" style="33"/>
  </cols>
  <sheetData>
    <row r="2" spans="2:25" x14ac:dyDescent="0.3">
      <c r="B2" s="34" t="str">
        <f>Localization!$B$12</f>
        <v>Years</v>
      </c>
      <c r="C2" s="36">
        <v>10</v>
      </c>
    </row>
    <row r="3" spans="2:25" x14ac:dyDescent="0.3">
      <c r="E3" s="34" t="str">
        <f>Localization!$B$11</f>
        <v>Year</v>
      </c>
      <c r="F3" s="35">
        <v>1</v>
      </c>
      <c r="G3" s="35">
        <v>2</v>
      </c>
      <c r="H3" s="35">
        <v>3</v>
      </c>
      <c r="I3" s="35">
        <v>4</v>
      </c>
      <c r="J3" s="35">
        <v>5</v>
      </c>
      <c r="K3" s="35">
        <v>6</v>
      </c>
      <c r="L3" s="35">
        <v>7</v>
      </c>
      <c r="M3" s="35">
        <v>8</v>
      </c>
      <c r="N3" s="35">
        <v>9</v>
      </c>
      <c r="O3" s="35">
        <v>10</v>
      </c>
      <c r="P3" s="35">
        <v>11</v>
      </c>
      <c r="Q3" s="35">
        <v>12</v>
      </c>
      <c r="R3" s="35">
        <v>13</v>
      </c>
      <c r="S3" s="35">
        <v>14</v>
      </c>
      <c r="T3" s="35">
        <v>15</v>
      </c>
      <c r="U3" s="35">
        <v>16</v>
      </c>
      <c r="V3" s="35">
        <v>17</v>
      </c>
      <c r="W3" s="35">
        <v>18</v>
      </c>
      <c r="X3" s="35">
        <v>19</v>
      </c>
      <c r="Y3" s="35">
        <v>20</v>
      </c>
    </row>
    <row r="4" spans="2:25" x14ac:dyDescent="0.3">
      <c r="B4" s="34" t="str">
        <f>Localization!$B$4&amp;" "&amp;intervention1</f>
        <v>Cost A</v>
      </c>
      <c r="C4" s="95"/>
      <c r="E4" s="97" t="str">
        <f>$B$4</f>
        <v>Cost A</v>
      </c>
      <c r="F4" s="38"/>
      <c r="G4" s="38"/>
      <c r="H4" s="38"/>
      <c r="I4" s="38"/>
      <c r="J4" s="38"/>
      <c r="K4" s="38"/>
      <c r="L4" s="38"/>
      <c r="M4" s="38"/>
      <c r="N4" s="38"/>
      <c r="O4" s="38"/>
      <c r="P4" s="37"/>
      <c r="Q4" s="37"/>
      <c r="R4" s="37"/>
      <c r="S4" s="37"/>
      <c r="T4" s="37"/>
      <c r="U4" s="37"/>
      <c r="V4" s="37"/>
      <c r="W4" s="37"/>
      <c r="X4" s="37"/>
      <c r="Y4" s="37"/>
    </row>
    <row r="5" spans="2:25" x14ac:dyDescent="0.3">
      <c r="B5" s="34" t="str">
        <f>Localization!$B$4&amp;" "&amp;intervention2</f>
        <v>Cost B</v>
      </c>
      <c r="C5" s="95"/>
      <c r="E5" s="97" t="str">
        <f>$B$5</f>
        <v>Cost B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spans="2:25" x14ac:dyDescent="0.3">
      <c r="E6" s="34" t="str">
        <f>Localization!$B$73&amp;" ("&amp;Localization!$B$75&amp;")"</f>
        <v>BI (Individual)</v>
      </c>
      <c r="F6" s="98">
        <f t="shared" ref="F6:Y6" si="0">F4-F5</f>
        <v>0</v>
      </c>
      <c r="G6" s="98">
        <f t="shared" si="0"/>
        <v>0</v>
      </c>
      <c r="H6" s="98">
        <f t="shared" si="0"/>
        <v>0</v>
      </c>
      <c r="I6" s="98">
        <f t="shared" si="0"/>
        <v>0</v>
      </c>
      <c r="J6" s="98">
        <f t="shared" si="0"/>
        <v>0</v>
      </c>
      <c r="K6" s="98">
        <f t="shared" si="0"/>
        <v>0</v>
      </c>
      <c r="L6" s="98">
        <f t="shared" si="0"/>
        <v>0</v>
      </c>
      <c r="M6" s="98">
        <f t="shared" si="0"/>
        <v>0</v>
      </c>
      <c r="N6" s="98">
        <f t="shared" si="0"/>
        <v>0</v>
      </c>
      <c r="O6" s="98">
        <f t="shared" si="0"/>
        <v>0</v>
      </c>
      <c r="P6" s="98">
        <f t="shared" si="0"/>
        <v>0</v>
      </c>
      <c r="Q6" s="98">
        <f t="shared" si="0"/>
        <v>0</v>
      </c>
      <c r="R6" s="98">
        <f t="shared" si="0"/>
        <v>0</v>
      </c>
      <c r="S6" s="98">
        <f t="shared" si="0"/>
        <v>0</v>
      </c>
      <c r="T6" s="98">
        <f t="shared" si="0"/>
        <v>0</v>
      </c>
      <c r="U6" s="98">
        <f t="shared" si="0"/>
        <v>0</v>
      </c>
      <c r="V6" s="98">
        <f t="shared" si="0"/>
        <v>0</v>
      </c>
      <c r="W6" s="98">
        <f t="shared" si="0"/>
        <v>0</v>
      </c>
      <c r="X6" s="98">
        <f t="shared" si="0"/>
        <v>0</v>
      </c>
      <c r="Y6" s="98">
        <f t="shared" si="0"/>
        <v>0</v>
      </c>
    </row>
    <row r="7" spans="2:25" x14ac:dyDescent="0.3">
      <c r="E7" s="97" t="str">
        <f>E4&amp;" ("&amp;Localization!$B$74&amp;")"</f>
        <v>Cost A (Population)</v>
      </c>
      <c r="F7" s="96">
        <f t="shared" ref="F7:Y7" si="1">F4*newbornsBI</f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  <c r="R7" s="96">
        <f t="shared" si="1"/>
        <v>0</v>
      </c>
      <c r="S7" s="96">
        <f t="shared" si="1"/>
        <v>0</v>
      </c>
      <c r="T7" s="96">
        <f t="shared" si="1"/>
        <v>0</v>
      </c>
      <c r="U7" s="96">
        <f t="shared" si="1"/>
        <v>0</v>
      </c>
      <c r="V7" s="96">
        <f t="shared" si="1"/>
        <v>0</v>
      </c>
      <c r="W7" s="96">
        <f t="shared" si="1"/>
        <v>0</v>
      </c>
      <c r="X7" s="96">
        <f t="shared" si="1"/>
        <v>0</v>
      </c>
      <c r="Y7" s="96">
        <f t="shared" si="1"/>
        <v>0</v>
      </c>
    </row>
    <row r="8" spans="2:25" x14ac:dyDescent="0.3">
      <c r="C8" s="34" t="str">
        <f>Localization!$B$77</f>
        <v>Population size</v>
      </c>
      <c r="E8" s="97" t="str">
        <f>E5&amp;" ("&amp;Localization!$B$74&amp;")"</f>
        <v>Cost B (Population)</v>
      </c>
      <c r="F8" s="96">
        <f t="shared" ref="F8:Y8" si="2">F5*newbornsBI</f>
        <v>0</v>
      </c>
      <c r="G8" s="96">
        <f t="shared" si="2"/>
        <v>0</v>
      </c>
      <c r="H8" s="96">
        <f t="shared" si="2"/>
        <v>0</v>
      </c>
      <c r="I8" s="96">
        <f t="shared" si="2"/>
        <v>0</v>
      </c>
      <c r="J8" s="96">
        <f t="shared" si="2"/>
        <v>0</v>
      </c>
      <c r="K8" s="96">
        <f t="shared" si="2"/>
        <v>0</v>
      </c>
      <c r="L8" s="96">
        <f t="shared" si="2"/>
        <v>0</v>
      </c>
      <c r="M8" s="96">
        <f t="shared" si="2"/>
        <v>0</v>
      </c>
      <c r="N8" s="96">
        <f t="shared" si="2"/>
        <v>0</v>
      </c>
      <c r="O8" s="96">
        <f t="shared" si="2"/>
        <v>0</v>
      </c>
      <c r="P8" s="96">
        <f t="shared" si="2"/>
        <v>0</v>
      </c>
      <c r="Q8" s="96">
        <f t="shared" si="2"/>
        <v>0</v>
      </c>
      <c r="R8" s="96">
        <f t="shared" si="2"/>
        <v>0</v>
      </c>
      <c r="S8" s="96">
        <f t="shared" si="2"/>
        <v>0</v>
      </c>
      <c r="T8" s="96">
        <f t="shared" si="2"/>
        <v>0</v>
      </c>
      <c r="U8" s="96">
        <f t="shared" si="2"/>
        <v>0</v>
      </c>
      <c r="V8" s="96">
        <f t="shared" si="2"/>
        <v>0</v>
      </c>
      <c r="W8" s="96">
        <f t="shared" si="2"/>
        <v>0</v>
      </c>
      <c r="X8" s="96">
        <f t="shared" si="2"/>
        <v>0</v>
      </c>
      <c r="Y8" s="96">
        <f t="shared" si="2"/>
        <v>0</v>
      </c>
    </row>
    <row r="9" spans="2:25" x14ac:dyDescent="0.3">
      <c r="C9" s="39">
        <f>W31</f>
        <v>450704</v>
      </c>
      <c r="E9" s="34" t="str">
        <f>Localization!$B$73&amp;" ("&amp;Localization!$B$74&amp;")"</f>
        <v>BI (Population)</v>
      </c>
      <c r="F9" s="99">
        <f t="shared" ref="F9:O9" si="3">F6*newbornsBI</f>
        <v>0</v>
      </c>
      <c r="G9" s="99">
        <f t="shared" si="3"/>
        <v>0</v>
      </c>
      <c r="H9" s="99">
        <f t="shared" si="3"/>
        <v>0</v>
      </c>
      <c r="I9" s="99">
        <f t="shared" si="3"/>
        <v>0</v>
      </c>
      <c r="J9" s="99">
        <f t="shared" si="3"/>
        <v>0</v>
      </c>
      <c r="K9" s="99">
        <f t="shared" si="3"/>
        <v>0</v>
      </c>
      <c r="L9" s="99">
        <f t="shared" si="3"/>
        <v>0</v>
      </c>
      <c r="M9" s="99">
        <f t="shared" si="3"/>
        <v>0</v>
      </c>
      <c r="N9" s="99">
        <f t="shared" si="3"/>
        <v>0</v>
      </c>
      <c r="O9" s="99">
        <f t="shared" si="3"/>
        <v>0</v>
      </c>
      <c r="P9" s="99">
        <f t="shared" ref="P9:Y9" si="4">P6*newbornsBI</f>
        <v>0</v>
      </c>
      <c r="Q9" s="99">
        <f t="shared" si="4"/>
        <v>0</v>
      </c>
      <c r="R9" s="99">
        <f t="shared" si="4"/>
        <v>0</v>
      </c>
      <c r="S9" s="99">
        <f t="shared" si="4"/>
        <v>0</v>
      </c>
      <c r="T9" s="99">
        <f t="shared" si="4"/>
        <v>0</v>
      </c>
      <c r="U9" s="99">
        <f t="shared" si="4"/>
        <v>0</v>
      </c>
      <c r="V9" s="99">
        <f t="shared" si="4"/>
        <v>0</v>
      </c>
      <c r="W9" s="99">
        <f t="shared" si="4"/>
        <v>0</v>
      </c>
      <c r="X9" s="99">
        <f t="shared" si="4"/>
        <v>0</v>
      </c>
      <c r="Y9" s="99">
        <f t="shared" si="4"/>
        <v>0</v>
      </c>
    </row>
    <row r="11" spans="2:25" x14ac:dyDescent="0.3">
      <c r="C11" s="39">
        <v>86375</v>
      </c>
      <c r="E11" s="34" t="s">
        <v>68</v>
      </c>
      <c r="F11" s="96">
        <f>F$6*$C11</f>
        <v>0</v>
      </c>
      <c r="G11" s="96">
        <f t="shared" ref="G11:Y25" si="5">G$6*$C11</f>
        <v>0</v>
      </c>
      <c r="H11" s="96">
        <f t="shared" si="5"/>
        <v>0</v>
      </c>
      <c r="I11" s="96">
        <f t="shared" si="5"/>
        <v>0</v>
      </c>
      <c r="J11" s="96">
        <f t="shared" si="5"/>
        <v>0</v>
      </c>
      <c r="K11" s="96">
        <f t="shared" si="5"/>
        <v>0</v>
      </c>
      <c r="L11" s="96">
        <f t="shared" si="5"/>
        <v>0</v>
      </c>
      <c r="M11" s="96">
        <f t="shared" si="5"/>
        <v>0</v>
      </c>
      <c r="N11" s="96">
        <f t="shared" si="5"/>
        <v>0</v>
      </c>
      <c r="O11" s="96">
        <f t="shared" si="5"/>
        <v>0</v>
      </c>
      <c r="P11" s="96">
        <f t="shared" si="5"/>
        <v>0</v>
      </c>
      <c r="Q11" s="96">
        <f t="shared" si="5"/>
        <v>0</v>
      </c>
      <c r="R11" s="96">
        <f t="shared" si="5"/>
        <v>0</v>
      </c>
      <c r="S11" s="96">
        <f t="shared" si="5"/>
        <v>0</v>
      </c>
      <c r="T11" s="96">
        <f t="shared" si="5"/>
        <v>0</v>
      </c>
      <c r="U11" s="96">
        <f t="shared" si="5"/>
        <v>0</v>
      </c>
      <c r="V11" s="96">
        <f t="shared" si="5"/>
        <v>0</v>
      </c>
      <c r="W11" s="96">
        <f t="shared" si="5"/>
        <v>0</v>
      </c>
      <c r="X11" s="96">
        <f t="shared" si="5"/>
        <v>0</v>
      </c>
      <c r="Y11" s="96">
        <f t="shared" si="5"/>
        <v>0</v>
      </c>
    </row>
    <row r="12" spans="2:25" x14ac:dyDescent="0.3">
      <c r="C12" s="39">
        <v>11980</v>
      </c>
      <c r="E12" s="34" t="s">
        <v>69</v>
      </c>
      <c r="F12" s="96">
        <f t="shared" ref="F12:U27" si="6">F$6*$C12</f>
        <v>0</v>
      </c>
      <c r="G12" s="96">
        <f t="shared" si="6"/>
        <v>0</v>
      </c>
      <c r="H12" s="96">
        <f t="shared" si="6"/>
        <v>0</v>
      </c>
      <c r="I12" s="96">
        <f t="shared" si="6"/>
        <v>0</v>
      </c>
      <c r="J12" s="96">
        <f t="shared" si="6"/>
        <v>0</v>
      </c>
      <c r="K12" s="96">
        <f t="shared" si="6"/>
        <v>0</v>
      </c>
      <c r="L12" s="96">
        <f t="shared" si="6"/>
        <v>0</v>
      </c>
      <c r="M12" s="96">
        <f t="shared" si="6"/>
        <v>0</v>
      </c>
      <c r="N12" s="96">
        <f t="shared" si="6"/>
        <v>0</v>
      </c>
      <c r="O12" s="96">
        <f t="shared" si="6"/>
        <v>0</v>
      </c>
      <c r="P12" s="96">
        <f t="shared" si="6"/>
        <v>0</v>
      </c>
      <c r="Q12" s="96">
        <f t="shared" si="6"/>
        <v>0</v>
      </c>
      <c r="R12" s="96">
        <f t="shared" si="6"/>
        <v>0</v>
      </c>
      <c r="S12" s="96">
        <f t="shared" si="6"/>
        <v>0</v>
      </c>
      <c r="T12" s="96">
        <f t="shared" si="6"/>
        <v>0</v>
      </c>
      <c r="U12" s="96">
        <f t="shared" si="6"/>
        <v>0</v>
      </c>
      <c r="V12" s="96">
        <f t="shared" si="5"/>
        <v>0</v>
      </c>
      <c r="W12" s="96">
        <f t="shared" si="5"/>
        <v>0</v>
      </c>
      <c r="X12" s="96">
        <f t="shared" si="5"/>
        <v>0</v>
      </c>
      <c r="Y12" s="96">
        <f t="shared" si="5"/>
        <v>0</v>
      </c>
    </row>
    <row r="13" spans="2:25" x14ac:dyDescent="0.3">
      <c r="C13" s="39">
        <v>7622</v>
      </c>
      <c r="E13" s="34" t="s">
        <v>70</v>
      </c>
      <c r="F13" s="96">
        <f t="shared" si="6"/>
        <v>0</v>
      </c>
      <c r="G13" s="96">
        <f t="shared" si="5"/>
        <v>0</v>
      </c>
      <c r="H13" s="96">
        <f t="shared" si="5"/>
        <v>0</v>
      </c>
      <c r="I13" s="96">
        <f t="shared" si="5"/>
        <v>0</v>
      </c>
      <c r="J13" s="96">
        <f t="shared" si="5"/>
        <v>0</v>
      </c>
      <c r="K13" s="96">
        <f t="shared" si="5"/>
        <v>0</v>
      </c>
      <c r="L13" s="96">
        <f t="shared" si="5"/>
        <v>0</v>
      </c>
      <c r="M13" s="96">
        <f t="shared" si="5"/>
        <v>0</v>
      </c>
      <c r="N13" s="96">
        <f t="shared" si="5"/>
        <v>0</v>
      </c>
      <c r="O13" s="96">
        <f t="shared" si="5"/>
        <v>0</v>
      </c>
      <c r="P13" s="96">
        <f t="shared" si="5"/>
        <v>0</v>
      </c>
      <c r="Q13" s="96">
        <f t="shared" si="5"/>
        <v>0</v>
      </c>
      <c r="R13" s="96">
        <f t="shared" si="5"/>
        <v>0</v>
      </c>
      <c r="S13" s="96">
        <f t="shared" si="5"/>
        <v>0</v>
      </c>
      <c r="T13" s="96">
        <f t="shared" si="5"/>
        <v>0</v>
      </c>
      <c r="U13" s="96">
        <f t="shared" si="5"/>
        <v>0</v>
      </c>
      <c r="V13" s="96">
        <f t="shared" si="5"/>
        <v>0</v>
      </c>
      <c r="W13" s="96">
        <f t="shared" si="5"/>
        <v>0</v>
      </c>
      <c r="X13" s="96">
        <f t="shared" si="5"/>
        <v>0</v>
      </c>
      <c r="Y13" s="96">
        <f t="shared" si="5"/>
        <v>0</v>
      </c>
    </row>
    <row r="14" spans="2:25" x14ac:dyDescent="0.3">
      <c r="C14" s="39">
        <v>11002</v>
      </c>
      <c r="E14" s="34" t="s">
        <v>71</v>
      </c>
      <c r="F14" s="96">
        <f t="shared" si="6"/>
        <v>0</v>
      </c>
      <c r="G14" s="96">
        <f t="shared" si="5"/>
        <v>0</v>
      </c>
      <c r="H14" s="96">
        <f t="shared" si="5"/>
        <v>0</v>
      </c>
      <c r="I14" s="96">
        <f t="shared" si="5"/>
        <v>0</v>
      </c>
      <c r="J14" s="96">
        <f t="shared" si="5"/>
        <v>0</v>
      </c>
      <c r="K14" s="96">
        <f t="shared" si="5"/>
        <v>0</v>
      </c>
      <c r="L14" s="96">
        <f t="shared" si="5"/>
        <v>0</v>
      </c>
      <c r="M14" s="96">
        <f t="shared" si="5"/>
        <v>0</v>
      </c>
      <c r="N14" s="96">
        <f t="shared" si="5"/>
        <v>0</v>
      </c>
      <c r="O14" s="96">
        <f t="shared" si="5"/>
        <v>0</v>
      </c>
      <c r="P14" s="96">
        <f t="shared" si="5"/>
        <v>0</v>
      </c>
      <c r="Q14" s="96">
        <f t="shared" si="5"/>
        <v>0</v>
      </c>
      <c r="R14" s="96">
        <f t="shared" si="5"/>
        <v>0</v>
      </c>
      <c r="S14" s="96">
        <f t="shared" si="5"/>
        <v>0</v>
      </c>
      <c r="T14" s="96">
        <f t="shared" si="5"/>
        <v>0</v>
      </c>
      <c r="U14" s="96">
        <f t="shared" si="5"/>
        <v>0</v>
      </c>
      <c r="V14" s="96">
        <f t="shared" si="5"/>
        <v>0</v>
      </c>
      <c r="W14" s="96">
        <f t="shared" si="5"/>
        <v>0</v>
      </c>
      <c r="X14" s="96">
        <f t="shared" si="5"/>
        <v>0</v>
      </c>
      <c r="Y14" s="96">
        <f t="shared" si="5"/>
        <v>0</v>
      </c>
    </row>
    <row r="15" spans="2:25" x14ac:dyDescent="0.3">
      <c r="C15" s="39">
        <v>17201</v>
      </c>
      <c r="E15" s="34" t="s">
        <v>72</v>
      </c>
      <c r="F15" s="96">
        <f t="shared" si="6"/>
        <v>0</v>
      </c>
      <c r="G15" s="96">
        <f t="shared" si="5"/>
        <v>0</v>
      </c>
      <c r="H15" s="96">
        <f t="shared" si="5"/>
        <v>0</v>
      </c>
      <c r="I15" s="96">
        <f t="shared" si="5"/>
        <v>0</v>
      </c>
      <c r="J15" s="96">
        <f t="shared" si="5"/>
        <v>0</v>
      </c>
      <c r="K15" s="96">
        <f t="shared" si="5"/>
        <v>0</v>
      </c>
      <c r="L15" s="96">
        <f t="shared" si="5"/>
        <v>0</v>
      </c>
      <c r="M15" s="96">
        <f t="shared" si="5"/>
        <v>0</v>
      </c>
      <c r="N15" s="96">
        <f t="shared" si="5"/>
        <v>0</v>
      </c>
      <c r="O15" s="96">
        <f t="shared" si="5"/>
        <v>0</v>
      </c>
      <c r="P15" s="96">
        <f t="shared" si="5"/>
        <v>0</v>
      </c>
      <c r="Q15" s="96">
        <f t="shared" si="5"/>
        <v>0</v>
      </c>
      <c r="R15" s="96">
        <f t="shared" si="5"/>
        <v>0</v>
      </c>
      <c r="S15" s="96">
        <f t="shared" si="5"/>
        <v>0</v>
      </c>
      <c r="T15" s="96">
        <f t="shared" si="5"/>
        <v>0</v>
      </c>
      <c r="U15" s="96">
        <f t="shared" si="5"/>
        <v>0</v>
      </c>
      <c r="V15" s="96">
        <f t="shared" si="5"/>
        <v>0</v>
      </c>
      <c r="W15" s="96">
        <f t="shared" si="5"/>
        <v>0</v>
      </c>
      <c r="X15" s="96">
        <f t="shared" si="5"/>
        <v>0</v>
      </c>
      <c r="Y15" s="96">
        <f t="shared" si="5"/>
        <v>0</v>
      </c>
    </row>
    <row r="16" spans="2:25" x14ac:dyDescent="0.3">
      <c r="C16" s="39">
        <v>5064</v>
      </c>
      <c r="E16" s="34" t="s">
        <v>73</v>
      </c>
      <c r="F16" s="96">
        <f t="shared" si="6"/>
        <v>0</v>
      </c>
      <c r="G16" s="96">
        <f t="shared" si="5"/>
        <v>0</v>
      </c>
      <c r="H16" s="96">
        <f t="shared" si="5"/>
        <v>0</v>
      </c>
      <c r="I16" s="96">
        <f t="shared" si="5"/>
        <v>0</v>
      </c>
      <c r="J16" s="96">
        <f t="shared" si="5"/>
        <v>0</v>
      </c>
      <c r="K16" s="96">
        <f t="shared" si="5"/>
        <v>0</v>
      </c>
      <c r="L16" s="96">
        <f t="shared" si="5"/>
        <v>0</v>
      </c>
      <c r="M16" s="96">
        <f t="shared" si="5"/>
        <v>0</v>
      </c>
      <c r="N16" s="96">
        <f t="shared" si="5"/>
        <v>0</v>
      </c>
      <c r="O16" s="96">
        <f t="shared" si="5"/>
        <v>0</v>
      </c>
      <c r="P16" s="96">
        <f t="shared" si="5"/>
        <v>0</v>
      </c>
      <c r="Q16" s="96">
        <f t="shared" si="5"/>
        <v>0</v>
      </c>
      <c r="R16" s="96">
        <f t="shared" si="5"/>
        <v>0</v>
      </c>
      <c r="S16" s="96">
        <f t="shared" si="5"/>
        <v>0</v>
      </c>
      <c r="T16" s="96">
        <f t="shared" si="5"/>
        <v>0</v>
      </c>
      <c r="U16" s="96">
        <f t="shared" si="5"/>
        <v>0</v>
      </c>
      <c r="V16" s="96">
        <f t="shared" si="5"/>
        <v>0</v>
      </c>
      <c r="W16" s="96">
        <f t="shared" si="5"/>
        <v>0</v>
      </c>
      <c r="X16" s="96">
        <f t="shared" si="5"/>
        <v>0</v>
      </c>
      <c r="Y16" s="96">
        <f t="shared" si="5"/>
        <v>0</v>
      </c>
    </row>
    <row r="17" spans="3:25" x14ac:dyDescent="0.3">
      <c r="C17" s="39">
        <v>19046</v>
      </c>
      <c r="E17" s="34" t="s">
        <v>74</v>
      </c>
      <c r="F17" s="96">
        <f t="shared" si="6"/>
        <v>0</v>
      </c>
      <c r="G17" s="96">
        <f t="shared" si="5"/>
        <v>0</v>
      </c>
      <c r="H17" s="96">
        <f t="shared" si="5"/>
        <v>0</v>
      </c>
      <c r="I17" s="96">
        <f t="shared" si="5"/>
        <v>0</v>
      </c>
      <c r="J17" s="96">
        <f t="shared" si="5"/>
        <v>0</v>
      </c>
      <c r="K17" s="96">
        <f t="shared" si="5"/>
        <v>0</v>
      </c>
      <c r="L17" s="96">
        <f t="shared" si="5"/>
        <v>0</v>
      </c>
      <c r="M17" s="96">
        <f t="shared" si="5"/>
        <v>0</v>
      </c>
      <c r="N17" s="96">
        <f t="shared" si="5"/>
        <v>0</v>
      </c>
      <c r="O17" s="96">
        <f t="shared" si="5"/>
        <v>0</v>
      </c>
      <c r="P17" s="96">
        <f t="shared" si="5"/>
        <v>0</v>
      </c>
      <c r="Q17" s="96">
        <f t="shared" si="5"/>
        <v>0</v>
      </c>
      <c r="R17" s="96">
        <f t="shared" si="5"/>
        <v>0</v>
      </c>
      <c r="S17" s="96">
        <f t="shared" si="5"/>
        <v>0</v>
      </c>
      <c r="T17" s="96">
        <f t="shared" si="5"/>
        <v>0</v>
      </c>
      <c r="U17" s="96">
        <f t="shared" si="5"/>
        <v>0</v>
      </c>
      <c r="V17" s="96">
        <f t="shared" si="5"/>
        <v>0</v>
      </c>
      <c r="W17" s="96">
        <f t="shared" si="5"/>
        <v>0</v>
      </c>
      <c r="X17" s="96">
        <f t="shared" si="5"/>
        <v>0</v>
      </c>
      <c r="Y17" s="96">
        <f t="shared" si="5"/>
        <v>0</v>
      </c>
    </row>
    <row r="18" spans="3:25" x14ac:dyDescent="0.3">
      <c r="C18" s="39">
        <v>20382</v>
      </c>
      <c r="E18" s="34" t="s">
        <v>75</v>
      </c>
      <c r="F18" s="96">
        <f t="shared" si="6"/>
        <v>0</v>
      </c>
      <c r="G18" s="96">
        <f t="shared" si="5"/>
        <v>0</v>
      </c>
      <c r="H18" s="96">
        <f t="shared" si="5"/>
        <v>0</v>
      </c>
      <c r="I18" s="96">
        <f t="shared" si="5"/>
        <v>0</v>
      </c>
      <c r="J18" s="96">
        <f t="shared" si="5"/>
        <v>0</v>
      </c>
      <c r="K18" s="96">
        <f t="shared" si="5"/>
        <v>0</v>
      </c>
      <c r="L18" s="96">
        <f t="shared" si="5"/>
        <v>0</v>
      </c>
      <c r="M18" s="96">
        <f t="shared" si="5"/>
        <v>0</v>
      </c>
      <c r="N18" s="96">
        <f t="shared" si="5"/>
        <v>0</v>
      </c>
      <c r="O18" s="96">
        <f t="shared" si="5"/>
        <v>0</v>
      </c>
      <c r="P18" s="96">
        <f t="shared" si="5"/>
        <v>0</v>
      </c>
      <c r="Q18" s="96">
        <f t="shared" si="5"/>
        <v>0</v>
      </c>
      <c r="R18" s="96">
        <f t="shared" si="5"/>
        <v>0</v>
      </c>
      <c r="S18" s="96">
        <f t="shared" si="5"/>
        <v>0</v>
      </c>
      <c r="T18" s="96">
        <f t="shared" si="5"/>
        <v>0</v>
      </c>
      <c r="U18" s="96">
        <f t="shared" si="5"/>
        <v>0</v>
      </c>
      <c r="V18" s="96">
        <f t="shared" si="5"/>
        <v>0</v>
      </c>
      <c r="W18" s="96">
        <f t="shared" si="5"/>
        <v>0</v>
      </c>
      <c r="X18" s="96">
        <f t="shared" si="5"/>
        <v>0</v>
      </c>
      <c r="Y18" s="96">
        <f t="shared" si="5"/>
        <v>0</v>
      </c>
    </row>
    <row r="19" spans="3:25" x14ac:dyDescent="0.3">
      <c r="C19" s="39">
        <v>77438</v>
      </c>
      <c r="E19" s="34" t="s">
        <v>76</v>
      </c>
      <c r="F19" s="96">
        <f t="shared" si="6"/>
        <v>0</v>
      </c>
      <c r="G19" s="96">
        <f t="shared" si="5"/>
        <v>0</v>
      </c>
      <c r="H19" s="96">
        <f t="shared" si="5"/>
        <v>0</v>
      </c>
      <c r="I19" s="96">
        <f t="shared" si="5"/>
        <v>0</v>
      </c>
      <c r="J19" s="96">
        <f t="shared" si="5"/>
        <v>0</v>
      </c>
      <c r="K19" s="96">
        <f t="shared" si="5"/>
        <v>0</v>
      </c>
      <c r="L19" s="96">
        <f t="shared" si="5"/>
        <v>0</v>
      </c>
      <c r="M19" s="96">
        <f t="shared" si="5"/>
        <v>0</v>
      </c>
      <c r="N19" s="96">
        <f t="shared" si="5"/>
        <v>0</v>
      </c>
      <c r="O19" s="96">
        <f t="shared" si="5"/>
        <v>0</v>
      </c>
      <c r="P19" s="96">
        <f t="shared" si="5"/>
        <v>0</v>
      </c>
      <c r="Q19" s="96">
        <f t="shared" si="5"/>
        <v>0</v>
      </c>
      <c r="R19" s="96">
        <f t="shared" si="5"/>
        <v>0</v>
      </c>
      <c r="S19" s="96">
        <f t="shared" si="5"/>
        <v>0</v>
      </c>
      <c r="T19" s="96">
        <f t="shared" si="5"/>
        <v>0</v>
      </c>
      <c r="U19" s="96">
        <f t="shared" si="5"/>
        <v>0</v>
      </c>
      <c r="V19" s="96">
        <f t="shared" si="5"/>
        <v>0</v>
      </c>
      <c r="W19" s="96">
        <f t="shared" si="5"/>
        <v>0</v>
      </c>
      <c r="X19" s="96">
        <f t="shared" si="5"/>
        <v>0</v>
      </c>
      <c r="Y19" s="96">
        <f t="shared" si="5"/>
        <v>0</v>
      </c>
    </row>
    <row r="20" spans="3:25" x14ac:dyDescent="0.3">
      <c r="C20" s="39">
        <v>47574</v>
      </c>
      <c r="E20" s="34" t="s">
        <v>77</v>
      </c>
      <c r="F20" s="96">
        <f t="shared" si="6"/>
        <v>0</v>
      </c>
      <c r="G20" s="96">
        <f t="shared" si="5"/>
        <v>0</v>
      </c>
      <c r="H20" s="96">
        <f t="shared" si="5"/>
        <v>0</v>
      </c>
      <c r="I20" s="96">
        <f t="shared" si="5"/>
        <v>0</v>
      </c>
      <c r="J20" s="96">
        <f t="shared" si="5"/>
        <v>0</v>
      </c>
      <c r="K20" s="96">
        <f t="shared" si="5"/>
        <v>0</v>
      </c>
      <c r="L20" s="96">
        <f t="shared" si="5"/>
        <v>0</v>
      </c>
      <c r="M20" s="96">
        <f t="shared" si="5"/>
        <v>0</v>
      </c>
      <c r="N20" s="96">
        <f t="shared" si="5"/>
        <v>0</v>
      </c>
      <c r="O20" s="96">
        <f t="shared" si="5"/>
        <v>0</v>
      </c>
      <c r="P20" s="96">
        <f t="shared" si="5"/>
        <v>0</v>
      </c>
      <c r="Q20" s="96">
        <f t="shared" si="5"/>
        <v>0</v>
      </c>
      <c r="R20" s="96">
        <f t="shared" si="5"/>
        <v>0</v>
      </c>
      <c r="S20" s="96">
        <f t="shared" si="5"/>
        <v>0</v>
      </c>
      <c r="T20" s="96">
        <f t="shared" si="5"/>
        <v>0</v>
      </c>
      <c r="U20" s="96">
        <f t="shared" si="5"/>
        <v>0</v>
      </c>
      <c r="V20" s="96">
        <f t="shared" si="5"/>
        <v>0</v>
      </c>
      <c r="W20" s="96">
        <f t="shared" si="5"/>
        <v>0</v>
      </c>
      <c r="X20" s="96">
        <f t="shared" si="5"/>
        <v>0</v>
      </c>
      <c r="Y20" s="96">
        <f t="shared" si="5"/>
        <v>0</v>
      </c>
    </row>
    <row r="21" spans="3:25" x14ac:dyDescent="0.3">
      <c r="C21" s="39">
        <v>9423</v>
      </c>
      <c r="E21" s="34" t="s">
        <v>78</v>
      </c>
      <c r="F21" s="96">
        <f t="shared" si="6"/>
        <v>0</v>
      </c>
      <c r="G21" s="96">
        <f t="shared" si="5"/>
        <v>0</v>
      </c>
      <c r="H21" s="96">
        <f t="shared" si="5"/>
        <v>0</v>
      </c>
      <c r="I21" s="96">
        <f t="shared" si="5"/>
        <v>0</v>
      </c>
      <c r="J21" s="96">
        <f t="shared" si="5"/>
        <v>0</v>
      </c>
      <c r="K21" s="96">
        <f t="shared" si="5"/>
        <v>0</v>
      </c>
      <c r="L21" s="96">
        <f t="shared" si="5"/>
        <v>0</v>
      </c>
      <c r="M21" s="96">
        <f t="shared" si="5"/>
        <v>0</v>
      </c>
      <c r="N21" s="96">
        <f t="shared" si="5"/>
        <v>0</v>
      </c>
      <c r="O21" s="96">
        <f t="shared" si="5"/>
        <v>0</v>
      </c>
      <c r="P21" s="96">
        <f t="shared" si="5"/>
        <v>0</v>
      </c>
      <c r="Q21" s="96">
        <f t="shared" si="5"/>
        <v>0</v>
      </c>
      <c r="R21" s="96">
        <f t="shared" si="5"/>
        <v>0</v>
      </c>
      <c r="S21" s="96">
        <f t="shared" si="5"/>
        <v>0</v>
      </c>
      <c r="T21" s="96">
        <f t="shared" si="5"/>
        <v>0</v>
      </c>
      <c r="U21" s="96">
        <f t="shared" si="5"/>
        <v>0</v>
      </c>
      <c r="V21" s="96">
        <f t="shared" si="5"/>
        <v>0</v>
      </c>
      <c r="W21" s="96">
        <f t="shared" si="5"/>
        <v>0</v>
      </c>
      <c r="X21" s="96">
        <f t="shared" si="5"/>
        <v>0</v>
      </c>
      <c r="Y21" s="96">
        <f t="shared" si="5"/>
        <v>0</v>
      </c>
    </row>
    <row r="22" spans="3:25" x14ac:dyDescent="0.3">
      <c r="C22" s="39">
        <v>21089</v>
      </c>
      <c r="E22" s="34" t="s">
        <v>79</v>
      </c>
      <c r="F22" s="96">
        <f t="shared" si="6"/>
        <v>0</v>
      </c>
      <c r="G22" s="96">
        <f t="shared" si="5"/>
        <v>0</v>
      </c>
      <c r="H22" s="96">
        <f t="shared" si="5"/>
        <v>0</v>
      </c>
      <c r="I22" s="96">
        <f t="shared" si="5"/>
        <v>0</v>
      </c>
      <c r="J22" s="96">
        <f t="shared" si="5"/>
        <v>0</v>
      </c>
      <c r="K22" s="96">
        <f t="shared" si="5"/>
        <v>0</v>
      </c>
      <c r="L22" s="96">
        <f t="shared" si="5"/>
        <v>0</v>
      </c>
      <c r="M22" s="96">
        <f t="shared" si="5"/>
        <v>0</v>
      </c>
      <c r="N22" s="96">
        <f t="shared" si="5"/>
        <v>0</v>
      </c>
      <c r="O22" s="96">
        <f t="shared" si="5"/>
        <v>0</v>
      </c>
      <c r="P22" s="96">
        <f t="shared" si="5"/>
        <v>0</v>
      </c>
      <c r="Q22" s="96">
        <f t="shared" si="5"/>
        <v>0</v>
      </c>
      <c r="R22" s="96">
        <f t="shared" si="5"/>
        <v>0</v>
      </c>
      <c r="S22" s="96">
        <f t="shared" si="5"/>
        <v>0</v>
      </c>
      <c r="T22" s="96">
        <f t="shared" si="5"/>
        <v>0</v>
      </c>
      <c r="U22" s="96">
        <f t="shared" si="5"/>
        <v>0</v>
      </c>
      <c r="V22" s="96">
        <f t="shared" si="5"/>
        <v>0</v>
      </c>
      <c r="W22" s="96">
        <f t="shared" si="5"/>
        <v>0</v>
      </c>
      <c r="X22" s="96">
        <f t="shared" si="5"/>
        <v>0</v>
      </c>
      <c r="Y22" s="96">
        <f t="shared" si="5"/>
        <v>0</v>
      </c>
    </row>
    <row r="23" spans="3:25" x14ac:dyDescent="0.3">
      <c r="C23" s="39">
        <v>69374</v>
      </c>
      <c r="E23" s="34" t="s">
        <v>80</v>
      </c>
      <c r="F23" s="96">
        <f t="shared" si="6"/>
        <v>0</v>
      </c>
      <c r="G23" s="96">
        <f t="shared" si="5"/>
        <v>0</v>
      </c>
      <c r="H23" s="96">
        <f t="shared" si="5"/>
        <v>0</v>
      </c>
      <c r="I23" s="96">
        <f t="shared" si="5"/>
        <v>0</v>
      </c>
      <c r="J23" s="96">
        <f t="shared" si="5"/>
        <v>0</v>
      </c>
      <c r="K23" s="96">
        <f t="shared" si="5"/>
        <v>0</v>
      </c>
      <c r="L23" s="96">
        <f t="shared" si="5"/>
        <v>0</v>
      </c>
      <c r="M23" s="96">
        <f t="shared" si="5"/>
        <v>0</v>
      </c>
      <c r="N23" s="96">
        <f t="shared" si="5"/>
        <v>0</v>
      </c>
      <c r="O23" s="96">
        <f t="shared" si="5"/>
        <v>0</v>
      </c>
      <c r="P23" s="96">
        <f t="shared" si="5"/>
        <v>0</v>
      </c>
      <c r="Q23" s="96">
        <f t="shared" si="5"/>
        <v>0</v>
      </c>
      <c r="R23" s="96">
        <f t="shared" si="5"/>
        <v>0</v>
      </c>
      <c r="S23" s="96">
        <f t="shared" si="5"/>
        <v>0</v>
      </c>
      <c r="T23" s="96">
        <f t="shared" si="5"/>
        <v>0</v>
      </c>
      <c r="U23" s="96">
        <f t="shared" si="5"/>
        <v>0</v>
      </c>
      <c r="V23" s="96">
        <f t="shared" si="5"/>
        <v>0</v>
      </c>
      <c r="W23" s="96">
        <f t="shared" si="5"/>
        <v>0</v>
      </c>
      <c r="X23" s="96">
        <f t="shared" si="5"/>
        <v>0</v>
      </c>
      <c r="Y23" s="96">
        <f t="shared" si="5"/>
        <v>0</v>
      </c>
    </row>
    <row r="24" spans="3:25" x14ac:dyDescent="0.3">
      <c r="C24" s="39">
        <v>16682</v>
      </c>
      <c r="E24" s="34" t="s">
        <v>81</v>
      </c>
      <c r="F24" s="96">
        <f t="shared" si="6"/>
        <v>0</v>
      </c>
      <c r="G24" s="96">
        <f t="shared" si="5"/>
        <v>0</v>
      </c>
      <c r="H24" s="96">
        <f t="shared" si="5"/>
        <v>0</v>
      </c>
      <c r="I24" s="96">
        <f t="shared" si="5"/>
        <v>0</v>
      </c>
      <c r="J24" s="96">
        <f t="shared" si="5"/>
        <v>0</v>
      </c>
      <c r="K24" s="96">
        <f t="shared" si="5"/>
        <v>0</v>
      </c>
      <c r="L24" s="96">
        <f t="shared" si="5"/>
        <v>0</v>
      </c>
      <c r="M24" s="96">
        <f t="shared" si="5"/>
        <v>0</v>
      </c>
      <c r="N24" s="96">
        <f t="shared" si="5"/>
        <v>0</v>
      </c>
      <c r="O24" s="96">
        <f t="shared" si="5"/>
        <v>0</v>
      </c>
      <c r="P24" s="96">
        <f t="shared" si="5"/>
        <v>0</v>
      </c>
      <c r="Q24" s="96">
        <f t="shared" si="5"/>
        <v>0</v>
      </c>
      <c r="R24" s="96">
        <f t="shared" si="5"/>
        <v>0</v>
      </c>
      <c r="S24" s="96">
        <f t="shared" si="5"/>
        <v>0</v>
      </c>
      <c r="T24" s="96">
        <f t="shared" si="5"/>
        <v>0</v>
      </c>
      <c r="U24" s="96">
        <f t="shared" si="5"/>
        <v>0</v>
      </c>
      <c r="V24" s="96">
        <f t="shared" si="5"/>
        <v>0</v>
      </c>
      <c r="W24" s="96">
        <f t="shared" si="5"/>
        <v>0</v>
      </c>
      <c r="X24" s="96">
        <f t="shared" si="5"/>
        <v>0</v>
      </c>
      <c r="Y24" s="96">
        <f t="shared" si="5"/>
        <v>0</v>
      </c>
    </row>
    <row r="25" spans="3:25" x14ac:dyDescent="0.3">
      <c r="C25" s="39">
        <v>6731</v>
      </c>
      <c r="E25" s="34" t="s">
        <v>82</v>
      </c>
      <c r="F25" s="96">
        <f t="shared" si="6"/>
        <v>0</v>
      </c>
      <c r="G25" s="96">
        <f t="shared" si="5"/>
        <v>0</v>
      </c>
      <c r="H25" s="96">
        <f t="shared" si="5"/>
        <v>0</v>
      </c>
      <c r="I25" s="96">
        <f t="shared" si="5"/>
        <v>0</v>
      </c>
      <c r="J25" s="96">
        <f t="shared" si="5"/>
        <v>0</v>
      </c>
      <c r="K25" s="96">
        <f t="shared" ref="G25:Y27" si="7">K$6*$C25</f>
        <v>0</v>
      </c>
      <c r="L25" s="96">
        <f t="shared" si="7"/>
        <v>0</v>
      </c>
      <c r="M25" s="96">
        <f t="shared" si="7"/>
        <v>0</v>
      </c>
      <c r="N25" s="96">
        <f t="shared" si="7"/>
        <v>0</v>
      </c>
      <c r="O25" s="96">
        <f t="shared" si="7"/>
        <v>0</v>
      </c>
      <c r="P25" s="96">
        <f t="shared" si="7"/>
        <v>0</v>
      </c>
      <c r="Q25" s="96">
        <f t="shared" si="7"/>
        <v>0</v>
      </c>
      <c r="R25" s="96">
        <f t="shared" si="7"/>
        <v>0</v>
      </c>
      <c r="S25" s="96">
        <f t="shared" si="7"/>
        <v>0</v>
      </c>
      <c r="T25" s="96">
        <f t="shared" si="7"/>
        <v>0</v>
      </c>
      <c r="U25" s="96">
        <f t="shared" si="7"/>
        <v>0</v>
      </c>
      <c r="V25" s="96">
        <f t="shared" si="7"/>
        <v>0</v>
      </c>
      <c r="W25" s="96">
        <f t="shared" si="7"/>
        <v>0</v>
      </c>
      <c r="X25" s="96">
        <f t="shared" si="7"/>
        <v>0</v>
      </c>
      <c r="Y25" s="96">
        <f t="shared" si="7"/>
        <v>0</v>
      </c>
    </row>
    <row r="26" spans="3:25" x14ac:dyDescent="0.3">
      <c r="C26" s="39">
        <v>20533</v>
      </c>
      <c r="E26" s="34" t="s">
        <v>83</v>
      </c>
      <c r="F26" s="96">
        <f t="shared" si="6"/>
        <v>0</v>
      </c>
      <c r="G26" s="96">
        <f t="shared" si="7"/>
        <v>0</v>
      </c>
      <c r="H26" s="96">
        <f t="shared" si="7"/>
        <v>0</v>
      </c>
      <c r="I26" s="96">
        <f t="shared" si="7"/>
        <v>0</v>
      </c>
      <c r="J26" s="96">
        <f t="shared" si="7"/>
        <v>0</v>
      </c>
      <c r="K26" s="96">
        <f t="shared" si="7"/>
        <v>0</v>
      </c>
      <c r="L26" s="96">
        <f t="shared" si="7"/>
        <v>0</v>
      </c>
      <c r="M26" s="96">
        <f t="shared" si="7"/>
        <v>0</v>
      </c>
      <c r="N26" s="96">
        <f t="shared" si="7"/>
        <v>0</v>
      </c>
      <c r="O26" s="96">
        <f t="shared" si="7"/>
        <v>0</v>
      </c>
      <c r="P26" s="96">
        <f t="shared" si="7"/>
        <v>0</v>
      </c>
      <c r="Q26" s="96">
        <f t="shared" si="7"/>
        <v>0</v>
      </c>
      <c r="R26" s="96">
        <f t="shared" si="7"/>
        <v>0</v>
      </c>
      <c r="S26" s="96">
        <f t="shared" si="7"/>
        <v>0</v>
      </c>
      <c r="T26" s="96">
        <f t="shared" si="7"/>
        <v>0</v>
      </c>
      <c r="U26" s="96">
        <f t="shared" si="7"/>
        <v>0</v>
      </c>
      <c r="V26" s="96">
        <f t="shared" si="7"/>
        <v>0</v>
      </c>
      <c r="W26" s="96">
        <f t="shared" si="7"/>
        <v>0</v>
      </c>
      <c r="X26" s="96">
        <f t="shared" si="7"/>
        <v>0</v>
      </c>
      <c r="Y26" s="96">
        <f t="shared" si="7"/>
        <v>0</v>
      </c>
    </row>
    <row r="27" spans="3:25" x14ac:dyDescent="0.3">
      <c r="C27" s="39">
        <v>3188</v>
      </c>
      <c r="E27" s="34" t="s">
        <v>84</v>
      </c>
      <c r="F27" s="96">
        <f t="shared" si="6"/>
        <v>0</v>
      </c>
      <c r="G27" s="96">
        <f t="shared" si="7"/>
        <v>0</v>
      </c>
      <c r="H27" s="96">
        <f t="shared" si="7"/>
        <v>0</v>
      </c>
      <c r="I27" s="96">
        <f t="shared" si="7"/>
        <v>0</v>
      </c>
      <c r="J27" s="96">
        <f t="shared" si="7"/>
        <v>0</v>
      </c>
      <c r="K27" s="96">
        <f t="shared" si="7"/>
        <v>0</v>
      </c>
      <c r="L27" s="96">
        <f t="shared" si="7"/>
        <v>0</v>
      </c>
      <c r="M27" s="96">
        <f t="shared" si="7"/>
        <v>0</v>
      </c>
      <c r="N27" s="96">
        <f t="shared" si="7"/>
        <v>0</v>
      </c>
      <c r="O27" s="96">
        <f t="shared" si="7"/>
        <v>0</v>
      </c>
      <c r="P27" s="96">
        <f t="shared" si="7"/>
        <v>0</v>
      </c>
      <c r="Q27" s="96">
        <f t="shared" si="7"/>
        <v>0</v>
      </c>
      <c r="R27" s="96">
        <f t="shared" si="7"/>
        <v>0</v>
      </c>
      <c r="S27" s="96">
        <f t="shared" si="7"/>
        <v>0</v>
      </c>
      <c r="T27" s="96">
        <f t="shared" si="7"/>
        <v>0</v>
      </c>
      <c r="U27" s="96">
        <f t="shared" si="7"/>
        <v>0</v>
      </c>
      <c r="V27" s="96">
        <f t="shared" si="7"/>
        <v>0</v>
      </c>
      <c r="W27" s="96">
        <f t="shared" si="7"/>
        <v>0</v>
      </c>
      <c r="X27" s="96">
        <f t="shared" si="7"/>
        <v>0</v>
      </c>
      <c r="Y27" s="96">
        <f t="shared" si="7"/>
        <v>0</v>
      </c>
    </row>
    <row r="31" spans="3:25" x14ac:dyDescent="0.3">
      <c r="E31" s="33" t="s">
        <v>8</v>
      </c>
      <c r="F31" s="55">
        <v>86375</v>
      </c>
      <c r="G31" s="55">
        <v>11980</v>
      </c>
      <c r="H31" s="55">
        <v>7622</v>
      </c>
      <c r="I31" s="55">
        <v>11002</v>
      </c>
      <c r="J31" s="55">
        <v>17201</v>
      </c>
      <c r="K31" s="55">
        <v>5064</v>
      </c>
      <c r="L31" s="55">
        <v>19046</v>
      </c>
      <c r="M31" s="55">
        <v>20382</v>
      </c>
      <c r="N31" s="55">
        <v>77438</v>
      </c>
      <c r="O31" s="55">
        <v>47574</v>
      </c>
      <c r="P31" s="55">
        <v>9423</v>
      </c>
      <c r="Q31" s="55">
        <v>21089</v>
      </c>
      <c r="R31" s="55">
        <v>69374</v>
      </c>
      <c r="S31" s="55">
        <v>16682</v>
      </c>
      <c r="T31" s="55">
        <v>6731</v>
      </c>
      <c r="U31" s="55">
        <v>20533</v>
      </c>
      <c r="V31" s="55">
        <v>3188</v>
      </c>
      <c r="W31" s="55">
        <f>SUM(F31:V31)</f>
        <v>450704</v>
      </c>
    </row>
    <row r="32" spans="3:25" x14ac:dyDescent="0.3">
      <c r="D32" s="33" t="str">
        <f>Localization!$B$11</f>
        <v>Year</v>
      </c>
      <c r="E32" s="33" t="s">
        <v>67</v>
      </c>
      <c r="F32" s="56" t="s">
        <v>68</v>
      </c>
      <c r="G32" s="56" t="s">
        <v>69</v>
      </c>
      <c r="H32" s="56" t="s">
        <v>70</v>
      </c>
      <c r="I32" s="56" t="s">
        <v>71</v>
      </c>
      <c r="J32" s="56" t="s">
        <v>72</v>
      </c>
      <c r="K32" s="56" t="s">
        <v>73</v>
      </c>
      <c r="L32" s="56" t="s">
        <v>74</v>
      </c>
      <c r="M32" s="56" t="s">
        <v>75</v>
      </c>
      <c r="N32" s="56" t="s">
        <v>76</v>
      </c>
      <c r="O32" s="55" t="s">
        <v>77</v>
      </c>
      <c r="P32" s="55" t="s">
        <v>78</v>
      </c>
      <c r="Q32" s="55" t="s">
        <v>79</v>
      </c>
      <c r="R32" s="55" t="s">
        <v>80</v>
      </c>
      <c r="S32" s="55" t="s">
        <v>81</v>
      </c>
      <c r="T32" s="55" t="s">
        <v>82</v>
      </c>
      <c r="U32" s="55" t="s">
        <v>83</v>
      </c>
      <c r="V32" s="55" t="s">
        <v>84</v>
      </c>
      <c r="W32" s="55" t="s">
        <v>85</v>
      </c>
    </row>
    <row r="33" spans="4:24" x14ac:dyDescent="0.3">
      <c r="D33" s="33">
        <v>1</v>
      </c>
      <c r="E33" s="41">
        <f>F6</f>
        <v>0</v>
      </c>
      <c r="F33" s="44">
        <f t="shared" ref="F33:F52" si="8">$E33*F$31</f>
        <v>0</v>
      </c>
      <c r="G33" s="44">
        <f t="shared" ref="G33:V47" si="9">$E33*G$31</f>
        <v>0</v>
      </c>
      <c r="H33" s="44">
        <f t="shared" si="9"/>
        <v>0</v>
      </c>
      <c r="I33" s="44">
        <f t="shared" si="9"/>
        <v>0</v>
      </c>
      <c r="J33" s="44">
        <f t="shared" si="9"/>
        <v>0</v>
      </c>
      <c r="K33" s="44">
        <f t="shared" si="9"/>
        <v>0</v>
      </c>
      <c r="L33" s="44">
        <f t="shared" si="9"/>
        <v>0</v>
      </c>
      <c r="M33" s="44">
        <f t="shared" si="9"/>
        <v>0</v>
      </c>
      <c r="N33" s="44">
        <f t="shared" si="9"/>
        <v>0</v>
      </c>
      <c r="O33" s="44">
        <f t="shared" si="9"/>
        <v>0</v>
      </c>
      <c r="P33" s="44">
        <f t="shared" si="9"/>
        <v>0</v>
      </c>
      <c r="Q33" s="44">
        <f t="shared" si="9"/>
        <v>0</v>
      </c>
      <c r="R33" s="44">
        <f t="shared" si="9"/>
        <v>0</v>
      </c>
      <c r="S33" s="44">
        <f t="shared" si="9"/>
        <v>0</v>
      </c>
      <c r="T33" s="44">
        <f t="shared" si="9"/>
        <v>0</v>
      </c>
      <c r="U33" s="44">
        <f t="shared" si="9"/>
        <v>0</v>
      </c>
      <c r="V33" s="44">
        <f t="shared" si="9"/>
        <v>0</v>
      </c>
      <c r="W33" s="44">
        <f>SUM(F33:V33)</f>
        <v>0</v>
      </c>
      <c r="X33" s="41"/>
    </row>
    <row r="34" spans="4:24" x14ac:dyDescent="0.3">
      <c r="D34" s="33">
        <f>D33+1</f>
        <v>2</v>
      </c>
      <c r="E34" s="41">
        <f>G6</f>
        <v>0</v>
      </c>
      <c r="F34" s="44">
        <f t="shared" si="8"/>
        <v>0</v>
      </c>
      <c r="G34" s="44">
        <f t="shared" si="9"/>
        <v>0</v>
      </c>
      <c r="H34" s="44">
        <f t="shared" si="9"/>
        <v>0</v>
      </c>
      <c r="I34" s="44">
        <f t="shared" si="9"/>
        <v>0</v>
      </c>
      <c r="J34" s="44">
        <f t="shared" si="9"/>
        <v>0</v>
      </c>
      <c r="K34" s="44">
        <f t="shared" si="9"/>
        <v>0</v>
      </c>
      <c r="L34" s="44">
        <f t="shared" si="9"/>
        <v>0</v>
      </c>
      <c r="M34" s="44">
        <f t="shared" si="9"/>
        <v>0</v>
      </c>
      <c r="N34" s="44">
        <f t="shared" si="9"/>
        <v>0</v>
      </c>
      <c r="O34" s="44">
        <f t="shared" si="9"/>
        <v>0</v>
      </c>
      <c r="P34" s="44">
        <f t="shared" si="9"/>
        <v>0</v>
      </c>
      <c r="Q34" s="44">
        <f t="shared" si="9"/>
        <v>0</v>
      </c>
      <c r="R34" s="44">
        <f t="shared" si="9"/>
        <v>0</v>
      </c>
      <c r="S34" s="44">
        <f t="shared" si="9"/>
        <v>0</v>
      </c>
      <c r="T34" s="44">
        <f t="shared" si="9"/>
        <v>0</v>
      </c>
      <c r="U34" s="44">
        <f t="shared" si="9"/>
        <v>0</v>
      </c>
      <c r="V34" s="44">
        <f t="shared" si="9"/>
        <v>0</v>
      </c>
      <c r="W34" s="44">
        <f t="shared" ref="W34:W52" si="10">SUM(F34:V34)</f>
        <v>0</v>
      </c>
    </row>
    <row r="35" spans="4:24" x14ac:dyDescent="0.3">
      <c r="D35" s="33">
        <f t="shared" ref="D35:D52" si="11">D34+1</f>
        <v>3</v>
      </c>
      <c r="E35" s="41">
        <f>H6</f>
        <v>0</v>
      </c>
      <c r="F35" s="44">
        <f t="shared" si="8"/>
        <v>0</v>
      </c>
      <c r="G35" s="44">
        <f t="shared" si="9"/>
        <v>0</v>
      </c>
      <c r="H35" s="44">
        <f t="shared" si="9"/>
        <v>0</v>
      </c>
      <c r="I35" s="44">
        <f t="shared" si="9"/>
        <v>0</v>
      </c>
      <c r="J35" s="44">
        <f t="shared" si="9"/>
        <v>0</v>
      </c>
      <c r="K35" s="44">
        <f t="shared" si="9"/>
        <v>0</v>
      </c>
      <c r="L35" s="44">
        <f t="shared" si="9"/>
        <v>0</v>
      </c>
      <c r="M35" s="44">
        <f t="shared" si="9"/>
        <v>0</v>
      </c>
      <c r="N35" s="44">
        <f t="shared" si="9"/>
        <v>0</v>
      </c>
      <c r="O35" s="44">
        <f t="shared" si="9"/>
        <v>0</v>
      </c>
      <c r="P35" s="44">
        <f t="shared" si="9"/>
        <v>0</v>
      </c>
      <c r="Q35" s="44">
        <f t="shared" si="9"/>
        <v>0</v>
      </c>
      <c r="R35" s="44">
        <f t="shared" si="9"/>
        <v>0</v>
      </c>
      <c r="S35" s="44">
        <f t="shared" si="9"/>
        <v>0</v>
      </c>
      <c r="T35" s="44">
        <f t="shared" si="9"/>
        <v>0</v>
      </c>
      <c r="U35" s="44">
        <f t="shared" si="9"/>
        <v>0</v>
      </c>
      <c r="V35" s="44">
        <f t="shared" si="9"/>
        <v>0</v>
      </c>
      <c r="W35" s="44">
        <f t="shared" si="10"/>
        <v>0</v>
      </c>
    </row>
    <row r="36" spans="4:24" x14ac:dyDescent="0.3">
      <c r="D36" s="33">
        <f t="shared" si="11"/>
        <v>4</v>
      </c>
      <c r="E36" s="41">
        <f>I6</f>
        <v>0</v>
      </c>
      <c r="F36" s="44">
        <f t="shared" si="8"/>
        <v>0</v>
      </c>
      <c r="G36" s="44">
        <f t="shared" si="9"/>
        <v>0</v>
      </c>
      <c r="H36" s="44">
        <f t="shared" si="9"/>
        <v>0</v>
      </c>
      <c r="I36" s="44">
        <f t="shared" si="9"/>
        <v>0</v>
      </c>
      <c r="J36" s="44">
        <f t="shared" si="9"/>
        <v>0</v>
      </c>
      <c r="K36" s="44">
        <f t="shared" si="9"/>
        <v>0</v>
      </c>
      <c r="L36" s="44">
        <f t="shared" si="9"/>
        <v>0</v>
      </c>
      <c r="M36" s="44">
        <f t="shared" si="9"/>
        <v>0</v>
      </c>
      <c r="N36" s="44">
        <f t="shared" si="9"/>
        <v>0</v>
      </c>
      <c r="O36" s="44">
        <f t="shared" si="9"/>
        <v>0</v>
      </c>
      <c r="P36" s="44">
        <f t="shared" si="9"/>
        <v>0</v>
      </c>
      <c r="Q36" s="44">
        <f t="shared" si="9"/>
        <v>0</v>
      </c>
      <c r="R36" s="44">
        <f t="shared" si="9"/>
        <v>0</v>
      </c>
      <c r="S36" s="44">
        <f t="shared" si="9"/>
        <v>0</v>
      </c>
      <c r="T36" s="44">
        <f t="shared" si="9"/>
        <v>0</v>
      </c>
      <c r="U36" s="44">
        <f t="shared" si="9"/>
        <v>0</v>
      </c>
      <c r="V36" s="44">
        <f t="shared" si="9"/>
        <v>0</v>
      </c>
      <c r="W36" s="44">
        <f t="shared" si="10"/>
        <v>0</v>
      </c>
    </row>
    <row r="37" spans="4:24" x14ac:dyDescent="0.3">
      <c r="D37" s="33">
        <f t="shared" si="11"/>
        <v>5</v>
      </c>
      <c r="E37" s="41">
        <f>J6</f>
        <v>0</v>
      </c>
      <c r="F37" s="44">
        <f t="shared" si="8"/>
        <v>0</v>
      </c>
      <c r="G37" s="44">
        <f t="shared" si="9"/>
        <v>0</v>
      </c>
      <c r="H37" s="44">
        <f t="shared" si="9"/>
        <v>0</v>
      </c>
      <c r="I37" s="44">
        <f t="shared" si="9"/>
        <v>0</v>
      </c>
      <c r="J37" s="44">
        <f t="shared" si="9"/>
        <v>0</v>
      </c>
      <c r="K37" s="44">
        <f t="shared" si="9"/>
        <v>0</v>
      </c>
      <c r="L37" s="44">
        <f t="shared" si="9"/>
        <v>0</v>
      </c>
      <c r="M37" s="44">
        <f t="shared" si="9"/>
        <v>0</v>
      </c>
      <c r="N37" s="44">
        <f t="shared" si="9"/>
        <v>0</v>
      </c>
      <c r="O37" s="44">
        <f t="shared" si="9"/>
        <v>0</v>
      </c>
      <c r="P37" s="44">
        <f t="shared" si="9"/>
        <v>0</v>
      </c>
      <c r="Q37" s="44">
        <f t="shared" si="9"/>
        <v>0</v>
      </c>
      <c r="R37" s="44">
        <f t="shared" si="9"/>
        <v>0</v>
      </c>
      <c r="S37" s="44">
        <f t="shared" si="9"/>
        <v>0</v>
      </c>
      <c r="T37" s="44">
        <f t="shared" si="9"/>
        <v>0</v>
      </c>
      <c r="U37" s="44">
        <f t="shared" si="9"/>
        <v>0</v>
      </c>
      <c r="V37" s="44">
        <f t="shared" si="9"/>
        <v>0</v>
      </c>
      <c r="W37" s="44">
        <f t="shared" si="10"/>
        <v>0</v>
      </c>
    </row>
    <row r="38" spans="4:24" x14ac:dyDescent="0.3">
      <c r="D38" s="33">
        <f t="shared" si="11"/>
        <v>6</v>
      </c>
      <c r="E38" s="41">
        <f>K6</f>
        <v>0</v>
      </c>
      <c r="F38" s="44">
        <f t="shared" si="8"/>
        <v>0</v>
      </c>
      <c r="G38" s="44">
        <f t="shared" si="9"/>
        <v>0</v>
      </c>
      <c r="H38" s="44">
        <f t="shared" si="9"/>
        <v>0</v>
      </c>
      <c r="I38" s="44">
        <f t="shared" si="9"/>
        <v>0</v>
      </c>
      <c r="J38" s="44">
        <f t="shared" si="9"/>
        <v>0</v>
      </c>
      <c r="K38" s="44">
        <f t="shared" si="9"/>
        <v>0</v>
      </c>
      <c r="L38" s="44">
        <f t="shared" si="9"/>
        <v>0</v>
      </c>
      <c r="M38" s="44">
        <f t="shared" si="9"/>
        <v>0</v>
      </c>
      <c r="N38" s="44">
        <f t="shared" si="9"/>
        <v>0</v>
      </c>
      <c r="O38" s="44">
        <f t="shared" si="9"/>
        <v>0</v>
      </c>
      <c r="P38" s="44">
        <f t="shared" si="9"/>
        <v>0</v>
      </c>
      <c r="Q38" s="44">
        <f t="shared" si="9"/>
        <v>0</v>
      </c>
      <c r="R38" s="44">
        <f t="shared" si="9"/>
        <v>0</v>
      </c>
      <c r="S38" s="44">
        <f t="shared" si="9"/>
        <v>0</v>
      </c>
      <c r="T38" s="44">
        <f t="shared" si="9"/>
        <v>0</v>
      </c>
      <c r="U38" s="44">
        <f t="shared" si="9"/>
        <v>0</v>
      </c>
      <c r="V38" s="44">
        <f t="shared" si="9"/>
        <v>0</v>
      </c>
      <c r="W38" s="44">
        <f t="shared" si="10"/>
        <v>0</v>
      </c>
    </row>
    <row r="39" spans="4:24" x14ac:dyDescent="0.3">
      <c r="D39" s="33">
        <f t="shared" si="11"/>
        <v>7</v>
      </c>
      <c r="E39" s="41">
        <f>L6</f>
        <v>0</v>
      </c>
      <c r="F39" s="44">
        <f t="shared" si="8"/>
        <v>0</v>
      </c>
      <c r="G39" s="44">
        <f t="shared" si="9"/>
        <v>0</v>
      </c>
      <c r="H39" s="44">
        <f t="shared" si="9"/>
        <v>0</v>
      </c>
      <c r="I39" s="44">
        <f t="shared" si="9"/>
        <v>0</v>
      </c>
      <c r="J39" s="44">
        <f t="shared" si="9"/>
        <v>0</v>
      </c>
      <c r="K39" s="44">
        <f t="shared" si="9"/>
        <v>0</v>
      </c>
      <c r="L39" s="44">
        <f t="shared" si="9"/>
        <v>0</v>
      </c>
      <c r="M39" s="44">
        <f t="shared" si="9"/>
        <v>0</v>
      </c>
      <c r="N39" s="44">
        <f t="shared" si="9"/>
        <v>0</v>
      </c>
      <c r="O39" s="44">
        <f t="shared" si="9"/>
        <v>0</v>
      </c>
      <c r="P39" s="44">
        <f t="shared" si="9"/>
        <v>0</v>
      </c>
      <c r="Q39" s="44">
        <f t="shared" si="9"/>
        <v>0</v>
      </c>
      <c r="R39" s="44">
        <f t="shared" si="9"/>
        <v>0</v>
      </c>
      <c r="S39" s="44">
        <f t="shared" si="9"/>
        <v>0</v>
      </c>
      <c r="T39" s="44">
        <f t="shared" si="9"/>
        <v>0</v>
      </c>
      <c r="U39" s="44">
        <f t="shared" si="9"/>
        <v>0</v>
      </c>
      <c r="V39" s="44">
        <f t="shared" si="9"/>
        <v>0</v>
      </c>
      <c r="W39" s="44">
        <f t="shared" si="10"/>
        <v>0</v>
      </c>
    </row>
    <row r="40" spans="4:24" x14ac:dyDescent="0.3">
      <c r="D40" s="33">
        <f t="shared" si="11"/>
        <v>8</v>
      </c>
      <c r="E40" s="41">
        <f>M6</f>
        <v>0</v>
      </c>
      <c r="F40" s="44">
        <f t="shared" si="8"/>
        <v>0</v>
      </c>
      <c r="G40" s="44">
        <f t="shared" si="9"/>
        <v>0</v>
      </c>
      <c r="H40" s="44">
        <f t="shared" si="9"/>
        <v>0</v>
      </c>
      <c r="I40" s="44">
        <f t="shared" si="9"/>
        <v>0</v>
      </c>
      <c r="J40" s="44">
        <f t="shared" si="9"/>
        <v>0</v>
      </c>
      <c r="K40" s="44">
        <f t="shared" si="9"/>
        <v>0</v>
      </c>
      <c r="L40" s="44">
        <f t="shared" si="9"/>
        <v>0</v>
      </c>
      <c r="M40" s="44">
        <f t="shared" si="9"/>
        <v>0</v>
      </c>
      <c r="N40" s="44">
        <f t="shared" si="9"/>
        <v>0</v>
      </c>
      <c r="O40" s="44">
        <f t="shared" si="9"/>
        <v>0</v>
      </c>
      <c r="P40" s="44">
        <f t="shared" si="9"/>
        <v>0</v>
      </c>
      <c r="Q40" s="44">
        <f t="shared" si="9"/>
        <v>0</v>
      </c>
      <c r="R40" s="44">
        <f t="shared" si="9"/>
        <v>0</v>
      </c>
      <c r="S40" s="44">
        <f t="shared" si="9"/>
        <v>0</v>
      </c>
      <c r="T40" s="44">
        <f t="shared" si="9"/>
        <v>0</v>
      </c>
      <c r="U40" s="44">
        <f t="shared" si="9"/>
        <v>0</v>
      </c>
      <c r="V40" s="44">
        <f t="shared" si="9"/>
        <v>0</v>
      </c>
      <c r="W40" s="44">
        <f t="shared" si="10"/>
        <v>0</v>
      </c>
    </row>
    <row r="41" spans="4:24" x14ac:dyDescent="0.3">
      <c r="D41" s="33">
        <f t="shared" si="11"/>
        <v>9</v>
      </c>
      <c r="E41" s="41">
        <f>N6</f>
        <v>0</v>
      </c>
      <c r="F41" s="44">
        <f t="shared" si="8"/>
        <v>0</v>
      </c>
      <c r="G41" s="44">
        <f t="shared" si="9"/>
        <v>0</v>
      </c>
      <c r="H41" s="44">
        <f t="shared" si="9"/>
        <v>0</v>
      </c>
      <c r="I41" s="44">
        <f t="shared" si="9"/>
        <v>0</v>
      </c>
      <c r="J41" s="44">
        <f t="shared" si="9"/>
        <v>0</v>
      </c>
      <c r="K41" s="44">
        <f t="shared" si="9"/>
        <v>0</v>
      </c>
      <c r="L41" s="44">
        <f t="shared" si="9"/>
        <v>0</v>
      </c>
      <c r="M41" s="44">
        <f t="shared" si="9"/>
        <v>0</v>
      </c>
      <c r="N41" s="44">
        <f t="shared" si="9"/>
        <v>0</v>
      </c>
      <c r="O41" s="44">
        <f t="shared" si="9"/>
        <v>0</v>
      </c>
      <c r="P41" s="44">
        <f t="shared" si="9"/>
        <v>0</v>
      </c>
      <c r="Q41" s="44">
        <f t="shared" si="9"/>
        <v>0</v>
      </c>
      <c r="R41" s="44">
        <f t="shared" si="9"/>
        <v>0</v>
      </c>
      <c r="S41" s="44">
        <f t="shared" si="9"/>
        <v>0</v>
      </c>
      <c r="T41" s="44">
        <f t="shared" si="9"/>
        <v>0</v>
      </c>
      <c r="U41" s="44">
        <f t="shared" si="9"/>
        <v>0</v>
      </c>
      <c r="V41" s="44">
        <f t="shared" si="9"/>
        <v>0</v>
      </c>
      <c r="W41" s="44">
        <f t="shared" si="10"/>
        <v>0</v>
      </c>
    </row>
    <row r="42" spans="4:24" x14ac:dyDescent="0.3">
      <c r="D42" s="33">
        <f t="shared" si="11"/>
        <v>10</v>
      </c>
      <c r="E42" s="41">
        <f>O6</f>
        <v>0</v>
      </c>
      <c r="F42" s="44">
        <f t="shared" si="8"/>
        <v>0</v>
      </c>
      <c r="G42" s="44">
        <f t="shared" si="9"/>
        <v>0</v>
      </c>
      <c r="H42" s="44">
        <f t="shared" si="9"/>
        <v>0</v>
      </c>
      <c r="I42" s="44">
        <f t="shared" si="9"/>
        <v>0</v>
      </c>
      <c r="J42" s="44">
        <f t="shared" si="9"/>
        <v>0</v>
      </c>
      <c r="K42" s="44">
        <f t="shared" si="9"/>
        <v>0</v>
      </c>
      <c r="L42" s="44">
        <f t="shared" si="9"/>
        <v>0</v>
      </c>
      <c r="M42" s="44">
        <f t="shared" si="9"/>
        <v>0</v>
      </c>
      <c r="N42" s="44">
        <f t="shared" si="9"/>
        <v>0</v>
      </c>
      <c r="O42" s="44">
        <f t="shared" si="9"/>
        <v>0</v>
      </c>
      <c r="P42" s="44">
        <f t="shared" si="9"/>
        <v>0</v>
      </c>
      <c r="Q42" s="44">
        <f t="shared" si="9"/>
        <v>0</v>
      </c>
      <c r="R42" s="44">
        <f t="shared" si="9"/>
        <v>0</v>
      </c>
      <c r="S42" s="44">
        <f t="shared" si="9"/>
        <v>0</v>
      </c>
      <c r="T42" s="44">
        <f t="shared" si="9"/>
        <v>0</v>
      </c>
      <c r="U42" s="44">
        <f t="shared" si="9"/>
        <v>0</v>
      </c>
      <c r="V42" s="44">
        <f t="shared" si="9"/>
        <v>0</v>
      </c>
      <c r="W42" s="44">
        <f>SUM(F42:V42)</f>
        <v>0</v>
      </c>
    </row>
    <row r="43" spans="4:24" x14ac:dyDescent="0.3">
      <c r="D43" s="33">
        <f t="shared" si="11"/>
        <v>11</v>
      </c>
      <c r="E43" s="41">
        <f>P6</f>
        <v>0</v>
      </c>
      <c r="F43" s="44">
        <f t="shared" si="8"/>
        <v>0</v>
      </c>
      <c r="G43" s="44">
        <f t="shared" si="9"/>
        <v>0</v>
      </c>
      <c r="H43" s="44">
        <f t="shared" si="9"/>
        <v>0</v>
      </c>
      <c r="I43" s="44">
        <f t="shared" si="9"/>
        <v>0</v>
      </c>
      <c r="J43" s="44">
        <f t="shared" si="9"/>
        <v>0</v>
      </c>
      <c r="K43" s="44">
        <f t="shared" si="9"/>
        <v>0</v>
      </c>
      <c r="L43" s="44">
        <f t="shared" si="9"/>
        <v>0</v>
      </c>
      <c r="M43" s="44">
        <f t="shared" si="9"/>
        <v>0</v>
      </c>
      <c r="N43" s="44">
        <f t="shared" si="9"/>
        <v>0</v>
      </c>
      <c r="O43" s="44">
        <f t="shared" si="9"/>
        <v>0</v>
      </c>
      <c r="P43" s="44">
        <f t="shared" si="9"/>
        <v>0</v>
      </c>
      <c r="Q43" s="44">
        <f t="shared" si="9"/>
        <v>0</v>
      </c>
      <c r="R43" s="44">
        <f t="shared" si="9"/>
        <v>0</v>
      </c>
      <c r="S43" s="44">
        <f t="shared" si="9"/>
        <v>0</v>
      </c>
      <c r="T43" s="44">
        <f t="shared" si="9"/>
        <v>0</v>
      </c>
      <c r="U43" s="44">
        <f t="shared" si="9"/>
        <v>0</v>
      </c>
      <c r="V43" s="44">
        <f t="shared" si="9"/>
        <v>0</v>
      </c>
      <c r="W43" s="44">
        <f t="shared" si="10"/>
        <v>0</v>
      </c>
    </row>
    <row r="44" spans="4:24" x14ac:dyDescent="0.3">
      <c r="D44" s="33">
        <f t="shared" si="11"/>
        <v>12</v>
      </c>
      <c r="E44" s="41">
        <f>Q6</f>
        <v>0</v>
      </c>
      <c r="F44" s="44">
        <f t="shared" si="8"/>
        <v>0</v>
      </c>
      <c r="G44" s="44">
        <f t="shared" si="9"/>
        <v>0</v>
      </c>
      <c r="H44" s="44">
        <f t="shared" si="9"/>
        <v>0</v>
      </c>
      <c r="I44" s="44">
        <f t="shared" si="9"/>
        <v>0</v>
      </c>
      <c r="J44" s="44">
        <f t="shared" si="9"/>
        <v>0</v>
      </c>
      <c r="K44" s="44">
        <f t="shared" si="9"/>
        <v>0</v>
      </c>
      <c r="L44" s="44">
        <f t="shared" si="9"/>
        <v>0</v>
      </c>
      <c r="M44" s="44">
        <f t="shared" si="9"/>
        <v>0</v>
      </c>
      <c r="N44" s="44">
        <f t="shared" si="9"/>
        <v>0</v>
      </c>
      <c r="O44" s="44">
        <f t="shared" si="9"/>
        <v>0</v>
      </c>
      <c r="P44" s="44">
        <f t="shared" si="9"/>
        <v>0</v>
      </c>
      <c r="Q44" s="44">
        <f t="shared" si="9"/>
        <v>0</v>
      </c>
      <c r="R44" s="44">
        <f t="shared" si="9"/>
        <v>0</v>
      </c>
      <c r="S44" s="44">
        <f t="shared" si="9"/>
        <v>0</v>
      </c>
      <c r="T44" s="44">
        <f t="shared" si="9"/>
        <v>0</v>
      </c>
      <c r="U44" s="44">
        <f t="shared" si="9"/>
        <v>0</v>
      </c>
      <c r="V44" s="44">
        <f t="shared" si="9"/>
        <v>0</v>
      </c>
      <c r="W44" s="44">
        <f t="shared" si="10"/>
        <v>0</v>
      </c>
    </row>
    <row r="45" spans="4:24" x14ac:dyDescent="0.3">
      <c r="D45" s="33">
        <f t="shared" si="11"/>
        <v>13</v>
      </c>
      <c r="E45" s="41">
        <f>R6</f>
        <v>0</v>
      </c>
      <c r="F45" s="44">
        <f t="shared" si="8"/>
        <v>0</v>
      </c>
      <c r="G45" s="44">
        <f t="shared" si="9"/>
        <v>0</v>
      </c>
      <c r="H45" s="44">
        <f t="shared" si="9"/>
        <v>0</v>
      </c>
      <c r="I45" s="44">
        <f t="shared" si="9"/>
        <v>0</v>
      </c>
      <c r="J45" s="44">
        <f t="shared" si="9"/>
        <v>0</v>
      </c>
      <c r="K45" s="44">
        <f t="shared" si="9"/>
        <v>0</v>
      </c>
      <c r="L45" s="44">
        <f t="shared" si="9"/>
        <v>0</v>
      </c>
      <c r="M45" s="44">
        <f t="shared" si="9"/>
        <v>0</v>
      </c>
      <c r="N45" s="44">
        <f t="shared" si="9"/>
        <v>0</v>
      </c>
      <c r="O45" s="44">
        <f t="shared" si="9"/>
        <v>0</v>
      </c>
      <c r="P45" s="44">
        <f t="shared" si="9"/>
        <v>0</v>
      </c>
      <c r="Q45" s="44">
        <f t="shared" si="9"/>
        <v>0</v>
      </c>
      <c r="R45" s="44">
        <f t="shared" si="9"/>
        <v>0</v>
      </c>
      <c r="S45" s="44">
        <f t="shared" si="9"/>
        <v>0</v>
      </c>
      <c r="T45" s="44">
        <f t="shared" si="9"/>
        <v>0</v>
      </c>
      <c r="U45" s="44">
        <f t="shared" si="9"/>
        <v>0</v>
      </c>
      <c r="V45" s="44">
        <f t="shared" si="9"/>
        <v>0</v>
      </c>
      <c r="W45" s="44">
        <f t="shared" si="10"/>
        <v>0</v>
      </c>
    </row>
    <row r="46" spans="4:24" x14ac:dyDescent="0.3">
      <c r="D46" s="33">
        <f t="shared" si="11"/>
        <v>14</v>
      </c>
      <c r="E46" s="41">
        <f>S6</f>
        <v>0</v>
      </c>
      <c r="F46" s="44">
        <f t="shared" si="8"/>
        <v>0</v>
      </c>
      <c r="G46" s="44">
        <f t="shared" si="9"/>
        <v>0</v>
      </c>
      <c r="H46" s="44">
        <f t="shared" si="9"/>
        <v>0</v>
      </c>
      <c r="I46" s="44">
        <f t="shared" si="9"/>
        <v>0</v>
      </c>
      <c r="J46" s="44">
        <f t="shared" si="9"/>
        <v>0</v>
      </c>
      <c r="K46" s="44">
        <f t="shared" si="9"/>
        <v>0</v>
      </c>
      <c r="L46" s="44">
        <f t="shared" si="9"/>
        <v>0</v>
      </c>
      <c r="M46" s="44">
        <f t="shared" si="9"/>
        <v>0</v>
      </c>
      <c r="N46" s="44">
        <f t="shared" si="9"/>
        <v>0</v>
      </c>
      <c r="O46" s="44">
        <f t="shared" si="9"/>
        <v>0</v>
      </c>
      <c r="P46" s="44">
        <f t="shared" si="9"/>
        <v>0</v>
      </c>
      <c r="Q46" s="44">
        <f t="shared" si="9"/>
        <v>0</v>
      </c>
      <c r="R46" s="44">
        <f t="shared" si="9"/>
        <v>0</v>
      </c>
      <c r="S46" s="44">
        <f t="shared" si="9"/>
        <v>0</v>
      </c>
      <c r="T46" s="44">
        <f t="shared" si="9"/>
        <v>0</v>
      </c>
      <c r="U46" s="44">
        <f t="shared" si="9"/>
        <v>0</v>
      </c>
      <c r="V46" s="44">
        <f t="shared" si="9"/>
        <v>0</v>
      </c>
      <c r="W46" s="44">
        <f t="shared" si="10"/>
        <v>0</v>
      </c>
    </row>
    <row r="47" spans="4:24" x14ac:dyDescent="0.3">
      <c r="D47" s="33">
        <f t="shared" si="11"/>
        <v>15</v>
      </c>
      <c r="E47" s="41">
        <f>T6</f>
        <v>0</v>
      </c>
      <c r="F47" s="44">
        <f t="shared" si="8"/>
        <v>0</v>
      </c>
      <c r="G47" s="44">
        <f t="shared" si="9"/>
        <v>0</v>
      </c>
      <c r="H47" s="44">
        <f t="shared" si="9"/>
        <v>0</v>
      </c>
      <c r="I47" s="44">
        <f t="shared" si="9"/>
        <v>0</v>
      </c>
      <c r="J47" s="44">
        <f t="shared" si="9"/>
        <v>0</v>
      </c>
      <c r="K47" s="44">
        <f t="shared" si="9"/>
        <v>0</v>
      </c>
      <c r="L47" s="44">
        <f t="shared" si="9"/>
        <v>0</v>
      </c>
      <c r="M47" s="44">
        <f t="shared" si="9"/>
        <v>0</v>
      </c>
      <c r="N47" s="44">
        <f t="shared" si="9"/>
        <v>0</v>
      </c>
      <c r="O47" s="44">
        <f t="shared" si="9"/>
        <v>0</v>
      </c>
      <c r="P47" s="44">
        <f t="shared" si="9"/>
        <v>0</v>
      </c>
      <c r="Q47" s="44">
        <f t="shared" si="9"/>
        <v>0</v>
      </c>
      <c r="R47" s="44">
        <f t="shared" si="9"/>
        <v>0</v>
      </c>
      <c r="S47" s="44">
        <f t="shared" si="9"/>
        <v>0</v>
      </c>
      <c r="T47" s="44">
        <f t="shared" si="9"/>
        <v>0</v>
      </c>
      <c r="U47" s="44">
        <f t="shared" si="9"/>
        <v>0</v>
      </c>
      <c r="V47" s="44">
        <f t="shared" si="9"/>
        <v>0</v>
      </c>
      <c r="W47" s="44">
        <f t="shared" si="10"/>
        <v>0</v>
      </c>
    </row>
    <row r="48" spans="4:24" x14ac:dyDescent="0.3">
      <c r="D48" s="33">
        <f t="shared" si="11"/>
        <v>16</v>
      </c>
      <c r="E48" s="41">
        <f>U6</f>
        <v>0</v>
      </c>
      <c r="F48" s="44">
        <f t="shared" si="8"/>
        <v>0</v>
      </c>
      <c r="G48" s="44">
        <f t="shared" ref="G48:V52" si="12">$E48*G$31</f>
        <v>0</v>
      </c>
      <c r="H48" s="44">
        <f t="shared" si="12"/>
        <v>0</v>
      </c>
      <c r="I48" s="44">
        <f t="shared" si="12"/>
        <v>0</v>
      </c>
      <c r="J48" s="44">
        <f t="shared" si="12"/>
        <v>0</v>
      </c>
      <c r="K48" s="44">
        <f t="shared" si="12"/>
        <v>0</v>
      </c>
      <c r="L48" s="44">
        <f t="shared" si="12"/>
        <v>0</v>
      </c>
      <c r="M48" s="44">
        <f t="shared" si="12"/>
        <v>0</v>
      </c>
      <c r="N48" s="44">
        <f t="shared" si="12"/>
        <v>0</v>
      </c>
      <c r="O48" s="44">
        <f t="shared" si="12"/>
        <v>0</v>
      </c>
      <c r="P48" s="44">
        <f t="shared" si="12"/>
        <v>0</v>
      </c>
      <c r="Q48" s="44">
        <f t="shared" si="12"/>
        <v>0</v>
      </c>
      <c r="R48" s="44">
        <f t="shared" si="12"/>
        <v>0</v>
      </c>
      <c r="S48" s="44">
        <f t="shared" si="12"/>
        <v>0</v>
      </c>
      <c r="T48" s="44">
        <f t="shared" si="12"/>
        <v>0</v>
      </c>
      <c r="U48" s="44">
        <f t="shared" si="12"/>
        <v>0</v>
      </c>
      <c r="V48" s="44">
        <f t="shared" si="12"/>
        <v>0</v>
      </c>
      <c r="W48" s="44">
        <f t="shared" si="10"/>
        <v>0</v>
      </c>
    </row>
    <row r="49" spans="4:23" x14ac:dyDescent="0.3">
      <c r="D49" s="33">
        <f t="shared" si="11"/>
        <v>17</v>
      </c>
      <c r="E49" s="41">
        <f>V6</f>
        <v>0</v>
      </c>
      <c r="F49" s="44">
        <f t="shared" si="8"/>
        <v>0</v>
      </c>
      <c r="G49" s="44">
        <f t="shared" si="12"/>
        <v>0</v>
      </c>
      <c r="H49" s="44">
        <f t="shared" si="12"/>
        <v>0</v>
      </c>
      <c r="I49" s="44">
        <f t="shared" si="12"/>
        <v>0</v>
      </c>
      <c r="J49" s="44">
        <f t="shared" si="12"/>
        <v>0</v>
      </c>
      <c r="K49" s="44">
        <f t="shared" si="12"/>
        <v>0</v>
      </c>
      <c r="L49" s="44">
        <f t="shared" si="12"/>
        <v>0</v>
      </c>
      <c r="M49" s="44">
        <f t="shared" si="12"/>
        <v>0</v>
      </c>
      <c r="N49" s="44">
        <f t="shared" si="12"/>
        <v>0</v>
      </c>
      <c r="O49" s="44">
        <f t="shared" si="12"/>
        <v>0</v>
      </c>
      <c r="P49" s="44">
        <f t="shared" si="12"/>
        <v>0</v>
      </c>
      <c r="Q49" s="44">
        <f t="shared" si="12"/>
        <v>0</v>
      </c>
      <c r="R49" s="44">
        <f t="shared" si="12"/>
        <v>0</v>
      </c>
      <c r="S49" s="44">
        <f t="shared" si="12"/>
        <v>0</v>
      </c>
      <c r="T49" s="44">
        <f t="shared" si="12"/>
        <v>0</v>
      </c>
      <c r="U49" s="44">
        <f t="shared" si="12"/>
        <v>0</v>
      </c>
      <c r="V49" s="44">
        <f t="shared" si="12"/>
        <v>0</v>
      </c>
      <c r="W49" s="44">
        <f t="shared" si="10"/>
        <v>0</v>
      </c>
    </row>
    <row r="50" spans="4:23" x14ac:dyDescent="0.3">
      <c r="D50" s="33">
        <f t="shared" si="11"/>
        <v>18</v>
      </c>
      <c r="E50" s="41">
        <f>W6</f>
        <v>0</v>
      </c>
      <c r="F50" s="44">
        <f t="shared" si="8"/>
        <v>0</v>
      </c>
      <c r="G50" s="44">
        <f t="shared" si="12"/>
        <v>0</v>
      </c>
      <c r="H50" s="44">
        <f t="shared" si="12"/>
        <v>0</v>
      </c>
      <c r="I50" s="44">
        <f t="shared" si="12"/>
        <v>0</v>
      </c>
      <c r="J50" s="44">
        <f t="shared" si="12"/>
        <v>0</v>
      </c>
      <c r="K50" s="44">
        <f t="shared" si="12"/>
        <v>0</v>
      </c>
      <c r="L50" s="44">
        <f t="shared" si="12"/>
        <v>0</v>
      </c>
      <c r="M50" s="44">
        <f t="shared" si="12"/>
        <v>0</v>
      </c>
      <c r="N50" s="44">
        <f t="shared" si="12"/>
        <v>0</v>
      </c>
      <c r="O50" s="44">
        <f t="shared" si="12"/>
        <v>0</v>
      </c>
      <c r="P50" s="44">
        <f t="shared" si="12"/>
        <v>0</v>
      </c>
      <c r="Q50" s="44">
        <f t="shared" si="12"/>
        <v>0</v>
      </c>
      <c r="R50" s="44">
        <f t="shared" si="12"/>
        <v>0</v>
      </c>
      <c r="S50" s="44">
        <f t="shared" si="12"/>
        <v>0</v>
      </c>
      <c r="T50" s="44">
        <f t="shared" si="12"/>
        <v>0</v>
      </c>
      <c r="U50" s="44">
        <f t="shared" si="12"/>
        <v>0</v>
      </c>
      <c r="V50" s="44">
        <f t="shared" si="12"/>
        <v>0</v>
      </c>
      <c r="W50" s="44">
        <f t="shared" si="10"/>
        <v>0</v>
      </c>
    </row>
    <row r="51" spans="4:23" x14ac:dyDescent="0.3">
      <c r="D51" s="33">
        <f t="shared" si="11"/>
        <v>19</v>
      </c>
      <c r="E51" s="41">
        <f>X6</f>
        <v>0</v>
      </c>
      <c r="F51" s="44">
        <f t="shared" si="8"/>
        <v>0</v>
      </c>
      <c r="G51" s="44">
        <f t="shared" si="12"/>
        <v>0</v>
      </c>
      <c r="H51" s="44">
        <f t="shared" si="12"/>
        <v>0</v>
      </c>
      <c r="I51" s="44">
        <f t="shared" si="12"/>
        <v>0</v>
      </c>
      <c r="J51" s="44">
        <f t="shared" si="12"/>
        <v>0</v>
      </c>
      <c r="K51" s="44">
        <f t="shared" si="12"/>
        <v>0</v>
      </c>
      <c r="L51" s="44">
        <f t="shared" si="12"/>
        <v>0</v>
      </c>
      <c r="M51" s="44">
        <f t="shared" si="12"/>
        <v>0</v>
      </c>
      <c r="N51" s="44">
        <f t="shared" si="12"/>
        <v>0</v>
      </c>
      <c r="O51" s="44">
        <f t="shared" si="12"/>
        <v>0</v>
      </c>
      <c r="P51" s="44">
        <f t="shared" si="12"/>
        <v>0</v>
      </c>
      <c r="Q51" s="44">
        <f t="shared" si="12"/>
        <v>0</v>
      </c>
      <c r="R51" s="44">
        <f t="shared" si="12"/>
        <v>0</v>
      </c>
      <c r="S51" s="44">
        <f t="shared" si="12"/>
        <v>0</v>
      </c>
      <c r="T51" s="44">
        <f t="shared" si="12"/>
        <v>0</v>
      </c>
      <c r="U51" s="44">
        <f t="shared" si="12"/>
        <v>0</v>
      </c>
      <c r="V51" s="44">
        <f t="shared" si="12"/>
        <v>0</v>
      </c>
      <c r="W51" s="44">
        <f t="shared" si="10"/>
        <v>0</v>
      </c>
    </row>
    <row r="52" spans="4:23" x14ac:dyDescent="0.3">
      <c r="D52" s="33">
        <f t="shared" si="11"/>
        <v>20</v>
      </c>
      <c r="E52" s="41">
        <f>Y6</f>
        <v>0</v>
      </c>
      <c r="F52" s="44">
        <f t="shared" si="8"/>
        <v>0</v>
      </c>
      <c r="G52" s="44">
        <f t="shared" si="12"/>
        <v>0</v>
      </c>
      <c r="H52" s="44">
        <f t="shared" si="12"/>
        <v>0</v>
      </c>
      <c r="I52" s="44">
        <f t="shared" si="12"/>
        <v>0</v>
      </c>
      <c r="J52" s="44">
        <f t="shared" si="12"/>
        <v>0</v>
      </c>
      <c r="K52" s="44">
        <f t="shared" si="12"/>
        <v>0</v>
      </c>
      <c r="L52" s="44">
        <f t="shared" si="12"/>
        <v>0</v>
      </c>
      <c r="M52" s="44">
        <f t="shared" si="12"/>
        <v>0</v>
      </c>
      <c r="N52" s="44">
        <f t="shared" si="12"/>
        <v>0</v>
      </c>
      <c r="O52" s="44">
        <f t="shared" si="12"/>
        <v>0</v>
      </c>
      <c r="P52" s="44">
        <f t="shared" si="12"/>
        <v>0</v>
      </c>
      <c r="Q52" s="44">
        <f t="shared" si="12"/>
        <v>0</v>
      </c>
      <c r="R52" s="44">
        <f t="shared" si="12"/>
        <v>0</v>
      </c>
      <c r="S52" s="44">
        <f t="shared" si="12"/>
        <v>0</v>
      </c>
      <c r="T52" s="44">
        <f t="shared" si="12"/>
        <v>0</v>
      </c>
      <c r="U52" s="44">
        <f t="shared" si="12"/>
        <v>0</v>
      </c>
      <c r="V52" s="44">
        <f t="shared" si="12"/>
        <v>0</v>
      </c>
      <c r="W52" s="44">
        <f t="shared" si="10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I">
                <anchor moveWithCells="1" sizeWithCells="1">
                  <from>
                    <xdr:col>0</xdr:col>
                    <xdr:colOff>152400</xdr:colOff>
                    <xdr:row>5</xdr:row>
                    <xdr:rowOff>38100</xdr:rowOff>
                  </from>
                  <to>
                    <xdr:col>2</xdr:col>
                    <xdr:colOff>99060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">
    <tabColor theme="8" tint="-0.499984740745262"/>
  </sheetPr>
  <dimension ref="B1:X44"/>
  <sheetViews>
    <sheetView workbookViewId="0">
      <selection activeCell="P18" sqref="P18"/>
    </sheetView>
  </sheetViews>
  <sheetFormatPr baseColWidth="10" defaultColWidth="11.5546875" defaultRowHeight="14.4" x14ac:dyDescent="0.3"/>
  <cols>
    <col min="1" max="1" width="3.44140625" style="18" customWidth="1"/>
    <col min="2" max="2" width="11.5546875" style="18"/>
    <col min="3" max="3" width="3.33203125" style="18" customWidth="1"/>
    <col min="4" max="5" width="11.5546875" style="18"/>
    <col min="6" max="6" width="6" style="18" bestFit="1" customWidth="1"/>
    <col min="7" max="7" width="6" style="18" customWidth="1"/>
    <col min="8" max="8" width="3.33203125" style="18" customWidth="1"/>
    <col min="9" max="10" width="11.5546875" style="18"/>
    <col min="11" max="11" width="6" style="18" bestFit="1" customWidth="1"/>
    <col min="12" max="12" width="6" style="18" customWidth="1"/>
    <col min="13" max="18" width="11.5546875" style="18"/>
    <col min="19" max="19" width="13.44140625" style="18" bestFit="1" customWidth="1"/>
    <col min="20" max="20" width="13.5546875" style="18" bestFit="1" customWidth="1"/>
    <col min="21" max="16384" width="11.5546875" style="18"/>
  </cols>
  <sheetData>
    <row r="1" spans="2:24" x14ac:dyDescent="0.3">
      <c r="D1" s="122" t="s">
        <v>40</v>
      </c>
      <c r="E1" s="122"/>
      <c r="F1" s="122"/>
      <c r="G1" s="122"/>
      <c r="I1" s="122" t="s">
        <v>41</v>
      </c>
      <c r="J1" s="122"/>
      <c r="K1" s="122"/>
      <c r="L1" s="122"/>
      <c r="N1" s="122" t="s">
        <v>42</v>
      </c>
      <c r="O1" s="122"/>
    </row>
    <row r="2" spans="2:24" x14ac:dyDescent="0.3">
      <c r="B2" s="29" t="s">
        <v>43</v>
      </c>
      <c r="D2" s="29" t="s">
        <v>25</v>
      </c>
      <c r="E2" s="29" t="s">
        <v>44</v>
      </c>
      <c r="F2" s="29" t="s">
        <v>45</v>
      </c>
      <c r="G2" s="29" t="s">
        <v>46</v>
      </c>
      <c r="I2" s="29" t="s">
        <v>25</v>
      </c>
      <c r="J2" s="29" t="s">
        <v>44</v>
      </c>
      <c r="K2" s="29" t="s">
        <v>45</v>
      </c>
      <c r="L2" s="29" t="s">
        <v>46</v>
      </c>
      <c r="N2" s="29" t="s">
        <v>25</v>
      </c>
      <c r="O2" s="29" t="s">
        <v>44</v>
      </c>
      <c r="Q2" s="30" t="s">
        <v>43</v>
      </c>
      <c r="R2" s="30" t="s">
        <v>44</v>
      </c>
      <c r="S2" s="30" t="s">
        <v>47</v>
      </c>
      <c r="T2" s="30" t="s">
        <v>48</v>
      </c>
      <c r="W2" s="18" t="s">
        <v>43</v>
      </c>
      <c r="X2" s="18" t="s">
        <v>44</v>
      </c>
    </row>
    <row r="3" spans="2:24" x14ac:dyDescent="0.3">
      <c r="B3" s="18">
        <v>0</v>
      </c>
      <c r="D3" s="31">
        <v>2974</v>
      </c>
      <c r="E3" s="18">
        <v>3.31</v>
      </c>
      <c r="F3" s="18">
        <v>0.43</v>
      </c>
      <c r="G3" s="18">
        <f>E3</f>
        <v>3.31</v>
      </c>
      <c r="I3" s="31">
        <v>2822</v>
      </c>
      <c r="J3" s="18">
        <v>3.18</v>
      </c>
      <c r="K3" s="18">
        <v>0.41</v>
      </c>
      <c r="L3" s="18">
        <f>J3</f>
        <v>3.18</v>
      </c>
      <c r="N3" s="31">
        <f>D3+I3</f>
        <v>5796</v>
      </c>
      <c r="O3" s="18">
        <f>(D3*E3+I3*J3)/N3</f>
        <v>3.2467046238785371</v>
      </c>
      <c r="Q3" s="32">
        <v>0</v>
      </c>
      <c r="R3" s="52">
        <f>O3</f>
        <v>3.2467046238785371</v>
      </c>
      <c r="S3" s="26">
        <f>E3</f>
        <v>3.31</v>
      </c>
      <c r="T3" s="26">
        <f>J3</f>
        <v>3.18</v>
      </c>
      <c r="W3" s="18" t="s">
        <v>49</v>
      </c>
      <c r="X3" s="18">
        <f>AVERAGE(R3:R4)</f>
        <v>6.6455616142648495</v>
      </c>
    </row>
    <row r="4" spans="2:24" x14ac:dyDescent="0.3">
      <c r="B4" s="18">
        <v>0.25</v>
      </c>
      <c r="D4" s="18">
        <v>233</v>
      </c>
      <c r="E4" s="18">
        <v>6.25</v>
      </c>
      <c r="F4" s="18">
        <v>0.9</v>
      </c>
      <c r="G4" s="18">
        <f>E4-E3</f>
        <v>2.94</v>
      </c>
      <c r="I4" s="18">
        <v>233</v>
      </c>
      <c r="J4" s="18">
        <v>5.64</v>
      </c>
      <c r="K4" s="18">
        <v>0.8</v>
      </c>
      <c r="L4" s="18">
        <f>J4-J3</f>
        <v>2.4599999999999995</v>
      </c>
      <c r="N4" s="31">
        <f t="shared" ref="N4:N42" si="0">D4+I4</f>
        <v>466</v>
      </c>
      <c r="O4" s="18">
        <f t="shared" ref="O4:O42" si="1">(D4*E4+I4*J4)/N4</f>
        <v>5.9449999999999994</v>
      </c>
      <c r="Q4" s="32">
        <v>1</v>
      </c>
      <c r="R4" s="52">
        <f>O7</f>
        <v>10.044418604651161</v>
      </c>
      <c r="S4" s="26">
        <f>E7</f>
        <v>10.37</v>
      </c>
      <c r="T4" s="26">
        <f>J7</f>
        <v>9.73</v>
      </c>
      <c r="W4" s="18" t="s">
        <v>50</v>
      </c>
      <c r="X4" s="18">
        <f>AVERAGE(R4:R5)</f>
        <v>11.393256599622879</v>
      </c>
    </row>
    <row r="5" spans="2:24" x14ac:dyDescent="0.3">
      <c r="B5" s="18">
        <v>0.5</v>
      </c>
      <c r="D5" s="18">
        <v>214</v>
      </c>
      <c r="E5" s="18">
        <v>8.1</v>
      </c>
      <c r="F5" s="18">
        <v>1.0900000000000001</v>
      </c>
      <c r="G5" s="18">
        <f t="shared" ref="G5:G42" si="2">E5-E4</f>
        <v>1.8499999999999996</v>
      </c>
      <c r="I5" s="18">
        <v>205</v>
      </c>
      <c r="J5" s="18">
        <v>7.4</v>
      </c>
      <c r="K5" s="18">
        <v>0.92</v>
      </c>
      <c r="L5" s="18">
        <f t="shared" ref="L5:L42" si="3">J5-J4</f>
        <v>1.7600000000000007</v>
      </c>
      <c r="N5" s="31">
        <f t="shared" si="0"/>
        <v>419</v>
      </c>
      <c r="O5" s="18">
        <f t="shared" si="1"/>
        <v>7.7575178997613357</v>
      </c>
      <c r="Q5" s="32">
        <v>2</v>
      </c>
      <c r="R5" s="52">
        <f>O11</f>
        <v>12.742094594594596</v>
      </c>
      <c r="S5" s="26">
        <f>E11</f>
        <v>12.9</v>
      </c>
      <c r="T5" s="26">
        <f>J11</f>
        <v>12.49</v>
      </c>
      <c r="W5" s="18" t="s">
        <v>51</v>
      </c>
      <c r="X5" s="18">
        <f>AVERAGE(R5:R11)</f>
        <v>20.134160962888078</v>
      </c>
    </row>
    <row r="6" spans="2:24" x14ac:dyDescent="0.3">
      <c r="B6" s="18">
        <v>0.75</v>
      </c>
      <c r="D6" s="18">
        <v>213</v>
      </c>
      <c r="E6" s="18">
        <v>9.32</v>
      </c>
      <c r="F6" s="18">
        <v>1.1299999999999999</v>
      </c>
      <c r="G6" s="18">
        <f t="shared" si="2"/>
        <v>1.2200000000000006</v>
      </c>
      <c r="I6" s="18">
        <v>186</v>
      </c>
      <c r="J6" s="18">
        <v>8.7100000000000009</v>
      </c>
      <c r="K6" s="18">
        <v>1.1499999999999999</v>
      </c>
      <c r="L6" s="18">
        <f t="shared" si="3"/>
        <v>1.3100000000000005</v>
      </c>
      <c r="N6" s="31">
        <f t="shared" si="0"/>
        <v>399</v>
      </c>
      <c r="O6" s="18">
        <f t="shared" si="1"/>
        <v>9.0356390977443617</v>
      </c>
      <c r="Q6" s="32">
        <v>3</v>
      </c>
      <c r="R6" s="52">
        <f>O13</f>
        <v>14.98971486761711</v>
      </c>
      <c r="S6" s="26">
        <f>E13</f>
        <v>15.4</v>
      </c>
      <c r="T6" s="26">
        <f>J13</f>
        <v>14.55</v>
      </c>
      <c r="W6" s="18" t="s">
        <v>52</v>
      </c>
      <c r="X6" s="18">
        <f>AVERAGE(R4:R11)</f>
        <v>18.872943168108463</v>
      </c>
    </row>
    <row r="7" spans="2:24" x14ac:dyDescent="0.3">
      <c r="B7" s="18">
        <v>1</v>
      </c>
      <c r="D7" s="18">
        <v>169</v>
      </c>
      <c r="E7" s="18">
        <v>10.37</v>
      </c>
      <c r="F7" s="18">
        <v>1.1200000000000001</v>
      </c>
      <c r="G7" s="18">
        <f t="shared" si="2"/>
        <v>1.0499999999999989</v>
      </c>
      <c r="I7" s="18">
        <v>175</v>
      </c>
      <c r="J7" s="18">
        <v>9.73</v>
      </c>
      <c r="K7" s="18">
        <v>1.08</v>
      </c>
      <c r="L7" s="18">
        <f t="shared" si="3"/>
        <v>1.0199999999999996</v>
      </c>
      <c r="N7" s="31">
        <f t="shared" si="0"/>
        <v>344</v>
      </c>
      <c r="O7" s="18">
        <f t="shared" si="1"/>
        <v>10.044418604651161</v>
      </c>
      <c r="Q7" s="32">
        <v>4</v>
      </c>
      <c r="R7" s="52">
        <f>O15</f>
        <v>17.169291338582678</v>
      </c>
      <c r="S7" s="26">
        <f>E15</f>
        <v>17.5</v>
      </c>
      <c r="T7" s="26">
        <f>J15</f>
        <v>16.8</v>
      </c>
      <c r="W7" s="18" t="s">
        <v>53</v>
      </c>
      <c r="X7" s="18">
        <f>AVERAGE(R11:R15)</f>
        <v>37.298315872120284</v>
      </c>
    </row>
    <row r="8" spans="2:24" x14ac:dyDescent="0.3">
      <c r="B8" s="18">
        <v>1.25</v>
      </c>
      <c r="D8" s="18">
        <v>166</v>
      </c>
      <c r="E8" s="18">
        <v>11.22</v>
      </c>
      <c r="F8" s="18">
        <v>1.4</v>
      </c>
      <c r="G8" s="18">
        <f t="shared" si="2"/>
        <v>0.85000000000000142</v>
      </c>
      <c r="I8" s="18">
        <v>138</v>
      </c>
      <c r="J8" s="18">
        <v>10.32</v>
      </c>
      <c r="K8" s="18">
        <v>1.1399999999999999</v>
      </c>
      <c r="L8" s="18">
        <f t="shared" si="3"/>
        <v>0.58999999999999986</v>
      </c>
      <c r="N8" s="31">
        <f t="shared" si="0"/>
        <v>304</v>
      </c>
      <c r="O8" s="18">
        <f t="shared" si="1"/>
        <v>10.811447368421053</v>
      </c>
      <c r="Q8" s="32">
        <v>5</v>
      </c>
      <c r="R8" s="52">
        <f>O17</f>
        <v>19.531904761904762</v>
      </c>
      <c r="S8" s="26">
        <f>E17</f>
        <v>19.71</v>
      </c>
      <c r="T8" s="26">
        <f>J17</f>
        <v>19.37</v>
      </c>
      <c r="W8" s="18" t="s">
        <v>54</v>
      </c>
      <c r="X8" s="18">
        <f>AVERAGE(R11:R21)</f>
        <v>49.3662300844858</v>
      </c>
    </row>
    <row r="9" spans="2:24" x14ac:dyDescent="0.3">
      <c r="B9" s="18">
        <v>1.5</v>
      </c>
      <c r="D9" s="18">
        <v>149</v>
      </c>
      <c r="E9" s="18">
        <v>12.08</v>
      </c>
      <c r="F9" s="18">
        <v>1.45</v>
      </c>
      <c r="G9" s="18">
        <f t="shared" si="2"/>
        <v>0.85999999999999943</v>
      </c>
      <c r="I9" s="18">
        <v>125</v>
      </c>
      <c r="J9" s="18">
        <v>11.12</v>
      </c>
      <c r="K9" s="18">
        <v>1.3</v>
      </c>
      <c r="L9" s="18">
        <f t="shared" si="3"/>
        <v>0.79999999999999893</v>
      </c>
      <c r="N9" s="31">
        <f t="shared" si="0"/>
        <v>274</v>
      </c>
      <c r="O9" s="18">
        <f t="shared" si="1"/>
        <v>11.642043795620438</v>
      </c>
      <c r="Q9" s="32">
        <v>6</v>
      </c>
      <c r="R9" s="52">
        <f>O19</f>
        <v>22.259341317365269</v>
      </c>
      <c r="S9" s="26">
        <f>E19</f>
        <v>22.37</v>
      </c>
      <c r="T9" s="26">
        <f>J19</f>
        <v>22.15</v>
      </c>
      <c r="W9" s="18" t="s">
        <v>55</v>
      </c>
      <c r="X9" s="18">
        <f>AVERAGE(R3:R21)</f>
        <v>35.173469897117748</v>
      </c>
    </row>
    <row r="10" spans="2:24" x14ac:dyDescent="0.3">
      <c r="B10" s="18">
        <v>1.75</v>
      </c>
      <c r="D10" s="18">
        <v>153</v>
      </c>
      <c r="E10" s="18">
        <v>12.59</v>
      </c>
      <c r="F10" s="18">
        <v>1.34</v>
      </c>
      <c r="G10" s="18">
        <f t="shared" si="2"/>
        <v>0.50999999999999979</v>
      </c>
      <c r="I10" s="18">
        <v>106</v>
      </c>
      <c r="J10" s="18">
        <v>11.82</v>
      </c>
      <c r="K10" s="18">
        <v>1.31</v>
      </c>
      <c r="L10" s="18">
        <f t="shared" si="3"/>
        <v>0.70000000000000107</v>
      </c>
      <c r="N10" s="31">
        <f t="shared" si="0"/>
        <v>259</v>
      </c>
      <c r="O10" s="18">
        <f t="shared" si="1"/>
        <v>12.274864864864865</v>
      </c>
      <c r="Q10" s="32">
        <v>7</v>
      </c>
      <c r="R10" s="52">
        <f>O21</f>
        <v>25.283927007299265</v>
      </c>
      <c r="S10" s="26">
        <f>E21</f>
        <v>25.81</v>
      </c>
      <c r="T10" s="26">
        <f>J21</f>
        <v>24.82</v>
      </c>
      <c r="W10" s="18" t="s">
        <v>56</v>
      </c>
      <c r="X10" s="18">
        <f>AVERAGE(R3:R15)</f>
        <v>23.981459728961138</v>
      </c>
    </row>
    <row r="11" spans="2:24" x14ac:dyDescent="0.3">
      <c r="B11" s="18">
        <v>2</v>
      </c>
      <c r="D11" s="18">
        <v>182</v>
      </c>
      <c r="E11" s="18">
        <v>12.9</v>
      </c>
      <c r="F11" s="18">
        <v>1.42</v>
      </c>
      <c r="G11" s="18">
        <f t="shared" si="2"/>
        <v>0.3100000000000005</v>
      </c>
      <c r="I11" s="18">
        <v>114</v>
      </c>
      <c r="J11" s="18">
        <v>12.49</v>
      </c>
      <c r="K11" s="18">
        <v>1.4</v>
      </c>
      <c r="L11" s="18">
        <f t="shared" si="3"/>
        <v>0.66999999999999993</v>
      </c>
      <c r="N11" s="31">
        <f t="shared" si="0"/>
        <v>296</v>
      </c>
      <c r="O11" s="18">
        <f t="shared" si="1"/>
        <v>12.742094594594596</v>
      </c>
      <c r="Q11" s="32">
        <v>8</v>
      </c>
      <c r="R11" s="52">
        <f>O23</f>
        <v>28.962852852852851</v>
      </c>
      <c r="S11" s="26">
        <f>E23</f>
        <v>29.04</v>
      </c>
      <c r="T11" s="26">
        <f>J23</f>
        <v>28.9</v>
      </c>
      <c r="W11" s="18" t="s">
        <v>57</v>
      </c>
      <c r="X11" s="18">
        <f>AVERAGE(R4:R15)</f>
        <v>25.709355987718023</v>
      </c>
    </row>
    <row r="12" spans="2:24" x14ac:dyDescent="0.3">
      <c r="B12" s="18">
        <v>2.5</v>
      </c>
      <c r="D12" s="18">
        <v>263</v>
      </c>
      <c r="E12" s="18">
        <v>14.14</v>
      </c>
      <c r="F12" s="18">
        <v>1.6</v>
      </c>
      <c r="G12" s="18">
        <f t="shared" si="2"/>
        <v>1.2400000000000002</v>
      </c>
      <c r="I12" s="18">
        <v>193</v>
      </c>
      <c r="J12" s="18">
        <v>13.61</v>
      </c>
      <c r="K12" s="18">
        <v>1.52</v>
      </c>
      <c r="L12" s="18">
        <f t="shared" si="3"/>
        <v>1.1199999999999992</v>
      </c>
      <c r="N12" s="31">
        <f t="shared" si="0"/>
        <v>456</v>
      </c>
      <c r="O12" s="18">
        <f t="shared" si="1"/>
        <v>13.915679824561403</v>
      </c>
      <c r="Q12" s="32">
        <v>9</v>
      </c>
      <c r="R12" s="52">
        <f>O25</f>
        <v>33.116957831325301</v>
      </c>
      <c r="S12" s="26">
        <f>E25</f>
        <v>33.44</v>
      </c>
      <c r="T12" s="26">
        <f>J25</f>
        <v>32.78</v>
      </c>
      <c r="W12" s="18" t="s">
        <v>58</v>
      </c>
      <c r="X12" s="18">
        <f>AVERAGE(R15:R21)</f>
        <v>57.5030950905225</v>
      </c>
    </row>
    <row r="13" spans="2:24" x14ac:dyDescent="0.3">
      <c r="B13" s="18">
        <v>3</v>
      </c>
      <c r="D13" s="18">
        <v>508</v>
      </c>
      <c r="E13" s="18">
        <v>15.4</v>
      </c>
      <c r="F13" s="18">
        <v>2</v>
      </c>
      <c r="G13" s="18">
        <f t="shared" si="2"/>
        <v>1.2599999999999998</v>
      </c>
      <c r="I13" s="18">
        <v>474</v>
      </c>
      <c r="J13" s="18">
        <v>14.55</v>
      </c>
      <c r="K13" s="18">
        <v>1.68</v>
      </c>
      <c r="L13" s="18">
        <f t="shared" si="3"/>
        <v>0.94000000000000128</v>
      </c>
      <c r="N13" s="31">
        <f t="shared" si="0"/>
        <v>982</v>
      </c>
      <c r="O13" s="18">
        <f t="shared" si="1"/>
        <v>14.98971486761711</v>
      </c>
      <c r="Q13" s="32">
        <v>10</v>
      </c>
      <c r="R13" s="52">
        <f>O27</f>
        <v>36.680086956521734</v>
      </c>
      <c r="S13" s="26">
        <f>E27</f>
        <v>36.79</v>
      </c>
      <c r="T13" s="26">
        <f>J27</f>
        <v>36.549999999999997</v>
      </c>
      <c r="W13" s="18" t="s">
        <v>59</v>
      </c>
      <c r="X13" s="18">
        <f>R22</f>
        <v>65.884900662251653</v>
      </c>
    </row>
    <row r="14" spans="2:24" x14ac:dyDescent="0.3">
      <c r="B14" s="18">
        <v>3.5</v>
      </c>
      <c r="D14" s="18">
        <v>463</v>
      </c>
      <c r="E14" s="18">
        <v>16.32</v>
      </c>
      <c r="F14" s="18">
        <v>2.61</v>
      </c>
      <c r="G14" s="18">
        <f t="shared" si="2"/>
        <v>0.91999999999999993</v>
      </c>
      <c r="I14" s="18">
        <v>382</v>
      </c>
      <c r="J14" s="18">
        <v>15.61</v>
      </c>
      <c r="K14" s="18">
        <v>2.2799999999999998</v>
      </c>
      <c r="L14" s="18">
        <f t="shared" si="3"/>
        <v>1.0599999999999987</v>
      </c>
      <c r="N14" s="31">
        <f t="shared" si="0"/>
        <v>845</v>
      </c>
      <c r="O14" s="18">
        <f t="shared" si="1"/>
        <v>15.999029585798818</v>
      </c>
      <c r="Q14" s="32">
        <v>11</v>
      </c>
      <c r="R14" s="52">
        <f>O29</f>
        <v>41.74696765498652</v>
      </c>
      <c r="S14" s="26">
        <f>E29</f>
        <v>41.38</v>
      </c>
      <c r="T14" s="26">
        <f>J29</f>
        <v>42.11</v>
      </c>
    </row>
    <row r="15" spans="2:24" x14ac:dyDescent="0.3">
      <c r="B15" s="18">
        <v>4</v>
      </c>
      <c r="D15" s="18">
        <v>469</v>
      </c>
      <c r="E15" s="18">
        <v>17.5</v>
      </c>
      <c r="F15" s="18">
        <v>2.63</v>
      </c>
      <c r="G15" s="18">
        <f t="shared" si="2"/>
        <v>1.1799999999999997</v>
      </c>
      <c r="I15" s="18">
        <v>420</v>
      </c>
      <c r="J15" s="18">
        <v>16.8</v>
      </c>
      <c r="K15" s="18">
        <v>2.41</v>
      </c>
      <c r="L15" s="18">
        <f t="shared" si="3"/>
        <v>1.1900000000000013</v>
      </c>
      <c r="N15" s="31">
        <f t="shared" si="0"/>
        <v>889</v>
      </c>
      <c r="O15" s="18">
        <f t="shared" si="1"/>
        <v>17.169291338582678</v>
      </c>
      <c r="Q15" s="32">
        <v>12</v>
      </c>
      <c r="R15" s="52">
        <f>O31</f>
        <v>45.984714064914996</v>
      </c>
      <c r="S15" s="26">
        <f>E31</f>
        <v>46.37</v>
      </c>
      <c r="T15" s="26">
        <f>J31</f>
        <v>45.61</v>
      </c>
    </row>
    <row r="16" spans="2:24" x14ac:dyDescent="0.3">
      <c r="B16" s="18">
        <v>4.5</v>
      </c>
      <c r="D16" s="18">
        <v>438</v>
      </c>
      <c r="E16" s="18">
        <v>18.579999999999998</v>
      </c>
      <c r="F16" s="18">
        <v>2.83</v>
      </c>
      <c r="G16" s="18">
        <f t="shared" si="2"/>
        <v>1.0799999999999983</v>
      </c>
      <c r="I16" s="18">
        <v>358</v>
      </c>
      <c r="J16" s="18">
        <v>18.059999999999999</v>
      </c>
      <c r="K16" s="18">
        <v>2.5499999999999998</v>
      </c>
      <c r="L16" s="18">
        <f t="shared" si="3"/>
        <v>1.259999999999998</v>
      </c>
      <c r="N16" s="31">
        <f t="shared" si="0"/>
        <v>796</v>
      </c>
      <c r="O16" s="18">
        <f t="shared" si="1"/>
        <v>18.346130653266329</v>
      </c>
      <c r="Q16" s="32">
        <v>13</v>
      </c>
      <c r="R16" s="52">
        <f>O33</f>
        <v>50.9439603960396</v>
      </c>
      <c r="S16" s="26">
        <f>E33</f>
        <v>50.32</v>
      </c>
      <c r="T16" s="26">
        <f>J33</f>
        <v>51.69</v>
      </c>
    </row>
    <row r="17" spans="2:21" x14ac:dyDescent="0.3">
      <c r="B17" s="18">
        <v>5</v>
      </c>
      <c r="D17" s="18">
        <v>370</v>
      </c>
      <c r="E17" s="18">
        <v>19.71</v>
      </c>
      <c r="F17" s="18">
        <v>3.48</v>
      </c>
      <c r="G17" s="18">
        <f t="shared" si="2"/>
        <v>1.1300000000000026</v>
      </c>
      <c r="I17" s="18">
        <v>407</v>
      </c>
      <c r="J17" s="18">
        <v>19.37</v>
      </c>
      <c r="K17" s="18">
        <v>3</v>
      </c>
      <c r="L17" s="18">
        <f t="shared" si="3"/>
        <v>1.3100000000000023</v>
      </c>
      <c r="N17" s="31">
        <f t="shared" si="0"/>
        <v>777</v>
      </c>
      <c r="O17" s="18">
        <f t="shared" si="1"/>
        <v>19.531904761904762</v>
      </c>
      <c r="Q17" s="32">
        <v>14</v>
      </c>
      <c r="R17" s="52">
        <f>O35</f>
        <v>55.907000000000004</v>
      </c>
      <c r="S17" s="26">
        <f>E35</f>
        <v>57.77</v>
      </c>
      <c r="T17" s="26">
        <f>J35</f>
        <v>53.72</v>
      </c>
    </row>
    <row r="18" spans="2:21" x14ac:dyDescent="0.3">
      <c r="B18" s="18">
        <v>5.5</v>
      </c>
      <c r="D18" s="18">
        <v>363</v>
      </c>
      <c r="E18" s="18">
        <v>21.41</v>
      </c>
      <c r="F18" s="18">
        <v>3.65</v>
      </c>
      <c r="G18" s="18">
        <f t="shared" si="2"/>
        <v>1.6999999999999993</v>
      </c>
      <c r="I18" s="18">
        <v>370</v>
      </c>
      <c r="J18" s="18">
        <v>20.65</v>
      </c>
      <c r="K18" s="18">
        <v>3.75</v>
      </c>
      <c r="L18" s="18">
        <f t="shared" si="3"/>
        <v>1.2799999999999976</v>
      </c>
      <c r="N18" s="31">
        <f t="shared" si="0"/>
        <v>733</v>
      </c>
      <c r="O18" s="18">
        <f t="shared" si="1"/>
        <v>21.026371077762615</v>
      </c>
      <c r="Q18" s="32">
        <v>15</v>
      </c>
      <c r="R18" s="52">
        <f>O37</f>
        <v>59.23880208333334</v>
      </c>
      <c r="S18" s="26">
        <f>E37</f>
        <v>61.85</v>
      </c>
      <c r="T18" s="26">
        <f>J37</f>
        <v>56.3</v>
      </c>
    </row>
    <row r="19" spans="2:21" x14ac:dyDescent="0.3">
      <c r="B19" s="18">
        <v>6</v>
      </c>
      <c r="D19" s="18">
        <v>332</v>
      </c>
      <c r="E19" s="18">
        <v>22.37</v>
      </c>
      <c r="F19" s="18">
        <v>3.75</v>
      </c>
      <c r="G19" s="18">
        <f t="shared" si="2"/>
        <v>0.96000000000000085</v>
      </c>
      <c r="I19" s="18">
        <v>336</v>
      </c>
      <c r="J19" s="18">
        <v>22.15</v>
      </c>
      <c r="K19" s="18">
        <v>3.88</v>
      </c>
      <c r="L19" s="18">
        <f t="shared" si="3"/>
        <v>1.5</v>
      </c>
      <c r="N19" s="31">
        <f t="shared" si="0"/>
        <v>668</v>
      </c>
      <c r="O19" s="18">
        <f t="shared" si="1"/>
        <v>22.259341317365269</v>
      </c>
      <c r="Q19" s="32">
        <v>16</v>
      </c>
      <c r="R19" s="52">
        <f>O39</f>
        <v>61.727170923379177</v>
      </c>
      <c r="S19" s="26">
        <f>E39</f>
        <v>64.97</v>
      </c>
      <c r="T19" s="26">
        <f>J39</f>
        <v>58.42</v>
      </c>
    </row>
    <row r="20" spans="2:21" x14ac:dyDescent="0.3">
      <c r="B20" s="18">
        <v>6.5</v>
      </c>
      <c r="D20" s="18">
        <v>341</v>
      </c>
      <c r="E20" s="18">
        <v>24.1</v>
      </c>
      <c r="F20" s="18">
        <v>4.34</v>
      </c>
      <c r="G20" s="18">
        <f t="shared" si="2"/>
        <v>1.7300000000000004</v>
      </c>
      <c r="I20" s="18">
        <v>334</v>
      </c>
      <c r="J20" s="18">
        <v>23.69</v>
      </c>
      <c r="K20" s="18">
        <v>4.18</v>
      </c>
      <c r="L20" s="18">
        <f t="shared" si="3"/>
        <v>1.5400000000000027</v>
      </c>
      <c r="N20" s="31">
        <f t="shared" si="0"/>
        <v>675</v>
      </c>
      <c r="O20" s="18">
        <f t="shared" si="1"/>
        <v>23.897125925925927</v>
      </c>
      <c r="Q20" s="32">
        <v>17</v>
      </c>
      <c r="R20" s="52">
        <f>O40</f>
        <v>63.579395050412458</v>
      </c>
      <c r="S20" s="26">
        <f>E40</f>
        <v>68.47</v>
      </c>
      <c r="T20" s="26">
        <f>J40</f>
        <v>57.82</v>
      </c>
    </row>
    <row r="21" spans="2:21" x14ac:dyDescent="0.3">
      <c r="B21" s="18">
        <v>7</v>
      </c>
      <c r="D21" s="18">
        <v>321</v>
      </c>
      <c r="E21" s="18">
        <v>25.81</v>
      </c>
      <c r="F21" s="18">
        <v>5.07</v>
      </c>
      <c r="G21" s="18">
        <f t="shared" si="2"/>
        <v>1.7099999999999973</v>
      </c>
      <c r="I21" s="18">
        <v>364</v>
      </c>
      <c r="J21" s="18">
        <v>24.82</v>
      </c>
      <c r="K21" s="18">
        <v>4.54</v>
      </c>
      <c r="L21" s="18">
        <f t="shared" si="3"/>
        <v>1.129999999999999</v>
      </c>
      <c r="N21" s="31">
        <f t="shared" si="0"/>
        <v>685</v>
      </c>
      <c r="O21" s="18">
        <f t="shared" si="1"/>
        <v>25.283927007299265</v>
      </c>
      <c r="Q21" s="32">
        <v>18</v>
      </c>
      <c r="R21" s="52">
        <f>O41</f>
        <v>65.140623115577895</v>
      </c>
      <c r="S21" s="26">
        <f>E41</f>
        <v>70.2</v>
      </c>
      <c r="T21" s="26">
        <f>J41</f>
        <v>58.52</v>
      </c>
    </row>
    <row r="22" spans="2:21" x14ac:dyDescent="0.3">
      <c r="B22" s="18">
        <v>7.5</v>
      </c>
      <c r="D22" s="18">
        <v>336</v>
      </c>
      <c r="E22" s="18">
        <v>27.25</v>
      </c>
      <c r="F22" s="18">
        <v>5.41</v>
      </c>
      <c r="G22" s="18">
        <f t="shared" si="2"/>
        <v>1.4400000000000013</v>
      </c>
      <c r="I22" s="18">
        <v>366</v>
      </c>
      <c r="J22" s="18">
        <v>27.11</v>
      </c>
      <c r="K22" s="18">
        <v>5.29</v>
      </c>
      <c r="L22" s="18">
        <f t="shared" si="3"/>
        <v>2.2899999999999991</v>
      </c>
      <c r="N22" s="31">
        <f t="shared" si="0"/>
        <v>702</v>
      </c>
      <c r="O22" s="18">
        <f t="shared" si="1"/>
        <v>27.177008547008551</v>
      </c>
      <c r="Q22" s="32" t="s">
        <v>59</v>
      </c>
      <c r="R22" s="52">
        <f>O42</f>
        <v>65.884900662251653</v>
      </c>
      <c r="S22" s="26">
        <f>E42</f>
        <v>74.260000000000005</v>
      </c>
      <c r="T22" s="26">
        <f>J42</f>
        <v>57.62</v>
      </c>
    </row>
    <row r="23" spans="2:21" x14ac:dyDescent="0.3">
      <c r="B23" s="18">
        <v>8</v>
      </c>
      <c r="D23" s="18">
        <v>299</v>
      </c>
      <c r="E23" s="18">
        <v>29.04</v>
      </c>
      <c r="F23" s="18">
        <v>5.39</v>
      </c>
      <c r="G23" s="18">
        <f t="shared" si="2"/>
        <v>1.7899999999999991</v>
      </c>
      <c r="I23" s="18">
        <v>367</v>
      </c>
      <c r="J23" s="18">
        <v>28.9</v>
      </c>
      <c r="K23" s="18">
        <v>6.02</v>
      </c>
      <c r="L23" s="18">
        <f t="shared" si="3"/>
        <v>1.7899999999999991</v>
      </c>
      <c r="N23" s="31">
        <f t="shared" si="0"/>
        <v>666</v>
      </c>
      <c r="O23" s="18">
        <f t="shared" si="1"/>
        <v>28.962852852852851</v>
      </c>
    </row>
    <row r="24" spans="2:21" x14ac:dyDescent="0.3">
      <c r="B24" s="18">
        <v>8.5</v>
      </c>
      <c r="D24" s="18">
        <v>337</v>
      </c>
      <c r="E24" s="18">
        <v>32.229999999999997</v>
      </c>
      <c r="F24" s="18">
        <v>7.48</v>
      </c>
      <c r="G24" s="18">
        <f t="shared" si="2"/>
        <v>3.1899999999999977</v>
      </c>
      <c r="I24" s="18">
        <v>313</v>
      </c>
      <c r="J24" s="18">
        <v>31.08</v>
      </c>
      <c r="K24" s="18">
        <v>6.7</v>
      </c>
      <c r="L24" s="18">
        <f t="shared" si="3"/>
        <v>2.1799999999999997</v>
      </c>
      <c r="N24" s="31">
        <f t="shared" si="0"/>
        <v>650</v>
      </c>
      <c r="O24" s="18">
        <f t="shared" si="1"/>
        <v>31.676230769230763</v>
      </c>
      <c r="R24" s="31"/>
      <c r="S24" s="31"/>
      <c r="T24" s="31"/>
      <c r="U24" s="31"/>
    </row>
    <row r="25" spans="2:21" x14ac:dyDescent="0.3">
      <c r="B25" s="18">
        <v>9</v>
      </c>
      <c r="D25" s="18">
        <v>339</v>
      </c>
      <c r="E25" s="18">
        <v>33.44</v>
      </c>
      <c r="F25" s="18">
        <v>7.27</v>
      </c>
      <c r="G25" s="18">
        <f t="shared" si="2"/>
        <v>1.2100000000000009</v>
      </c>
      <c r="I25" s="18">
        <v>325</v>
      </c>
      <c r="J25" s="18">
        <v>32.78</v>
      </c>
      <c r="K25" s="18">
        <v>7.82</v>
      </c>
      <c r="L25" s="18">
        <f t="shared" si="3"/>
        <v>1.7000000000000028</v>
      </c>
      <c r="N25" s="31">
        <f t="shared" si="0"/>
        <v>664</v>
      </c>
      <c r="O25" s="18">
        <f t="shared" si="1"/>
        <v>33.116957831325301</v>
      </c>
    </row>
    <row r="26" spans="2:21" x14ac:dyDescent="0.3">
      <c r="B26" s="18">
        <v>9.5</v>
      </c>
      <c r="D26" s="18">
        <v>369</v>
      </c>
      <c r="E26" s="18">
        <v>35.42</v>
      </c>
      <c r="F26" s="18">
        <v>7.89</v>
      </c>
      <c r="G26" s="18">
        <f t="shared" si="2"/>
        <v>1.980000000000004</v>
      </c>
      <c r="I26" s="18">
        <v>302</v>
      </c>
      <c r="J26" s="18">
        <v>34.630000000000003</v>
      </c>
      <c r="K26" s="18">
        <v>7.63</v>
      </c>
      <c r="L26" s="18">
        <f t="shared" si="3"/>
        <v>1.8500000000000014</v>
      </c>
      <c r="N26" s="31">
        <f t="shared" si="0"/>
        <v>671</v>
      </c>
      <c r="O26" s="18">
        <f t="shared" si="1"/>
        <v>35.064441132637853</v>
      </c>
      <c r="R26" s="31"/>
      <c r="S26" s="31"/>
      <c r="T26" s="31"/>
      <c r="U26" s="31"/>
    </row>
    <row r="27" spans="2:21" x14ac:dyDescent="0.3">
      <c r="B27" s="18">
        <v>10</v>
      </c>
      <c r="D27" s="18">
        <v>374</v>
      </c>
      <c r="E27" s="18">
        <v>36.79</v>
      </c>
      <c r="F27" s="18">
        <v>8.26</v>
      </c>
      <c r="G27" s="18">
        <f t="shared" si="2"/>
        <v>1.3699999999999974</v>
      </c>
      <c r="I27" s="18">
        <v>316</v>
      </c>
      <c r="J27" s="18">
        <v>36.549999999999997</v>
      </c>
      <c r="K27" s="18">
        <v>8.76</v>
      </c>
      <c r="L27" s="18">
        <f t="shared" si="3"/>
        <v>1.9199999999999946</v>
      </c>
      <c r="N27" s="31">
        <f t="shared" si="0"/>
        <v>690</v>
      </c>
      <c r="O27" s="18">
        <f t="shared" si="1"/>
        <v>36.680086956521734</v>
      </c>
    </row>
    <row r="28" spans="2:21" x14ac:dyDescent="0.3">
      <c r="B28" s="18">
        <v>10.5</v>
      </c>
      <c r="D28" s="18">
        <v>378</v>
      </c>
      <c r="E28" s="18">
        <v>38.83</v>
      </c>
      <c r="F28" s="18">
        <v>9.51</v>
      </c>
      <c r="G28" s="18">
        <f t="shared" si="2"/>
        <v>2.0399999999999991</v>
      </c>
      <c r="I28" s="18">
        <v>333</v>
      </c>
      <c r="J28" s="18">
        <v>38.93</v>
      </c>
      <c r="K28" s="18">
        <v>8.77</v>
      </c>
      <c r="L28" s="18">
        <f t="shared" si="3"/>
        <v>2.3800000000000026</v>
      </c>
      <c r="N28" s="31">
        <f t="shared" si="0"/>
        <v>711</v>
      </c>
      <c r="O28" s="18">
        <f t="shared" si="1"/>
        <v>38.876835443037976</v>
      </c>
      <c r="R28" s="31"/>
      <c r="S28" s="31"/>
      <c r="T28" s="31"/>
      <c r="U28" s="31"/>
    </row>
    <row r="29" spans="2:21" x14ac:dyDescent="0.3">
      <c r="B29" s="18">
        <v>11</v>
      </c>
      <c r="D29" s="18">
        <v>369</v>
      </c>
      <c r="E29" s="18">
        <v>41.38</v>
      </c>
      <c r="F29" s="18">
        <v>9.77</v>
      </c>
      <c r="G29" s="18">
        <f t="shared" si="2"/>
        <v>2.5500000000000043</v>
      </c>
      <c r="I29" s="18">
        <v>373</v>
      </c>
      <c r="J29" s="18">
        <v>42.11</v>
      </c>
      <c r="K29" s="18">
        <v>9.93</v>
      </c>
      <c r="L29" s="18">
        <f t="shared" si="3"/>
        <v>3.1799999999999997</v>
      </c>
      <c r="N29" s="31">
        <f t="shared" si="0"/>
        <v>742</v>
      </c>
      <c r="O29" s="18">
        <f t="shared" si="1"/>
        <v>41.74696765498652</v>
      </c>
    </row>
    <row r="30" spans="2:21" x14ac:dyDescent="0.3">
      <c r="B30" s="18">
        <v>11.5</v>
      </c>
      <c r="D30" s="18">
        <v>342</v>
      </c>
      <c r="E30" s="18">
        <v>43.08</v>
      </c>
      <c r="F30" s="18">
        <v>10.06</v>
      </c>
      <c r="G30" s="18">
        <f t="shared" si="2"/>
        <v>1.6999999999999957</v>
      </c>
      <c r="I30" s="18">
        <v>310</v>
      </c>
      <c r="J30" s="18">
        <v>43.54</v>
      </c>
      <c r="K30" s="18">
        <v>9.34</v>
      </c>
      <c r="L30" s="18">
        <f t="shared" si="3"/>
        <v>1.4299999999999997</v>
      </c>
      <c r="N30" s="31">
        <f t="shared" si="0"/>
        <v>652</v>
      </c>
      <c r="O30" s="18">
        <f t="shared" si="1"/>
        <v>43.298711656441718</v>
      </c>
      <c r="R30" s="31"/>
      <c r="S30" s="31"/>
      <c r="T30" s="31"/>
      <c r="U30" s="31"/>
    </row>
    <row r="31" spans="2:21" x14ac:dyDescent="0.3">
      <c r="B31" s="18">
        <v>12</v>
      </c>
      <c r="D31" s="18">
        <v>319</v>
      </c>
      <c r="E31" s="18">
        <v>46.37</v>
      </c>
      <c r="F31" s="18">
        <v>10.95</v>
      </c>
      <c r="G31" s="18">
        <f t="shared" si="2"/>
        <v>3.2899999999999991</v>
      </c>
      <c r="I31" s="18">
        <v>328</v>
      </c>
      <c r="J31" s="18">
        <v>45.61</v>
      </c>
      <c r="K31" s="18">
        <v>9.9</v>
      </c>
      <c r="L31" s="18">
        <f t="shared" si="3"/>
        <v>2.0700000000000003</v>
      </c>
      <c r="N31" s="31">
        <f t="shared" si="0"/>
        <v>647</v>
      </c>
      <c r="O31" s="18">
        <f t="shared" si="1"/>
        <v>45.984714064914996</v>
      </c>
    </row>
    <row r="32" spans="2:21" x14ac:dyDescent="0.3">
      <c r="B32" s="18">
        <v>12.5</v>
      </c>
      <c r="D32" s="18">
        <v>301</v>
      </c>
      <c r="E32" s="18">
        <v>49.16</v>
      </c>
      <c r="F32" s="18">
        <v>11.15</v>
      </c>
      <c r="G32" s="18">
        <f t="shared" si="2"/>
        <v>2.7899999999999991</v>
      </c>
      <c r="I32" s="18">
        <v>288</v>
      </c>
      <c r="J32" s="18">
        <v>48.71</v>
      </c>
      <c r="K32" s="18">
        <v>11.99</v>
      </c>
      <c r="L32" s="18">
        <f t="shared" si="3"/>
        <v>3.1000000000000014</v>
      </c>
      <c r="N32" s="31">
        <f t="shared" si="0"/>
        <v>589</v>
      </c>
      <c r="O32" s="18">
        <f t="shared" si="1"/>
        <v>48.939966044142615</v>
      </c>
      <c r="R32" s="31"/>
      <c r="S32" s="31"/>
      <c r="T32" s="31"/>
      <c r="U32" s="31"/>
    </row>
    <row r="33" spans="2:15" x14ac:dyDescent="0.3">
      <c r="B33" s="18">
        <v>13</v>
      </c>
      <c r="D33" s="18">
        <v>330</v>
      </c>
      <c r="E33" s="18">
        <v>50.32</v>
      </c>
      <c r="F33" s="18">
        <v>11.26</v>
      </c>
      <c r="G33" s="18">
        <f t="shared" si="2"/>
        <v>1.1600000000000037</v>
      </c>
      <c r="I33" s="18">
        <v>276</v>
      </c>
      <c r="J33" s="18">
        <v>51.69</v>
      </c>
      <c r="K33" s="18">
        <v>11.41</v>
      </c>
      <c r="L33" s="18">
        <f t="shared" si="3"/>
        <v>2.9799999999999969</v>
      </c>
      <c r="N33" s="31">
        <f t="shared" si="0"/>
        <v>606</v>
      </c>
      <c r="O33" s="18">
        <f t="shared" si="1"/>
        <v>50.9439603960396</v>
      </c>
    </row>
    <row r="34" spans="2:15" x14ac:dyDescent="0.3">
      <c r="B34" s="18">
        <v>13.5</v>
      </c>
      <c r="D34" s="18">
        <v>339</v>
      </c>
      <c r="E34" s="18">
        <v>54.47</v>
      </c>
      <c r="F34" s="18">
        <v>11.18</v>
      </c>
      <c r="G34" s="18">
        <f t="shared" si="2"/>
        <v>4.1499999999999986</v>
      </c>
      <c r="I34" s="18">
        <v>287</v>
      </c>
      <c r="J34" s="18">
        <v>53.54</v>
      </c>
      <c r="K34" s="18">
        <v>10.99</v>
      </c>
      <c r="L34" s="18">
        <f t="shared" si="3"/>
        <v>1.8500000000000014</v>
      </c>
      <c r="N34" s="31">
        <f t="shared" si="0"/>
        <v>626</v>
      </c>
      <c r="O34" s="18">
        <f t="shared" si="1"/>
        <v>54.043626198083061</v>
      </c>
    </row>
    <row r="35" spans="2:15" x14ac:dyDescent="0.3">
      <c r="B35" s="18">
        <v>14</v>
      </c>
      <c r="D35" s="18">
        <v>297</v>
      </c>
      <c r="E35" s="18">
        <v>57.77</v>
      </c>
      <c r="F35" s="18">
        <v>12.12</v>
      </c>
      <c r="G35" s="18">
        <f t="shared" si="2"/>
        <v>3.3000000000000043</v>
      </c>
      <c r="I35" s="18">
        <v>253</v>
      </c>
      <c r="J35" s="18">
        <v>53.72</v>
      </c>
      <c r="K35" s="18">
        <v>10.32</v>
      </c>
      <c r="L35" s="18">
        <f t="shared" si="3"/>
        <v>0.17999999999999972</v>
      </c>
      <c r="N35" s="31">
        <f t="shared" si="0"/>
        <v>550</v>
      </c>
      <c r="O35" s="18">
        <f t="shared" si="1"/>
        <v>55.907000000000004</v>
      </c>
    </row>
    <row r="36" spans="2:15" x14ac:dyDescent="0.3">
      <c r="B36" s="18">
        <v>14.5</v>
      </c>
      <c r="D36" s="18">
        <v>273</v>
      </c>
      <c r="E36" s="18">
        <v>59.73</v>
      </c>
      <c r="F36" s="18">
        <v>12.5</v>
      </c>
      <c r="G36" s="18">
        <f t="shared" si="2"/>
        <v>1.9599999999999937</v>
      </c>
      <c r="I36" s="18">
        <v>275</v>
      </c>
      <c r="J36" s="18">
        <v>55.56</v>
      </c>
      <c r="K36" s="18">
        <v>10.51</v>
      </c>
      <c r="L36" s="18">
        <f t="shared" si="3"/>
        <v>1.8400000000000034</v>
      </c>
      <c r="N36" s="31">
        <f t="shared" si="0"/>
        <v>548</v>
      </c>
      <c r="O36" s="18">
        <f t="shared" si="1"/>
        <v>57.637390510948904</v>
      </c>
    </row>
    <row r="37" spans="2:15" x14ac:dyDescent="0.3">
      <c r="B37" s="18">
        <v>15</v>
      </c>
      <c r="D37" s="18">
        <v>305</v>
      </c>
      <c r="E37" s="18">
        <v>61.85</v>
      </c>
      <c r="F37" s="18">
        <v>12.46</v>
      </c>
      <c r="G37" s="18">
        <f t="shared" si="2"/>
        <v>2.1200000000000045</v>
      </c>
      <c r="I37" s="18">
        <v>271</v>
      </c>
      <c r="J37" s="18">
        <v>56.3</v>
      </c>
      <c r="K37" s="18">
        <v>11.44</v>
      </c>
      <c r="L37" s="18">
        <f t="shared" si="3"/>
        <v>0.73999999999999488</v>
      </c>
      <c r="N37" s="31">
        <f t="shared" si="0"/>
        <v>576</v>
      </c>
      <c r="O37" s="18">
        <f t="shared" si="1"/>
        <v>59.23880208333334</v>
      </c>
    </row>
    <row r="38" spans="2:15" x14ac:dyDescent="0.3">
      <c r="B38" s="18">
        <v>15.5</v>
      </c>
      <c r="D38" s="18">
        <v>293</v>
      </c>
      <c r="E38" s="18">
        <v>64.27</v>
      </c>
      <c r="F38" s="18">
        <v>11.65</v>
      </c>
      <c r="G38" s="18">
        <f t="shared" si="2"/>
        <v>2.4199999999999946</v>
      </c>
      <c r="I38" s="18">
        <v>256</v>
      </c>
      <c r="J38" s="18">
        <v>56.74</v>
      </c>
      <c r="K38" s="18">
        <v>9.33</v>
      </c>
      <c r="L38" s="18">
        <f t="shared" si="3"/>
        <v>0.44000000000000483</v>
      </c>
      <c r="N38" s="31">
        <f t="shared" si="0"/>
        <v>549</v>
      </c>
      <c r="O38" s="18">
        <f t="shared" si="1"/>
        <v>60.758743169398912</v>
      </c>
    </row>
    <row r="39" spans="2:15" x14ac:dyDescent="0.3">
      <c r="B39" s="18">
        <v>16</v>
      </c>
      <c r="D39" s="18">
        <v>257</v>
      </c>
      <c r="E39" s="18">
        <v>64.97</v>
      </c>
      <c r="F39" s="18">
        <v>12.6</v>
      </c>
      <c r="G39" s="18">
        <f t="shared" si="2"/>
        <v>0.70000000000000284</v>
      </c>
      <c r="I39" s="18">
        <v>252</v>
      </c>
      <c r="J39" s="18">
        <v>58.42</v>
      </c>
      <c r="K39" s="18">
        <v>11.23</v>
      </c>
      <c r="L39" s="18">
        <f t="shared" si="3"/>
        <v>1.6799999999999997</v>
      </c>
      <c r="N39" s="31">
        <f t="shared" si="0"/>
        <v>509</v>
      </c>
      <c r="O39" s="18">
        <f t="shared" si="1"/>
        <v>61.727170923379177</v>
      </c>
    </row>
    <row r="40" spans="2:15" x14ac:dyDescent="0.3">
      <c r="B40" s="18">
        <v>17</v>
      </c>
      <c r="D40" s="18">
        <v>590</v>
      </c>
      <c r="E40" s="18">
        <v>68.47</v>
      </c>
      <c r="F40" s="18">
        <v>12.02</v>
      </c>
      <c r="G40" s="18">
        <f t="shared" si="2"/>
        <v>3.5</v>
      </c>
      <c r="I40" s="18">
        <v>501</v>
      </c>
      <c r="J40" s="18">
        <v>57.82</v>
      </c>
      <c r="K40" s="18">
        <v>9.67</v>
      </c>
      <c r="L40" s="18">
        <f t="shared" si="3"/>
        <v>-0.60000000000000142</v>
      </c>
      <c r="N40" s="31">
        <f t="shared" si="0"/>
        <v>1091</v>
      </c>
      <c r="O40" s="18">
        <f t="shared" si="1"/>
        <v>63.579395050412458</v>
      </c>
    </row>
    <row r="41" spans="2:15" x14ac:dyDescent="0.3">
      <c r="B41" s="18">
        <v>18</v>
      </c>
      <c r="D41" s="18">
        <v>564</v>
      </c>
      <c r="E41" s="18">
        <v>70.2</v>
      </c>
      <c r="F41" s="18">
        <v>11.48</v>
      </c>
      <c r="G41" s="18">
        <f t="shared" si="2"/>
        <v>1.730000000000004</v>
      </c>
      <c r="I41" s="18">
        <v>431</v>
      </c>
      <c r="J41" s="18">
        <v>58.52</v>
      </c>
      <c r="K41" s="18">
        <v>9.9700000000000006</v>
      </c>
      <c r="L41" s="18">
        <f t="shared" si="3"/>
        <v>0.70000000000000284</v>
      </c>
      <c r="N41" s="31">
        <f t="shared" si="0"/>
        <v>995</v>
      </c>
      <c r="O41" s="18">
        <f t="shared" si="1"/>
        <v>65.140623115577895</v>
      </c>
    </row>
    <row r="42" spans="2:15" x14ac:dyDescent="0.3">
      <c r="B42" s="18" t="s">
        <v>60</v>
      </c>
      <c r="D42" s="31">
        <v>1275</v>
      </c>
      <c r="E42" s="18">
        <v>74.260000000000005</v>
      </c>
      <c r="F42" s="18">
        <v>11.24</v>
      </c>
      <c r="G42" s="18">
        <f t="shared" si="2"/>
        <v>4.0600000000000023</v>
      </c>
      <c r="I42" s="31">
        <v>1292</v>
      </c>
      <c r="J42" s="18">
        <v>57.62</v>
      </c>
      <c r="K42" s="18">
        <v>8.48</v>
      </c>
      <c r="L42" s="18">
        <f t="shared" si="3"/>
        <v>-0.90000000000000568</v>
      </c>
      <c r="N42" s="31">
        <f t="shared" si="0"/>
        <v>2567</v>
      </c>
      <c r="O42" s="18">
        <f t="shared" si="1"/>
        <v>65.884900662251653</v>
      </c>
    </row>
    <row r="44" spans="2:15" x14ac:dyDescent="0.3">
      <c r="B44" s="18" t="s">
        <v>61</v>
      </c>
    </row>
  </sheetData>
  <mergeCells count="3">
    <mergeCell ref="D1:G1"/>
    <mergeCell ref="I1:L1"/>
    <mergeCell ref="N1:O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>
    <tabColor theme="8" tint="-0.499984740745262"/>
  </sheetPr>
  <dimension ref="B1:X44"/>
  <sheetViews>
    <sheetView workbookViewId="0">
      <selection activeCell="C2" sqref="C2"/>
    </sheetView>
  </sheetViews>
  <sheetFormatPr baseColWidth="10" defaultColWidth="11.5546875" defaultRowHeight="14.4" x14ac:dyDescent="0.3"/>
  <cols>
    <col min="1" max="1" width="3.44140625" style="18" customWidth="1"/>
    <col min="2" max="2" width="11.5546875" style="18"/>
    <col min="3" max="3" width="3.33203125" style="18" customWidth="1"/>
    <col min="4" max="5" width="11.5546875" style="18"/>
    <col min="6" max="6" width="6" style="18" bestFit="1" customWidth="1"/>
    <col min="7" max="7" width="6" style="18" customWidth="1"/>
    <col min="8" max="8" width="3.33203125" style="18" customWidth="1"/>
    <col min="9" max="10" width="11.5546875" style="18"/>
    <col min="11" max="11" width="6" style="18" bestFit="1" customWidth="1"/>
    <col min="12" max="12" width="6" style="18" customWidth="1"/>
    <col min="13" max="18" width="11.5546875" style="18"/>
    <col min="19" max="19" width="13.44140625" style="18" bestFit="1" customWidth="1"/>
    <col min="20" max="20" width="13.5546875" style="18" bestFit="1" customWidth="1"/>
    <col min="21" max="16384" width="11.5546875" style="18"/>
  </cols>
  <sheetData>
    <row r="1" spans="2:24" x14ac:dyDescent="0.3">
      <c r="D1" s="122" t="s">
        <v>40</v>
      </c>
      <c r="E1" s="122"/>
      <c r="F1" s="122"/>
      <c r="G1" s="122"/>
      <c r="I1" s="122" t="s">
        <v>41</v>
      </c>
      <c r="J1" s="122"/>
      <c r="K1" s="122"/>
      <c r="L1" s="122"/>
      <c r="N1" s="122" t="s">
        <v>42</v>
      </c>
      <c r="O1" s="122"/>
    </row>
    <row r="2" spans="2:24" x14ac:dyDescent="0.3">
      <c r="B2" s="29" t="s">
        <v>43</v>
      </c>
      <c r="D2" s="29" t="s">
        <v>25</v>
      </c>
      <c r="E2" s="29" t="s">
        <v>44</v>
      </c>
      <c r="F2" s="29" t="s">
        <v>45</v>
      </c>
      <c r="G2" s="29" t="s">
        <v>46</v>
      </c>
      <c r="I2" s="29" t="s">
        <v>25</v>
      </c>
      <c r="J2" s="29" t="s">
        <v>44</v>
      </c>
      <c r="K2" s="29" t="s">
        <v>45</v>
      </c>
      <c r="L2" s="29" t="s">
        <v>46</v>
      </c>
      <c r="N2" s="29" t="s">
        <v>25</v>
      </c>
      <c r="O2" s="29" t="s">
        <v>44</v>
      </c>
      <c r="Q2" s="30" t="s">
        <v>43</v>
      </c>
      <c r="R2" s="30" t="s">
        <v>44</v>
      </c>
      <c r="S2" s="30" t="s">
        <v>47</v>
      </c>
      <c r="T2" s="30" t="s">
        <v>48</v>
      </c>
      <c r="W2" s="18" t="s">
        <v>43</v>
      </c>
      <c r="X2" s="18" t="s">
        <v>44</v>
      </c>
    </row>
    <row r="3" spans="2:24" x14ac:dyDescent="0.3">
      <c r="B3" s="18">
        <v>0</v>
      </c>
      <c r="D3" s="31">
        <v>2974</v>
      </c>
      <c r="E3" s="18">
        <v>50.02</v>
      </c>
      <c r="F3" s="18">
        <v>1.82</v>
      </c>
      <c r="G3" s="18">
        <f>E3</f>
        <v>50.02</v>
      </c>
      <c r="I3" s="31">
        <v>2822</v>
      </c>
      <c r="J3" s="18">
        <v>49.43</v>
      </c>
      <c r="K3" s="18">
        <v>1.73</v>
      </c>
      <c r="L3" s="18">
        <f>J3</f>
        <v>49.43</v>
      </c>
      <c r="N3" s="31">
        <f>D3+I3</f>
        <v>5796</v>
      </c>
      <c r="O3" s="18">
        <f>(D3*E3+I3*J3)/N3</f>
        <v>49.732736369910285</v>
      </c>
      <c r="Q3" s="32">
        <v>0</v>
      </c>
      <c r="R3" s="18">
        <f>O3</f>
        <v>49.732736369910285</v>
      </c>
      <c r="S3" s="26">
        <f>E3</f>
        <v>50.02</v>
      </c>
      <c r="T3" s="26">
        <f>J3</f>
        <v>49.43</v>
      </c>
      <c r="W3" s="18" t="s">
        <v>49</v>
      </c>
      <c r="X3" s="18">
        <f>AVERAGE(R3:R4)</f>
        <v>62.396847836117935</v>
      </c>
    </row>
    <row r="4" spans="2:24" x14ac:dyDescent="0.3">
      <c r="B4" s="18">
        <v>0.25</v>
      </c>
      <c r="D4" s="18">
        <v>233</v>
      </c>
      <c r="E4" s="18">
        <v>61.06</v>
      </c>
      <c r="F4" s="18">
        <v>3.05</v>
      </c>
      <c r="G4" s="18">
        <f>E4-E3</f>
        <v>11.04</v>
      </c>
      <c r="I4" s="18">
        <v>233</v>
      </c>
      <c r="J4" s="18">
        <v>59.06</v>
      </c>
      <c r="K4" s="18">
        <v>2.81</v>
      </c>
      <c r="L4" s="18">
        <f>J4-J3</f>
        <v>9.6300000000000026</v>
      </c>
      <c r="N4" s="31">
        <f t="shared" ref="N4:N42" si="0">D4+I4</f>
        <v>466</v>
      </c>
      <c r="O4" s="18">
        <f t="shared" ref="O4:O42" si="1">(D4*E4+I4*J4)/N4</f>
        <v>60.060000000000009</v>
      </c>
      <c r="Q4" s="32">
        <v>1</v>
      </c>
      <c r="R4" s="18">
        <f>O7</f>
        <v>75.060959302325585</v>
      </c>
      <c r="S4" s="26">
        <f>E7</f>
        <v>75.88</v>
      </c>
      <c r="T4" s="26">
        <f>J7</f>
        <v>74.27</v>
      </c>
      <c r="W4" s="18" t="s">
        <v>50</v>
      </c>
      <c r="X4" s="18">
        <f>AVERAGE(R4:R5)</f>
        <v>81.3504796511628</v>
      </c>
    </row>
    <row r="5" spans="2:24" x14ac:dyDescent="0.3">
      <c r="B5" s="18">
        <v>0.5</v>
      </c>
      <c r="D5" s="18">
        <v>214</v>
      </c>
      <c r="E5" s="18">
        <v>67.569999999999993</v>
      </c>
      <c r="F5" s="18">
        <v>2.62</v>
      </c>
      <c r="G5" s="18">
        <f t="shared" ref="G5:G42" si="2">E5-E4</f>
        <v>6.5099999999999909</v>
      </c>
      <c r="I5" s="18">
        <v>205</v>
      </c>
      <c r="J5" s="18">
        <v>65.599999999999994</v>
      </c>
      <c r="K5" s="18">
        <v>2.65</v>
      </c>
      <c r="L5" s="18">
        <f t="shared" ref="L5:L42" si="3">J5-J4</f>
        <v>6.539999999999992</v>
      </c>
      <c r="N5" s="31">
        <f t="shared" si="0"/>
        <v>419</v>
      </c>
      <c r="O5" s="18">
        <f t="shared" si="1"/>
        <v>66.606157517899746</v>
      </c>
      <c r="Q5" s="32">
        <v>2</v>
      </c>
      <c r="R5" s="18">
        <f>O11</f>
        <v>87.640000000000015</v>
      </c>
      <c r="S5" s="26">
        <f>E11</f>
        <v>88.21</v>
      </c>
      <c r="T5" s="26">
        <f>J11</f>
        <v>86.73</v>
      </c>
      <c r="W5" s="18" t="s">
        <v>51</v>
      </c>
      <c r="X5" s="18">
        <f>AVERAGE(R5:R11)</f>
        <v>109.2966972568335</v>
      </c>
    </row>
    <row r="6" spans="2:24" x14ac:dyDescent="0.3">
      <c r="B6" s="18">
        <v>0.75</v>
      </c>
      <c r="D6" s="18">
        <v>213</v>
      </c>
      <c r="E6" s="18">
        <v>72.61</v>
      </c>
      <c r="F6" s="18">
        <v>2.4300000000000002</v>
      </c>
      <c r="G6" s="18">
        <f t="shared" si="2"/>
        <v>5.0400000000000063</v>
      </c>
      <c r="I6" s="18">
        <v>186</v>
      </c>
      <c r="J6" s="18">
        <v>70.260000000000005</v>
      </c>
      <c r="K6" s="18">
        <v>2.75</v>
      </c>
      <c r="L6" s="18">
        <f t="shared" si="3"/>
        <v>4.6600000000000108</v>
      </c>
      <c r="N6" s="31">
        <f t="shared" si="0"/>
        <v>399</v>
      </c>
      <c r="O6" s="18">
        <f t="shared" si="1"/>
        <v>71.514511278195485</v>
      </c>
      <c r="Q6" s="32">
        <v>3</v>
      </c>
      <c r="R6" s="18">
        <f>O13</f>
        <v>96.356313645621171</v>
      </c>
      <c r="S6" s="26">
        <f>E13</f>
        <v>97.09</v>
      </c>
      <c r="T6" s="26">
        <f>J13</f>
        <v>95.57</v>
      </c>
      <c r="W6" s="18" t="s">
        <v>52</v>
      </c>
      <c r="X6" s="18">
        <f>AVERAGE(R4:R11)</f>
        <v>105.01723001252002</v>
      </c>
    </row>
    <row r="7" spans="2:24" x14ac:dyDescent="0.3">
      <c r="B7" s="18">
        <v>1</v>
      </c>
      <c r="D7" s="18">
        <v>169</v>
      </c>
      <c r="E7" s="18">
        <v>75.88</v>
      </c>
      <c r="F7" s="18">
        <v>2.81</v>
      </c>
      <c r="G7" s="18">
        <f t="shared" si="2"/>
        <v>3.269999999999996</v>
      </c>
      <c r="I7" s="18">
        <v>175</v>
      </c>
      <c r="J7" s="18">
        <v>74.27</v>
      </c>
      <c r="K7" s="18">
        <v>2.4700000000000002</v>
      </c>
      <c r="L7" s="18">
        <f t="shared" si="3"/>
        <v>4.0099999999999909</v>
      </c>
      <c r="N7" s="31">
        <f t="shared" si="0"/>
        <v>344</v>
      </c>
      <c r="O7" s="18">
        <f t="shared" si="1"/>
        <v>75.060959302325585</v>
      </c>
      <c r="Q7" s="32">
        <v>4</v>
      </c>
      <c r="R7" s="18">
        <f>O15</f>
        <v>103.2967716535433</v>
      </c>
      <c r="S7" s="26">
        <f>E15</f>
        <v>103.67</v>
      </c>
      <c r="T7" s="26">
        <f>J15</f>
        <v>102.88</v>
      </c>
      <c r="W7" s="18" t="s">
        <v>53</v>
      </c>
      <c r="X7" s="18">
        <f>AVERAGE(R11:R15)</f>
        <v>139.74780875274894</v>
      </c>
    </row>
    <row r="8" spans="2:24" x14ac:dyDescent="0.3">
      <c r="B8" s="18">
        <v>1.25</v>
      </c>
      <c r="D8" s="18">
        <v>166</v>
      </c>
      <c r="E8" s="18">
        <v>79.66</v>
      </c>
      <c r="F8" s="18">
        <v>2.8</v>
      </c>
      <c r="G8" s="18">
        <f t="shared" si="2"/>
        <v>3.7800000000000011</v>
      </c>
      <c r="I8" s="18">
        <v>138</v>
      </c>
      <c r="J8" s="18">
        <v>77.569999999999993</v>
      </c>
      <c r="K8" s="18">
        <v>2.67</v>
      </c>
      <c r="L8" s="18">
        <f t="shared" si="3"/>
        <v>3.2999999999999972</v>
      </c>
      <c r="N8" s="31">
        <f t="shared" si="0"/>
        <v>304</v>
      </c>
      <c r="O8" s="18">
        <f t="shared" si="1"/>
        <v>78.711250000000007</v>
      </c>
      <c r="Q8" s="32">
        <v>5</v>
      </c>
      <c r="R8" s="18">
        <f>O17</f>
        <v>110.09285714285714</v>
      </c>
      <c r="S8" s="26">
        <f>E17</f>
        <v>110.25</v>
      </c>
      <c r="T8" s="26">
        <f>J17</f>
        <v>109.95</v>
      </c>
      <c r="W8" s="18" t="s">
        <v>54</v>
      </c>
      <c r="X8" s="18">
        <f>AVERAGE(R11:R21)</f>
        <v>153.82045041497815</v>
      </c>
    </row>
    <row r="9" spans="2:24" x14ac:dyDescent="0.3">
      <c r="B9" s="18">
        <v>1.5</v>
      </c>
      <c r="D9" s="18">
        <v>149</v>
      </c>
      <c r="E9" s="18">
        <v>82.64</v>
      </c>
      <c r="F9" s="18">
        <v>3.13</v>
      </c>
      <c r="G9" s="18">
        <f t="shared" si="2"/>
        <v>2.980000000000004</v>
      </c>
      <c r="I9" s="18">
        <v>125</v>
      </c>
      <c r="J9" s="18">
        <v>80.91</v>
      </c>
      <c r="K9" s="18">
        <v>2.85</v>
      </c>
      <c r="L9" s="18">
        <f t="shared" si="3"/>
        <v>3.3400000000000034</v>
      </c>
      <c r="N9" s="31">
        <f t="shared" si="0"/>
        <v>274</v>
      </c>
      <c r="O9" s="18">
        <f t="shared" si="1"/>
        <v>81.850766423357669</v>
      </c>
      <c r="Q9" s="32">
        <v>6</v>
      </c>
      <c r="R9" s="18">
        <f>O19</f>
        <v>116.41449101796408</v>
      </c>
      <c r="S9" s="26">
        <f>E19</f>
        <v>116.5</v>
      </c>
      <c r="T9" s="26">
        <f>J19</f>
        <v>116.33</v>
      </c>
      <c r="W9" s="18" t="s">
        <v>55</v>
      </c>
      <c r="X9" s="18">
        <f>AVERAGE(R3:R21)</f>
        <v>129.12107662946079</v>
      </c>
    </row>
    <row r="10" spans="2:24" x14ac:dyDescent="0.3">
      <c r="B10" s="18">
        <v>1.75</v>
      </c>
      <c r="D10" s="18">
        <v>153</v>
      </c>
      <c r="E10" s="18">
        <v>85.61</v>
      </c>
      <c r="F10" s="18">
        <v>3</v>
      </c>
      <c r="G10" s="18">
        <f t="shared" si="2"/>
        <v>2.9699999999999989</v>
      </c>
      <c r="I10" s="18">
        <v>106</v>
      </c>
      <c r="J10" s="18">
        <v>83.93</v>
      </c>
      <c r="K10" s="18">
        <v>3.08</v>
      </c>
      <c r="L10" s="18">
        <f t="shared" si="3"/>
        <v>3.0200000000000102</v>
      </c>
      <c r="N10" s="31">
        <f t="shared" si="0"/>
        <v>259</v>
      </c>
      <c r="O10" s="18">
        <f t="shared" si="1"/>
        <v>84.92243243243243</v>
      </c>
      <c r="Q10" s="32">
        <v>7</v>
      </c>
      <c r="R10" s="18">
        <f>O21</f>
        <v>122.68137226277371</v>
      </c>
      <c r="S10" s="26">
        <f>E21</f>
        <v>123.42</v>
      </c>
      <c r="T10" s="26">
        <f>J21</f>
        <v>122.03</v>
      </c>
      <c r="W10" s="18" t="s">
        <v>56</v>
      </c>
      <c r="X10" s="18">
        <f>AVERAGE(R3:R15)</f>
        <v>112.30881116605693</v>
      </c>
    </row>
    <row r="11" spans="2:24" x14ac:dyDescent="0.3">
      <c r="B11" s="18">
        <v>2</v>
      </c>
      <c r="D11" s="18">
        <v>182</v>
      </c>
      <c r="E11" s="18">
        <v>88.21</v>
      </c>
      <c r="F11" s="18">
        <v>2.83</v>
      </c>
      <c r="G11" s="18">
        <f t="shared" si="2"/>
        <v>2.5999999999999943</v>
      </c>
      <c r="I11" s="18">
        <v>114</v>
      </c>
      <c r="J11" s="18">
        <v>86.73</v>
      </c>
      <c r="K11" s="18">
        <v>2.96</v>
      </c>
      <c r="L11" s="18">
        <f t="shared" si="3"/>
        <v>2.7999999999999972</v>
      </c>
      <c r="N11" s="31">
        <f t="shared" si="0"/>
        <v>296</v>
      </c>
      <c r="O11" s="18">
        <f t="shared" si="1"/>
        <v>87.640000000000015</v>
      </c>
      <c r="Q11" s="32">
        <v>8</v>
      </c>
      <c r="R11" s="18">
        <f>O23</f>
        <v>128.59507507507507</v>
      </c>
      <c r="S11" s="26">
        <f>E23</f>
        <v>129.08000000000001</v>
      </c>
      <c r="T11" s="26">
        <f>J23</f>
        <v>128.19999999999999</v>
      </c>
      <c r="W11" s="18" t="s">
        <v>57</v>
      </c>
      <c r="X11" s="18">
        <f>AVERAGE(R4:R15)</f>
        <v>117.52348406573581</v>
      </c>
    </row>
    <row r="12" spans="2:24" x14ac:dyDescent="0.3">
      <c r="B12" s="18">
        <v>2.5</v>
      </c>
      <c r="D12" s="18">
        <v>263</v>
      </c>
      <c r="E12" s="18">
        <v>92.29</v>
      </c>
      <c r="F12" s="18">
        <v>3.1</v>
      </c>
      <c r="G12" s="18">
        <f t="shared" si="2"/>
        <v>4.0800000000000125</v>
      </c>
      <c r="I12" s="18">
        <v>193</v>
      </c>
      <c r="J12" s="18">
        <v>91.11</v>
      </c>
      <c r="K12" s="18">
        <v>3.55</v>
      </c>
      <c r="L12" s="18">
        <f t="shared" si="3"/>
        <v>4.3799999999999955</v>
      </c>
      <c r="N12" s="31">
        <f t="shared" si="0"/>
        <v>456</v>
      </c>
      <c r="O12" s="18">
        <f t="shared" si="1"/>
        <v>91.790570175438603</v>
      </c>
      <c r="Q12" s="32">
        <v>9</v>
      </c>
      <c r="R12" s="18">
        <f>O25</f>
        <v>134.0301656626506</v>
      </c>
      <c r="S12" s="26">
        <f>E25</f>
        <v>134.27000000000001</v>
      </c>
      <c r="T12" s="26">
        <f>J25</f>
        <v>133.78</v>
      </c>
      <c r="W12" s="18" t="s">
        <v>58</v>
      </c>
      <c r="X12" s="18">
        <f>AVERAGE(R15:R21)</f>
        <v>163.53746175496946</v>
      </c>
    </row>
    <row r="13" spans="2:24" x14ac:dyDescent="0.3">
      <c r="B13" s="18">
        <v>3</v>
      </c>
      <c r="D13" s="18">
        <v>508</v>
      </c>
      <c r="E13" s="18">
        <v>97.09</v>
      </c>
      <c r="F13" s="18">
        <v>3.23</v>
      </c>
      <c r="G13" s="18">
        <f t="shared" si="2"/>
        <v>4.7999999999999972</v>
      </c>
      <c r="I13" s="18">
        <v>474</v>
      </c>
      <c r="J13" s="18">
        <v>95.57</v>
      </c>
      <c r="K13" s="18">
        <v>3.79</v>
      </c>
      <c r="L13" s="18">
        <f t="shared" si="3"/>
        <v>4.4599999999999937</v>
      </c>
      <c r="N13" s="31">
        <f t="shared" si="0"/>
        <v>982</v>
      </c>
      <c r="O13" s="18">
        <f t="shared" si="1"/>
        <v>96.356313645621171</v>
      </c>
      <c r="Q13" s="32">
        <v>10</v>
      </c>
      <c r="R13" s="18">
        <f>O27</f>
        <v>139.43521739130435</v>
      </c>
      <c r="S13" s="26">
        <f>E27</f>
        <v>139.71</v>
      </c>
      <c r="T13" s="26">
        <f>J27</f>
        <v>139.11000000000001</v>
      </c>
      <c r="W13" s="18" t="s">
        <v>59</v>
      </c>
      <c r="X13" s="18">
        <f>R22</f>
        <v>170.60072847682122</v>
      </c>
    </row>
    <row r="14" spans="2:24" x14ac:dyDescent="0.3">
      <c r="B14" s="18">
        <v>3.5</v>
      </c>
      <c r="D14" s="18">
        <v>463</v>
      </c>
      <c r="E14" s="18">
        <v>100.01</v>
      </c>
      <c r="F14" s="18">
        <v>4</v>
      </c>
      <c r="G14" s="18">
        <f t="shared" si="2"/>
        <v>2.9200000000000017</v>
      </c>
      <c r="I14" s="18">
        <v>382</v>
      </c>
      <c r="J14" s="18">
        <v>98.61</v>
      </c>
      <c r="K14" s="18">
        <v>3.6</v>
      </c>
      <c r="L14" s="18">
        <f t="shared" si="3"/>
        <v>3.0400000000000063</v>
      </c>
      <c r="N14" s="31">
        <f t="shared" si="0"/>
        <v>845</v>
      </c>
      <c r="O14" s="18">
        <f t="shared" si="1"/>
        <v>99.377100591715973</v>
      </c>
      <c r="Q14" s="32">
        <v>11</v>
      </c>
      <c r="R14" s="18">
        <f>O29</f>
        <v>145.20226415094339</v>
      </c>
      <c r="S14" s="26">
        <f>E29</f>
        <v>144.78</v>
      </c>
      <c r="T14" s="26">
        <f>J29</f>
        <v>145.62</v>
      </c>
    </row>
    <row r="15" spans="2:24" x14ac:dyDescent="0.3">
      <c r="B15" s="18">
        <v>4</v>
      </c>
      <c r="D15" s="18">
        <v>469</v>
      </c>
      <c r="E15" s="18">
        <v>103.67</v>
      </c>
      <c r="F15" s="18">
        <v>4.13</v>
      </c>
      <c r="G15" s="18">
        <f t="shared" si="2"/>
        <v>3.6599999999999966</v>
      </c>
      <c r="I15" s="18">
        <v>420</v>
      </c>
      <c r="J15" s="18">
        <v>102.88</v>
      </c>
      <c r="K15" s="18">
        <v>4.17</v>
      </c>
      <c r="L15" s="18">
        <f t="shared" si="3"/>
        <v>4.269999999999996</v>
      </c>
      <c r="N15" s="31">
        <f t="shared" si="0"/>
        <v>889</v>
      </c>
      <c r="O15" s="18">
        <f t="shared" si="1"/>
        <v>103.2967716535433</v>
      </c>
      <c r="Q15" s="32">
        <v>12</v>
      </c>
      <c r="R15" s="18">
        <f>O31</f>
        <v>151.47632148377124</v>
      </c>
      <c r="S15" s="26">
        <f>E31</f>
        <v>151.38</v>
      </c>
      <c r="T15" s="26">
        <f>J31</f>
        <v>151.57</v>
      </c>
    </row>
    <row r="16" spans="2:24" x14ac:dyDescent="0.3">
      <c r="B16" s="18">
        <v>4.5</v>
      </c>
      <c r="D16" s="18">
        <v>438</v>
      </c>
      <c r="E16" s="18">
        <v>106.59</v>
      </c>
      <c r="F16" s="18">
        <v>4.13</v>
      </c>
      <c r="G16" s="18">
        <f t="shared" si="2"/>
        <v>2.9200000000000017</v>
      </c>
      <c r="I16" s="18">
        <v>358</v>
      </c>
      <c r="J16" s="18">
        <v>106.15</v>
      </c>
      <c r="K16" s="18">
        <v>3.93</v>
      </c>
      <c r="L16" s="18">
        <f t="shared" si="3"/>
        <v>3.2700000000000102</v>
      </c>
      <c r="N16" s="31">
        <f t="shared" si="0"/>
        <v>796</v>
      </c>
      <c r="O16" s="18">
        <f t="shared" si="1"/>
        <v>106.39211055276381</v>
      </c>
      <c r="Q16" s="32">
        <v>13</v>
      </c>
      <c r="R16" s="18">
        <f>O33</f>
        <v>157.01405940594057</v>
      </c>
      <c r="S16" s="26">
        <f>E33</f>
        <v>157.26</v>
      </c>
      <c r="T16" s="26">
        <f>J33</f>
        <v>156.72</v>
      </c>
    </row>
    <row r="17" spans="2:21" x14ac:dyDescent="0.3">
      <c r="B17" s="18">
        <v>5</v>
      </c>
      <c r="D17" s="18">
        <v>370</v>
      </c>
      <c r="E17" s="18">
        <v>110.25</v>
      </c>
      <c r="F17" s="18">
        <v>4.54</v>
      </c>
      <c r="G17" s="18">
        <f t="shared" si="2"/>
        <v>3.6599999999999966</v>
      </c>
      <c r="I17" s="18">
        <v>407</v>
      </c>
      <c r="J17" s="18">
        <v>109.95</v>
      </c>
      <c r="K17" s="18">
        <v>4.51</v>
      </c>
      <c r="L17" s="18">
        <f t="shared" si="3"/>
        <v>3.7999999999999972</v>
      </c>
      <c r="N17" s="31">
        <f t="shared" si="0"/>
        <v>777</v>
      </c>
      <c r="O17" s="18">
        <f t="shared" si="1"/>
        <v>110.09285714285714</v>
      </c>
      <c r="Q17" s="32">
        <v>14</v>
      </c>
      <c r="R17" s="18">
        <f>O35</f>
        <v>162.5102</v>
      </c>
      <c r="S17" s="26">
        <f>E35</f>
        <v>164.18</v>
      </c>
      <c r="T17" s="26">
        <f>J35</f>
        <v>160.55000000000001</v>
      </c>
    </row>
    <row r="18" spans="2:21" x14ac:dyDescent="0.3">
      <c r="B18" s="18">
        <v>5.5</v>
      </c>
      <c r="D18" s="18">
        <v>363</v>
      </c>
      <c r="E18" s="18">
        <v>113.61</v>
      </c>
      <c r="F18" s="18">
        <v>4.43</v>
      </c>
      <c r="G18" s="18">
        <f t="shared" si="2"/>
        <v>3.3599999999999994</v>
      </c>
      <c r="I18" s="18">
        <v>370</v>
      </c>
      <c r="J18" s="18">
        <v>113.04</v>
      </c>
      <c r="K18" s="18">
        <v>4.51</v>
      </c>
      <c r="L18" s="18">
        <f t="shared" si="3"/>
        <v>3.0900000000000034</v>
      </c>
      <c r="N18" s="31">
        <f t="shared" si="0"/>
        <v>733</v>
      </c>
      <c r="O18" s="18">
        <f t="shared" si="1"/>
        <v>113.32227830832198</v>
      </c>
      <c r="Q18" s="32">
        <v>15</v>
      </c>
      <c r="R18" s="18">
        <f>O37</f>
        <v>165.86720486111113</v>
      </c>
      <c r="S18" s="26">
        <f>E37</f>
        <v>169.25</v>
      </c>
      <c r="T18" s="26">
        <f>J37</f>
        <v>162.06</v>
      </c>
    </row>
    <row r="19" spans="2:21" x14ac:dyDescent="0.3">
      <c r="B19" s="18">
        <v>6</v>
      </c>
      <c r="D19" s="18">
        <v>332</v>
      </c>
      <c r="E19" s="18">
        <v>116.5</v>
      </c>
      <c r="F19" s="18">
        <v>4.9800000000000004</v>
      </c>
      <c r="G19" s="18">
        <f t="shared" si="2"/>
        <v>2.8900000000000006</v>
      </c>
      <c r="I19" s="18">
        <v>336</v>
      </c>
      <c r="J19" s="18">
        <v>116.33</v>
      </c>
      <c r="K19" s="18">
        <v>4.6500000000000004</v>
      </c>
      <c r="L19" s="18">
        <f t="shared" si="3"/>
        <v>3.289999999999992</v>
      </c>
      <c r="N19" s="31">
        <f t="shared" si="0"/>
        <v>668</v>
      </c>
      <c r="O19" s="18">
        <f t="shared" si="1"/>
        <v>116.41449101796408</v>
      </c>
      <c r="Q19" s="32">
        <v>16</v>
      </c>
      <c r="R19" s="18">
        <f>O39</f>
        <v>167.65958742632614</v>
      </c>
      <c r="S19" s="26">
        <f>E39</f>
        <v>171.65</v>
      </c>
      <c r="T19" s="26">
        <f>J39</f>
        <v>163.59</v>
      </c>
    </row>
    <row r="20" spans="2:21" x14ac:dyDescent="0.3">
      <c r="B20" s="18">
        <v>6.5</v>
      </c>
      <c r="D20" s="18">
        <v>341</v>
      </c>
      <c r="E20" s="18">
        <v>120.3</v>
      </c>
      <c r="F20" s="18">
        <v>5.15</v>
      </c>
      <c r="G20" s="18">
        <f t="shared" si="2"/>
        <v>3.7999999999999972</v>
      </c>
      <c r="I20" s="18">
        <v>334</v>
      </c>
      <c r="J20" s="18">
        <v>119.32</v>
      </c>
      <c r="K20" s="18">
        <v>5.01</v>
      </c>
      <c r="L20" s="18">
        <f t="shared" si="3"/>
        <v>2.9899999999999949</v>
      </c>
      <c r="N20" s="31">
        <f t="shared" si="0"/>
        <v>675</v>
      </c>
      <c r="O20" s="18">
        <f t="shared" si="1"/>
        <v>119.81508148148147</v>
      </c>
      <c r="Q20" s="32">
        <v>17</v>
      </c>
      <c r="R20" s="18">
        <f>O40</f>
        <v>169.47151237396884</v>
      </c>
      <c r="S20" s="26">
        <f>E40</f>
        <v>174.78</v>
      </c>
      <c r="T20" s="26">
        <f>J40</f>
        <v>163.22</v>
      </c>
    </row>
    <row r="21" spans="2:21" x14ac:dyDescent="0.3">
      <c r="B21" s="18">
        <v>7</v>
      </c>
      <c r="D21" s="18">
        <v>321</v>
      </c>
      <c r="E21" s="18">
        <v>123.42</v>
      </c>
      <c r="F21" s="18">
        <v>5.41</v>
      </c>
      <c r="G21" s="18">
        <f t="shared" si="2"/>
        <v>3.1200000000000045</v>
      </c>
      <c r="I21" s="18">
        <v>364</v>
      </c>
      <c r="J21" s="18">
        <v>122.03</v>
      </c>
      <c r="K21" s="18">
        <v>4.4800000000000004</v>
      </c>
      <c r="L21" s="18">
        <f t="shared" si="3"/>
        <v>2.710000000000008</v>
      </c>
      <c r="N21" s="31">
        <f t="shared" si="0"/>
        <v>685</v>
      </c>
      <c r="O21" s="18">
        <f t="shared" si="1"/>
        <v>122.68137226277371</v>
      </c>
      <c r="Q21" s="32">
        <v>18</v>
      </c>
      <c r="R21" s="18">
        <f>O41</f>
        <v>170.76334673366833</v>
      </c>
      <c r="S21" s="26">
        <f>E41</f>
        <v>175.97</v>
      </c>
      <c r="T21" s="26">
        <f>J41</f>
        <v>163.95</v>
      </c>
    </row>
    <row r="22" spans="2:21" x14ac:dyDescent="0.3">
      <c r="B22" s="18">
        <v>7.5</v>
      </c>
      <c r="D22" s="18">
        <v>336</v>
      </c>
      <c r="E22" s="18">
        <v>126.11</v>
      </c>
      <c r="F22" s="18">
        <v>5.62</v>
      </c>
      <c r="G22" s="18">
        <f t="shared" si="2"/>
        <v>2.6899999999999977</v>
      </c>
      <c r="I22" s="18">
        <v>366</v>
      </c>
      <c r="J22" s="18">
        <v>125.4</v>
      </c>
      <c r="K22" s="18">
        <v>5.04</v>
      </c>
      <c r="L22" s="18">
        <f t="shared" si="3"/>
        <v>3.3700000000000045</v>
      </c>
      <c r="N22" s="31">
        <f t="shared" si="0"/>
        <v>702</v>
      </c>
      <c r="O22" s="18">
        <f t="shared" si="1"/>
        <v>125.73982905982906</v>
      </c>
      <c r="Q22" s="32" t="s">
        <v>59</v>
      </c>
      <c r="R22" s="18">
        <f>O42</f>
        <v>170.60072847682122</v>
      </c>
      <c r="S22" s="26">
        <f>E42</f>
        <v>177.33</v>
      </c>
      <c r="T22" s="26">
        <f>J42</f>
        <v>163.96</v>
      </c>
    </row>
    <row r="23" spans="2:21" x14ac:dyDescent="0.3">
      <c r="B23" s="18">
        <v>8</v>
      </c>
      <c r="D23" s="18">
        <v>299</v>
      </c>
      <c r="E23" s="18">
        <v>129.08000000000001</v>
      </c>
      <c r="F23" s="18">
        <v>5.5</v>
      </c>
      <c r="G23" s="18">
        <f t="shared" si="2"/>
        <v>2.9700000000000131</v>
      </c>
      <c r="I23" s="18">
        <v>367</v>
      </c>
      <c r="J23" s="18">
        <v>128.19999999999999</v>
      </c>
      <c r="K23" s="18">
        <v>5.23</v>
      </c>
      <c r="L23" s="18">
        <f t="shared" si="3"/>
        <v>2.7999999999999829</v>
      </c>
      <c r="N23" s="31">
        <f t="shared" si="0"/>
        <v>666</v>
      </c>
      <c r="O23" s="18">
        <f t="shared" si="1"/>
        <v>128.59507507507507</v>
      </c>
    </row>
    <row r="24" spans="2:21" x14ac:dyDescent="0.3">
      <c r="B24" s="18">
        <v>8.5</v>
      </c>
      <c r="D24" s="18">
        <v>337</v>
      </c>
      <c r="E24" s="18">
        <v>132.6</v>
      </c>
      <c r="F24" s="18">
        <v>5.82</v>
      </c>
      <c r="G24" s="18">
        <f t="shared" si="2"/>
        <v>3.5199999999999818</v>
      </c>
      <c r="I24" s="18">
        <v>313</v>
      </c>
      <c r="J24" s="18">
        <v>131.22999999999999</v>
      </c>
      <c r="K24" s="18">
        <v>5.63</v>
      </c>
      <c r="L24" s="18">
        <f t="shared" si="3"/>
        <v>3.0300000000000011</v>
      </c>
      <c r="N24" s="31">
        <f t="shared" si="0"/>
        <v>650</v>
      </c>
      <c r="O24" s="18">
        <f t="shared" si="1"/>
        <v>131.94029230769232</v>
      </c>
      <c r="R24" s="31"/>
      <c r="S24" s="31"/>
      <c r="T24" s="31"/>
      <c r="U24" s="31"/>
    </row>
    <row r="25" spans="2:21" x14ac:dyDescent="0.3">
      <c r="B25" s="18">
        <v>9</v>
      </c>
      <c r="D25" s="18">
        <v>339</v>
      </c>
      <c r="E25" s="18">
        <v>134.27000000000001</v>
      </c>
      <c r="F25" s="18">
        <v>5.4</v>
      </c>
      <c r="G25" s="18">
        <f t="shared" si="2"/>
        <v>1.6700000000000159</v>
      </c>
      <c r="I25" s="18">
        <v>325</v>
      </c>
      <c r="J25" s="18">
        <v>133.78</v>
      </c>
      <c r="K25" s="18">
        <v>5.78</v>
      </c>
      <c r="L25" s="18">
        <f t="shared" si="3"/>
        <v>2.5500000000000114</v>
      </c>
      <c r="N25" s="31">
        <f t="shared" si="0"/>
        <v>664</v>
      </c>
      <c r="O25" s="18">
        <f t="shared" si="1"/>
        <v>134.0301656626506</v>
      </c>
    </row>
    <row r="26" spans="2:21" x14ac:dyDescent="0.3">
      <c r="B26" s="18">
        <v>9.5</v>
      </c>
      <c r="D26" s="18">
        <v>369</v>
      </c>
      <c r="E26" s="18">
        <v>137.43</v>
      </c>
      <c r="F26" s="18">
        <v>5.96</v>
      </c>
      <c r="G26" s="18">
        <f t="shared" si="2"/>
        <v>3.1599999999999966</v>
      </c>
      <c r="I26" s="18">
        <v>302</v>
      </c>
      <c r="J26" s="18">
        <v>136.76</v>
      </c>
      <c r="K26" s="18">
        <v>6.1</v>
      </c>
      <c r="L26" s="18">
        <f t="shared" si="3"/>
        <v>2.9799999999999898</v>
      </c>
      <c r="N26" s="31">
        <f t="shared" si="0"/>
        <v>671</v>
      </c>
      <c r="O26" s="18">
        <f t="shared" si="1"/>
        <v>137.12845007451565</v>
      </c>
      <c r="R26" s="31"/>
      <c r="S26" s="31"/>
      <c r="T26" s="31"/>
      <c r="U26" s="31"/>
    </row>
    <row r="27" spans="2:21" x14ac:dyDescent="0.3">
      <c r="B27" s="18">
        <v>10</v>
      </c>
      <c r="D27" s="18">
        <v>374</v>
      </c>
      <c r="E27" s="18">
        <v>139.71</v>
      </c>
      <c r="F27" s="18">
        <v>6.14</v>
      </c>
      <c r="G27" s="18">
        <f t="shared" si="2"/>
        <v>2.2800000000000011</v>
      </c>
      <c r="I27" s="18">
        <v>316</v>
      </c>
      <c r="J27" s="18">
        <v>139.11000000000001</v>
      </c>
      <c r="K27" s="18">
        <v>6.56</v>
      </c>
      <c r="L27" s="18">
        <f t="shared" si="3"/>
        <v>2.3500000000000227</v>
      </c>
      <c r="N27" s="31">
        <f t="shared" si="0"/>
        <v>690</v>
      </c>
      <c r="O27" s="18">
        <f t="shared" si="1"/>
        <v>139.43521739130435</v>
      </c>
    </row>
    <row r="28" spans="2:21" x14ac:dyDescent="0.3">
      <c r="B28" s="18">
        <v>10.5</v>
      </c>
      <c r="D28" s="18">
        <v>378</v>
      </c>
      <c r="E28" s="18">
        <v>142.24</v>
      </c>
      <c r="F28" s="18">
        <v>6.87</v>
      </c>
      <c r="G28" s="18">
        <f t="shared" si="2"/>
        <v>2.5300000000000011</v>
      </c>
      <c r="I28" s="18">
        <v>333</v>
      </c>
      <c r="J28" s="18">
        <v>143.1</v>
      </c>
      <c r="K28" s="18">
        <v>6.58</v>
      </c>
      <c r="L28" s="18">
        <f t="shared" si="3"/>
        <v>3.9899999999999807</v>
      </c>
      <c r="N28" s="31">
        <f t="shared" si="0"/>
        <v>711</v>
      </c>
      <c r="O28" s="18">
        <f t="shared" si="1"/>
        <v>142.64278481012656</v>
      </c>
      <c r="R28" s="31"/>
      <c r="S28" s="31"/>
      <c r="T28" s="31"/>
      <c r="U28" s="31"/>
    </row>
    <row r="29" spans="2:21" x14ac:dyDescent="0.3">
      <c r="B29" s="18">
        <v>11</v>
      </c>
      <c r="D29" s="18">
        <v>369</v>
      </c>
      <c r="E29" s="18">
        <v>144.78</v>
      </c>
      <c r="F29" s="18">
        <v>6</v>
      </c>
      <c r="G29" s="18">
        <f t="shared" si="2"/>
        <v>2.539999999999992</v>
      </c>
      <c r="I29" s="18">
        <v>373</v>
      </c>
      <c r="J29" s="18">
        <v>145.62</v>
      </c>
      <c r="K29" s="18">
        <v>6.74</v>
      </c>
      <c r="L29" s="18">
        <f t="shared" si="3"/>
        <v>2.5200000000000102</v>
      </c>
      <c r="N29" s="31">
        <f t="shared" si="0"/>
        <v>742</v>
      </c>
      <c r="O29" s="18">
        <f t="shared" si="1"/>
        <v>145.20226415094339</v>
      </c>
    </row>
    <row r="30" spans="2:21" x14ac:dyDescent="0.3">
      <c r="B30" s="18">
        <v>11.5</v>
      </c>
      <c r="D30" s="18">
        <v>342</v>
      </c>
      <c r="E30" s="18">
        <v>147.6</v>
      </c>
      <c r="F30" s="18">
        <v>7.1</v>
      </c>
      <c r="G30" s="18">
        <f t="shared" si="2"/>
        <v>2.8199999999999932</v>
      </c>
      <c r="I30" s="18">
        <v>310</v>
      </c>
      <c r="J30" s="18">
        <v>148.99</v>
      </c>
      <c r="K30" s="18">
        <v>6.56</v>
      </c>
      <c r="L30" s="18">
        <f t="shared" si="3"/>
        <v>3.3700000000000045</v>
      </c>
      <c r="N30" s="31">
        <f t="shared" si="0"/>
        <v>652</v>
      </c>
      <c r="O30" s="18">
        <f t="shared" si="1"/>
        <v>148.26088957055217</v>
      </c>
      <c r="R30" s="31"/>
      <c r="S30" s="31"/>
      <c r="T30" s="31"/>
      <c r="U30" s="31"/>
    </row>
    <row r="31" spans="2:21" x14ac:dyDescent="0.3">
      <c r="B31" s="18">
        <v>12</v>
      </c>
      <c r="D31" s="18">
        <v>319</v>
      </c>
      <c r="E31" s="18">
        <v>151.38</v>
      </c>
      <c r="F31" s="18">
        <v>7.45</v>
      </c>
      <c r="G31" s="18">
        <f t="shared" si="2"/>
        <v>3.7800000000000011</v>
      </c>
      <c r="I31" s="18">
        <v>328</v>
      </c>
      <c r="J31" s="18">
        <v>151.57</v>
      </c>
      <c r="K31" s="18">
        <v>6.64</v>
      </c>
      <c r="L31" s="18">
        <f t="shared" si="3"/>
        <v>2.5799999999999841</v>
      </c>
      <c r="N31" s="31">
        <f t="shared" si="0"/>
        <v>647</v>
      </c>
      <c r="O31" s="18">
        <f t="shared" si="1"/>
        <v>151.47632148377124</v>
      </c>
    </row>
    <row r="32" spans="2:21" x14ac:dyDescent="0.3">
      <c r="B32" s="18">
        <v>12.5</v>
      </c>
      <c r="D32" s="18">
        <v>301</v>
      </c>
      <c r="E32" s="18">
        <v>154.65</v>
      </c>
      <c r="F32" s="18">
        <v>7.61</v>
      </c>
      <c r="G32" s="18">
        <f t="shared" si="2"/>
        <v>3.2700000000000102</v>
      </c>
      <c r="I32" s="18">
        <v>288</v>
      </c>
      <c r="J32" s="18">
        <v>154.53</v>
      </c>
      <c r="K32" s="18">
        <v>6.84</v>
      </c>
      <c r="L32" s="18">
        <f t="shared" si="3"/>
        <v>2.960000000000008</v>
      </c>
      <c r="N32" s="31">
        <f t="shared" si="0"/>
        <v>589</v>
      </c>
      <c r="O32" s="18">
        <f t="shared" si="1"/>
        <v>154.59132427843804</v>
      </c>
      <c r="R32" s="31"/>
      <c r="S32" s="31"/>
      <c r="T32" s="31"/>
      <c r="U32" s="31"/>
    </row>
    <row r="33" spans="2:15" x14ac:dyDescent="0.3">
      <c r="B33" s="18">
        <v>13</v>
      </c>
      <c r="D33" s="18">
        <v>330</v>
      </c>
      <c r="E33" s="18">
        <v>157.26</v>
      </c>
      <c r="F33" s="18">
        <v>7.9</v>
      </c>
      <c r="G33" s="18">
        <f t="shared" si="2"/>
        <v>2.6099999999999852</v>
      </c>
      <c r="I33" s="18">
        <v>276</v>
      </c>
      <c r="J33" s="18">
        <v>156.72</v>
      </c>
      <c r="K33" s="18">
        <v>6.1</v>
      </c>
      <c r="L33" s="18">
        <f t="shared" si="3"/>
        <v>2.1899999999999977</v>
      </c>
      <c r="N33" s="31">
        <f t="shared" si="0"/>
        <v>606</v>
      </c>
      <c r="O33" s="18">
        <f t="shared" si="1"/>
        <v>157.01405940594057</v>
      </c>
    </row>
    <row r="34" spans="2:15" x14ac:dyDescent="0.3">
      <c r="B34" s="18">
        <v>13.5</v>
      </c>
      <c r="D34" s="18">
        <v>339</v>
      </c>
      <c r="E34" s="18">
        <v>161.1</v>
      </c>
      <c r="F34" s="18">
        <v>8</v>
      </c>
      <c r="G34" s="18">
        <f t="shared" si="2"/>
        <v>3.8400000000000034</v>
      </c>
      <c r="I34" s="18">
        <v>287</v>
      </c>
      <c r="J34" s="18">
        <v>158.84</v>
      </c>
      <c r="K34" s="18">
        <v>6.35</v>
      </c>
      <c r="L34" s="18">
        <f t="shared" si="3"/>
        <v>2.1200000000000045</v>
      </c>
      <c r="N34" s="31">
        <f t="shared" si="0"/>
        <v>626</v>
      </c>
      <c r="O34" s="18">
        <f t="shared" si="1"/>
        <v>160.0638658146965</v>
      </c>
    </row>
    <row r="35" spans="2:15" x14ac:dyDescent="0.3">
      <c r="B35" s="18">
        <v>14</v>
      </c>
      <c r="D35" s="18">
        <v>297</v>
      </c>
      <c r="E35" s="18">
        <v>164.18</v>
      </c>
      <c r="F35" s="18">
        <v>8.44</v>
      </c>
      <c r="G35" s="18">
        <f t="shared" si="2"/>
        <v>3.0800000000000125</v>
      </c>
      <c r="I35" s="18">
        <v>253</v>
      </c>
      <c r="J35" s="18">
        <v>160.55000000000001</v>
      </c>
      <c r="K35" s="18">
        <v>6.65</v>
      </c>
      <c r="L35" s="18">
        <f t="shared" si="3"/>
        <v>1.710000000000008</v>
      </c>
      <c r="N35" s="31">
        <f t="shared" si="0"/>
        <v>550</v>
      </c>
      <c r="O35" s="18">
        <f t="shared" si="1"/>
        <v>162.5102</v>
      </c>
    </row>
    <row r="36" spans="2:15" x14ac:dyDescent="0.3">
      <c r="B36" s="18">
        <v>14.5</v>
      </c>
      <c r="D36" s="18">
        <v>273</v>
      </c>
      <c r="E36" s="18">
        <v>166.46</v>
      </c>
      <c r="F36" s="18">
        <v>7.6</v>
      </c>
      <c r="G36" s="18">
        <f t="shared" si="2"/>
        <v>2.2800000000000011</v>
      </c>
      <c r="I36" s="18">
        <v>275</v>
      </c>
      <c r="J36" s="18">
        <v>161.26</v>
      </c>
      <c r="K36" s="18">
        <v>6.3</v>
      </c>
      <c r="L36" s="18">
        <f t="shared" si="3"/>
        <v>0.70999999999997954</v>
      </c>
      <c r="N36" s="31">
        <f t="shared" si="0"/>
        <v>548</v>
      </c>
      <c r="O36" s="18">
        <f t="shared" si="1"/>
        <v>163.85051094890511</v>
      </c>
    </row>
    <row r="37" spans="2:15" x14ac:dyDescent="0.3">
      <c r="B37" s="18">
        <v>15</v>
      </c>
      <c r="D37" s="18">
        <v>305</v>
      </c>
      <c r="E37" s="18">
        <v>169.25</v>
      </c>
      <c r="F37" s="18">
        <v>7.7</v>
      </c>
      <c r="G37" s="18">
        <f t="shared" si="2"/>
        <v>2.789999999999992</v>
      </c>
      <c r="I37" s="18">
        <v>271</v>
      </c>
      <c r="J37" s="18">
        <v>162.06</v>
      </c>
      <c r="K37" s="18">
        <v>6.76</v>
      </c>
      <c r="L37" s="18">
        <f t="shared" si="3"/>
        <v>0.80000000000001137</v>
      </c>
      <c r="N37" s="31">
        <f t="shared" si="0"/>
        <v>576</v>
      </c>
      <c r="O37" s="18">
        <f t="shared" si="1"/>
        <v>165.86720486111113</v>
      </c>
    </row>
    <row r="38" spans="2:15" x14ac:dyDescent="0.3">
      <c r="B38" s="18">
        <v>15.5</v>
      </c>
      <c r="D38" s="18">
        <v>293</v>
      </c>
      <c r="E38" s="18">
        <v>171.32</v>
      </c>
      <c r="F38" s="18">
        <v>7.36</v>
      </c>
      <c r="G38" s="18">
        <f t="shared" si="2"/>
        <v>2.0699999999999932</v>
      </c>
      <c r="I38" s="18">
        <v>256</v>
      </c>
      <c r="J38" s="18">
        <v>162.28</v>
      </c>
      <c r="K38" s="18">
        <v>6.62</v>
      </c>
      <c r="L38" s="18">
        <f t="shared" si="3"/>
        <v>0.21999999999999886</v>
      </c>
      <c r="N38" s="31">
        <f t="shared" si="0"/>
        <v>549</v>
      </c>
      <c r="O38" s="18">
        <f t="shared" si="1"/>
        <v>167.10462659380693</v>
      </c>
    </row>
    <row r="39" spans="2:15" x14ac:dyDescent="0.3">
      <c r="B39" s="18">
        <v>16</v>
      </c>
      <c r="D39" s="18">
        <v>257</v>
      </c>
      <c r="E39" s="18">
        <v>171.65</v>
      </c>
      <c r="F39" s="18">
        <v>7.12</v>
      </c>
      <c r="G39" s="18">
        <f t="shared" si="2"/>
        <v>0.33000000000001251</v>
      </c>
      <c r="I39" s="18">
        <v>252</v>
      </c>
      <c r="J39" s="18">
        <v>163.59</v>
      </c>
      <c r="K39" s="18">
        <v>7.23</v>
      </c>
      <c r="L39" s="18">
        <f t="shared" si="3"/>
        <v>1.3100000000000023</v>
      </c>
      <c r="N39" s="31">
        <f t="shared" si="0"/>
        <v>509</v>
      </c>
      <c r="O39" s="18">
        <f t="shared" si="1"/>
        <v>167.65958742632614</v>
      </c>
    </row>
    <row r="40" spans="2:15" x14ac:dyDescent="0.3">
      <c r="B40" s="18">
        <v>17</v>
      </c>
      <c r="D40" s="18">
        <v>590</v>
      </c>
      <c r="E40" s="18">
        <v>174.78</v>
      </c>
      <c r="F40" s="18">
        <v>7.29</v>
      </c>
      <c r="G40" s="18">
        <f t="shared" si="2"/>
        <v>3.1299999999999955</v>
      </c>
      <c r="I40" s="18">
        <v>501</v>
      </c>
      <c r="J40" s="18">
        <v>163.22</v>
      </c>
      <c r="K40" s="18">
        <v>6.58</v>
      </c>
      <c r="L40" s="18">
        <f t="shared" si="3"/>
        <v>-0.37000000000000455</v>
      </c>
      <c r="N40" s="31">
        <f t="shared" si="0"/>
        <v>1091</v>
      </c>
      <c r="O40" s="18">
        <f t="shared" si="1"/>
        <v>169.47151237396884</v>
      </c>
    </row>
    <row r="41" spans="2:15" x14ac:dyDescent="0.3">
      <c r="B41" s="18">
        <v>18</v>
      </c>
      <c r="D41" s="18">
        <v>564</v>
      </c>
      <c r="E41" s="18">
        <v>175.97</v>
      </c>
      <c r="F41" s="18">
        <v>6.06</v>
      </c>
      <c r="G41" s="18">
        <f t="shared" si="2"/>
        <v>1.1899999999999977</v>
      </c>
      <c r="I41" s="18">
        <v>431</v>
      </c>
      <c r="J41" s="18">
        <v>163.95</v>
      </c>
      <c r="K41" s="18">
        <v>6.58</v>
      </c>
      <c r="L41" s="18">
        <f t="shared" si="3"/>
        <v>0.72999999999998977</v>
      </c>
      <c r="N41" s="31">
        <f t="shared" si="0"/>
        <v>995</v>
      </c>
      <c r="O41" s="18">
        <f t="shared" si="1"/>
        <v>170.76334673366833</v>
      </c>
    </row>
    <row r="42" spans="2:15" x14ac:dyDescent="0.3">
      <c r="B42" s="18" t="s">
        <v>60</v>
      </c>
      <c r="D42" s="31">
        <v>1275</v>
      </c>
      <c r="E42" s="18">
        <v>177.33</v>
      </c>
      <c r="F42" s="18">
        <v>6.42</v>
      </c>
      <c r="G42" s="18">
        <f t="shared" si="2"/>
        <v>1.3600000000000136</v>
      </c>
      <c r="I42" s="31">
        <v>1292</v>
      </c>
      <c r="J42" s="18">
        <v>163.96</v>
      </c>
      <c r="K42" s="18">
        <v>5.96</v>
      </c>
      <c r="L42" s="18">
        <f t="shared" si="3"/>
        <v>1.0000000000019327E-2</v>
      </c>
      <c r="N42" s="31">
        <f t="shared" si="0"/>
        <v>2567</v>
      </c>
      <c r="O42" s="18">
        <f t="shared" si="1"/>
        <v>170.60072847682122</v>
      </c>
    </row>
    <row r="44" spans="2:15" x14ac:dyDescent="0.3">
      <c r="B44" s="18" t="s">
        <v>61</v>
      </c>
    </row>
  </sheetData>
  <mergeCells count="3">
    <mergeCell ref="D1:G1"/>
    <mergeCell ref="I1:L1"/>
    <mergeCell ref="N1:O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9">
    <tabColor theme="8" tint="-0.499984740745262"/>
  </sheetPr>
  <dimension ref="B1:T104"/>
  <sheetViews>
    <sheetView topLeftCell="A19" workbookViewId="0">
      <selection activeCell="L76" sqref="L76"/>
    </sheetView>
  </sheetViews>
  <sheetFormatPr baseColWidth="10" defaultColWidth="11.5546875" defaultRowHeight="14.4" x14ac:dyDescent="0.3"/>
  <cols>
    <col min="1" max="1" width="3.44140625" style="18" customWidth="1"/>
    <col min="2" max="2" width="11.5546875" style="18"/>
    <col min="3" max="3" width="3.33203125" style="18" customWidth="1"/>
    <col min="4" max="8" width="11.5546875" style="18"/>
    <col min="9" max="9" width="3.33203125" style="18" customWidth="1"/>
    <col min="10" max="14" width="11.5546875" style="18"/>
    <col min="15" max="15" width="2.88671875" style="18" customWidth="1"/>
    <col min="16" max="16384" width="11.5546875" style="18"/>
  </cols>
  <sheetData>
    <row r="1" spans="2:20" x14ac:dyDescent="0.3">
      <c r="B1" s="18" t="s">
        <v>281</v>
      </c>
    </row>
    <row r="2" spans="2:20" x14ac:dyDescent="0.3">
      <c r="D2" s="122" t="s">
        <v>100</v>
      </c>
      <c r="E2" s="122"/>
      <c r="F2" s="122"/>
      <c r="G2" s="122"/>
      <c r="H2" s="122"/>
      <c r="J2" s="122" t="s">
        <v>99</v>
      </c>
      <c r="K2" s="122"/>
      <c r="L2" s="122"/>
      <c r="M2" s="122"/>
      <c r="N2" s="122"/>
      <c r="P2" s="122" t="s">
        <v>98</v>
      </c>
      <c r="Q2" s="122"/>
      <c r="R2" s="122"/>
      <c r="S2" s="122"/>
      <c r="T2" s="122"/>
    </row>
    <row r="3" spans="2:20" x14ac:dyDescent="0.3">
      <c r="B3" s="29" t="s">
        <v>101</v>
      </c>
      <c r="D3" s="29" t="s">
        <v>97</v>
      </c>
      <c r="E3" s="29" t="s">
        <v>96</v>
      </c>
      <c r="F3" s="29" t="s">
        <v>166</v>
      </c>
      <c r="G3" s="29" t="s">
        <v>95</v>
      </c>
      <c r="H3" s="29" t="s">
        <v>23</v>
      </c>
      <c r="J3" s="29" t="s">
        <v>97</v>
      </c>
      <c r="K3" s="29" t="s">
        <v>96</v>
      </c>
      <c r="L3" s="29" t="s">
        <v>166</v>
      </c>
      <c r="M3" s="29" t="s">
        <v>95</v>
      </c>
      <c r="N3" s="29" t="s">
        <v>23</v>
      </c>
      <c r="P3" s="29" t="s">
        <v>97</v>
      </c>
      <c r="Q3" s="29" t="s">
        <v>96</v>
      </c>
      <c r="R3" s="29" t="s">
        <v>166</v>
      </c>
      <c r="S3" s="29" t="s">
        <v>95</v>
      </c>
      <c r="T3" s="29" t="s">
        <v>23</v>
      </c>
    </row>
    <row r="4" spans="2:20" x14ac:dyDescent="0.3">
      <c r="B4" s="32">
        <v>0</v>
      </c>
      <c r="D4" s="26">
        <v>2.5856344278000001E-3</v>
      </c>
      <c r="E4" s="26">
        <v>2.5798089626999999E-3</v>
      </c>
      <c r="F4" s="26">
        <v>83.774458718999995</v>
      </c>
      <c r="G4" s="26">
        <v>1</v>
      </c>
      <c r="H4" s="26"/>
      <c r="J4" s="26">
        <v>2.7436622565000001E-3</v>
      </c>
      <c r="K4" s="26">
        <v>2.7370860828E-3</v>
      </c>
      <c r="L4" s="26">
        <v>81.112007766999994</v>
      </c>
      <c r="M4" s="26">
        <v>1</v>
      </c>
      <c r="N4" s="26"/>
      <c r="P4" s="26">
        <v>2.4186809682000001E-3</v>
      </c>
      <c r="Q4" s="26">
        <v>2.4135993335E-3</v>
      </c>
      <c r="R4" s="26">
        <v>86.339056841000001</v>
      </c>
      <c r="S4" s="26">
        <v>1</v>
      </c>
      <c r="T4" s="26"/>
    </row>
    <row r="5" spans="2:20" x14ac:dyDescent="0.3">
      <c r="B5" s="32">
        <v>1</v>
      </c>
      <c r="D5" s="26">
        <v>2.100876478E-4</v>
      </c>
      <c r="E5" s="26">
        <v>2.100642518E-4</v>
      </c>
      <c r="F5" s="26">
        <v>82.990812172000005</v>
      </c>
      <c r="G5" s="26">
        <f>G4*(1-E4)</f>
        <v>0.99742019103729995</v>
      </c>
      <c r="H5" s="26">
        <f>(G4+G5)/2</f>
        <v>0.99871009551864998</v>
      </c>
      <c r="J5" s="26">
        <v>2.4353439839999998E-4</v>
      </c>
      <c r="K5" s="26">
        <v>2.435013002E-4</v>
      </c>
      <c r="L5" s="26">
        <v>80.334286484000003</v>
      </c>
      <c r="M5" s="26">
        <f>M4*(1-K4)</f>
        <v>0.99726291391720001</v>
      </c>
      <c r="N5" s="26">
        <f>(M4+M5)/2</f>
        <v>0.99863145695860001</v>
      </c>
      <c r="P5" s="26">
        <v>1.745435238E-4</v>
      </c>
      <c r="Q5" s="26">
        <v>1.7452863909999999E-4</v>
      </c>
      <c r="R5" s="26">
        <v>85.547635550999999</v>
      </c>
      <c r="S5" s="26">
        <f>S4*(1-Q4)</f>
        <v>0.99758640066649995</v>
      </c>
      <c r="T5" s="26">
        <f>(S4+S5)/2</f>
        <v>0.99879320033325003</v>
      </c>
    </row>
    <row r="6" spans="2:20" x14ac:dyDescent="0.3">
      <c r="B6" s="32">
        <v>2</v>
      </c>
      <c r="D6" s="26">
        <v>1.458956754E-4</v>
      </c>
      <c r="E6" s="26">
        <v>1.4588364149999998E-4</v>
      </c>
      <c r="F6" s="26">
        <v>82.008150514999997</v>
      </c>
      <c r="G6" s="26">
        <f t="shared" ref="G6:G69" si="0">G5*(1-E5)</f>
        <v>0.9972106687111395</v>
      </c>
      <c r="H6" s="26">
        <f t="shared" ref="H6:H69" si="1">(G5+G6)/2</f>
        <v>0.99731542987421973</v>
      </c>
      <c r="J6" s="26">
        <v>1.8376427170000001E-4</v>
      </c>
      <c r="K6" s="26">
        <v>1.837459016E-4</v>
      </c>
      <c r="L6" s="26">
        <v>79.353745132</v>
      </c>
      <c r="M6" s="26">
        <f t="shared" ref="M6:M69" si="2">M5*(1-K5)</f>
        <v>0.99702007910101997</v>
      </c>
      <c r="N6" s="26">
        <f t="shared" ref="N6:N69" si="3">(M5+M6)/2</f>
        <v>0.99714149650910999</v>
      </c>
      <c r="P6" s="26">
        <v>1.058904743E-4</v>
      </c>
      <c r="Q6" s="26">
        <v>1.0588369590000001E-4</v>
      </c>
      <c r="R6" s="26">
        <v>84.562479402999998</v>
      </c>
      <c r="S6" s="26">
        <f t="shared" ref="S6:S69" si="4">S5*(1-Q5)</f>
        <v>0.99741229326960701</v>
      </c>
      <c r="T6" s="26">
        <f t="shared" ref="T6:T69" si="5">(S5+S6)/2</f>
        <v>0.99749934696805354</v>
      </c>
    </row>
    <row r="7" spans="2:20" x14ac:dyDescent="0.3">
      <c r="B7" s="32">
        <v>3</v>
      </c>
      <c r="D7" s="26">
        <v>1.0997609420000001E-4</v>
      </c>
      <c r="E7" s="26">
        <v>1.0996988479999999E-4</v>
      </c>
      <c r="F7" s="26">
        <v>81.020052499000002</v>
      </c>
      <c r="G7" s="26">
        <f t="shared" si="0"/>
        <v>0.99706519198744525</v>
      </c>
      <c r="H7" s="26">
        <f t="shared" si="1"/>
        <v>0.99713793034929243</v>
      </c>
      <c r="J7" s="26">
        <v>1.018602023E-4</v>
      </c>
      <c r="K7" s="26">
        <v>1.018549856E-4</v>
      </c>
      <c r="L7" s="26">
        <v>78.368244941</v>
      </c>
      <c r="M7" s="26">
        <f t="shared" si="2"/>
        <v>0.99683688074767229</v>
      </c>
      <c r="N7" s="26">
        <f t="shared" si="3"/>
        <v>0.99692847992434608</v>
      </c>
      <c r="P7" s="26">
        <v>1.1852002579999999E-4</v>
      </c>
      <c r="Q7" s="26">
        <v>1.1851267930000001E-4</v>
      </c>
      <c r="R7" s="26">
        <v>83.571392263999996</v>
      </c>
      <c r="S7" s="26">
        <f t="shared" si="4"/>
        <v>0.99730668356965946</v>
      </c>
      <c r="T7" s="26">
        <f t="shared" si="5"/>
        <v>0.99735948841963329</v>
      </c>
    </row>
    <row r="8" spans="2:20" x14ac:dyDescent="0.3">
      <c r="B8" s="32">
        <v>4</v>
      </c>
      <c r="D8" s="26">
        <v>1.4048888840000002E-4</v>
      </c>
      <c r="E8" s="26">
        <v>1.4047964130000002E-4</v>
      </c>
      <c r="F8" s="26">
        <v>80.028909729999995</v>
      </c>
      <c r="G8" s="26">
        <f t="shared" si="0"/>
        <v>0.9969555448431443</v>
      </c>
      <c r="H8" s="26">
        <f t="shared" si="1"/>
        <v>0.99701036841529478</v>
      </c>
      <c r="J8" s="26">
        <v>1.621562742E-4</v>
      </c>
      <c r="K8" s="26">
        <v>1.6214333269999999E-4</v>
      </c>
      <c r="L8" s="26">
        <v>77.376177303999995</v>
      </c>
      <c r="M8" s="26">
        <f t="shared" si="2"/>
        <v>0.99673534794153817</v>
      </c>
      <c r="N8" s="26">
        <f t="shared" si="3"/>
        <v>0.99678611434460529</v>
      </c>
      <c r="P8" s="26">
        <v>1.176272213E-4</v>
      </c>
      <c r="Q8" s="26">
        <v>1.1762121509999999E-4</v>
      </c>
      <c r="R8" s="26">
        <v>82.581241173999999</v>
      </c>
      <c r="S8" s="26">
        <f t="shared" si="4"/>
        <v>0.99718849008250587</v>
      </c>
      <c r="T8" s="26">
        <f t="shared" si="5"/>
        <v>0.99724758682608261</v>
      </c>
    </row>
    <row r="9" spans="2:20" x14ac:dyDescent="0.3">
      <c r="B9" s="32">
        <v>5</v>
      </c>
      <c r="D9" s="26">
        <v>8.5919133600000002E-5</v>
      </c>
      <c r="E9" s="26">
        <v>8.5915338900000002E-5</v>
      </c>
      <c r="F9" s="26">
        <v>79.040079073000001</v>
      </c>
      <c r="G9" s="26">
        <f t="shared" si="0"/>
        <v>0.99681549288581262</v>
      </c>
      <c r="H9" s="26">
        <f t="shared" si="1"/>
        <v>0.99688551886447851</v>
      </c>
      <c r="J9" s="26">
        <v>6.2091398200000004E-5</v>
      </c>
      <c r="K9" s="26">
        <v>6.2089397099999999E-5</v>
      </c>
      <c r="L9" s="26">
        <v>76.388643021999997</v>
      </c>
      <c r="M9" s="26">
        <f t="shared" si="2"/>
        <v>0.99657373395040305</v>
      </c>
      <c r="N9" s="26">
        <f t="shared" si="3"/>
        <v>0.99665454094597061</v>
      </c>
      <c r="P9" s="26">
        <v>1.111161549E-4</v>
      </c>
      <c r="Q9" s="26">
        <v>1.1110984499999999E-4</v>
      </c>
      <c r="R9" s="26">
        <v>81.590889055000005</v>
      </c>
      <c r="S9" s="26">
        <f t="shared" si="4"/>
        <v>0.99707119956061874</v>
      </c>
      <c r="T9" s="26">
        <f t="shared" si="5"/>
        <v>0.99712984482156231</v>
      </c>
    </row>
    <row r="10" spans="2:20" x14ac:dyDescent="0.3">
      <c r="B10" s="32">
        <v>6</v>
      </c>
      <c r="D10" s="26">
        <v>6.9528270599999997E-5</v>
      </c>
      <c r="E10" s="26">
        <v>6.9525588699999999E-5</v>
      </c>
      <c r="F10" s="26">
        <v>78.046828657000006</v>
      </c>
      <c r="G10" s="26">
        <f t="shared" si="0"/>
        <v>0.99672985114492052</v>
      </c>
      <c r="H10" s="26">
        <f t="shared" si="1"/>
        <v>0.99677267201536657</v>
      </c>
      <c r="J10" s="26">
        <v>7.2072183700000006E-5</v>
      </c>
      <c r="K10" s="26">
        <v>7.2069576799999992E-5</v>
      </c>
      <c r="L10" s="26">
        <v>75.393356378999997</v>
      </c>
      <c r="M10" s="26">
        <f t="shared" si="2"/>
        <v>0.99651185728809644</v>
      </c>
      <c r="N10" s="26">
        <f t="shared" si="3"/>
        <v>0.99654279561924974</v>
      </c>
      <c r="P10" s="26">
        <v>6.6832313100000001E-5</v>
      </c>
      <c r="Q10" s="26">
        <v>6.6829565100000004E-5</v>
      </c>
      <c r="R10" s="26">
        <v>80.599901283999998</v>
      </c>
      <c r="S10" s="26">
        <f t="shared" si="4"/>
        <v>0.99696041513418165</v>
      </c>
      <c r="T10" s="26">
        <f t="shared" si="5"/>
        <v>0.99701580734740025</v>
      </c>
    </row>
    <row r="11" spans="2:20" x14ac:dyDescent="0.3">
      <c r="B11" s="32">
        <v>7</v>
      </c>
      <c r="D11" s="26">
        <v>5.3445416900000003E-5</v>
      </c>
      <c r="E11" s="26">
        <v>5.3443974700000002E-5</v>
      </c>
      <c r="F11" s="26">
        <v>77.052224331000005</v>
      </c>
      <c r="G11" s="26">
        <f t="shared" si="0"/>
        <v>0.9966605529152448</v>
      </c>
      <c r="H11" s="26">
        <f t="shared" si="1"/>
        <v>0.99669520203008266</v>
      </c>
      <c r="J11" s="26">
        <v>5.6304474600000001E-5</v>
      </c>
      <c r="K11" s="26">
        <v>5.6302910599999996E-5</v>
      </c>
      <c r="L11" s="26">
        <v>74.398754436000004</v>
      </c>
      <c r="M11" s="26">
        <f t="shared" si="2"/>
        <v>0.99644003910026557</v>
      </c>
      <c r="N11" s="26">
        <f t="shared" si="3"/>
        <v>0.99647594819418095</v>
      </c>
      <c r="P11" s="26">
        <v>5.0419682600000002E-5</v>
      </c>
      <c r="Q11" s="26">
        <v>5.04183644E-5</v>
      </c>
      <c r="R11" s="26">
        <v>79.605262386999996</v>
      </c>
      <c r="S11" s="26">
        <f t="shared" si="4"/>
        <v>0.99689378870321632</v>
      </c>
      <c r="T11" s="26">
        <f t="shared" si="5"/>
        <v>0.99692710191869893</v>
      </c>
    </row>
    <row r="12" spans="2:20" x14ac:dyDescent="0.3">
      <c r="B12" s="32">
        <v>8</v>
      </c>
      <c r="D12" s="26">
        <v>8.9240509899999996E-5</v>
      </c>
      <c r="E12" s="26">
        <v>8.9236274600000003E-5</v>
      </c>
      <c r="F12" s="26">
        <v>76.056316066999997</v>
      </c>
      <c r="G12" s="26">
        <f t="shared" si="0"/>
        <v>0.99660728741387039</v>
      </c>
      <c r="H12" s="26">
        <f t="shared" si="1"/>
        <v>0.99663392016455754</v>
      </c>
      <c r="J12" s="26">
        <v>9.72429149E-5</v>
      </c>
      <c r="K12" s="26">
        <v>9.7237991600000005E-5</v>
      </c>
      <c r="L12" s="26">
        <v>73.402915011999994</v>
      </c>
      <c r="M12" s="26">
        <f t="shared" si="2"/>
        <v>0.99638393662582581</v>
      </c>
      <c r="N12" s="26">
        <f t="shared" si="3"/>
        <v>0.99641198786304574</v>
      </c>
      <c r="P12" s="26">
        <v>8.0749528700000008E-5</v>
      </c>
      <c r="Q12" s="26">
        <v>8.0745967900000003E-5</v>
      </c>
      <c r="R12" s="26">
        <v>78.609251881999995</v>
      </c>
      <c r="S12" s="26">
        <f t="shared" si="4"/>
        <v>0.99684352694890943</v>
      </c>
      <c r="T12" s="26">
        <f t="shared" si="5"/>
        <v>0.99686865782606282</v>
      </c>
    </row>
    <row r="13" spans="2:20" x14ac:dyDescent="0.3">
      <c r="B13" s="32">
        <v>9</v>
      </c>
      <c r="D13" s="26">
        <v>7.3644723199999996E-5</v>
      </c>
      <c r="E13" s="26">
        <v>7.3641655299999995E-5</v>
      </c>
      <c r="F13" s="26">
        <v>75.063061875000002</v>
      </c>
      <c r="G13" s="26">
        <f t="shared" si="0"/>
        <v>0.99651835389230237</v>
      </c>
      <c r="H13" s="26">
        <f t="shared" si="1"/>
        <v>0.99656282065308632</v>
      </c>
      <c r="J13" s="26">
        <v>7.5694762999999998E-5</v>
      </c>
      <c r="K13" s="26">
        <v>7.5691697700000006E-5</v>
      </c>
      <c r="L13" s="26">
        <v>72.410006644000006</v>
      </c>
      <c r="M13" s="26">
        <f t="shared" si="2"/>
        <v>0.99628705025296582</v>
      </c>
      <c r="N13" s="26">
        <f t="shared" si="3"/>
        <v>0.99633549343939576</v>
      </c>
      <c r="P13" s="26">
        <v>7.1467234199999995E-5</v>
      </c>
      <c r="Q13" s="26">
        <v>7.1464168900000003E-5</v>
      </c>
      <c r="R13" s="26">
        <v>77.615563121999998</v>
      </c>
      <c r="S13" s="26">
        <f t="shared" si="4"/>
        <v>0.99676303585348114</v>
      </c>
      <c r="T13" s="26">
        <f t="shared" si="5"/>
        <v>0.99680328140119534</v>
      </c>
    </row>
    <row r="14" spans="2:20" x14ac:dyDescent="0.3">
      <c r="B14" s="32">
        <v>10</v>
      </c>
      <c r="D14" s="26">
        <v>4.8662455499999999E-5</v>
      </c>
      <c r="E14" s="26">
        <v>4.8661567200000001E-5</v>
      </c>
      <c r="F14" s="26">
        <v>74.068558062999998</v>
      </c>
      <c r="G14" s="26">
        <f t="shared" si="0"/>
        <v>0.99644496863118492</v>
      </c>
      <c r="H14" s="26">
        <f t="shared" si="1"/>
        <v>0.99648166126174365</v>
      </c>
      <c r="J14" s="26">
        <v>4.1080731399999999E-5</v>
      </c>
      <c r="K14" s="26">
        <v>4.10803305E-5</v>
      </c>
      <c r="L14" s="26">
        <v>71.415452696000003</v>
      </c>
      <c r="M14" s="26">
        <f t="shared" si="2"/>
        <v>0.99621163959473558</v>
      </c>
      <c r="N14" s="26">
        <f t="shared" si="3"/>
        <v>0.99624934492385075</v>
      </c>
      <c r="P14" s="26">
        <v>5.67139467E-5</v>
      </c>
      <c r="Q14" s="26">
        <v>5.6712399900000004E-5</v>
      </c>
      <c r="R14" s="26">
        <v>76.621081674999999</v>
      </c>
      <c r="S14" s="26">
        <f t="shared" si="4"/>
        <v>0.99669180301153359</v>
      </c>
      <c r="T14" s="26">
        <f t="shared" si="5"/>
        <v>0.99672741943250731</v>
      </c>
    </row>
    <row r="15" spans="2:20" x14ac:dyDescent="0.3">
      <c r="B15" s="32">
        <v>11</v>
      </c>
      <c r="D15" s="26">
        <v>7.3240376699999993E-5</v>
      </c>
      <c r="E15" s="26">
        <v>7.3237657600000011E-5</v>
      </c>
      <c r="F15" s="26">
        <v>73.072132120999996</v>
      </c>
      <c r="G15" s="26">
        <f t="shared" si="0"/>
        <v>0.99639648005738279</v>
      </c>
      <c r="H15" s="26">
        <f t="shared" si="1"/>
        <v>0.99642072434428386</v>
      </c>
      <c r="J15" s="26">
        <v>9.4741995999999998E-5</v>
      </c>
      <c r="K15" s="26">
        <v>9.4738264399999995E-5</v>
      </c>
      <c r="L15" s="26">
        <v>70.418355263999999</v>
      </c>
      <c r="M15" s="26">
        <f t="shared" si="2"/>
        <v>0.99617071489133313</v>
      </c>
      <c r="N15" s="26">
        <f t="shared" si="3"/>
        <v>0.9961911772430343</v>
      </c>
      <c r="P15" s="26">
        <v>5.0375169099999999E-5</v>
      </c>
      <c r="Q15" s="26">
        <v>5.0373420000000003E-5</v>
      </c>
      <c r="R15" s="26">
        <v>75.625397847000002</v>
      </c>
      <c r="S15" s="26">
        <f t="shared" si="4"/>
        <v>0.99663527822742415</v>
      </c>
      <c r="T15" s="26">
        <f t="shared" si="5"/>
        <v>0.99666354061947882</v>
      </c>
    </row>
    <row r="16" spans="2:20" x14ac:dyDescent="0.3">
      <c r="B16" s="32">
        <v>12</v>
      </c>
      <c r="D16" s="26">
        <v>7.9491935200000003E-5</v>
      </c>
      <c r="E16" s="26">
        <v>7.9488246600000005E-5</v>
      </c>
      <c r="F16" s="26">
        <v>72.077448029999999</v>
      </c>
      <c r="G16" s="26">
        <f t="shared" si="0"/>
        <v>0.99632350631314248</v>
      </c>
      <c r="H16" s="26">
        <f t="shared" si="1"/>
        <v>0.99635999318526269</v>
      </c>
      <c r="J16" s="26">
        <v>8.8776684499999994E-5</v>
      </c>
      <c r="K16" s="26">
        <v>8.8772143700000002E-5</v>
      </c>
      <c r="L16" s="26">
        <v>69.424971853000002</v>
      </c>
      <c r="M16" s="26">
        <f t="shared" si="2"/>
        <v>0.99607633940675822</v>
      </c>
      <c r="N16" s="26">
        <f t="shared" si="3"/>
        <v>0.99612352714904562</v>
      </c>
      <c r="P16" s="26">
        <v>6.9638263199999989E-5</v>
      </c>
      <c r="Q16" s="26">
        <v>6.9635382600000001E-5</v>
      </c>
      <c r="R16" s="26">
        <v>74.629191895999995</v>
      </c>
      <c r="S16" s="26">
        <f t="shared" si="4"/>
        <v>0.99658507429996712</v>
      </c>
      <c r="T16" s="26">
        <f t="shared" si="5"/>
        <v>0.99661017626369564</v>
      </c>
    </row>
    <row r="17" spans="2:20" x14ac:dyDescent="0.3">
      <c r="B17" s="32">
        <v>13</v>
      </c>
      <c r="D17" s="26">
        <v>6.4327877199999998E-5</v>
      </c>
      <c r="E17" s="26">
        <v>6.4325786400000001E-5</v>
      </c>
      <c r="F17" s="26">
        <v>71.083144707000002</v>
      </c>
      <c r="G17" s="26">
        <f t="shared" si="0"/>
        <v>0.99624431030457927</v>
      </c>
      <c r="H17" s="26">
        <f t="shared" si="1"/>
        <v>0.99628390830886082</v>
      </c>
      <c r="J17" s="26">
        <v>6.0531638899999997E-5</v>
      </c>
      <c r="K17" s="26">
        <v>6.0529562899999998E-5</v>
      </c>
      <c r="L17" s="26">
        <v>68.431097776000001</v>
      </c>
      <c r="M17" s="26">
        <f t="shared" si="2"/>
        <v>0.99598791557482025</v>
      </c>
      <c r="N17" s="26">
        <f t="shared" si="3"/>
        <v>0.99603212749078929</v>
      </c>
      <c r="P17" s="26">
        <v>6.836306370000001E-5</v>
      </c>
      <c r="Q17" s="26">
        <v>6.8360972199999991E-5</v>
      </c>
      <c r="R17" s="26">
        <v>73.634360818999994</v>
      </c>
      <c r="S17" s="26">
        <f t="shared" si="4"/>
        <v>0.99651567671702479</v>
      </c>
      <c r="T17" s="26">
        <f t="shared" si="5"/>
        <v>0.9965503755084959</v>
      </c>
    </row>
    <row r="18" spans="2:20" x14ac:dyDescent="0.3">
      <c r="B18" s="32">
        <v>14</v>
      </c>
      <c r="D18" s="26">
        <v>9.6503214700000001E-5</v>
      </c>
      <c r="E18" s="26">
        <v>9.6498861399999992E-5</v>
      </c>
      <c r="F18" s="26">
        <v>70.087685655000001</v>
      </c>
      <c r="G18" s="26">
        <f t="shared" si="0"/>
        <v>0.99618022610587242</v>
      </c>
      <c r="H18" s="26">
        <f t="shared" si="1"/>
        <v>0.9962122682052259</v>
      </c>
      <c r="J18" s="26">
        <v>9.5399729999999996E-5</v>
      </c>
      <c r="K18" s="26">
        <v>9.539528229999999E-5</v>
      </c>
      <c r="L18" s="26">
        <v>67.435213896999997</v>
      </c>
      <c r="M18" s="26">
        <f t="shared" si="2"/>
        <v>0.99592762886163677</v>
      </c>
      <c r="N18" s="26">
        <f t="shared" si="3"/>
        <v>0.99595777221822845</v>
      </c>
      <c r="P18" s="26">
        <v>9.7678248499999992E-5</v>
      </c>
      <c r="Q18" s="26">
        <v>9.7673999399999997E-5</v>
      </c>
      <c r="R18" s="26">
        <v>72.639357110000006</v>
      </c>
      <c r="S18" s="26">
        <f t="shared" si="4"/>
        <v>0.99644755393655193</v>
      </c>
      <c r="T18" s="26">
        <f t="shared" si="5"/>
        <v>0.99648161532678836</v>
      </c>
    </row>
    <row r="19" spans="2:20" x14ac:dyDescent="0.3">
      <c r="B19" s="32">
        <v>15</v>
      </c>
      <c r="D19" s="26">
        <v>9.2317326099999994E-5</v>
      </c>
      <c r="E19" s="26">
        <v>9.2313018600000008E-5</v>
      </c>
      <c r="F19" s="26">
        <v>69.094398295999994</v>
      </c>
      <c r="G19" s="26">
        <f t="shared" si="0"/>
        <v>0.99608409584830404</v>
      </c>
      <c r="H19" s="26">
        <f t="shared" si="1"/>
        <v>0.99613216097708823</v>
      </c>
      <c r="J19" s="26">
        <v>1.169975047E-4</v>
      </c>
      <c r="K19" s="26">
        <v>1.1699111199999999E-4</v>
      </c>
      <c r="L19" s="26">
        <v>66.441598733999996</v>
      </c>
      <c r="M19" s="26">
        <f t="shared" si="2"/>
        <v>0.99583262206433121</v>
      </c>
      <c r="N19" s="26">
        <f t="shared" si="3"/>
        <v>0.99588012546298399</v>
      </c>
      <c r="P19" s="26">
        <v>6.6078996000000005E-5</v>
      </c>
      <c r="Q19" s="26">
        <v>6.6076473299999991E-5</v>
      </c>
      <c r="R19" s="26">
        <v>71.646398602000005</v>
      </c>
      <c r="S19" s="26">
        <f t="shared" si="4"/>
        <v>0.99635022691876662</v>
      </c>
      <c r="T19" s="26">
        <f t="shared" si="5"/>
        <v>0.99639889042765928</v>
      </c>
    </row>
    <row r="20" spans="2:20" x14ac:dyDescent="0.3">
      <c r="B20" s="32">
        <v>16</v>
      </c>
      <c r="D20" s="26">
        <v>1.267328975E-4</v>
      </c>
      <c r="E20" s="26">
        <v>1.26725868E-4</v>
      </c>
      <c r="F20" s="26">
        <v>68.100731539999998</v>
      </c>
      <c r="G20" s="26">
        <f t="shared" si="0"/>
        <v>0.99599214431863681</v>
      </c>
      <c r="H20" s="26">
        <f t="shared" si="1"/>
        <v>0.99603812008347048</v>
      </c>
      <c r="J20" s="26">
        <v>1.527258607E-4</v>
      </c>
      <c r="K20" s="26">
        <v>1.5271649370000002E-4</v>
      </c>
      <c r="L20" s="26">
        <v>65.449310361000002</v>
      </c>
      <c r="M20" s="26">
        <f t="shared" si="2"/>
        <v>0.99571611849851005</v>
      </c>
      <c r="N20" s="26">
        <f t="shared" si="3"/>
        <v>0.99577437028142057</v>
      </c>
      <c r="P20" s="26">
        <v>9.9078386399999998E-5</v>
      </c>
      <c r="Q20" s="26">
        <v>9.9073509099999996E-5</v>
      </c>
      <c r="R20" s="26">
        <v>70.651105154000007</v>
      </c>
      <c r="S20" s="26">
        <f t="shared" si="4"/>
        <v>0.99628439160960014</v>
      </c>
      <c r="T20" s="26">
        <f t="shared" si="5"/>
        <v>0.99631730926418338</v>
      </c>
    </row>
    <row r="21" spans="2:20" x14ac:dyDescent="0.3">
      <c r="B21" s="32">
        <v>17</v>
      </c>
      <c r="D21" s="26">
        <v>1.4912457549999999E-4</v>
      </c>
      <c r="E21" s="26">
        <v>1.491126744E-4</v>
      </c>
      <c r="F21" s="26">
        <v>67.109291490000004</v>
      </c>
      <c r="G21" s="26">
        <f t="shared" si="0"/>
        <v>0.9958659263496269</v>
      </c>
      <c r="H21" s="26">
        <f t="shared" si="1"/>
        <v>0.99592903533413191</v>
      </c>
      <c r="J21" s="26">
        <v>1.5384128269999999E-4</v>
      </c>
      <c r="K21" s="26">
        <v>1.538281921E-4</v>
      </c>
      <c r="L21" s="26">
        <v>64.459215678000007</v>
      </c>
      <c r="M21" s="26">
        <f t="shared" si="2"/>
        <v>0.99556405622417243</v>
      </c>
      <c r="N21" s="26">
        <f t="shared" si="3"/>
        <v>0.99564008736134124</v>
      </c>
      <c r="P21" s="26">
        <v>1.440931537E-4</v>
      </c>
      <c r="Q21" s="26">
        <v>1.440824665E-4</v>
      </c>
      <c r="R21" s="26">
        <v>69.658055649000005</v>
      </c>
      <c r="S21" s="26">
        <f t="shared" si="4"/>
        <v>0.99618568621886183</v>
      </c>
      <c r="T21" s="26">
        <f t="shared" si="5"/>
        <v>0.99623503891423093</v>
      </c>
    </row>
    <row r="22" spans="2:20" x14ac:dyDescent="0.3">
      <c r="B22" s="32">
        <v>18</v>
      </c>
      <c r="D22" s="26">
        <v>2.0314550659999999E-4</v>
      </c>
      <c r="E22" s="26">
        <v>2.0312381800000002E-4</v>
      </c>
      <c r="F22" s="26">
        <v>66.119230512000001</v>
      </c>
      <c r="G22" s="26">
        <f t="shared" si="0"/>
        <v>0.99571743011800506</v>
      </c>
      <c r="H22" s="26">
        <f t="shared" si="1"/>
        <v>0.99579167823381598</v>
      </c>
      <c r="J22" s="26">
        <v>2.5818642809999999E-4</v>
      </c>
      <c r="K22" s="26">
        <v>2.581484597E-4</v>
      </c>
      <c r="L22" s="26">
        <v>63.469064101000001</v>
      </c>
      <c r="M22" s="26">
        <f t="shared" si="2"/>
        <v>0.99541091040528373</v>
      </c>
      <c r="N22" s="26">
        <f t="shared" si="3"/>
        <v>0.99548748331472803</v>
      </c>
      <c r="P22" s="26">
        <v>1.4421797299999999E-4</v>
      </c>
      <c r="Q22" s="26">
        <v>1.4420879769999999E-4</v>
      </c>
      <c r="R22" s="26">
        <v>68.668023676000004</v>
      </c>
      <c r="S22" s="26">
        <f t="shared" si="4"/>
        <v>0.99604215332809942</v>
      </c>
      <c r="T22" s="26">
        <f t="shared" si="5"/>
        <v>0.99611391977348063</v>
      </c>
    </row>
    <row r="23" spans="2:20" x14ac:dyDescent="0.3">
      <c r="B23" s="32">
        <v>19</v>
      </c>
      <c r="D23" s="26">
        <v>2.427300605E-4</v>
      </c>
      <c r="E23" s="26">
        <v>2.4270119940000002E-4</v>
      </c>
      <c r="F23" s="26">
        <v>65.132567250999998</v>
      </c>
      <c r="G23" s="26">
        <f t="shared" si="0"/>
        <v>0.99551517619195029</v>
      </c>
      <c r="H23" s="26">
        <f t="shared" si="1"/>
        <v>0.99561630315497762</v>
      </c>
      <c r="J23" s="26">
        <v>3.0226732239999998E-4</v>
      </c>
      <c r="K23" s="26">
        <v>3.0222433279999999E-4</v>
      </c>
      <c r="L23" s="26">
        <v>62.485341652999999</v>
      </c>
      <c r="M23" s="26">
        <f t="shared" si="2"/>
        <v>0.99515394661199408</v>
      </c>
      <c r="N23" s="26">
        <f t="shared" si="3"/>
        <v>0.99528242850863891</v>
      </c>
      <c r="P23" s="26">
        <v>1.7919687889999999E-4</v>
      </c>
      <c r="Q23" s="26">
        <v>1.791800319E-4</v>
      </c>
      <c r="R23" s="26">
        <v>67.677847037999996</v>
      </c>
      <c r="S23" s="26">
        <f t="shared" si="4"/>
        <v>0.99589851528670936</v>
      </c>
      <c r="T23" s="26">
        <f t="shared" si="5"/>
        <v>0.99597033430740445</v>
      </c>
    </row>
    <row r="24" spans="2:20" x14ac:dyDescent="0.3">
      <c r="B24" s="32">
        <v>20</v>
      </c>
      <c r="D24" s="26">
        <v>2.5378346830000001E-4</v>
      </c>
      <c r="E24" s="26">
        <v>2.5375068169999996E-4</v>
      </c>
      <c r="F24" s="26">
        <v>64.148255012000007</v>
      </c>
      <c r="G24" s="26">
        <f t="shared" si="0"/>
        <v>0.99527356346466767</v>
      </c>
      <c r="H24" s="26">
        <f t="shared" si="1"/>
        <v>0.99539436982830898</v>
      </c>
      <c r="J24" s="26">
        <v>3.55746297E-4</v>
      </c>
      <c r="K24" s="26">
        <v>3.5567907789999995E-4</v>
      </c>
      <c r="L24" s="26">
        <v>61.504071904</v>
      </c>
      <c r="M24" s="26">
        <f t="shared" si="2"/>
        <v>0.99485318687444591</v>
      </c>
      <c r="N24" s="26">
        <f t="shared" si="3"/>
        <v>0.99500356674321999</v>
      </c>
      <c r="P24" s="26">
        <v>1.4515282760000001E-4</v>
      </c>
      <c r="Q24" s="26">
        <v>1.4514331820000002E-4</v>
      </c>
      <c r="R24" s="26">
        <v>66.689890547999994</v>
      </c>
      <c r="S24" s="26">
        <f t="shared" si="4"/>
        <v>0.99572007015897113</v>
      </c>
      <c r="T24" s="26">
        <f t="shared" si="5"/>
        <v>0.99580929272284024</v>
      </c>
    </row>
    <row r="25" spans="2:20" x14ac:dyDescent="0.3">
      <c r="B25" s="32">
        <v>21</v>
      </c>
      <c r="D25" s="26">
        <v>2.6013021670000003E-4</v>
      </c>
      <c r="E25" s="26">
        <v>2.6009845269999999E-4</v>
      </c>
      <c r="F25" s="26">
        <v>63.164412214999999</v>
      </c>
      <c r="G25" s="26">
        <f t="shared" si="0"/>
        <v>0.99502101211946059</v>
      </c>
      <c r="H25" s="26">
        <f t="shared" si="1"/>
        <v>0.99514728779206418</v>
      </c>
      <c r="J25" s="26">
        <v>3.8561625529999997E-4</v>
      </c>
      <c r="K25" s="26">
        <v>3.8554647399999996E-4</v>
      </c>
      <c r="L25" s="26">
        <v>60.525788613000003</v>
      </c>
      <c r="M25" s="26">
        <f t="shared" si="2"/>
        <v>0.99449933841029248</v>
      </c>
      <c r="N25" s="26">
        <f t="shared" si="3"/>
        <v>0.99467626264236919</v>
      </c>
      <c r="P25" s="26">
        <v>1.262627566E-4</v>
      </c>
      <c r="Q25" s="26">
        <v>1.2625526699999999E-4</v>
      </c>
      <c r="R25" s="26">
        <v>65.699491903999998</v>
      </c>
      <c r="S25" s="26">
        <f t="shared" si="4"/>
        <v>0.99557554804398984</v>
      </c>
      <c r="T25" s="26">
        <f t="shared" si="5"/>
        <v>0.99564780910148043</v>
      </c>
    </row>
    <row r="26" spans="2:20" x14ac:dyDescent="0.3">
      <c r="B26" s="32">
        <v>22</v>
      </c>
      <c r="D26" s="26">
        <v>2.670507598E-4</v>
      </c>
      <c r="E26" s="26">
        <v>2.670119576E-4</v>
      </c>
      <c r="F26" s="26">
        <v>62.180707429000002</v>
      </c>
      <c r="G26" s="26">
        <f t="shared" si="0"/>
        <v>0.99476220869380427</v>
      </c>
      <c r="H26" s="26">
        <f t="shared" si="1"/>
        <v>0.99489161040663243</v>
      </c>
      <c r="J26" s="26">
        <v>3.6672603580000001E-4</v>
      </c>
      <c r="K26" s="26">
        <v>3.6665393050000001E-4</v>
      </c>
      <c r="L26" s="26">
        <v>59.548928453000002</v>
      </c>
      <c r="M26" s="26">
        <f t="shared" si="2"/>
        <v>0.99411591269697308</v>
      </c>
      <c r="N26" s="26">
        <f t="shared" si="3"/>
        <v>0.99430762555363272</v>
      </c>
      <c r="P26" s="26">
        <v>1.6096031659999999E-4</v>
      </c>
      <c r="Q26" s="26">
        <v>1.6094572239999999E-4</v>
      </c>
      <c r="R26" s="26">
        <v>64.707720910999996</v>
      </c>
      <c r="S26" s="26">
        <f t="shared" si="4"/>
        <v>0.99544985138735287</v>
      </c>
      <c r="T26" s="26">
        <f t="shared" si="5"/>
        <v>0.99551269971567136</v>
      </c>
    </row>
    <row r="27" spans="2:20" x14ac:dyDescent="0.3">
      <c r="B27" s="32">
        <v>23</v>
      </c>
      <c r="D27" s="26">
        <v>2.5880950889999998E-4</v>
      </c>
      <c r="E27" s="26">
        <v>2.5877565580000001E-4</v>
      </c>
      <c r="F27" s="26">
        <v>61.197193110000001</v>
      </c>
      <c r="G27" s="26">
        <f t="shared" si="0"/>
        <v>0.99449659528911438</v>
      </c>
      <c r="H27" s="26">
        <f t="shared" si="1"/>
        <v>0.99462940199145933</v>
      </c>
      <c r="J27" s="26">
        <v>3.7869202089999996E-4</v>
      </c>
      <c r="K27" s="26">
        <v>3.7861907390000001E-4</v>
      </c>
      <c r="L27" s="26">
        <v>58.570600212999999</v>
      </c>
      <c r="M27" s="26">
        <f t="shared" si="2"/>
        <v>0.99375141619021023</v>
      </c>
      <c r="N27" s="26">
        <f t="shared" si="3"/>
        <v>0.99393366444359166</v>
      </c>
      <c r="P27" s="26">
        <v>1.3209265089999999E-4</v>
      </c>
      <c r="Q27" s="26">
        <v>1.3208400619999999E-4</v>
      </c>
      <c r="R27" s="26">
        <v>63.718066731</v>
      </c>
      <c r="S27" s="26">
        <f t="shared" si="4"/>
        <v>0.99528963799190839</v>
      </c>
      <c r="T27" s="26">
        <f t="shared" si="5"/>
        <v>0.99536974468963058</v>
      </c>
    </row>
    <row r="28" spans="2:20" x14ac:dyDescent="0.3">
      <c r="B28" s="32">
        <v>24</v>
      </c>
      <c r="D28" s="26">
        <v>2.9425609270000003E-4</v>
      </c>
      <c r="E28" s="26">
        <v>2.9421347020000001E-4</v>
      </c>
      <c r="F28" s="26">
        <v>60.212905546999998</v>
      </c>
      <c r="G28" s="26">
        <f t="shared" si="0"/>
        <v>0.99423924378047757</v>
      </c>
      <c r="H28" s="26">
        <f t="shared" si="1"/>
        <v>0.99436791953479597</v>
      </c>
      <c r="J28" s="26">
        <v>4.2745097210000001E-4</v>
      </c>
      <c r="K28" s="26">
        <v>4.273574549E-4</v>
      </c>
      <c r="L28" s="26">
        <v>57.592598498000001</v>
      </c>
      <c r="M28" s="26">
        <f t="shared" si="2"/>
        <v>0.99337516294932549</v>
      </c>
      <c r="N28" s="26">
        <f t="shared" si="3"/>
        <v>0.99356328956976792</v>
      </c>
      <c r="P28" s="26">
        <v>1.5404401379999998E-4</v>
      </c>
      <c r="Q28" s="26">
        <v>1.5403369119999999E-4</v>
      </c>
      <c r="R28" s="26">
        <v>62.726417331999997</v>
      </c>
      <c r="S28" s="26">
        <f t="shared" si="4"/>
        <v>0.99515817614919311</v>
      </c>
      <c r="T28" s="26">
        <f t="shared" si="5"/>
        <v>0.99522390707055075</v>
      </c>
    </row>
    <row r="29" spans="2:20" x14ac:dyDescent="0.3">
      <c r="B29" s="32">
        <v>25</v>
      </c>
      <c r="D29" s="26">
        <v>3.1297214620000003E-4</v>
      </c>
      <c r="E29" s="26">
        <v>3.1292036459999999E-4</v>
      </c>
      <c r="F29" s="26">
        <v>59.230476799999998</v>
      </c>
      <c r="G29" s="26">
        <f t="shared" si="0"/>
        <v>0.99394672520235594</v>
      </c>
      <c r="H29" s="26">
        <f t="shared" si="1"/>
        <v>0.99409298449141681</v>
      </c>
      <c r="J29" s="26">
        <v>4.3463496610000001E-4</v>
      </c>
      <c r="K29" s="26">
        <v>4.3453272499999998E-4</v>
      </c>
      <c r="L29" s="26">
        <v>56.617012979999998</v>
      </c>
      <c r="M29" s="26">
        <f t="shared" si="2"/>
        <v>0.9929506366679266</v>
      </c>
      <c r="N29" s="26">
        <f t="shared" si="3"/>
        <v>0.99316289980862604</v>
      </c>
      <c r="P29" s="26">
        <v>1.854508608E-4</v>
      </c>
      <c r="Q29" s="26">
        <v>1.854337442E-4</v>
      </c>
      <c r="R29" s="26">
        <v>61.735993766</v>
      </c>
      <c r="S29" s="26">
        <f t="shared" si="4"/>
        <v>0.99500488826199296</v>
      </c>
      <c r="T29" s="26">
        <f t="shared" si="5"/>
        <v>0.99508153220559303</v>
      </c>
    </row>
    <row r="30" spans="2:20" x14ac:dyDescent="0.3">
      <c r="B30" s="32">
        <v>26</v>
      </c>
      <c r="D30" s="26">
        <v>2.6853117399999998E-4</v>
      </c>
      <c r="E30" s="26">
        <v>2.6849524309999998E-4</v>
      </c>
      <c r="F30" s="26">
        <v>58.248869507999999</v>
      </c>
      <c r="G30" s="26">
        <f t="shared" si="0"/>
        <v>0.99363569903071269</v>
      </c>
      <c r="H30" s="26">
        <f t="shared" si="1"/>
        <v>0.99379121211653432</v>
      </c>
      <c r="J30" s="26">
        <v>3.514234925E-4</v>
      </c>
      <c r="K30" s="26">
        <v>3.5136053350000003E-4</v>
      </c>
      <c r="L30" s="26">
        <v>55.641426234999997</v>
      </c>
      <c r="M30" s="26">
        <f t="shared" si="2"/>
        <v>0.99251916712198474</v>
      </c>
      <c r="N30" s="26">
        <f t="shared" si="3"/>
        <v>0.99273490189495561</v>
      </c>
      <c r="P30" s="26">
        <v>1.8245684400000002E-4</v>
      </c>
      <c r="Q30" s="26">
        <v>1.82441023E-4</v>
      </c>
      <c r="R30" s="26">
        <v>60.747350672000003</v>
      </c>
      <c r="S30" s="26">
        <f t="shared" si="4"/>
        <v>0.99482038078006529</v>
      </c>
      <c r="T30" s="26">
        <f t="shared" si="5"/>
        <v>0.99491263452102907</v>
      </c>
    </row>
    <row r="31" spans="2:20" x14ac:dyDescent="0.3">
      <c r="B31" s="32">
        <v>27</v>
      </c>
      <c r="D31" s="26">
        <v>3.0208386540000001E-4</v>
      </c>
      <c r="E31" s="26">
        <v>3.0203850450000001E-4</v>
      </c>
      <c r="F31" s="26">
        <v>57.264378526999998</v>
      </c>
      <c r="G31" s="26">
        <f t="shared" si="0"/>
        <v>0.99336891257214854</v>
      </c>
      <c r="H31" s="26">
        <f t="shared" si="1"/>
        <v>0.99350230580143062</v>
      </c>
      <c r="J31" s="26">
        <v>4.4141274069999995E-4</v>
      </c>
      <c r="K31" s="26">
        <v>4.4131769020000001E-4</v>
      </c>
      <c r="L31" s="26">
        <v>54.660811041000002</v>
      </c>
      <c r="M31" s="26">
        <f t="shared" si="2"/>
        <v>0.99217043505791569</v>
      </c>
      <c r="N31" s="26">
        <f t="shared" si="3"/>
        <v>0.99234480108995027</v>
      </c>
      <c r="P31" s="26">
        <v>1.5771608949999999E-4</v>
      </c>
      <c r="Q31" s="26">
        <v>1.577030588E-4</v>
      </c>
      <c r="R31" s="26">
        <v>59.758339755999998</v>
      </c>
      <c r="S31" s="26">
        <f t="shared" si="4"/>
        <v>0.9946388847320945</v>
      </c>
      <c r="T31" s="26">
        <f t="shared" si="5"/>
        <v>0.99472963275607995</v>
      </c>
    </row>
    <row r="32" spans="2:20" x14ac:dyDescent="0.3">
      <c r="B32" s="32">
        <v>28</v>
      </c>
      <c r="D32" s="26">
        <v>3.0356817749999999E-4</v>
      </c>
      <c r="E32" s="26">
        <v>3.0351906229999999E-4</v>
      </c>
      <c r="F32" s="26">
        <v>56.281527875000002</v>
      </c>
      <c r="G32" s="26">
        <f t="shared" si="0"/>
        <v>0.99306887691137846</v>
      </c>
      <c r="H32" s="26">
        <f t="shared" si="1"/>
        <v>0.9932188947417635</v>
      </c>
      <c r="J32" s="26">
        <v>4.3180904479999999E-4</v>
      </c>
      <c r="K32" s="26">
        <v>4.3171030960000001E-4</v>
      </c>
      <c r="L32" s="26">
        <v>53.684718388999997</v>
      </c>
      <c r="M32" s="26">
        <f t="shared" si="2"/>
        <v>0.99173257269323123</v>
      </c>
      <c r="N32" s="26">
        <f t="shared" si="3"/>
        <v>0.99195150387557351</v>
      </c>
      <c r="P32" s="26">
        <v>1.7090770880000001E-4</v>
      </c>
      <c r="Q32" s="26">
        <v>1.7089187969999999E-4</v>
      </c>
      <c r="R32" s="26">
        <v>58.767690221000002</v>
      </c>
      <c r="S32" s="26">
        <f t="shared" si="4"/>
        <v>0.99448202713757083</v>
      </c>
      <c r="T32" s="26">
        <f t="shared" si="5"/>
        <v>0.99456045593483267</v>
      </c>
    </row>
    <row r="33" spans="2:20" x14ac:dyDescent="0.3">
      <c r="B33" s="32">
        <v>29</v>
      </c>
      <c r="D33" s="26">
        <v>3.1687753079999995E-4</v>
      </c>
      <c r="E33" s="26">
        <v>3.1682539180000001E-4</v>
      </c>
      <c r="F33" s="26">
        <v>55.298473809000001</v>
      </c>
      <c r="G33" s="26">
        <f t="shared" si="0"/>
        <v>0.99276746157705908</v>
      </c>
      <c r="H33" s="26">
        <f t="shared" si="1"/>
        <v>0.99291816924421883</v>
      </c>
      <c r="J33" s="26">
        <v>4.4058946319999997E-4</v>
      </c>
      <c r="K33" s="26">
        <v>4.404852087E-4</v>
      </c>
      <c r="L33" s="26">
        <v>52.707701501999999</v>
      </c>
      <c r="M33" s="26">
        <f t="shared" si="2"/>
        <v>0.99130443151723346</v>
      </c>
      <c r="N33" s="26">
        <f t="shared" si="3"/>
        <v>0.9915185021052324</v>
      </c>
      <c r="P33" s="26">
        <v>1.8930611620000001E-4</v>
      </c>
      <c r="Q33" s="26">
        <v>1.8928904169999999E-4</v>
      </c>
      <c r="R33" s="26">
        <v>57.777656571999998</v>
      </c>
      <c r="S33" s="26">
        <f t="shared" si="4"/>
        <v>0.99431207823462542</v>
      </c>
      <c r="T33" s="26">
        <f t="shared" si="5"/>
        <v>0.99439705268609813</v>
      </c>
    </row>
    <row r="34" spans="2:20" x14ac:dyDescent="0.3">
      <c r="B34" s="32">
        <v>30</v>
      </c>
      <c r="D34" s="26">
        <v>3.443345961E-4</v>
      </c>
      <c r="E34" s="26">
        <v>3.4427375929999997E-4</v>
      </c>
      <c r="F34" s="26">
        <v>54.315846989000001</v>
      </c>
      <c r="G34" s="26">
        <f t="shared" si="0"/>
        <v>0.9924529276370786</v>
      </c>
      <c r="H34" s="26">
        <f t="shared" si="1"/>
        <v>0.9926101946070689</v>
      </c>
      <c r="J34" s="26">
        <v>4.9723251909999998E-4</v>
      </c>
      <c r="K34" s="26">
        <v>4.9710145560000001E-4</v>
      </c>
      <c r="L34" s="26">
        <v>51.730724746</v>
      </c>
      <c r="M34" s="26">
        <f t="shared" si="2"/>
        <v>0.99086777657783132</v>
      </c>
      <c r="N34" s="26">
        <f t="shared" si="3"/>
        <v>0.99108610404753239</v>
      </c>
      <c r="P34" s="26">
        <v>1.8733360839999998E-4</v>
      </c>
      <c r="Q34" s="26">
        <v>1.8731723080000001E-4</v>
      </c>
      <c r="R34" s="26">
        <v>56.788496207000001</v>
      </c>
      <c r="S34" s="26">
        <f t="shared" si="4"/>
        <v>0.99412386585418566</v>
      </c>
      <c r="T34" s="26">
        <f t="shared" si="5"/>
        <v>0.99421797204440554</v>
      </c>
    </row>
    <row r="35" spans="2:20" x14ac:dyDescent="0.3">
      <c r="B35" s="32">
        <v>31</v>
      </c>
      <c r="D35" s="26">
        <v>3.616188352E-4</v>
      </c>
      <c r="E35" s="26">
        <v>3.6155729440000002E-4</v>
      </c>
      <c r="F35" s="26">
        <v>53.334385296999997</v>
      </c>
      <c r="G35" s="26">
        <f t="shared" si="0"/>
        <v>0.99211125213675266</v>
      </c>
      <c r="H35" s="26">
        <f t="shared" si="1"/>
        <v>0.99228208988691557</v>
      </c>
      <c r="J35" s="26">
        <v>5.13041677E-4</v>
      </c>
      <c r="K35" s="26">
        <v>5.1291908959999997E-4</v>
      </c>
      <c r="L35" s="26">
        <v>50.756219322</v>
      </c>
      <c r="M35" s="26">
        <f t="shared" si="2"/>
        <v>0.99037521476378731</v>
      </c>
      <c r="N35" s="26">
        <f t="shared" si="3"/>
        <v>0.99062149567080926</v>
      </c>
      <c r="P35" s="26">
        <v>2.0654335809999999E-4</v>
      </c>
      <c r="Q35" s="26">
        <v>2.0652275489999999E-4</v>
      </c>
      <c r="R35" s="26">
        <v>55.799035752000002</v>
      </c>
      <c r="S35" s="26">
        <f t="shared" si="4"/>
        <v>0.99393764932456163</v>
      </c>
      <c r="T35" s="26">
        <f t="shared" si="5"/>
        <v>0.99403075758937365</v>
      </c>
    </row>
    <row r="36" spans="2:20" x14ac:dyDescent="0.3">
      <c r="B36" s="32">
        <v>32</v>
      </c>
      <c r="D36" s="26">
        <v>3.9398218810000001E-4</v>
      </c>
      <c r="E36" s="26">
        <v>3.939085059E-4</v>
      </c>
      <c r="F36" s="26">
        <v>52.353484262999999</v>
      </c>
      <c r="G36" s="26">
        <f t="shared" si="0"/>
        <v>0.99175254707668625</v>
      </c>
      <c r="H36" s="26">
        <f t="shared" si="1"/>
        <v>0.99193189960671946</v>
      </c>
      <c r="J36" s="26">
        <v>5.4698822459999994E-4</v>
      </c>
      <c r="K36" s="26">
        <v>5.4684817370000008E-4</v>
      </c>
      <c r="L36" s="26">
        <v>49.781992399000004</v>
      </c>
      <c r="M36" s="26">
        <f t="shared" si="2"/>
        <v>0.98986723241026819</v>
      </c>
      <c r="N36" s="26">
        <f t="shared" si="3"/>
        <v>0.99012122358702781</v>
      </c>
      <c r="P36" s="26">
        <v>2.3777857599999999E-4</v>
      </c>
      <c r="Q36" s="26">
        <v>2.3775086379999999E-4</v>
      </c>
      <c r="R36" s="26">
        <v>54.810455111000003</v>
      </c>
      <c r="S36" s="26">
        <f t="shared" si="4"/>
        <v>0.99373237858302432</v>
      </c>
      <c r="T36" s="26">
        <f t="shared" si="5"/>
        <v>0.99383501395379303</v>
      </c>
    </row>
    <row r="37" spans="2:20" x14ac:dyDescent="0.3">
      <c r="B37" s="32">
        <v>33</v>
      </c>
      <c r="D37" s="26">
        <v>4.3560169370000004E-4</v>
      </c>
      <c r="E37" s="26">
        <v>4.3550617570000001E-4</v>
      </c>
      <c r="F37" s="26">
        <v>51.373907901000003</v>
      </c>
      <c r="G37" s="26">
        <f t="shared" si="0"/>
        <v>0.99136188731264474</v>
      </c>
      <c r="H37" s="26">
        <f t="shared" si="1"/>
        <v>0.9915572171946655</v>
      </c>
      <c r="J37" s="26">
        <v>5.7614058209999998E-4</v>
      </c>
      <c r="K37" s="26">
        <v>5.7597945049999994E-4</v>
      </c>
      <c r="L37" s="26">
        <v>48.808939518000003</v>
      </c>
      <c r="M37" s="26">
        <f t="shared" si="2"/>
        <v>0.98932592532201913</v>
      </c>
      <c r="N37" s="26">
        <f t="shared" si="3"/>
        <v>0.98959657886614361</v>
      </c>
      <c r="P37" s="26">
        <v>2.9334943850000002E-4</v>
      </c>
      <c r="Q37" s="26">
        <v>2.9330304860000002E-4</v>
      </c>
      <c r="R37" s="26">
        <v>53.823368209000002</v>
      </c>
      <c r="S37" s="26">
        <f t="shared" si="4"/>
        <v>0.99349611785163028</v>
      </c>
      <c r="T37" s="26">
        <f t="shared" si="5"/>
        <v>0.99361424821732736</v>
      </c>
    </row>
    <row r="38" spans="2:20" x14ac:dyDescent="0.3">
      <c r="B38" s="32">
        <v>34</v>
      </c>
      <c r="D38" s="26">
        <v>4.4434121879999999E-4</v>
      </c>
      <c r="E38" s="26">
        <v>4.4424404329999998E-4</v>
      </c>
      <c r="F38" s="26">
        <v>50.396074980999998</v>
      </c>
      <c r="G38" s="26">
        <f t="shared" si="0"/>
        <v>0.99093014308836647</v>
      </c>
      <c r="H38" s="26">
        <f t="shared" si="1"/>
        <v>0.9911460152005056</v>
      </c>
      <c r="J38" s="26">
        <v>5.9654609680000008E-4</v>
      </c>
      <c r="K38" s="26">
        <v>5.9637836870000006E-4</v>
      </c>
      <c r="L38" s="26">
        <v>47.836772189999998</v>
      </c>
      <c r="M38" s="26">
        <f t="shared" si="2"/>
        <v>0.98875609391918673</v>
      </c>
      <c r="N38" s="26">
        <f t="shared" si="3"/>
        <v>0.98904100962060293</v>
      </c>
      <c r="P38" s="26">
        <v>2.9128072109999996E-4</v>
      </c>
      <c r="Q38" s="26">
        <v>2.9123532009999999E-4</v>
      </c>
      <c r="R38" s="26">
        <v>52.839024195</v>
      </c>
      <c r="S38" s="26">
        <f t="shared" si="4"/>
        <v>0.99320472241149216</v>
      </c>
      <c r="T38" s="26">
        <f t="shared" si="5"/>
        <v>0.99335042013156127</v>
      </c>
    </row>
    <row r="39" spans="2:20" x14ac:dyDescent="0.3">
      <c r="B39" s="32">
        <v>35</v>
      </c>
      <c r="D39" s="26">
        <v>4.7937626579999996E-4</v>
      </c>
      <c r="E39" s="26">
        <v>4.7925477379999996E-4</v>
      </c>
      <c r="F39" s="26">
        <v>49.418247438999998</v>
      </c>
      <c r="G39" s="26">
        <f t="shared" si="0"/>
        <v>0.99048992827497306</v>
      </c>
      <c r="H39" s="26">
        <f t="shared" si="1"/>
        <v>0.99071003568166982</v>
      </c>
      <c r="J39" s="26">
        <v>6.8858629640000007E-4</v>
      </c>
      <c r="K39" s="26">
        <v>6.8832891829999994E-4</v>
      </c>
      <c r="L39" s="26">
        <v>46.865002629000003</v>
      </c>
      <c r="M39" s="26">
        <f t="shared" si="2"/>
        <v>0.98816642117285303</v>
      </c>
      <c r="N39" s="26">
        <f t="shared" si="3"/>
        <v>0.98846125754601988</v>
      </c>
      <c r="P39" s="26">
        <v>2.6978689459999998E-4</v>
      </c>
      <c r="Q39" s="26">
        <v>2.6975105329999998E-4</v>
      </c>
      <c r="R39" s="26">
        <v>51.85428186</v>
      </c>
      <c r="S39" s="26">
        <f t="shared" si="4"/>
        <v>0.99291546611623582</v>
      </c>
      <c r="T39" s="26">
        <f t="shared" si="5"/>
        <v>0.99306009426386399</v>
      </c>
    </row>
    <row r="40" spans="2:20" x14ac:dyDescent="0.3">
      <c r="B40" s="32">
        <v>36</v>
      </c>
      <c r="D40" s="26">
        <v>4.7317766680000001E-4</v>
      </c>
      <c r="E40" s="26">
        <v>4.730688147E-4</v>
      </c>
      <c r="F40" s="26">
        <v>48.441716800999998</v>
      </c>
      <c r="G40" s="26">
        <f t="shared" si="0"/>
        <v>0.99001523124844648</v>
      </c>
      <c r="H40" s="26">
        <f t="shared" si="1"/>
        <v>0.99025257976170977</v>
      </c>
      <c r="J40" s="26">
        <v>5.7879383830000003E-4</v>
      </c>
      <c r="K40" s="26">
        <v>5.7863847580000001E-4</v>
      </c>
      <c r="L40" s="26">
        <v>45.896968618000002</v>
      </c>
      <c r="M40" s="26">
        <f t="shared" si="2"/>
        <v>0.98748623764906673</v>
      </c>
      <c r="N40" s="26">
        <f t="shared" si="3"/>
        <v>0.98782632941095994</v>
      </c>
      <c r="P40" s="26">
        <v>3.6813807589999999E-4</v>
      </c>
      <c r="Q40" s="26">
        <v>3.6806744060000003E-4</v>
      </c>
      <c r="R40" s="26">
        <v>50.868136444000001</v>
      </c>
      <c r="S40" s="26">
        <f t="shared" si="4"/>
        <v>0.99264762612341317</v>
      </c>
      <c r="T40" s="26">
        <f t="shared" si="5"/>
        <v>0.9927815461198245</v>
      </c>
    </row>
    <row r="41" spans="2:20" x14ac:dyDescent="0.3">
      <c r="B41" s="32">
        <v>37</v>
      </c>
      <c r="D41" s="26">
        <v>5.6903337570000001E-4</v>
      </c>
      <c r="E41" s="26">
        <v>5.688747911000001E-4</v>
      </c>
      <c r="F41" s="26">
        <v>47.464400773000001</v>
      </c>
      <c r="G41" s="26">
        <f t="shared" si="0"/>
        <v>0.98954688591646489</v>
      </c>
      <c r="H41" s="26">
        <f t="shared" si="1"/>
        <v>0.98978105858245569</v>
      </c>
      <c r="J41" s="26">
        <v>7.7838766100000003E-4</v>
      </c>
      <c r="K41" s="26">
        <v>7.7808399880000001E-4</v>
      </c>
      <c r="L41" s="26">
        <v>44.923231352000002</v>
      </c>
      <c r="M41" s="26">
        <f t="shared" si="2"/>
        <v>0.98691484011764008</v>
      </c>
      <c r="N41" s="26">
        <f t="shared" si="3"/>
        <v>0.98720053888335335</v>
      </c>
      <c r="P41" s="26">
        <v>3.6146003789999995E-4</v>
      </c>
      <c r="Q41" s="26">
        <v>3.6139924420000005E-4</v>
      </c>
      <c r="R41" s="26">
        <v>49.886689982</v>
      </c>
      <c r="S41" s="26">
        <f t="shared" si="4"/>
        <v>0.99228226485224824</v>
      </c>
      <c r="T41" s="26">
        <f t="shared" si="5"/>
        <v>0.99246494548783071</v>
      </c>
    </row>
    <row r="42" spans="2:20" x14ac:dyDescent="0.3">
      <c r="B42" s="32">
        <v>38</v>
      </c>
      <c r="D42" s="26">
        <v>6.0029773960000002E-4</v>
      </c>
      <c r="E42" s="26">
        <v>6.0011089439999997E-4</v>
      </c>
      <c r="F42" s="26">
        <v>46.491127095000003</v>
      </c>
      <c r="G42" s="26">
        <f t="shared" si="0"/>
        <v>0.98898395763845548</v>
      </c>
      <c r="H42" s="26">
        <f t="shared" si="1"/>
        <v>0.98926542177746013</v>
      </c>
      <c r="J42" s="26">
        <v>8.1431148960000004E-4</v>
      </c>
      <c r="K42" s="26">
        <v>8.1396954320000006E-4</v>
      </c>
      <c r="L42" s="26">
        <v>43.957824348999999</v>
      </c>
      <c r="M42" s="26">
        <f t="shared" si="2"/>
        <v>0.98614693747236626</v>
      </c>
      <c r="N42" s="26">
        <f t="shared" si="3"/>
        <v>0.98653088879500317</v>
      </c>
      <c r="P42" s="26">
        <v>3.8804033830000002E-4</v>
      </c>
      <c r="Q42" s="26">
        <v>3.8796138920000001E-4</v>
      </c>
      <c r="R42" s="26">
        <v>48.904532232000001</v>
      </c>
      <c r="S42" s="26">
        <f t="shared" si="4"/>
        <v>0.99192365479169764</v>
      </c>
      <c r="T42" s="26">
        <f t="shared" si="5"/>
        <v>0.99210295982197294</v>
      </c>
    </row>
    <row r="43" spans="2:20" x14ac:dyDescent="0.3">
      <c r="B43" s="32">
        <v>39</v>
      </c>
      <c r="D43" s="26">
        <v>5.8258276009999998E-4</v>
      </c>
      <c r="E43" s="26">
        <v>5.8240899469999996E-4</v>
      </c>
      <c r="F43" s="26">
        <v>45.518754649999998</v>
      </c>
      <c r="G43" s="26">
        <f t="shared" si="0"/>
        <v>0.98839045759108979</v>
      </c>
      <c r="H43" s="26">
        <f t="shared" si="1"/>
        <v>0.98868720761477258</v>
      </c>
      <c r="J43" s="26">
        <v>7.6025582729999993E-4</v>
      </c>
      <c r="K43" s="26">
        <v>7.5995107799999993E-4</v>
      </c>
      <c r="L43" s="26">
        <v>42.993239457000001</v>
      </c>
      <c r="M43" s="26">
        <f t="shared" si="2"/>
        <v>0.98534424390014375</v>
      </c>
      <c r="N43" s="26">
        <f t="shared" si="3"/>
        <v>0.985745590686255</v>
      </c>
      <c r="P43" s="26">
        <v>4.0625919510000003E-4</v>
      </c>
      <c r="Q43" s="26">
        <v>4.0617938869999998E-4</v>
      </c>
      <c r="R43" s="26">
        <v>47.923328089000002</v>
      </c>
      <c r="S43" s="26">
        <f t="shared" si="4"/>
        <v>0.99153882671260429</v>
      </c>
      <c r="T43" s="26">
        <f t="shared" si="5"/>
        <v>0.99173124075215102</v>
      </c>
    </row>
    <row r="44" spans="2:20" x14ac:dyDescent="0.3">
      <c r="B44" s="32">
        <v>40</v>
      </c>
      <c r="D44" s="26">
        <v>7.1375139649999992E-4</v>
      </c>
      <c r="E44" s="26">
        <v>7.1349437849999996E-4</v>
      </c>
      <c r="F44" s="26">
        <v>44.544996322999999</v>
      </c>
      <c r="G44" s="26">
        <f t="shared" si="0"/>
        <v>0.98781481009831307</v>
      </c>
      <c r="H44" s="26">
        <f t="shared" si="1"/>
        <v>0.98810263384470143</v>
      </c>
      <c r="J44" s="26">
        <v>9.527804452000001E-4</v>
      </c>
      <c r="K44" s="26">
        <v>9.5231578490000005E-4</v>
      </c>
      <c r="L44" s="26">
        <v>42.025577691000002</v>
      </c>
      <c r="M44" s="26">
        <f t="shared" si="2"/>
        <v>0.98459543047979081</v>
      </c>
      <c r="N44" s="26">
        <f t="shared" si="3"/>
        <v>0.98496983718996733</v>
      </c>
      <c r="P44" s="26">
        <v>4.7577021879999996E-4</v>
      </c>
      <c r="Q44" s="26">
        <v>4.7565935139999999E-4</v>
      </c>
      <c r="R44" s="26">
        <v>46.942591643999997</v>
      </c>
      <c r="S44" s="26">
        <f t="shared" si="4"/>
        <v>0.99113608407809783</v>
      </c>
      <c r="T44" s="26">
        <f t="shared" si="5"/>
        <v>0.99133745539535112</v>
      </c>
    </row>
    <row r="45" spans="2:20" x14ac:dyDescent="0.3">
      <c r="B45" s="32">
        <v>41</v>
      </c>
      <c r="D45" s="26">
        <v>7.6814599360000005E-4</v>
      </c>
      <c r="E45" s="26">
        <v>7.6785632519999999E-4</v>
      </c>
      <c r="F45" s="26">
        <v>43.576447969</v>
      </c>
      <c r="G45" s="26">
        <f t="shared" si="0"/>
        <v>0.98711000978430885</v>
      </c>
      <c r="H45" s="26">
        <f t="shared" si="1"/>
        <v>0.98746240994131096</v>
      </c>
      <c r="J45" s="26">
        <v>9.507570795E-4</v>
      </c>
      <c r="K45" s="26">
        <v>9.5030979739999996E-4</v>
      </c>
      <c r="L45" s="26">
        <v>41.065172392000001</v>
      </c>
      <c r="M45" s="26">
        <f t="shared" si="2"/>
        <v>0.98365778470960452</v>
      </c>
      <c r="N45" s="26">
        <f t="shared" si="3"/>
        <v>0.98412660759469772</v>
      </c>
      <c r="P45" s="26">
        <v>5.8542700309999998E-4</v>
      </c>
      <c r="Q45" s="26">
        <v>5.8526092889999999E-4</v>
      </c>
      <c r="R45" s="26">
        <v>45.964688205000002</v>
      </c>
      <c r="S45" s="26">
        <f t="shared" si="4"/>
        <v>0.99066464093119611</v>
      </c>
      <c r="T45" s="26">
        <f t="shared" si="5"/>
        <v>0.99090036250464697</v>
      </c>
    </row>
    <row r="46" spans="2:20" x14ac:dyDescent="0.3">
      <c r="B46" s="32">
        <v>42</v>
      </c>
      <c r="D46" s="26">
        <v>7.8306054430000006E-4</v>
      </c>
      <c r="E46" s="26">
        <v>7.8275039970000001E-4</v>
      </c>
      <c r="F46" s="26">
        <v>42.609543076999998</v>
      </c>
      <c r="G46" s="26">
        <f t="shared" si="0"/>
        <v>0.98635205111962765</v>
      </c>
      <c r="H46" s="26">
        <f t="shared" si="1"/>
        <v>0.98673103045196831</v>
      </c>
      <c r="J46" s="26">
        <v>9.5338496839999999E-4</v>
      </c>
      <c r="K46" s="26">
        <v>9.5294457980000006E-4</v>
      </c>
      <c r="L46" s="26">
        <v>40.103753830000002</v>
      </c>
      <c r="M46" s="26">
        <f t="shared" si="2"/>
        <v>0.98272300507950627</v>
      </c>
      <c r="N46" s="26">
        <f t="shared" si="3"/>
        <v>0.9831903948945554</v>
      </c>
      <c r="P46" s="26">
        <v>6.1184448370000004E-4</v>
      </c>
      <c r="Q46" s="26">
        <v>6.1164266069999994E-4</v>
      </c>
      <c r="R46" s="26">
        <v>44.991303537999997</v>
      </c>
      <c r="S46" s="26">
        <f t="shared" si="4"/>
        <v>0.99008484362321636</v>
      </c>
      <c r="T46" s="26">
        <f t="shared" si="5"/>
        <v>0.99037474227720623</v>
      </c>
    </row>
    <row r="47" spans="2:20" x14ac:dyDescent="0.3">
      <c r="B47" s="32">
        <v>43</v>
      </c>
      <c r="D47" s="26">
        <v>8.976806318E-4</v>
      </c>
      <c r="E47" s="26">
        <v>8.9728322260000009E-4</v>
      </c>
      <c r="F47" s="26">
        <v>41.642534855000001</v>
      </c>
      <c r="G47" s="26">
        <f t="shared" si="0"/>
        <v>0.98557998365736887</v>
      </c>
      <c r="H47" s="26">
        <f t="shared" si="1"/>
        <v>0.98596601738849832</v>
      </c>
      <c r="J47" s="26">
        <v>1.1704788099000001E-3</v>
      </c>
      <c r="K47" s="26">
        <v>1.1698060641000001E-3</v>
      </c>
      <c r="L47" s="26">
        <v>39.141515446</v>
      </c>
      <c r="M47" s="26">
        <f t="shared" si="2"/>
        <v>0.98178652451837101</v>
      </c>
      <c r="N47" s="26">
        <f t="shared" si="3"/>
        <v>0.98225476479893858</v>
      </c>
      <c r="P47" s="26">
        <v>6.2309942170000001E-4</v>
      </c>
      <c r="Q47" s="26">
        <v>6.2290641430000002E-4</v>
      </c>
      <c r="R47" s="26">
        <v>44.018557025</v>
      </c>
      <c r="S47" s="26">
        <f t="shared" si="4"/>
        <v>0.98947926549514387</v>
      </c>
      <c r="T47" s="26">
        <f t="shared" si="5"/>
        <v>0.98978205455918011</v>
      </c>
    </row>
    <row r="48" spans="2:20" x14ac:dyDescent="0.3">
      <c r="B48" s="32">
        <v>44</v>
      </c>
      <c r="D48" s="26">
        <v>1.015874048E-3</v>
      </c>
      <c r="E48" s="26">
        <v>1.0153676127E-3</v>
      </c>
      <c r="F48" s="26">
        <v>40.679478574999997</v>
      </c>
      <c r="G48" s="26">
        <f t="shared" si="0"/>
        <v>0.98469563927350279</v>
      </c>
      <c r="H48" s="26">
        <f t="shared" si="1"/>
        <v>0.98513781146543589</v>
      </c>
      <c r="J48" s="26">
        <v>1.2824083236E-3</v>
      </c>
      <c r="K48" s="26">
        <v>1.2815915148E-3</v>
      </c>
      <c r="L48" s="26">
        <v>38.186761312000002</v>
      </c>
      <c r="M48" s="26">
        <f t="shared" si="2"/>
        <v>0.98063802468833772</v>
      </c>
      <c r="N48" s="26">
        <f t="shared" si="3"/>
        <v>0.98121227460335436</v>
      </c>
      <c r="P48" s="26">
        <v>7.4667150359999999E-4</v>
      </c>
      <c r="Q48" s="26">
        <v>7.464036833E-4</v>
      </c>
      <c r="R48" s="26">
        <v>43.045680208999997</v>
      </c>
      <c r="S48" s="26">
        <f t="shared" si="4"/>
        <v>0.98886291251385017</v>
      </c>
      <c r="T48" s="26">
        <f t="shared" si="5"/>
        <v>0.98917108900449702</v>
      </c>
    </row>
    <row r="49" spans="2:20" x14ac:dyDescent="0.3">
      <c r="B49" s="32">
        <v>45</v>
      </c>
      <c r="D49" s="26">
        <v>1.0471979791E-3</v>
      </c>
      <c r="E49" s="26">
        <v>1.0466398205E-3</v>
      </c>
      <c r="F49" s="26">
        <v>39.720307810999998</v>
      </c>
      <c r="G49" s="26">
        <f t="shared" si="0"/>
        <v>0.98369581121301752</v>
      </c>
      <c r="H49" s="26">
        <f t="shared" si="1"/>
        <v>0.98419572524326016</v>
      </c>
      <c r="J49" s="26">
        <v>1.3755526391999999E-3</v>
      </c>
      <c r="K49" s="26">
        <v>1.3745829468999999E-3</v>
      </c>
      <c r="L49" s="26">
        <v>37.235118458000002</v>
      </c>
      <c r="M49" s="26">
        <f t="shared" si="2"/>
        <v>0.97938124731680687</v>
      </c>
      <c r="N49" s="26">
        <f t="shared" si="3"/>
        <v>0.98000963600257229</v>
      </c>
      <c r="P49" s="26">
        <v>7.1322096970000007E-4</v>
      </c>
      <c r="Q49" s="26">
        <v>7.1296559980000001E-4</v>
      </c>
      <c r="R49" s="26">
        <v>42.077445654999998</v>
      </c>
      <c r="S49" s="26">
        <f t="shared" si="4"/>
        <v>0.98812482159367099</v>
      </c>
      <c r="T49" s="26">
        <f t="shared" si="5"/>
        <v>0.98849386705376063</v>
      </c>
    </row>
    <row r="50" spans="2:20" x14ac:dyDescent="0.3">
      <c r="B50" s="32">
        <v>46</v>
      </c>
      <c r="D50" s="26">
        <v>1.2134567493E-3</v>
      </c>
      <c r="E50" s="26">
        <v>1.2127552878E-3</v>
      </c>
      <c r="F50" s="26">
        <v>38.761410048000002</v>
      </c>
      <c r="G50" s="26">
        <f t="shared" si="0"/>
        <v>0.98266623600574288</v>
      </c>
      <c r="H50" s="26">
        <f t="shared" si="1"/>
        <v>0.9831810236093802</v>
      </c>
      <c r="J50" s="26">
        <v>1.5637043470000001E-3</v>
      </c>
      <c r="K50" s="26">
        <v>1.5625451376999999E-3</v>
      </c>
      <c r="L50" s="26">
        <v>36.285701111000002</v>
      </c>
      <c r="M50" s="26">
        <f t="shared" si="2"/>
        <v>0.97803500655573161</v>
      </c>
      <c r="N50" s="26">
        <f t="shared" si="3"/>
        <v>0.97870812693626918</v>
      </c>
      <c r="P50" s="26">
        <v>8.5664411300000003E-4</v>
      </c>
      <c r="Q50" s="26">
        <v>8.5629143249999992E-4</v>
      </c>
      <c r="R50" s="26">
        <v>41.107111662999998</v>
      </c>
      <c r="S50" s="26">
        <f t="shared" si="4"/>
        <v>0.98742032258756618</v>
      </c>
      <c r="T50" s="26">
        <f t="shared" si="5"/>
        <v>0.98777257209061853</v>
      </c>
    </row>
    <row r="51" spans="2:20" x14ac:dyDescent="0.3">
      <c r="B51" s="32">
        <v>47</v>
      </c>
      <c r="D51" s="26">
        <v>1.2889810435999999E-3</v>
      </c>
      <c r="E51" s="26">
        <v>1.2881581194000001E-3</v>
      </c>
      <c r="F51" s="26">
        <v>37.807839774000001</v>
      </c>
      <c r="G51" s="26">
        <f t="shared" si="0"/>
        <v>0.98147450233188438</v>
      </c>
      <c r="H51" s="26">
        <f t="shared" si="1"/>
        <v>0.98207036916881363</v>
      </c>
      <c r="J51" s="26">
        <v>1.6076633606E-3</v>
      </c>
      <c r="K51" s="26">
        <v>1.6063647053000001E-3</v>
      </c>
      <c r="L51" s="26">
        <v>35.341665380999999</v>
      </c>
      <c r="M51" s="26">
        <f t="shared" si="2"/>
        <v>0.97650678271173752</v>
      </c>
      <c r="N51" s="26">
        <f t="shared" si="3"/>
        <v>0.97727089463373451</v>
      </c>
      <c r="P51" s="26">
        <v>9.6438501529999999E-4</v>
      </c>
      <c r="Q51" s="26">
        <v>9.6393573950000005E-4</v>
      </c>
      <c r="R51" s="26">
        <v>40.141896525</v>
      </c>
      <c r="S51" s="26">
        <f t="shared" si="4"/>
        <v>0.98657480302505807</v>
      </c>
      <c r="T51" s="26">
        <f t="shared" si="5"/>
        <v>0.98699756280631212</v>
      </c>
    </row>
    <row r="52" spans="2:20" x14ac:dyDescent="0.3">
      <c r="B52" s="32">
        <v>48</v>
      </c>
      <c r="D52" s="26">
        <v>1.4664738824000001E-3</v>
      </c>
      <c r="E52" s="26">
        <v>1.4654145918999999E-3</v>
      </c>
      <c r="F52" s="26">
        <v>36.855954500999999</v>
      </c>
      <c r="G52" s="26">
        <f t="shared" si="0"/>
        <v>0.98021020798272152</v>
      </c>
      <c r="H52" s="26">
        <f t="shared" si="1"/>
        <v>0.98084235515730289</v>
      </c>
      <c r="J52" s="26">
        <v>1.8516011320000002E-3</v>
      </c>
      <c r="K52" s="26">
        <v>1.8499392849E-3</v>
      </c>
      <c r="L52" s="26">
        <v>34.397728469</v>
      </c>
      <c r="M52" s="26">
        <f t="shared" si="2"/>
        <v>0.97493815668150341</v>
      </c>
      <c r="N52" s="26">
        <f t="shared" si="3"/>
        <v>0.97572246969662046</v>
      </c>
      <c r="P52" s="26">
        <v>1.0744726337999998E-3</v>
      </c>
      <c r="Q52" s="26">
        <v>1.0738881549999999E-3</v>
      </c>
      <c r="R52" s="26">
        <v>39.180129520000001</v>
      </c>
      <c r="S52" s="26">
        <f t="shared" si="4"/>
        <v>0.985623808312732</v>
      </c>
      <c r="T52" s="26">
        <f t="shared" si="5"/>
        <v>0.98609930566889503</v>
      </c>
    </row>
    <row r="53" spans="2:20" x14ac:dyDescent="0.3">
      <c r="B53" s="32">
        <v>49</v>
      </c>
      <c r="D53" s="26">
        <v>1.6405107002999998E-3</v>
      </c>
      <c r="E53" s="26">
        <v>1.6391488756000001E-3</v>
      </c>
      <c r="F53" s="26">
        <v>35.909298849999999</v>
      </c>
      <c r="G53" s="26">
        <f t="shared" si="0"/>
        <v>0.97877379364081429</v>
      </c>
      <c r="H53" s="26">
        <f t="shared" si="1"/>
        <v>0.9794920008117679</v>
      </c>
      <c r="J53" s="26">
        <v>2.0496840859000002E-3</v>
      </c>
      <c r="K53" s="26">
        <v>2.0475343896E-3</v>
      </c>
      <c r="L53" s="26">
        <v>33.460525928999999</v>
      </c>
      <c r="M53" s="26">
        <f t="shared" si="2"/>
        <v>0.97313458028511035</v>
      </c>
      <c r="N53" s="26">
        <f t="shared" si="3"/>
        <v>0.97403636848330688</v>
      </c>
      <c r="P53" s="26">
        <v>1.2254393307E-3</v>
      </c>
      <c r="Q53" s="26">
        <v>1.2246940173000001E-3</v>
      </c>
      <c r="R53" s="26">
        <v>38.22171934</v>
      </c>
      <c r="S53" s="26">
        <f t="shared" si="4"/>
        <v>0.98456535857969896</v>
      </c>
      <c r="T53" s="26">
        <f t="shared" si="5"/>
        <v>0.98509458344621548</v>
      </c>
    </row>
    <row r="54" spans="2:20" x14ac:dyDescent="0.3">
      <c r="B54" s="32">
        <v>50</v>
      </c>
      <c r="D54" s="26">
        <v>1.8137606286000002E-3</v>
      </c>
      <c r="E54" s="26">
        <v>1.8121344720999999E-3</v>
      </c>
      <c r="F54" s="26">
        <v>34.967445822000002</v>
      </c>
      <c r="G54" s="26">
        <f t="shared" si="0"/>
        <v>0.9771694376775012</v>
      </c>
      <c r="H54" s="26">
        <f t="shared" si="1"/>
        <v>0.9779716156591578</v>
      </c>
      <c r="J54" s="26">
        <v>2.3987051437999998E-3</v>
      </c>
      <c r="K54" s="26">
        <v>2.3958703519000001E-3</v>
      </c>
      <c r="L54" s="26">
        <v>32.528177284999998</v>
      </c>
      <c r="M54" s="26">
        <f t="shared" si="2"/>
        <v>0.97114205376626761</v>
      </c>
      <c r="N54" s="26">
        <f t="shared" si="3"/>
        <v>0.97213831702568898</v>
      </c>
      <c r="P54" s="26">
        <v>1.221665442E-3</v>
      </c>
      <c r="Q54" s="26">
        <v>1.2209230618999999E-3</v>
      </c>
      <c r="R54" s="26">
        <v>37.267969399999998</v>
      </c>
      <c r="S54" s="26">
        <f t="shared" si="4"/>
        <v>0.98335956727540563</v>
      </c>
      <c r="T54" s="26">
        <f t="shared" si="5"/>
        <v>0.98396246292755229</v>
      </c>
    </row>
    <row r="55" spans="2:20" x14ac:dyDescent="0.3">
      <c r="B55" s="32">
        <v>51</v>
      </c>
      <c r="D55" s="26">
        <v>2.1120901785999999E-3</v>
      </c>
      <c r="E55" s="26">
        <v>2.1099087052000001E-3</v>
      </c>
      <c r="F55" s="26">
        <v>34.030009342</v>
      </c>
      <c r="G55" s="26">
        <f t="shared" si="0"/>
        <v>0.97539867525440316</v>
      </c>
      <c r="H55" s="26">
        <f t="shared" si="1"/>
        <v>0.97628405646595218</v>
      </c>
      <c r="J55" s="26">
        <v>2.7460503032000001E-3</v>
      </c>
      <c r="K55" s="26">
        <v>2.7423696403000002E-3</v>
      </c>
      <c r="L55" s="26">
        <v>31.605080761</v>
      </c>
      <c r="M55" s="26">
        <f t="shared" si="2"/>
        <v>0.96881532331216569</v>
      </c>
      <c r="N55" s="26">
        <f t="shared" si="3"/>
        <v>0.96997868853921665</v>
      </c>
      <c r="P55" s="26">
        <v>1.4734080701000001E-3</v>
      </c>
      <c r="Q55" s="26">
        <v>1.4723429858999998E-3</v>
      </c>
      <c r="R55" s="26">
        <v>36.312912351000001</v>
      </c>
      <c r="S55" s="26">
        <f t="shared" si="4"/>
        <v>0.98215896090157906</v>
      </c>
      <c r="T55" s="26">
        <f t="shared" si="5"/>
        <v>0.98275926408849235</v>
      </c>
    </row>
    <row r="56" spans="2:20" x14ac:dyDescent="0.3">
      <c r="B56" s="32">
        <v>52</v>
      </c>
      <c r="D56" s="26">
        <v>2.2402588923000001E-3</v>
      </c>
      <c r="E56" s="26">
        <v>2.2377985476000001E-3</v>
      </c>
      <c r="F56" s="26">
        <v>33.100882030999998</v>
      </c>
      <c r="G56" s="26">
        <f t="shared" si="0"/>
        <v>0.9733406730984433</v>
      </c>
      <c r="H56" s="26">
        <f t="shared" si="1"/>
        <v>0.97436967417642317</v>
      </c>
      <c r="J56" s="26">
        <v>2.8915150052E-3</v>
      </c>
      <c r="K56" s="26">
        <v>2.8873581891999999E-3</v>
      </c>
      <c r="L56" s="26">
        <v>30.690586041</v>
      </c>
      <c r="M56" s="26">
        <f t="shared" si="2"/>
        <v>0.96615847358245699</v>
      </c>
      <c r="N56" s="26">
        <f t="shared" si="3"/>
        <v>0.96748689844731128</v>
      </c>
      <c r="P56" s="26">
        <v>1.5871483017000001E-3</v>
      </c>
      <c r="Q56" s="26">
        <v>1.5859457298E-3</v>
      </c>
      <c r="R56" s="26">
        <v>35.365705671000001</v>
      </c>
      <c r="S56" s="26">
        <f t="shared" si="4"/>
        <v>0.98071288604445672</v>
      </c>
      <c r="T56" s="26">
        <f t="shared" si="5"/>
        <v>0.98143592347301789</v>
      </c>
    </row>
    <row r="57" spans="2:20" x14ac:dyDescent="0.3">
      <c r="B57" s="32">
        <v>53</v>
      </c>
      <c r="D57" s="26">
        <v>2.6155630565E-3</v>
      </c>
      <c r="E57" s="26">
        <v>2.6122297292999999E-3</v>
      </c>
      <c r="F57" s="26">
        <v>32.173979156000001</v>
      </c>
      <c r="G57" s="26">
        <f t="shared" si="0"/>
        <v>0.97116253275386366</v>
      </c>
      <c r="H57" s="26">
        <f t="shared" si="1"/>
        <v>0.97225160292615342</v>
      </c>
      <c r="J57" s="26">
        <v>3.3679146917999997E-3</v>
      </c>
      <c r="K57" s="26">
        <v>3.3623687732000002E-3</v>
      </c>
      <c r="L57" s="26">
        <v>29.778003393999999</v>
      </c>
      <c r="M57" s="26">
        <f t="shared" si="2"/>
        <v>0.96336882800169366</v>
      </c>
      <c r="N57" s="26">
        <f t="shared" si="3"/>
        <v>0.96476365079207538</v>
      </c>
      <c r="P57" s="26">
        <v>1.8654633284999999E-3</v>
      </c>
      <c r="Q57" s="26">
        <v>1.8637788399999999E-3</v>
      </c>
      <c r="R57" s="26">
        <v>34.421053286999999</v>
      </c>
      <c r="S57" s="26">
        <f t="shared" si="4"/>
        <v>0.97915752863067473</v>
      </c>
      <c r="T57" s="26">
        <f t="shared" si="5"/>
        <v>0.97993520733756578</v>
      </c>
    </row>
    <row r="58" spans="2:20" x14ac:dyDescent="0.3">
      <c r="B58" s="32">
        <v>54</v>
      </c>
      <c r="D58" s="26">
        <v>2.9310307786999997E-3</v>
      </c>
      <c r="E58" s="26">
        <v>2.9268084856000002E-3</v>
      </c>
      <c r="F58" s="26">
        <v>31.256903789999999</v>
      </c>
      <c r="G58" s="26">
        <f t="shared" si="0"/>
        <v>0.96862563311382177</v>
      </c>
      <c r="H58" s="26">
        <f t="shared" si="1"/>
        <v>0.96989408293384272</v>
      </c>
      <c r="J58" s="26">
        <v>3.9204178789000003E-3</v>
      </c>
      <c r="K58" s="26">
        <v>3.9129277385999998E-3</v>
      </c>
      <c r="L58" s="26">
        <v>28.876744348999999</v>
      </c>
      <c r="M58" s="26">
        <f t="shared" si="2"/>
        <v>0.96012962673734648</v>
      </c>
      <c r="N58" s="26">
        <f t="shared" si="3"/>
        <v>0.96174922736952007</v>
      </c>
      <c r="P58" s="26">
        <v>1.9519015294999999E-3</v>
      </c>
      <c r="Q58" s="26">
        <v>1.9499984484E-3</v>
      </c>
      <c r="R58" s="26">
        <v>33.484363721999998</v>
      </c>
      <c r="S58" s="26">
        <f t="shared" si="4"/>
        <v>0.97733259554778618</v>
      </c>
      <c r="T58" s="26">
        <f t="shared" si="5"/>
        <v>0.97824506208923045</v>
      </c>
    </row>
    <row r="59" spans="2:20" x14ac:dyDescent="0.3">
      <c r="B59" s="32">
        <v>55</v>
      </c>
      <c r="D59" s="26">
        <v>3.3374116147000003E-3</v>
      </c>
      <c r="E59" s="26">
        <v>3.331836957E-3</v>
      </c>
      <c r="F59" s="26">
        <v>30.347164677999999</v>
      </c>
      <c r="G59" s="26">
        <f t="shared" si="0"/>
        <v>0.96579065139145459</v>
      </c>
      <c r="H59" s="26">
        <f t="shared" si="1"/>
        <v>0.96720814225263818</v>
      </c>
      <c r="J59" s="26">
        <v>4.3564816075000005E-3</v>
      </c>
      <c r="K59" s="26">
        <v>4.3469458078000001E-3</v>
      </c>
      <c r="L59" s="26">
        <v>27.988170584999999</v>
      </c>
      <c r="M59" s="26">
        <f t="shared" si="2"/>
        <v>0.95637270888823422</v>
      </c>
      <c r="N59" s="26">
        <f t="shared" si="3"/>
        <v>0.95825116781279029</v>
      </c>
      <c r="P59" s="26">
        <v>2.3366732096999996E-3</v>
      </c>
      <c r="Q59" s="26">
        <v>2.3339611880999998E-3</v>
      </c>
      <c r="R59" s="26">
        <v>32.548808837000003</v>
      </c>
      <c r="S59" s="26">
        <f t="shared" si="4"/>
        <v>0.97542679850289715</v>
      </c>
      <c r="T59" s="26">
        <f t="shared" si="5"/>
        <v>0.97637969702534166</v>
      </c>
    </row>
    <row r="60" spans="2:20" x14ac:dyDescent="0.3">
      <c r="B60" s="32">
        <v>56</v>
      </c>
      <c r="D60" s="26">
        <v>3.6311341709999996E-3</v>
      </c>
      <c r="E60" s="26">
        <v>3.6245626505000002E-3</v>
      </c>
      <c r="F60" s="26">
        <v>29.446947460000001</v>
      </c>
      <c r="G60" s="26">
        <f t="shared" si="0"/>
        <v>0.9625727944064234</v>
      </c>
      <c r="H60" s="26">
        <f t="shared" si="1"/>
        <v>0.964181722898939</v>
      </c>
      <c r="J60" s="26">
        <v>4.9587757749000004E-3</v>
      </c>
      <c r="K60" s="26">
        <v>4.9465177774000004E-3</v>
      </c>
      <c r="L60" s="26">
        <v>27.108197325999999</v>
      </c>
      <c r="M60" s="26">
        <f t="shared" si="2"/>
        <v>0.95221540855063813</v>
      </c>
      <c r="N60" s="26">
        <f t="shared" si="3"/>
        <v>0.95429405871943618</v>
      </c>
      <c r="P60" s="26">
        <v>2.3333197240000001E-3</v>
      </c>
      <c r="Q60" s="26">
        <v>2.3306093679000004E-3</v>
      </c>
      <c r="R60" s="26">
        <v>31.623778140999999</v>
      </c>
      <c r="S60" s="26">
        <f t="shared" si="4"/>
        <v>0.97315019021335869</v>
      </c>
      <c r="T60" s="26">
        <f t="shared" si="5"/>
        <v>0.97428849435812792</v>
      </c>
    </row>
    <row r="61" spans="2:20" x14ac:dyDescent="0.3">
      <c r="B61" s="32">
        <v>57</v>
      </c>
      <c r="D61" s="26">
        <v>4.0639097662000002E-3</v>
      </c>
      <c r="E61" s="26">
        <v>4.0557771739000003E-3</v>
      </c>
      <c r="F61" s="26">
        <v>28.552246637</v>
      </c>
      <c r="G61" s="26">
        <f t="shared" si="0"/>
        <v>0.95908388900743047</v>
      </c>
      <c r="H61" s="26">
        <f t="shared" si="1"/>
        <v>0.96082834170692699</v>
      </c>
      <c r="J61" s="26">
        <v>5.4354249181999999E-3</v>
      </c>
      <c r="K61" s="26">
        <v>5.4208563668999999E-3</v>
      </c>
      <c r="L61" s="26">
        <v>26.240468248999999</v>
      </c>
      <c r="M61" s="26">
        <f t="shared" si="2"/>
        <v>0.94750525810432829</v>
      </c>
      <c r="N61" s="26">
        <f t="shared" si="3"/>
        <v>0.94986033332748321</v>
      </c>
      <c r="P61" s="26">
        <v>2.7317022807000001E-3</v>
      </c>
      <c r="Q61" s="26">
        <v>2.7280400793999997E-3</v>
      </c>
      <c r="R61" s="26">
        <v>30.696481236</v>
      </c>
      <c r="S61" s="26">
        <f t="shared" si="4"/>
        <v>0.97088215726367377</v>
      </c>
      <c r="T61" s="26">
        <f t="shared" si="5"/>
        <v>0.97201617373851623</v>
      </c>
    </row>
    <row r="62" spans="2:20" x14ac:dyDescent="0.3">
      <c r="B62" s="32">
        <v>58</v>
      </c>
      <c r="D62" s="26">
        <v>4.5419282379999997E-3</v>
      </c>
      <c r="E62" s="26">
        <v>4.5318382053999998E-3</v>
      </c>
      <c r="F62" s="26">
        <v>27.666456794999998</v>
      </c>
      <c r="G62" s="26">
        <f t="shared" si="0"/>
        <v>0.9551940584625388</v>
      </c>
      <c r="H62" s="26">
        <f t="shared" si="1"/>
        <v>0.95713897373498469</v>
      </c>
      <c r="J62" s="26">
        <v>6.2300177924999997E-3</v>
      </c>
      <c r="K62" s="26">
        <v>6.2111157017999997E-3</v>
      </c>
      <c r="L62" s="26">
        <v>25.380733858999999</v>
      </c>
      <c r="M62" s="26">
        <f t="shared" si="2"/>
        <v>0.94236896819326221</v>
      </c>
      <c r="N62" s="26">
        <f t="shared" si="3"/>
        <v>0.94493711314879525</v>
      </c>
      <c r="P62" s="26">
        <v>2.9148762054000002E-3</v>
      </c>
      <c r="Q62" s="26">
        <v>2.9106870901000003E-3</v>
      </c>
      <c r="R62" s="26">
        <v>29.779060336000001</v>
      </c>
      <c r="S62" s="26">
        <f t="shared" si="4"/>
        <v>0.96823355182628412</v>
      </c>
      <c r="T62" s="26">
        <f t="shared" si="5"/>
        <v>0.969557854544979</v>
      </c>
    </row>
    <row r="63" spans="2:20" x14ac:dyDescent="0.3">
      <c r="B63" s="32">
        <v>59</v>
      </c>
      <c r="D63" s="26">
        <v>4.8378178203000001E-3</v>
      </c>
      <c r="E63" s="26">
        <v>4.8261354423999999E-3</v>
      </c>
      <c r="F63" s="26">
        <v>26.790086664</v>
      </c>
      <c r="G63" s="26">
        <f t="shared" si="0"/>
        <v>0.95086527353482719</v>
      </c>
      <c r="H63" s="26">
        <f t="shared" si="1"/>
        <v>0.953029665998683</v>
      </c>
      <c r="J63" s="26">
        <v>6.4676622442999994E-3</v>
      </c>
      <c r="K63" s="26">
        <v>6.4466066438E-3</v>
      </c>
      <c r="L63" s="26">
        <v>24.536164851999999</v>
      </c>
      <c r="M63" s="26">
        <f t="shared" si="2"/>
        <v>0.93651580549802793</v>
      </c>
      <c r="N63" s="26">
        <f t="shared" si="3"/>
        <v>0.93944238684564507</v>
      </c>
      <c r="P63" s="26">
        <v>3.2732119623999998E-3</v>
      </c>
      <c r="Q63" s="26">
        <v>3.2679538637000001E-3</v>
      </c>
      <c r="R63" s="26">
        <v>28.864513052</v>
      </c>
      <c r="S63" s="26">
        <f t="shared" si="4"/>
        <v>0.96541532692678167</v>
      </c>
      <c r="T63" s="26">
        <f t="shared" si="5"/>
        <v>0.96682443937653284</v>
      </c>
    </row>
    <row r="64" spans="2:20" x14ac:dyDescent="0.3">
      <c r="B64" s="32">
        <v>60</v>
      </c>
      <c r="D64" s="26">
        <v>5.3334158820000001E-3</v>
      </c>
      <c r="E64" s="26">
        <v>5.3193655262000006E-3</v>
      </c>
      <c r="F64" s="26">
        <v>25.917583234999999</v>
      </c>
      <c r="G64" s="26">
        <f t="shared" si="0"/>
        <v>0.94627626893727346</v>
      </c>
      <c r="H64" s="26">
        <f t="shared" si="1"/>
        <v>0.94857077123605027</v>
      </c>
      <c r="J64" s="26">
        <v>7.3860209265000001E-3</v>
      </c>
      <c r="K64" s="26">
        <v>7.3590847841000003E-3</v>
      </c>
      <c r="L64" s="26">
        <v>23.692154371000001</v>
      </c>
      <c r="M64" s="26">
        <f t="shared" si="2"/>
        <v>0.93047845648428062</v>
      </c>
      <c r="N64" s="26">
        <f t="shared" si="3"/>
        <v>0.93349713099115428</v>
      </c>
      <c r="P64" s="26">
        <v>3.3739425762E-3</v>
      </c>
      <c r="Q64" s="26">
        <v>3.3683218861999997E-3</v>
      </c>
      <c r="R64" s="26">
        <v>27.95748322</v>
      </c>
      <c r="S64" s="26">
        <f t="shared" si="4"/>
        <v>0.96226039417907605</v>
      </c>
      <c r="T64" s="26">
        <f t="shared" si="5"/>
        <v>0.96383786055292886</v>
      </c>
    </row>
    <row r="65" spans="2:20" x14ac:dyDescent="0.3">
      <c r="B65" s="32">
        <v>61</v>
      </c>
      <c r="D65" s="26">
        <v>5.8653254897000004E-3</v>
      </c>
      <c r="E65" s="26">
        <v>5.8484767035000005E-3</v>
      </c>
      <c r="F65" s="26">
        <v>25.053486286999998</v>
      </c>
      <c r="G65" s="26">
        <f t="shared" si="0"/>
        <v>0.9412426795740273</v>
      </c>
      <c r="H65" s="26">
        <f t="shared" si="1"/>
        <v>0.94375947425565032</v>
      </c>
      <c r="J65" s="26">
        <v>8.0396400764999997E-3</v>
      </c>
      <c r="K65" s="26">
        <v>8.0082584900999995E-3</v>
      </c>
      <c r="L65" s="26">
        <v>22.864059834999999</v>
      </c>
      <c r="M65" s="26">
        <f t="shared" si="2"/>
        <v>0.92363098663323429</v>
      </c>
      <c r="N65" s="26">
        <f t="shared" si="3"/>
        <v>0.92705472155875746</v>
      </c>
      <c r="P65" s="26">
        <v>3.8074844993000001E-3</v>
      </c>
      <c r="Q65" s="26">
        <v>3.8002689012999998E-3</v>
      </c>
      <c r="R65" s="26">
        <v>27.050263125000001</v>
      </c>
      <c r="S65" s="26">
        <f t="shared" si="4"/>
        <v>0.9590191914331393</v>
      </c>
      <c r="T65" s="26">
        <f t="shared" si="5"/>
        <v>0.96063979280610767</v>
      </c>
    </row>
    <row r="66" spans="2:20" x14ac:dyDescent="0.3">
      <c r="B66" s="32">
        <v>62</v>
      </c>
      <c r="D66" s="26">
        <v>6.5445402095000004E-3</v>
      </c>
      <c r="E66" s="26">
        <v>6.5237053958000007E-3</v>
      </c>
      <c r="F66" s="26">
        <v>24.197879630999999</v>
      </c>
      <c r="G66" s="26">
        <f t="shared" si="0"/>
        <v>0.93573784369019875</v>
      </c>
      <c r="H66" s="26">
        <f t="shared" si="1"/>
        <v>0.93849026163211302</v>
      </c>
      <c r="J66" s="26">
        <v>8.9328312578000005E-3</v>
      </c>
      <c r="K66" s="26">
        <v>8.8940562652999999E-3</v>
      </c>
      <c r="L66" s="26">
        <v>22.044501256</v>
      </c>
      <c r="M66" s="26">
        <f t="shared" si="2"/>
        <v>0.91623431094280927</v>
      </c>
      <c r="N66" s="26">
        <f t="shared" si="3"/>
        <v>0.91993264878802172</v>
      </c>
      <c r="P66" s="26">
        <v>4.2986676964000001E-3</v>
      </c>
      <c r="Q66" s="26">
        <v>4.2896710021000008E-3</v>
      </c>
      <c r="R66" s="26">
        <v>26.151541123000001</v>
      </c>
      <c r="S66" s="26">
        <f t="shared" si="4"/>
        <v>0.95537466062418608</v>
      </c>
      <c r="T66" s="26">
        <f t="shared" si="5"/>
        <v>0.95719692602866269</v>
      </c>
    </row>
    <row r="67" spans="2:20" x14ac:dyDescent="0.3">
      <c r="B67" s="32">
        <v>63</v>
      </c>
      <c r="D67" s="26">
        <v>7.0807521131999998E-3</v>
      </c>
      <c r="E67" s="26">
        <v>7.0560197634000005E-3</v>
      </c>
      <c r="F67" s="26">
        <v>23.353413965000001</v>
      </c>
      <c r="G67" s="26">
        <f t="shared" si="0"/>
        <v>0.92963336567026267</v>
      </c>
      <c r="H67" s="26">
        <f t="shared" si="1"/>
        <v>0.93268560468023076</v>
      </c>
      <c r="J67" s="26">
        <v>9.6375679238000014E-3</v>
      </c>
      <c r="K67" s="26">
        <v>9.5916772886999995E-3</v>
      </c>
      <c r="L67" s="26">
        <v>21.237731564000001</v>
      </c>
      <c r="M67" s="26">
        <f t="shared" si="2"/>
        <v>0.90808527142908546</v>
      </c>
      <c r="N67" s="26">
        <f t="shared" si="3"/>
        <v>0.91215979118594737</v>
      </c>
      <c r="P67" s="26">
        <v>4.6869973074000005E-3</v>
      </c>
      <c r="Q67" s="26">
        <v>4.6762072051000003E-3</v>
      </c>
      <c r="R67" s="26">
        <v>25.261999693</v>
      </c>
      <c r="S67" s="26">
        <f t="shared" si="4"/>
        <v>0.95127641764636539</v>
      </c>
      <c r="T67" s="26">
        <f t="shared" si="5"/>
        <v>0.95332553913527573</v>
      </c>
    </row>
    <row r="68" spans="2:20" x14ac:dyDescent="0.3">
      <c r="B68" s="32">
        <v>64</v>
      </c>
      <c r="D68" s="26">
        <v>7.6528740382999999E-3</v>
      </c>
      <c r="E68" s="26">
        <v>7.6235353713000002E-3</v>
      </c>
      <c r="F68" s="26">
        <v>22.515778643000001</v>
      </c>
      <c r="G68" s="26">
        <f t="shared" si="0"/>
        <v>0.92307385426937727</v>
      </c>
      <c r="H68" s="26">
        <f t="shared" si="1"/>
        <v>0.92635360996981997</v>
      </c>
      <c r="J68" s="26">
        <v>1.0697025426E-2</v>
      </c>
      <c r="K68" s="26">
        <v>1.0639589897E-2</v>
      </c>
      <c r="L68" s="26">
        <v>20.438533018000001</v>
      </c>
      <c r="M68" s="26">
        <f t="shared" si="2"/>
        <v>0.89937521055491609</v>
      </c>
      <c r="N68" s="26">
        <f t="shared" si="3"/>
        <v>0.90373024099200072</v>
      </c>
      <c r="P68" s="26">
        <v>4.8207619691000006E-3</v>
      </c>
      <c r="Q68" s="26">
        <v>4.8091884804E-3</v>
      </c>
      <c r="R68" s="26">
        <v>24.378299810000001</v>
      </c>
      <c r="S68" s="26">
        <f t="shared" si="4"/>
        <v>0.94682805200812581</v>
      </c>
      <c r="T68" s="26">
        <f t="shared" si="5"/>
        <v>0.94905223482724566</v>
      </c>
    </row>
    <row r="69" spans="2:20" x14ac:dyDescent="0.3">
      <c r="B69" s="32">
        <v>65</v>
      </c>
      <c r="D69" s="26">
        <v>8.3104616070000005E-3</v>
      </c>
      <c r="E69" s="26">
        <v>8.2766816642999997E-3</v>
      </c>
      <c r="F69" s="26">
        <v>21.684928139</v>
      </c>
      <c r="G69" s="26">
        <f t="shared" si="0"/>
        <v>0.91603676809103241</v>
      </c>
      <c r="H69" s="26">
        <f t="shared" si="1"/>
        <v>0.91955531118020484</v>
      </c>
      <c r="J69" s="26">
        <v>1.1647129826E-2</v>
      </c>
      <c r="K69" s="26">
        <v>1.1580327865999999E-2</v>
      </c>
      <c r="L69" s="26">
        <v>19.6530022</v>
      </c>
      <c r="M69" s="26">
        <f t="shared" si="2"/>
        <v>0.88980622715108382</v>
      </c>
      <c r="N69" s="26">
        <f t="shared" si="3"/>
        <v>0.89459071885300001</v>
      </c>
      <c r="P69" s="26">
        <v>5.2372026388000006E-3</v>
      </c>
      <c r="Q69" s="26">
        <v>5.2240000132000005E-3</v>
      </c>
      <c r="R69" s="26">
        <v>23.493686134000001</v>
      </c>
      <c r="S69" s="26">
        <f t="shared" si="4"/>
        <v>0.94227457744748877</v>
      </c>
      <c r="T69" s="26">
        <f t="shared" si="5"/>
        <v>0.94455131472780729</v>
      </c>
    </row>
    <row r="70" spans="2:20" x14ac:dyDescent="0.3">
      <c r="B70" s="32">
        <v>66</v>
      </c>
      <c r="D70" s="26">
        <v>8.7246959995999993E-3</v>
      </c>
      <c r="E70" s="26">
        <v>8.6866879863000002E-3</v>
      </c>
      <c r="F70" s="26">
        <v>20.861658192</v>
      </c>
      <c r="G70" s="26">
        <f t="shared" ref="G70:G104" si="6">G69*(1-E69)</f>
        <v>0.90845502336874873</v>
      </c>
      <c r="H70" s="26">
        <f t="shared" ref="H70:H104" si="7">(G69+G70)/2</f>
        <v>0.91224589572989057</v>
      </c>
      <c r="J70" s="26">
        <v>1.2198591789999999E-2</v>
      </c>
      <c r="K70" s="26">
        <v>1.2124246890000001E-2</v>
      </c>
      <c r="L70" s="26">
        <v>18.877343514</v>
      </c>
      <c r="M70" s="26">
        <f t="shared" ref="M70:M104" si="8">M69*(1-K69)</f>
        <v>0.87950197930346574</v>
      </c>
      <c r="N70" s="26">
        <f t="shared" ref="N70:N104" si="9">(M69+M70)/2</f>
        <v>0.88465410322727478</v>
      </c>
      <c r="P70" s="26">
        <v>5.5525157789000001E-3</v>
      </c>
      <c r="Q70" s="26">
        <v>5.5371695140000003E-3</v>
      </c>
      <c r="R70" s="26">
        <v>22.6143444</v>
      </c>
      <c r="S70" s="26">
        <f t="shared" ref="S70:S104" si="10">S69*(1-Q69)</f>
        <v>0.93735213504246506</v>
      </c>
      <c r="T70" s="26">
        <f t="shared" ref="T70:T104" si="11">(S69+S70)/2</f>
        <v>0.93981335624497686</v>
      </c>
    </row>
    <row r="71" spans="2:20" x14ac:dyDescent="0.3">
      <c r="B71" s="32">
        <v>67</v>
      </c>
      <c r="D71" s="26">
        <v>1.0063999204E-2</v>
      </c>
      <c r="E71" s="26">
        <v>1.0013342405999999E-2</v>
      </c>
      <c r="F71" s="26">
        <v>20.040096630000001</v>
      </c>
      <c r="G71" s="26">
        <f t="shared" si="6"/>
        <v>0.90056355803115751</v>
      </c>
      <c r="H71" s="26">
        <f t="shared" si="7"/>
        <v>0.90450929069995312</v>
      </c>
      <c r="J71" s="26">
        <v>1.4016371901999999E-2</v>
      </c>
      <c r="K71" s="26">
        <v>1.3918598301E-2</v>
      </c>
      <c r="L71" s="26">
        <v>18.102922362000001</v>
      </c>
      <c r="M71" s="26">
        <f t="shared" si="8"/>
        <v>0.86883868016614685</v>
      </c>
      <c r="N71" s="26">
        <f t="shared" si="9"/>
        <v>0.87417032973480624</v>
      </c>
      <c r="P71" s="26">
        <v>6.4840954347000004E-3</v>
      </c>
      <c r="Q71" s="26">
        <v>6.4629071991999998E-3</v>
      </c>
      <c r="R71" s="26">
        <v>21.737472309000001</v>
      </c>
      <c r="S71" s="26">
        <f t="shared" si="10"/>
        <v>0.9321618573764251</v>
      </c>
      <c r="T71" s="26">
        <f t="shared" si="11"/>
        <v>0.93475699620944508</v>
      </c>
    </row>
    <row r="72" spans="2:20" x14ac:dyDescent="0.3">
      <c r="B72" s="32">
        <v>68</v>
      </c>
      <c r="D72" s="26">
        <v>1.0720719914000001E-2</v>
      </c>
      <c r="E72" s="26">
        <v>1.0663790594E-2</v>
      </c>
      <c r="F72" s="26">
        <v>19.237764418000001</v>
      </c>
      <c r="G72" s="26">
        <f t="shared" si="6"/>
        <v>0.8915459067662258</v>
      </c>
      <c r="H72" s="26">
        <f t="shared" si="7"/>
        <v>0.8960547323986916</v>
      </c>
      <c r="J72" s="26">
        <v>1.4961286703000001E-2</v>
      </c>
      <c r="K72" s="26">
        <v>1.4850819237999999E-2</v>
      </c>
      <c r="L72" s="26">
        <v>17.351405273000001</v>
      </c>
      <c r="M72" s="26">
        <f t="shared" si="8"/>
        <v>0.85674566358854332</v>
      </c>
      <c r="N72" s="26">
        <f t="shared" si="9"/>
        <v>0.86279217187734503</v>
      </c>
      <c r="P72" s="26">
        <v>6.9245419247999998E-3</v>
      </c>
      <c r="Q72" s="26">
        <v>6.9006744930000001E-3</v>
      </c>
      <c r="R72" s="26">
        <v>20.87565747</v>
      </c>
      <c r="S72" s="26">
        <f t="shared" si="10"/>
        <v>0.92613738179756744</v>
      </c>
      <c r="T72" s="26">
        <f t="shared" si="11"/>
        <v>0.92914961958699627</v>
      </c>
    </row>
    <row r="73" spans="2:20" x14ac:dyDescent="0.3">
      <c r="B73" s="32">
        <v>69</v>
      </c>
      <c r="D73" s="26">
        <v>1.1707280234E-2</v>
      </c>
      <c r="E73" s="26">
        <v>1.1638984881E-2</v>
      </c>
      <c r="F73" s="26">
        <v>18.439711857999999</v>
      </c>
      <c r="G73" s="26">
        <f t="shared" si="6"/>
        <v>0.88203864791153286</v>
      </c>
      <c r="H73" s="26">
        <f t="shared" si="7"/>
        <v>0.88679227733887933</v>
      </c>
      <c r="J73" s="26">
        <v>1.6560123103E-2</v>
      </c>
      <c r="K73" s="26">
        <v>1.6424379989999998E-2</v>
      </c>
      <c r="L73" s="26">
        <v>16.605392510000001</v>
      </c>
      <c r="M73" s="26">
        <f t="shared" si="8"/>
        <v>0.84402228860564943</v>
      </c>
      <c r="N73" s="26">
        <f t="shared" si="9"/>
        <v>0.85038397609709637</v>
      </c>
      <c r="P73" s="26">
        <v>7.3940116296999994E-3</v>
      </c>
      <c r="Q73" s="26">
        <v>7.3664801863999995E-3</v>
      </c>
      <c r="R73" s="26">
        <v>20.017236693000001</v>
      </c>
      <c r="S73" s="26">
        <f t="shared" si="10"/>
        <v>0.91974640918998318</v>
      </c>
      <c r="T73" s="26">
        <f t="shared" si="11"/>
        <v>0.92294189549377537</v>
      </c>
    </row>
    <row r="74" spans="2:20" x14ac:dyDescent="0.3">
      <c r="B74" s="32">
        <v>70</v>
      </c>
      <c r="D74" s="26">
        <v>1.2431935647999999E-2</v>
      </c>
      <c r="E74" s="26">
        <v>1.2356139157999999E-2</v>
      </c>
      <c r="F74" s="26">
        <v>17.650984985000001</v>
      </c>
      <c r="G74" s="26">
        <f t="shared" si="6"/>
        <v>0.87177261342403278</v>
      </c>
      <c r="H74" s="26">
        <f t="shared" si="7"/>
        <v>0.87690563066778282</v>
      </c>
      <c r="J74" s="26">
        <v>1.7495215781999997E-2</v>
      </c>
      <c r="K74" s="26">
        <v>1.7345558623999998E-2</v>
      </c>
      <c r="L74" s="26">
        <v>15.874315283</v>
      </c>
      <c r="M74" s="26">
        <f t="shared" si="8"/>
        <v>0.8301597458175608</v>
      </c>
      <c r="N74" s="26">
        <f t="shared" si="9"/>
        <v>0.83709101721160506</v>
      </c>
      <c r="P74" s="26">
        <v>7.9382722350999999E-3</v>
      </c>
      <c r="Q74" s="26">
        <v>7.9072663326999991E-3</v>
      </c>
      <c r="R74" s="26">
        <v>19.162117531</v>
      </c>
      <c r="S74" s="26">
        <f t="shared" si="10"/>
        <v>0.91297111549017262</v>
      </c>
      <c r="T74" s="26">
        <f t="shared" si="11"/>
        <v>0.91635876234007796</v>
      </c>
    </row>
    <row r="75" spans="2:20" x14ac:dyDescent="0.3">
      <c r="B75" s="32">
        <v>71</v>
      </c>
      <c r="D75" s="26">
        <v>1.3436027006000001E-2</v>
      </c>
      <c r="E75" s="26">
        <v>1.3345619357E-2</v>
      </c>
      <c r="F75" s="26">
        <v>16.865474046999999</v>
      </c>
      <c r="G75" s="26">
        <f t="shared" si="6"/>
        <v>0.86100086969843204</v>
      </c>
      <c r="H75" s="26">
        <f t="shared" si="7"/>
        <v>0.86638674156123241</v>
      </c>
      <c r="J75" s="26">
        <v>1.9031672147999997E-2</v>
      </c>
      <c r="K75" s="26">
        <v>1.8849481581999998E-2</v>
      </c>
      <c r="L75" s="26">
        <v>15.14557797</v>
      </c>
      <c r="M75" s="26">
        <f t="shared" si="8"/>
        <v>0.81576016127919737</v>
      </c>
      <c r="N75" s="26">
        <f t="shared" si="9"/>
        <v>0.82295995354837914</v>
      </c>
      <c r="P75" s="26">
        <v>8.5205997848999994E-3</v>
      </c>
      <c r="Q75" s="26">
        <v>8.4846707921999998E-3</v>
      </c>
      <c r="R75" s="26">
        <v>18.310811872999999</v>
      </c>
      <c r="S75" s="26">
        <f t="shared" si="10"/>
        <v>0.90575200972592962</v>
      </c>
      <c r="T75" s="26">
        <f t="shared" si="11"/>
        <v>0.90936156260805112</v>
      </c>
    </row>
    <row r="76" spans="2:20" x14ac:dyDescent="0.3">
      <c r="B76" s="32">
        <v>72</v>
      </c>
      <c r="D76" s="26">
        <v>1.4670730154999999E-2</v>
      </c>
      <c r="E76" s="26">
        <v>1.4564536167E-2</v>
      </c>
      <c r="F76" s="26">
        <v>16.086892337999998</v>
      </c>
      <c r="G76" s="26">
        <f t="shared" si="6"/>
        <v>0.84951027982539085</v>
      </c>
      <c r="H76" s="26">
        <f t="shared" si="7"/>
        <v>0.8552555747619115</v>
      </c>
      <c r="J76" s="26">
        <v>2.0813873429000002E-2</v>
      </c>
      <c r="K76" s="26">
        <v>2.0600232961000001E-2</v>
      </c>
      <c r="L76" s="26">
        <v>14.427094236</v>
      </c>
      <c r="M76" s="26">
        <f t="shared" si="8"/>
        <v>0.80038350514383583</v>
      </c>
      <c r="N76" s="26">
        <f t="shared" si="9"/>
        <v>0.80807183321151665</v>
      </c>
      <c r="P76" s="26">
        <v>9.3605019952000008E-3</v>
      </c>
      <c r="Q76" s="26">
        <v>9.3173691226000003E-3</v>
      </c>
      <c r="R76" s="26">
        <v>17.463198080000002</v>
      </c>
      <c r="S76" s="26">
        <f t="shared" si="10"/>
        <v>0.89806700210403168</v>
      </c>
      <c r="T76" s="26">
        <f t="shared" si="11"/>
        <v>0.90190950591498065</v>
      </c>
    </row>
    <row r="77" spans="2:20" x14ac:dyDescent="0.3">
      <c r="B77" s="32">
        <v>73</v>
      </c>
      <c r="D77" s="26">
        <v>1.6042600704000001E-2</v>
      </c>
      <c r="E77" s="26">
        <v>1.5916692447999998E-2</v>
      </c>
      <c r="F77" s="26">
        <v>15.317219022</v>
      </c>
      <c r="G77" s="26">
        <f t="shared" si="6"/>
        <v>0.8371375566306356</v>
      </c>
      <c r="H77" s="26">
        <f t="shared" si="7"/>
        <v>0.84332391822801323</v>
      </c>
      <c r="J77" s="26">
        <v>2.2382712966000001E-2</v>
      </c>
      <c r="K77" s="26">
        <v>2.2138457617E-2</v>
      </c>
      <c r="L77" s="26">
        <v>13.719993630999999</v>
      </c>
      <c r="M77" s="26">
        <f t="shared" si="8"/>
        <v>0.7838954184797311</v>
      </c>
      <c r="N77" s="26">
        <f t="shared" si="9"/>
        <v>0.79213946181178341</v>
      </c>
      <c r="P77" s="26">
        <v>1.0657427016999999E-2</v>
      </c>
      <c r="Q77" s="26">
        <v>1.0601681746000001E-2</v>
      </c>
      <c r="R77" s="26">
        <v>16.622685744999998</v>
      </c>
      <c r="S77" s="26">
        <f t="shared" si="10"/>
        <v>0.88969938034860163</v>
      </c>
      <c r="T77" s="26">
        <f t="shared" si="11"/>
        <v>0.89388319122631665</v>
      </c>
    </row>
    <row r="78" spans="2:20" x14ac:dyDescent="0.3">
      <c r="B78" s="32">
        <v>74</v>
      </c>
      <c r="D78" s="26">
        <v>1.8244125951000001E-2</v>
      </c>
      <c r="E78" s="26">
        <v>1.8080699482000001E-2</v>
      </c>
      <c r="F78" s="26">
        <v>14.55676291</v>
      </c>
      <c r="G78" s="26">
        <f t="shared" si="6"/>
        <v>0.82381309560507565</v>
      </c>
      <c r="H78" s="26">
        <f t="shared" si="7"/>
        <v>0.83047532611785568</v>
      </c>
      <c r="J78" s="26">
        <v>2.5484173948E-2</v>
      </c>
      <c r="K78" s="26">
        <v>2.5164799122000002E-2</v>
      </c>
      <c r="L78" s="26">
        <v>13.019129762</v>
      </c>
      <c r="M78" s="26">
        <f t="shared" si="8"/>
        <v>0.76654118298155716</v>
      </c>
      <c r="N78" s="26">
        <f t="shared" si="9"/>
        <v>0.77521830073064413</v>
      </c>
      <c r="P78" s="26">
        <v>1.2192887788E-2</v>
      </c>
      <c r="Q78" s="26">
        <v>1.2120336994000001E-2</v>
      </c>
      <c r="R78" s="26">
        <v>15.795373922</v>
      </c>
      <c r="S78" s="26">
        <f t="shared" si="10"/>
        <v>0.88026707066853238</v>
      </c>
      <c r="T78" s="26">
        <f t="shared" si="11"/>
        <v>0.88498322550856701</v>
      </c>
    </row>
    <row r="79" spans="2:20" x14ac:dyDescent="0.3">
      <c r="B79" s="32">
        <v>75</v>
      </c>
      <c r="D79" s="26">
        <v>2.0331255176999997E-2</v>
      </c>
      <c r="E79" s="26">
        <v>2.0126357161000002E-2</v>
      </c>
      <c r="F79" s="26">
        <v>13.815514840000001</v>
      </c>
      <c r="G79" s="26">
        <f t="shared" si="6"/>
        <v>0.80891797859410419</v>
      </c>
      <c r="H79" s="26">
        <f t="shared" si="7"/>
        <v>0.81636553709958992</v>
      </c>
      <c r="J79" s="26">
        <v>2.8876879251E-2</v>
      </c>
      <c r="K79" s="26">
        <v>2.8464635266999997E-2</v>
      </c>
      <c r="L79" s="26">
        <v>12.342252344</v>
      </c>
      <c r="M79" s="26">
        <f t="shared" si="8"/>
        <v>0.74725132809308603</v>
      </c>
      <c r="N79" s="26">
        <f t="shared" si="9"/>
        <v>0.75689625553732154</v>
      </c>
      <c r="P79" s="26">
        <v>1.3280518002999999E-2</v>
      </c>
      <c r="Q79" s="26">
        <v>1.3193034259E-2</v>
      </c>
      <c r="R79" s="26">
        <v>14.982922243999999</v>
      </c>
      <c r="S79" s="26">
        <f t="shared" si="10"/>
        <v>0.8695979371273086</v>
      </c>
      <c r="T79" s="26">
        <f t="shared" si="11"/>
        <v>0.87493250389792054</v>
      </c>
    </row>
    <row r="80" spans="2:20" x14ac:dyDescent="0.3">
      <c r="B80" s="32">
        <v>76</v>
      </c>
      <c r="D80" s="26">
        <v>2.1747238645E-2</v>
      </c>
      <c r="E80" s="26">
        <v>2.1515168191000002E-2</v>
      </c>
      <c r="F80" s="26">
        <v>13.089027259</v>
      </c>
      <c r="G80" s="26">
        <f t="shared" si="6"/>
        <v>0.7926374064429651</v>
      </c>
      <c r="H80" s="26">
        <f t="shared" si="7"/>
        <v>0.80077769251853459</v>
      </c>
      <c r="J80" s="26">
        <v>3.0340411344E-2</v>
      </c>
      <c r="K80" s="26">
        <v>2.9891181149000003E-2</v>
      </c>
      <c r="L80" s="26">
        <v>11.68925875</v>
      </c>
      <c r="M80" s="26">
        <f t="shared" si="8"/>
        <v>0.725981091586135</v>
      </c>
      <c r="N80" s="26">
        <f t="shared" si="9"/>
        <v>0.73661620983961051</v>
      </c>
      <c r="P80" s="26">
        <v>1.4793740137E-2</v>
      </c>
      <c r="Q80" s="26">
        <v>1.4685750080999999E-2</v>
      </c>
      <c r="R80" s="26">
        <v>14.176541213</v>
      </c>
      <c r="S80" s="26">
        <f t="shared" si="10"/>
        <v>0.85812530175123225</v>
      </c>
      <c r="T80" s="26">
        <f t="shared" si="11"/>
        <v>0.86386161943927042</v>
      </c>
    </row>
    <row r="81" spans="2:20" x14ac:dyDescent="0.3">
      <c r="B81" s="32">
        <v>77</v>
      </c>
      <c r="D81" s="26">
        <v>2.5024804221999999E-2</v>
      </c>
      <c r="E81" s="26">
        <v>2.4720750882E-2</v>
      </c>
      <c r="F81" s="26">
        <v>12.365749705000001</v>
      </c>
      <c r="G81" s="26">
        <f t="shared" si="6"/>
        <v>0.77558367932886674</v>
      </c>
      <c r="H81" s="26">
        <f t="shared" si="7"/>
        <v>0.78411054288591586</v>
      </c>
      <c r="J81" s="26">
        <v>3.4485171440999995E-2</v>
      </c>
      <c r="K81" s="26">
        <v>3.3909060867000004E-2</v>
      </c>
      <c r="L81" s="26">
        <v>11.033880811</v>
      </c>
      <c r="M81" s="26">
        <f t="shared" si="8"/>
        <v>0.70428065926678507</v>
      </c>
      <c r="N81" s="26">
        <f t="shared" si="9"/>
        <v>0.71513087542646003</v>
      </c>
      <c r="P81" s="26">
        <v>1.7525433300999999E-2</v>
      </c>
      <c r="Q81" s="26">
        <v>1.7376320007000002E-2</v>
      </c>
      <c r="R81" s="26">
        <v>13.380341273000001</v>
      </c>
      <c r="S81" s="26">
        <f t="shared" si="10"/>
        <v>0.84552308803153087</v>
      </c>
      <c r="T81" s="26">
        <f t="shared" si="11"/>
        <v>0.85182419489138161</v>
      </c>
    </row>
    <row r="82" spans="2:20" x14ac:dyDescent="0.3">
      <c r="B82" s="32">
        <v>78</v>
      </c>
      <c r="D82" s="26">
        <v>2.7619736898999998E-2</v>
      </c>
      <c r="E82" s="26">
        <v>2.7251310689E-2</v>
      </c>
      <c r="F82" s="26">
        <v>11.666299466</v>
      </c>
      <c r="G82" s="26">
        <f t="shared" si="6"/>
        <v>0.75641066840403282</v>
      </c>
      <c r="H82" s="26">
        <f t="shared" si="7"/>
        <v>0.76599717386644972</v>
      </c>
      <c r="J82" s="26">
        <v>3.7443006044999998E-2</v>
      </c>
      <c r="K82" s="26">
        <v>3.6771358644000003E-2</v>
      </c>
      <c r="L82" s="26">
        <v>10.403354842000001</v>
      </c>
      <c r="M82" s="26">
        <f t="shared" si="8"/>
        <v>0.68039916352425678</v>
      </c>
      <c r="N82" s="26">
        <f t="shared" si="9"/>
        <v>0.69233991139552087</v>
      </c>
      <c r="P82" s="26">
        <v>1.9965316327999999E-2</v>
      </c>
      <c r="Q82" s="26">
        <v>1.9771134344000001E-2</v>
      </c>
      <c r="R82" s="26">
        <v>12.607929078</v>
      </c>
      <c r="S82" s="26">
        <f t="shared" si="10"/>
        <v>0.8308310082805882</v>
      </c>
      <c r="T82" s="26">
        <f t="shared" si="11"/>
        <v>0.83817704815605953</v>
      </c>
    </row>
    <row r="83" spans="2:20" x14ac:dyDescent="0.3">
      <c r="B83" s="32">
        <v>79</v>
      </c>
      <c r="D83" s="26">
        <v>3.1381651875E-2</v>
      </c>
      <c r="E83" s="26">
        <v>3.0903096998E-2</v>
      </c>
      <c r="F83" s="26">
        <v>10.978826103999999</v>
      </c>
      <c r="G83" s="26">
        <f t="shared" si="6"/>
        <v>0.73579748627088037</v>
      </c>
      <c r="H83" s="26">
        <f t="shared" si="7"/>
        <v>0.74610407733745654</v>
      </c>
      <c r="J83" s="26">
        <v>4.2181445031999998E-2</v>
      </c>
      <c r="K83" s="26">
        <v>4.1319252335999999E-2</v>
      </c>
      <c r="L83" s="26">
        <v>9.7809515801</v>
      </c>
      <c r="M83" s="26">
        <f t="shared" si="8"/>
        <v>0.65537996186122871</v>
      </c>
      <c r="N83" s="26">
        <f t="shared" si="9"/>
        <v>0.6678895626927428</v>
      </c>
      <c r="P83" s="26">
        <v>2.3125706898E-2</v>
      </c>
      <c r="Q83" s="26">
        <v>2.2865674486999998E-2</v>
      </c>
      <c r="R83" s="26">
        <v>11.851982176</v>
      </c>
      <c r="S83" s="26">
        <f t="shared" si="10"/>
        <v>0.81440453679871172</v>
      </c>
      <c r="T83" s="26">
        <f t="shared" si="11"/>
        <v>0.82261777253964996</v>
      </c>
    </row>
    <row r="84" spans="2:20" x14ac:dyDescent="0.3">
      <c r="B84" s="32">
        <v>80</v>
      </c>
      <c r="D84" s="26">
        <v>3.4636959029000006E-2</v>
      </c>
      <c r="E84" s="26">
        <v>3.4041699151999998E-2</v>
      </c>
      <c r="F84" s="26">
        <v>10.312772216000001</v>
      </c>
      <c r="G84" s="26">
        <f t="shared" si="6"/>
        <v>0.71305906518176676</v>
      </c>
      <c r="H84" s="26">
        <f t="shared" si="7"/>
        <v>0.72442827572632362</v>
      </c>
      <c r="J84" s="26">
        <v>4.6748086315E-2</v>
      </c>
      <c r="K84" s="26">
        <v>4.5670023885000001E-2</v>
      </c>
      <c r="L84" s="26">
        <v>9.1807326843000006</v>
      </c>
      <c r="M84" s="26">
        <f t="shared" si="8"/>
        <v>0.62830015184112653</v>
      </c>
      <c r="N84" s="26">
        <f t="shared" si="9"/>
        <v>0.64184005685117762</v>
      </c>
      <c r="P84" s="26">
        <v>2.5548974164E-2</v>
      </c>
      <c r="Q84" s="26">
        <v>2.5223729351E-2</v>
      </c>
      <c r="R84" s="26">
        <v>11.117434105999999</v>
      </c>
      <c r="S84" s="26">
        <f t="shared" si="10"/>
        <v>0.79578262775953645</v>
      </c>
      <c r="T84" s="26">
        <f t="shared" si="11"/>
        <v>0.80509358227912409</v>
      </c>
    </row>
    <row r="85" spans="2:20" x14ac:dyDescent="0.3">
      <c r="B85" s="32">
        <v>81</v>
      </c>
      <c r="D85" s="26">
        <v>3.7871781857999998E-2</v>
      </c>
      <c r="E85" s="26">
        <v>3.7165002493000004E-2</v>
      </c>
      <c r="F85" s="26">
        <v>9.6587584507000006</v>
      </c>
      <c r="G85" s="26">
        <f t="shared" si="6"/>
        <v>0.68878532300724271</v>
      </c>
      <c r="H85" s="26">
        <f t="shared" si="7"/>
        <v>0.70092219409450474</v>
      </c>
      <c r="J85" s="26">
        <v>4.9928055122999998E-2</v>
      </c>
      <c r="K85" s="26">
        <v>4.8699260708999999E-2</v>
      </c>
      <c r="L85" s="26">
        <v>8.5963911776999993</v>
      </c>
      <c r="M85" s="26">
        <f t="shared" si="8"/>
        <v>0.59960566889959321</v>
      </c>
      <c r="N85" s="26">
        <f t="shared" si="9"/>
        <v>0.61395291037035982</v>
      </c>
      <c r="P85" s="26">
        <v>2.9017213472000002E-2</v>
      </c>
      <c r="Q85" s="26">
        <v>2.8603807242999997E-2</v>
      </c>
      <c r="R85" s="26">
        <v>10.392296838</v>
      </c>
      <c r="S85" s="26">
        <f t="shared" si="10"/>
        <v>0.7757100221347023</v>
      </c>
      <c r="T85" s="26">
        <f t="shared" si="11"/>
        <v>0.78574632494711938</v>
      </c>
    </row>
    <row r="86" spans="2:20" x14ac:dyDescent="0.3">
      <c r="B86" s="32">
        <v>82</v>
      </c>
      <c r="D86" s="26">
        <v>4.3923360857999999E-2</v>
      </c>
      <c r="E86" s="26">
        <v>4.3024531237999999E-2</v>
      </c>
      <c r="F86" s="26">
        <v>9.0123654626</v>
      </c>
      <c r="G86" s="26">
        <f t="shared" si="6"/>
        <v>0.66318661476053675</v>
      </c>
      <c r="H86" s="26">
        <f t="shared" si="7"/>
        <v>0.67598596888388973</v>
      </c>
      <c r="J86" s="26">
        <v>5.8439145033000003E-2</v>
      </c>
      <c r="K86" s="26">
        <v>5.6861434754000004E-2</v>
      </c>
      <c r="L86" s="26">
        <v>8.0111390272000005</v>
      </c>
      <c r="M86" s="26">
        <f t="shared" si="8"/>
        <v>0.57040531610725764</v>
      </c>
      <c r="N86" s="26">
        <f t="shared" si="9"/>
        <v>0.58500549250342537</v>
      </c>
      <c r="P86" s="26">
        <v>3.3638221740000002E-2</v>
      </c>
      <c r="Q86" s="26">
        <v>3.3107389339000003E-2</v>
      </c>
      <c r="R86" s="26">
        <v>9.6835295825000003</v>
      </c>
      <c r="S86" s="26">
        <f t="shared" si="10"/>
        <v>0.75352176218509803</v>
      </c>
      <c r="T86" s="26">
        <f t="shared" si="11"/>
        <v>0.76461589215990022</v>
      </c>
    </row>
    <row r="87" spans="2:20" x14ac:dyDescent="0.3">
      <c r="B87" s="32">
        <v>83</v>
      </c>
      <c r="D87" s="26">
        <v>5.1921652463999997E-2</v>
      </c>
      <c r="E87" s="26">
        <v>5.0543278807999997E-2</v>
      </c>
      <c r="F87" s="26">
        <v>8.3939759317</v>
      </c>
      <c r="G87" s="26">
        <f t="shared" si="6"/>
        <v>0.6346533215371486</v>
      </c>
      <c r="H87" s="26">
        <f t="shared" si="7"/>
        <v>0.64891996814884267</v>
      </c>
      <c r="J87" s="26">
        <v>6.7641674816000003E-2</v>
      </c>
      <c r="K87" s="26">
        <v>6.5320858310999999E-2</v>
      </c>
      <c r="L87" s="26">
        <v>7.4624628630999998</v>
      </c>
      <c r="M87" s="26">
        <f t="shared" si="8"/>
        <v>0.53797125144209013</v>
      </c>
      <c r="N87" s="26">
        <f t="shared" si="9"/>
        <v>0.55418828377467388</v>
      </c>
      <c r="P87" s="26">
        <v>4.1271151850999999E-2</v>
      </c>
      <c r="Q87" s="26">
        <v>4.0395536556999997E-2</v>
      </c>
      <c r="R87" s="26">
        <v>8.9971834706999996</v>
      </c>
      <c r="S87" s="26">
        <f t="shared" si="10"/>
        <v>0.7285746238290266</v>
      </c>
      <c r="T87" s="26">
        <f t="shared" si="11"/>
        <v>0.74104819300706226</v>
      </c>
    </row>
    <row r="88" spans="2:20" x14ac:dyDescent="0.3">
      <c r="B88" s="32">
        <v>84</v>
      </c>
      <c r="D88" s="26">
        <v>5.8429031839999999E-2</v>
      </c>
      <c r="E88" s="26">
        <v>5.6815122698000001E-2</v>
      </c>
      <c r="F88" s="26">
        <v>7.8155464593000001</v>
      </c>
      <c r="G88" s="26">
        <f t="shared" si="6"/>
        <v>0.60257586176027322</v>
      </c>
      <c r="H88" s="26">
        <f t="shared" si="7"/>
        <v>0.61861459164871091</v>
      </c>
      <c r="J88" s="26">
        <v>7.4615784524999992E-2</v>
      </c>
      <c r="K88" s="26">
        <v>7.2009053656000008E-2</v>
      </c>
      <c r="L88" s="26">
        <v>6.9508059251000001</v>
      </c>
      <c r="M88" s="26">
        <f t="shared" si="8"/>
        <v>0.50283050755125003</v>
      </c>
      <c r="N88" s="26">
        <f t="shared" si="9"/>
        <v>0.52040087949667013</v>
      </c>
      <c r="P88" s="26">
        <v>4.7973107040000004E-2</v>
      </c>
      <c r="Q88" s="26">
        <v>4.6877489309999999E-2</v>
      </c>
      <c r="R88" s="26">
        <v>8.3559424061000005</v>
      </c>
      <c r="S88" s="26">
        <f t="shared" si="10"/>
        <v>0.69914346097763858</v>
      </c>
      <c r="T88" s="26">
        <f t="shared" si="11"/>
        <v>0.71385904240333264</v>
      </c>
    </row>
    <row r="89" spans="2:20" x14ac:dyDescent="0.3">
      <c r="B89" s="32">
        <v>85</v>
      </c>
      <c r="D89" s="26">
        <v>6.7816512804000001E-2</v>
      </c>
      <c r="E89" s="26">
        <v>6.5662456617000001E-2</v>
      </c>
      <c r="F89" s="26">
        <v>7.2553836719999998</v>
      </c>
      <c r="G89" s="26">
        <f t="shared" si="6"/>
        <v>0.56834044023951014</v>
      </c>
      <c r="H89" s="26">
        <f t="shared" si="7"/>
        <v>0.58545815099989174</v>
      </c>
      <c r="J89" s="26">
        <v>8.5952367818000003E-2</v>
      </c>
      <c r="K89" s="26">
        <v>8.250964657599999E-2</v>
      </c>
      <c r="L89" s="26">
        <v>6.4502151984999996</v>
      </c>
      <c r="M89" s="26">
        <f t="shared" si="8"/>
        <v>0.46662215855311839</v>
      </c>
      <c r="N89" s="26">
        <f t="shared" si="9"/>
        <v>0.48472633305218421</v>
      </c>
      <c r="P89" s="26">
        <v>5.6464704077000001E-2</v>
      </c>
      <c r="Q89" s="26">
        <v>5.4968375654E-2</v>
      </c>
      <c r="R89" s="26">
        <v>7.7416916379999998</v>
      </c>
      <c r="S89" s="26">
        <f t="shared" si="10"/>
        <v>0.66636937085950287</v>
      </c>
      <c r="T89" s="26">
        <f t="shared" si="11"/>
        <v>0.68275641591857072</v>
      </c>
    </row>
    <row r="90" spans="2:20" x14ac:dyDescent="0.3">
      <c r="B90" s="32">
        <v>86</v>
      </c>
      <c r="D90" s="26">
        <v>7.7293659047999994E-2</v>
      </c>
      <c r="E90" s="26">
        <v>7.447091047099999E-2</v>
      </c>
      <c r="F90" s="26">
        <v>6.7289885981999999</v>
      </c>
      <c r="G90" s="26">
        <f t="shared" si="6"/>
        <v>0.53102181073859667</v>
      </c>
      <c r="H90" s="26">
        <f t="shared" si="7"/>
        <v>0.54968112548905346</v>
      </c>
      <c r="J90" s="26">
        <v>9.598477824200001E-2</v>
      </c>
      <c r="K90" s="26">
        <v>9.1647966176999995E-2</v>
      </c>
      <c r="L90" s="26">
        <v>5.9840073574000003</v>
      </c>
      <c r="M90" s="26">
        <f t="shared" si="8"/>
        <v>0.42812132916637036</v>
      </c>
      <c r="N90" s="26">
        <f t="shared" si="9"/>
        <v>0.44737174385974438</v>
      </c>
      <c r="P90" s="26">
        <v>6.6139947727000006E-2</v>
      </c>
      <c r="Q90" s="26">
        <v>6.4071403688000003E-2</v>
      </c>
      <c r="R90" s="26">
        <v>7.1618681401000002</v>
      </c>
      <c r="S90" s="26">
        <f t="shared" si="10"/>
        <v>0.62974012895777809</v>
      </c>
      <c r="T90" s="26">
        <f t="shared" si="11"/>
        <v>0.64805474990864043</v>
      </c>
    </row>
    <row r="91" spans="2:20" x14ac:dyDescent="0.3">
      <c r="B91" s="32">
        <v>87</v>
      </c>
      <c r="D91" s="26">
        <v>8.6197520221999988E-2</v>
      </c>
      <c r="E91" s="26">
        <v>8.2658300409000005E-2</v>
      </c>
      <c r="F91" s="26">
        <v>6.2294188894999998</v>
      </c>
      <c r="G91" s="26">
        <f t="shared" si="6"/>
        <v>0.49147613301293436</v>
      </c>
      <c r="H91" s="26">
        <f t="shared" si="7"/>
        <v>0.51124897187576557</v>
      </c>
      <c r="J91" s="26">
        <v>0.10688735865</v>
      </c>
      <c r="K91" s="26">
        <v>0.10148023589000001</v>
      </c>
      <c r="L91" s="26">
        <v>5.5366085612999996</v>
      </c>
      <c r="M91" s="26">
        <f t="shared" si="8"/>
        <v>0.38888488007127858</v>
      </c>
      <c r="N91" s="26">
        <f t="shared" si="9"/>
        <v>0.40850310461882444</v>
      </c>
      <c r="P91" s="26">
        <v>7.4324533233999998E-2</v>
      </c>
      <c r="Q91" s="26">
        <v>7.1685638071999999E-2</v>
      </c>
      <c r="R91" s="26">
        <v>6.6171109892000004</v>
      </c>
      <c r="S91" s="26">
        <f t="shared" si="10"/>
        <v>0.58939179493679106</v>
      </c>
      <c r="T91" s="26">
        <f t="shared" si="11"/>
        <v>0.60956596194728463</v>
      </c>
    </row>
    <row r="92" spans="2:20" x14ac:dyDescent="0.3">
      <c r="B92" s="32">
        <v>88</v>
      </c>
      <c r="D92" s="26">
        <v>9.9685391740000004E-2</v>
      </c>
      <c r="E92" s="26">
        <v>9.4971590668999989E-2</v>
      </c>
      <c r="F92" s="26">
        <v>5.7453817999999997</v>
      </c>
      <c r="G92" s="26">
        <f t="shared" si="6"/>
        <v>0.45085155116649756</v>
      </c>
      <c r="H92" s="26">
        <f t="shared" si="7"/>
        <v>0.47116384208971596</v>
      </c>
      <c r="J92" s="26">
        <v>0.12183723725999999</v>
      </c>
      <c r="K92" s="26">
        <v>0.11479610844</v>
      </c>
      <c r="L92" s="26">
        <v>5.1052807699000002</v>
      </c>
      <c r="M92" s="26">
        <f t="shared" si="8"/>
        <v>0.34942075070759088</v>
      </c>
      <c r="N92" s="26">
        <f t="shared" si="9"/>
        <v>0.36915281538943473</v>
      </c>
      <c r="P92" s="26">
        <v>8.7429963218999998E-2</v>
      </c>
      <c r="Q92" s="26">
        <v>8.3812640834999994E-2</v>
      </c>
      <c r="R92" s="26">
        <v>6.0891183591000004</v>
      </c>
      <c r="S92" s="26">
        <f t="shared" si="10"/>
        <v>0.54714086804234585</v>
      </c>
      <c r="T92" s="26">
        <f t="shared" si="11"/>
        <v>0.5682663314895684</v>
      </c>
    </row>
    <row r="93" spans="2:20" x14ac:dyDescent="0.3">
      <c r="B93" s="32">
        <v>89</v>
      </c>
      <c r="D93" s="26">
        <v>0.11531945589000001</v>
      </c>
      <c r="E93" s="26">
        <v>0.10904870341</v>
      </c>
      <c r="F93" s="26">
        <v>5.2956001485000002</v>
      </c>
      <c r="G93" s="26">
        <f t="shared" si="6"/>
        <v>0.40803346219662928</v>
      </c>
      <c r="H93" s="26">
        <f t="shared" si="7"/>
        <v>0.42944250668156342</v>
      </c>
      <c r="J93" s="26">
        <v>0.14025035299000002</v>
      </c>
      <c r="K93" s="26">
        <v>0.13101130633999999</v>
      </c>
      <c r="L93" s="26">
        <v>4.7029527104</v>
      </c>
      <c r="M93" s="26">
        <f t="shared" si="8"/>
        <v>0.30930860831817608</v>
      </c>
      <c r="N93" s="26">
        <f t="shared" si="9"/>
        <v>0.32936467951288351</v>
      </c>
      <c r="P93" s="26">
        <v>0.10223867748000001</v>
      </c>
      <c r="Q93" s="26">
        <v>9.7307665045999997E-2</v>
      </c>
      <c r="R93" s="26">
        <v>5.5998287377000002</v>
      </c>
      <c r="S93" s="26">
        <f t="shared" si="10"/>
        <v>0.50128354698296262</v>
      </c>
      <c r="T93" s="26">
        <f t="shared" si="11"/>
        <v>0.52421220751265429</v>
      </c>
    </row>
    <row r="94" spans="2:20" x14ac:dyDescent="0.3">
      <c r="B94" s="32">
        <v>90</v>
      </c>
      <c r="D94" s="26">
        <v>0.13325596289</v>
      </c>
      <c r="E94" s="26">
        <v>0.12486268708999999</v>
      </c>
      <c r="F94" s="26">
        <v>4.8823963714999996</v>
      </c>
      <c r="G94" s="26">
        <f t="shared" si="6"/>
        <v>0.36353794219619356</v>
      </c>
      <c r="H94" s="26">
        <f t="shared" si="7"/>
        <v>0.3857857021964114</v>
      </c>
      <c r="J94" s="26">
        <v>0.16076691564999998</v>
      </c>
      <c r="K94" s="26">
        <v>0.14854835428000002</v>
      </c>
      <c r="L94" s="26">
        <v>4.3370277744000001</v>
      </c>
      <c r="M94" s="26">
        <f t="shared" si="8"/>
        <v>0.26878568348020443</v>
      </c>
      <c r="N94" s="26">
        <f t="shared" si="9"/>
        <v>0.28904714589919023</v>
      </c>
      <c r="P94" s="26">
        <v>0.11952650559</v>
      </c>
      <c r="Q94" s="26">
        <v>0.11279088822</v>
      </c>
      <c r="R94" s="26">
        <v>5.1491066876999998</v>
      </c>
      <c r="S94" s="26">
        <f t="shared" si="10"/>
        <v>0.45250481550007371</v>
      </c>
      <c r="T94" s="26">
        <f t="shared" si="11"/>
        <v>0.47689418124151817</v>
      </c>
    </row>
    <row r="95" spans="2:20" x14ac:dyDescent="0.3">
      <c r="B95" s="32">
        <v>91</v>
      </c>
      <c r="D95" s="26">
        <v>0.14897317912999999</v>
      </c>
      <c r="E95" s="26">
        <v>0.13847668830000001</v>
      </c>
      <c r="F95" s="26">
        <v>4.5083010760000004</v>
      </c>
      <c r="G95" s="26">
        <f t="shared" si="6"/>
        <v>0.3181456178744077</v>
      </c>
      <c r="H95" s="26">
        <f t="shared" si="7"/>
        <v>0.34084178003530063</v>
      </c>
      <c r="J95" s="26">
        <v>0.17991495231999999</v>
      </c>
      <c r="K95" s="26">
        <v>0.16464527039000001</v>
      </c>
      <c r="L95" s="26">
        <v>4.0084830500999997</v>
      </c>
      <c r="M95" s="26">
        <f t="shared" si="8"/>
        <v>0.22885801254519508</v>
      </c>
      <c r="N95" s="26">
        <f t="shared" si="9"/>
        <v>0.24882184801269974</v>
      </c>
      <c r="P95" s="26">
        <v>0.13424154322000001</v>
      </c>
      <c r="Q95" s="26">
        <v>0.12572577338000002</v>
      </c>
      <c r="R95" s="26">
        <v>4.7400991847</v>
      </c>
      <c r="S95" s="26">
        <f t="shared" si="10"/>
        <v>0.40146639543599322</v>
      </c>
      <c r="T95" s="26">
        <f t="shared" si="11"/>
        <v>0.42698560546803344</v>
      </c>
    </row>
    <row r="96" spans="2:20" x14ac:dyDescent="0.3">
      <c r="B96" s="32">
        <v>92</v>
      </c>
      <c r="D96" s="26">
        <v>0.17069005256</v>
      </c>
      <c r="E96" s="26">
        <v>0.15713047882</v>
      </c>
      <c r="F96" s="26">
        <v>4.1539909108000002</v>
      </c>
      <c r="G96" s="26">
        <f t="shared" si="6"/>
        <v>0.27408986631400245</v>
      </c>
      <c r="H96" s="26">
        <f t="shared" si="7"/>
        <v>0.29611774209420505</v>
      </c>
      <c r="J96" s="26">
        <v>0.20328127692999998</v>
      </c>
      <c r="K96" s="26">
        <v>0.18411314881000002</v>
      </c>
      <c r="L96" s="26">
        <v>3.7030432791000001</v>
      </c>
      <c r="M96" s="26">
        <f t="shared" si="8"/>
        <v>0.19117762318877343</v>
      </c>
      <c r="N96" s="26">
        <f t="shared" si="9"/>
        <v>0.21001781786698426</v>
      </c>
      <c r="P96" s="26">
        <v>0.15616966776999999</v>
      </c>
      <c r="Q96" s="26">
        <v>0.14482178012999999</v>
      </c>
      <c r="R96" s="26">
        <v>4.3505061025999998</v>
      </c>
      <c r="S96" s="26">
        <f t="shared" si="10"/>
        <v>0.35099172238372206</v>
      </c>
      <c r="T96" s="26">
        <f t="shared" si="11"/>
        <v>0.37622905890985764</v>
      </c>
    </row>
    <row r="97" spans="2:20" x14ac:dyDescent="0.3">
      <c r="B97" s="32">
        <v>93</v>
      </c>
      <c r="D97" s="26">
        <v>0.18818441827999999</v>
      </c>
      <c r="E97" s="26">
        <v>0.17163004340000002</v>
      </c>
      <c r="F97" s="26">
        <v>3.8362173166</v>
      </c>
      <c r="G97" s="26">
        <f t="shared" si="6"/>
        <v>0.23102199438037346</v>
      </c>
      <c r="H97" s="26">
        <f t="shared" si="7"/>
        <v>0.25255593034718793</v>
      </c>
      <c r="J97" s="26">
        <v>0.22602583415000002</v>
      </c>
      <c r="K97" s="26">
        <v>0.20220900327999999</v>
      </c>
      <c r="L97" s="26">
        <v>3.4285843657999999</v>
      </c>
      <c r="M97" s="26">
        <f t="shared" si="8"/>
        <v>0.15597930900147666</v>
      </c>
      <c r="N97" s="26">
        <f t="shared" si="9"/>
        <v>0.17357846609512506</v>
      </c>
      <c r="P97" s="26">
        <v>0.17258021701999998</v>
      </c>
      <c r="Q97" s="26">
        <v>0.15867132909000001</v>
      </c>
      <c r="R97" s="26">
        <v>4.0028731582999999</v>
      </c>
      <c r="S97" s="26">
        <f t="shared" si="10"/>
        <v>0.30016047633721665</v>
      </c>
      <c r="T97" s="26">
        <f t="shared" si="11"/>
        <v>0.32557609936046938</v>
      </c>
    </row>
    <row r="98" spans="2:20" x14ac:dyDescent="0.3">
      <c r="B98" s="32">
        <v>94</v>
      </c>
      <c r="D98" s="26">
        <v>0.21312743570000001</v>
      </c>
      <c r="E98" s="26">
        <v>0.19208247345999999</v>
      </c>
      <c r="F98" s="26">
        <v>3.5300486044000001</v>
      </c>
      <c r="G98" s="26">
        <f t="shared" si="6"/>
        <v>0.19137167945851541</v>
      </c>
      <c r="H98" s="26">
        <f t="shared" si="7"/>
        <v>0.21119683691944444</v>
      </c>
      <c r="J98" s="26">
        <v>0.24963035622999999</v>
      </c>
      <c r="K98" s="26">
        <v>0.22111194477999999</v>
      </c>
      <c r="L98" s="26">
        <v>3.1762159995000001</v>
      </c>
      <c r="M98" s="26">
        <f t="shared" si="8"/>
        <v>0.12443888839598494</v>
      </c>
      <c r="N98" s="26">
        <f t="shared" si="9"/>
        <v>0.1402090986987308</v>
      </c>
      <c r="P98" s="26">
        <v>0.19892666221999999</v>
      </c>
      <c r="Q98" s="26">
        <v>0.18051273463</v>
      </c>
      <c r="R98" s="26">
        <v>3.6649968332</v>
      </c>
      <c r="S98" s="26">
        <f t="shared" si="10"/>
        <v>0.25253361461650298</v>
      </c>
      <c r="T98" s="26">
        <f t="shared" si="11"/>
        <v>0.27634704547685984</v>
      </c>
    </row>
    <row r="99" spans="2:20" x14ac:dyDescent="0.3">
      <c r="B99" s="32">
        <v>95</v>
      </c>
      <c r="D99" s="26">
        <v>0.23709722585000001</v>
      </c>
      <c r="E99" s="26">
        <v>0.21127937589999998</v>
      </c>
      <c r="F99" s="26">
        <v>3.2537877696000002</v>
      </c>
      <c r="G99" s="26">
        <f t="shared" si="6"/>
        <v>0.15461253391792951</v>
      </c>
      <c r="H99" s="26">
        <f t="shared" si="7"/>
        <v>0.17299210668822246</v>
      </c>
      <c r="J99" s="26">
        <v>0.27771764218</v>
      </c>
      <c r="K99" s="26">
        <v>0.24281094857999999</v>
      </c>
      <c r="L99" s="26">
        <v>2.9406774775</v>
      </c>
      <c r="M99" s="26">
        <f t="shared" si="8"/>
        <v>9.6923963776487335E-2</v>
      </c>
      <c r="N99" s="26">
        <f t="shared" si="9"/>
        <v>0.11068142608623613</v>
      </c>
      <c r="P99" s="26">
        <v>0.22236639777</v>
      </c>
      <c r="Q99" s="26">
        <v>0.19954307779000002</v>
      </c>
      <c r="R99" s="26">
        <v>3.3649860868000001</v>
      </c>
      <c r="S99" s="26">
        <f t="shared" si="10"/>
        <v>0.2069480812560795</v>
      </c>
      <c r="T99" s="26">
        <f t="shared" si="11"/>
        <v>0.22974084793629124</v>
      </c>
    </row>
    <row r="100" spans="2:20" x14ac:dyDescent="0.3">
      <c r="B100" s="32">
        <v>96</v>
      </c>
      <c r="D100" s="26">
        <v>0.2629996355</v>
      </c>
      <c r="E100" s="26">
        <v>0.23147302534</v>
      </c>
      <c r="F100" s="26">
        <v>2.9955843705</v>
      </c>
      <c r="G100" s="26">
        <f t="shared" si="6"/>
        <v>0.12194609424543178</v>
      </c>
      <c r="H100" s="26">
        <f t="shared" si="7"/>
        <v>0.13827931408168065</v>
      </c>
      <c r="J100" s="26">
        <v>0.30072004529999996</v>
      </c>
      <c r="K100" s="26">
        <v>0.26015286483</v>
      </c>
      <c r="L100" s="26">
        <v>2.7289998201999999</v>
      </c>
      <c r="M100" s="26">
        <f t="shared" si="8"/>
        <v>7.338976419178489E-2</v>
      </c>
      <c r="N100" s="26">
        <f t="shared" si="9"/>
        <v>8.5156863984136105E-2</v>
      </c>
      <c r="P100" s="26">
        <v>0.25037154654999999</v>
      </c>
      <c r="Q100" s="26">
        <v>0.22164763436999999</v>
      </c>
      <c r="R100" s="26">
        <v>3.0827698124</v>
      </c>
      <c r="S100" s="26">
        <f t="shared" si="10"/>
        <v>0.16565302417950639</v>
      </c>
      <c r="T100" s="26">
        <f t="shared" si="11"/>
        <v>0.18630055271779294</v>
      </c>
    </row>
    <row r="101" spans="2:20" x14ac:dyDescent="0.3">
      <c r="B101" s="32">
        <v>97</v>
      </c>
      <c r="D101" s="26">
        <v>0.28174762787999996</v>
      </c>
      <c r="E101" s="26">
        <v>0.24570502939</v>
      </c>
      <c r="F101" s="26">
        <v>2.7526133094</v>
      </c>
      <c r="G101" s="26">
        <f t="shared" si="6"/>
        <v>9.3718862882044909E-2</v>
      </c>
      <c r="H101" s="26">
        <f t="shared" si="7"/>
        <v>0.10783247856373834</v>
      </c>
      <c r="J101" s="26">
        <v>0.31790337978000005</v>
      </c>
      <c r="K101" s="26">
        <v>0.27256640162999995</v>
      </c>
      <c r="L101" s="26">
        <v>2.5193041721</v>
      </c>
      <c r="M101" s="26">
        <f t="shared" si="8"/>
        <v>5.4297206788093903E-2</v>
      </c>
      <c r="N101" s="26">
        <f t="shared" si="9"/>
        <v>6.38434854899394E-2</v>
      </c>
      <c r="P101" s="26">
        <v>0.27045142535</v>
      </c>
      <c r="Q101" s="26">
        <v>0.23712299043999999</v>
      </c>
      <c r="R101" s="26">
        <v>2.8232649572000001</v>
      </c>
      <c r="S101" s="26">
        <f t="shared" si="10"/>
        <v>0.12893642324388238</v>
      </c>
      <c r="T101" s="26">
        <f t="shared" si="11"/>
        <v>0.14729472371169439</v>
      </c>
    </row>
    <row r="102" spans="2:20" x14ac:dyDescent="0.3">
      <c r="B102" s="32">
        <v>98</v>
      </c>
      <c r="D102" s="26">
        <v>0.30572111825000003</v>
      </c>
      <c r="E102" s="26">
        <v>0.26331774374</v>
      </c>
      <c r="F102" s="26">
        <v>2.4931074718000001</v>
      </c>
      <c r="G102" s="26">
        <f t="shared" si="6"/>
        <v>7.0691666923214685E-2</v>
      </c>
      <c r="H102" s="26">
        <f t="shared" si="7"/>
        <v>8.2205264902629804E-2</v>
      </c>
      <c r="J102" s="26">
        <v>0.32657832943999998</v>
      </c>
      <c r="K102" s="26">
        <v>0.27797770198999999</v>
      </c>
      <c r="L102" s="26">
        <v>2.2846299928999998</v>
      </c>
      <c r="M102" s="26">
        <f t="shared" si="8"/>
        <v>3.9497612515303135E-2</v>
      </c>
      <c r="N102" s="26">
        <f t="shared" si="9"/>
        <v>4.6897409651698516E-2</v>
      </c>
      <c r="P102" s="26">
        <v>0.29956108766</v>
      </c>
      <c r="Q102" s="26">
        <v>0.25892112453999999</v>
      </c>
      <c r="R102" s="26">
        <v>2.5515221226999998</v>
      </c>
      <c r="S102" s="26">
        <f t="shared" si="10"/>
        <v>9.8362632987655477E-2</v>
      </c>
      <c r="T102" s="26">
        <f t="shared" si="11"/>
        <v>0.11364952811576892</v>
      </c>
    </row>
    <row r="103" spans="2:20" x14ac:dyDescent="0.3">
      <c r="B103" s="32">
        <v>99</v>
      </c>
      <c r="D103" s="26">
        <v>0.33338727593</v>
      </c>
      <c r="E103" s="26">
        <v>0.28317352379999999</v>
      </c>
      <c r="F103" s="26">
        <v>2.2150757467000002</v>
      </c>
      <c r="G103" s="26">
        <f t="shared" si="6"/>
        <v>5.2077296687774201E-2</v>
      </c>
      <c r="H103" s="26">
        <f t="shared" si="7"/>
        <v>6.138448180549444E-2</v>
      </c>
      <c r="J103" s="26">
        <v>0.36074733622000005</v>
      </c>
      <c r="K103" s="26">
        <v>0.30193309735000001</v>
      </c>
      <c r="L103" s="26">
        <v>1.9853232665</v>
      </c>
      <c r="M103" s="26">
        <f t="shared" si="8"/>
        <v>2.8518156954207705E-2</v>
      </c>
      <c r="N103" s="26">
        <f t="shared" si="9"/>
        <v>3.4007884734755418E-2</v>
      </c>
      <c r="P103" s="26">
        <v>0.32549632566999998</v>
      </c>
      <c r="Q103" s="26">
        <v>0.2776591833</v>
      </c>
      <c r="R103" s="26">
        <v>2.2766633968000001</v>
      </c>
      <c r="S103" s="26">
        <f t="shared" si="10"/>
        <v>7.2894469441776411E-2</v>
      </c>
      <c r="T103" s="26">
        <f t="shared" si="11"/>
        <v>8.5628551214715937E-2</v>
      </c>
    </row>
    <row r="104" spans="2:20" x14ac:dyDescent="0.3">
      <c r="B104" s="32">
        <v>100</v>
      </c>
      <c r="D104" s="26">
        <v>0.44449311026999999</v>
      </c>
      <c r="E104" s="26">
        <v>1</v>
      </c>
      <c r="F104" s="26">
        <v>1.9051927829999999</v>
      </c>
      <c r="G104" s="26">
        <f t="shared" si="6"/>
        <v>3.7330385074719113E-2</v>
      </c>
      <c r="H104" s="26">
        <f t="shared" si="7"/>
        <v>4.4703840881246654E-2</v>
      </c>
      <c r="J104" s="26">
        <v>0.50168580224000003</v>
      </c>
      <c r="K104" s="26">
        <v>1</v>
      </c>
      <c r="L104" s="26">
        <v>1.6450539328</v>
      </c>
      <c r="M104" s="26">
        <f t="shared" si="8"/>
        <v>1.9907581494310329E-2</v>
      </c>
      <c r="N104" s="26">
        <f t="shared" si="9"/>
        <v>2.4212869224259019E-2</v>
      </c>
      <c r="P104" s="26">
        <v>0.43206017021000004</v>
      </c>
      <c r="Q104" s="26">
        <v>1</v>
      </c>
      <c r="R104" s="26">
        <v>1.9708565956999999</v>
      </c>
      <c r="S104" s="26">
        <f t="shared" si="10"/>
        <v>5.2654650589485971E-2</v>
      </c>
      <c r="T104" s="26">
        <f t="shared" si="11"/>
        <v>6.2774560015631198E-2</v>
      </c>
    </row>
  </sheetData>
  <mergeCells count="3">
    <mergeCell ref="D2:H2"/>
    <mergeCell ref="J2:N2"/>
    <mergeCell ref="P2:T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>
    <tabColor theme="8" tint="-0.499984740745262"/>
  </sheetPr>
  <dimension ref="B1:H27"/>
  <sheetViews>
    <sheetView workbookViewId="0">
      <selection activeCell="G7" sqref="G7"/>
    </sheetView>
  </sheetViews>
  <sheetFormatPr baseColWidth="10" defaultColWidth="11.5546875" defaultRowHeight="14.4" x14ac:dyDescent="0.3"/>
  <cols>
    <col min="1" max="1" width="3.44140625" style="18" customWidth="1"/>
    <col min="2" max="5" width="11.5546875" style="18"/>
    <col min="6" max="6" width="13.44140625" style="18" bestFit="1" customWidth="1"/>
    <col min="7" max="7" width="13.5546875" style="18" bestFit="1" customWidth="1"/>
    <col min="8" max="8" width="11.88671875" style="18" bestFit="1" customWidth="1"/>
    <col min="9" max="16384" width="11.5546875" style="18"/>
  </cols>
  <sheetData>
    <row r="1" spans="2:8" x14ac:dyDescent="0.3">
      <c r="B1" s="18" t="s">
        <v>272</v>
      </c>
    </row>
    <row r="2" spans="2:8" x14ac:dyDescent="0.3">
      <c r="B2" s="29" t="s">
        <v>31</v>
      </c>
      <c r="C2" s="29" t="s">
        <v>271</v>
      </c>
      <c r="D2" s="29" t="s">
        <v>273</v>
      </c>
    </row>
    <row r="3" spans="2:8" x14ac:dyDescent="0.3">
      <c r="B3" s="32">
        <v>2002</v>
      </c>
      <c r="C3" s="26">
        <v>69.53</v>
      </c>
      <c r="D3" s="26">
        <v>86.313000000000002</v>
      </c>
      <c r="G3" s="45" t="s">
        <v>274</v>
      </c>
    </row>
    <row r="4" spans="2:8" x14ac:dyDescent="0.3">
      <c r="B4" s="32">
        <v>2003</v>
      </c>
      <c r="C4" s="26">
        <v>72.111000000000004</v>
      </c>
      <c r="D4" s="26">
        <v>88.385000000000005</v>
      </c>
      <c r="F4" s="29" t="s">
        <v>31</v>
      </c>
      <c r="G4" s="1">
        <v>2010</v>
      </c>
      <c r="H4" s="18">
        <f>VLOOKUP(G4,$B$3:$C$27,2,FALSE)</f>
        <v>86.158000000000001</v>
      </c>
    </row>
    <row r="5" spans="2:8" x14ac:dyDescent="0.3">
      <c r="B5" s="32">
        <v>2004</v>
      </c>
      <c r="C5" s="26">
        <v>73.772999999999996</v>
      </c>
      <c r="D5" s="26">
        <v>90.114999999999995</v>
      </c>
      <c r="F5" s="29" t="s">
        <v>114</v>
      </c>
      <c r="G5" s="47">
        <v>100</v>
      </c>
    </row>
    <row r="6" spans="2:8" x14ac:dyDescent="0.3">
      <c r="B6" s="32">
        <v>2005</v>
      </c>
      <c r="C6" s="26">
        <v>76.046000000000006</v>
      </c>
      <c r="D6" s="26">
        <v>90.337000000000003</v>
      </c>
      <c r="F6" s="29" t="s">
        <v>276</v>
      </c>
      <c r="G6" s="1">
        <v>2026</v>
      </c>
      <c r="H6" s="18">
        <f>VLOOKUP(G6,$B$3:$C$27,2,FALSE)</f>
        <v>119.532</v>
      </c>
    </row>
    <row r="7" spans="2:8" x14ac:dyDescent="0.3">
      <c r="B7" s="32">
        <v>2006</v>
      </c>
      <c r="C7" s="26">
        <v>79.233999999999995</v>
      </c>
      <c r="D7" s="26">
        <v>90.945999999999998</v>
      </c>
      <c r="F7" s="29" t="s">
        <v>275</v>
      </c>
      <c r="G7" s="27">
        <f>G5*ROUND(1000*H6/H4,0) / 1000</f>
        <v>138.69999999999999</v>
      </c>
    </row>
    <row r="8" spans="2:8" x14ac:dyDescent="0.3">
      <c r="B8" s="32">
        <v>2007</v>
      </c>
      <c r="C8" s="26">
        <v>81.129000000000005</v>
      </c>
      <c r="D8" s="26">
        <v>92.417000000000002</v>
      </c>
    </row>
    <row r="9" spans="2:8" x14ac:dyDescent="0.3">
      <c r="B9" s="32">
        <v>2008</v>
      </c>
      <c r="C9" s="26">
        <v>84.597999999999999</v>
      </c>
      <c r="D9" s="26">
        <v>90.668000000000006</v>
      </c>
    </row>
    <row r="10" spans="2:8" x14ac:dyDescent="0.3">
      <c r="B10" s="32">
        <v>2009</v>
      </c>
      <c r="C10" s="26">
        <v>85.281000000000006</v>
      </c>
      <c r="D10" s="26">
        <v>90.731999999999999</v>
      </c>
    </row>
    <row r="11" spans="2:8" x14ac:dyDescent="0.3">
      <c r="B11" s="32">
        <v>2010</v>
      </c>
      <c r="C11" s="26">
        <v>86.158000000000001</v>
      </c>
      <c r="D11" s="26">
        <v>89.542000000000002</v>
      </c>
    </row>
    <row r="12" spans="2:8" x14ac:dyDescent="0.3">
      <c r="B12" s="32">
        <v>2011</v>
      </c>
      <c r="C12" s="26">
        <v>88.974999999999994</v>
      </c>
      <c r="D12" s="26">
        <v>88.266999999999996</v>
      </c>
    </row>
    <row r="13" spans="2:8" x14ac:dyDescent="0.3">
      <c r="B13" s="32">
        <v>2012</v>
      </c>
      <c r="C13" s="26">
        <v>90.753</v>
      </c>
      <c r="D13" s="26">
        <v>85.698999999999998</v>
      </c>
    </row>
    <row r="14" spans="2:8" x14ac:dyDescent="0.3">
      <c r="B14" s="32">
        <v>2013</v>
      </c>
      <c r="C14" s="26">
        <v>93.188000000000002</v>
      </c>
      <c r="D14" s="26">
        <v>96.031999999999996</v>
      </c>
    </row>
    <row r="15" spans="2:8" x14ac:dyDescent="0.3">
      <c r="B15" s="32">
        <v>2014</v>
      </c>
      <c r="C15" s="26">
        <v>93.373000000000005</v>
      </c>
      <c r="D15" s="26">
        <v>97.271000000000001</v>
      </c>
    </row>
    <row r="16" spans="2:8" x14ac:dyDescent="0.3">
      <c r="B16" s="32">
        <v>2015</v>
      </c>
      <c r="C16" s="26">
        <v>92.141000000000005</v>
      </c>
      <c r="D16" s="26">
        <v>97.174999999999997</v>
      </c>
    </row>
    <row r="17" spans="2:4" x14ac:dyDescent="0.3">
      <c r="B17" s="32">
        <v>2016</v>
      </c>
      <c r="C17" s="26">
        <v>91.876000000000005</v>
      </c>
      <c r="D17" s="26">
        <v>96.828000000000003</v>
      </c>
    </row>
    <row r="18" spans="2:4" x14ac:dyDescent="0.3">
      <c r="B18" s="32">
        <v>2017</v>
      </c>
      <c r="C18" s="26">
        <v>94.608999999999995</v>
      </c>
      <c r="D18" s="26">
        <v>97.551000000000002</v>
      </c>
    </row>
    <row r="19" spans="2:4" x14ac:dyDescent="0.3">
      <c r="B19" s="32">
        <v>2018</v>
      </c>
      <c r="C19" s="26">
        <v>95.153000000000006</v>
      </c>
      <c r="D19" s="26">
        <v>97.847999999999999</v>
      </c>
    </row>
    <row r="20" spans="2:4" x14ac:dyDescent="0.3">
      <c r="B20" s="32">
        <v>2019</v>
      </c>
      <c r="C20" s="26">
        <v>96.084999999999994</v>
      </c>
      <c r="D20" s="26">
        <v>98.694000000000003</v>
      </c>
    </row>
    <row r="21" spans="2:4" x14ac:dyDescent="0.3">
      <c r="B21" s="32">
        <v>2020</v>
      </c>
      <c r="C21" s="26">
        <v>97.138999999999996</v>
      </c>
      <c r="D21" s="26">
        <v>99.149000000000001</v>
      </c>
    </row>
    <row r="22" spans="2:4" x14ac:dyDescent="0.3">
      <c r="B22" s="32">
        <v>2021</v>
      </c>
      <c r="C22" s="26">
        <v>97.582999999999998</v>
      </c>
      <c r="D22" s="26">
        <v>99.62</v>
      </c>
    </row>
    <row r="23" spans="2:4" x14ac:dyDescent="0.3">
      <c r="B23" s="32">
        <v>2022</v>
      </c>
      <c r="C23" s="26">
        <v>103.56699999999999</v>
      </c>
      <c r="D23" s="26">
        <v>100.5</v>
      </c>
    </row>
    <row r="24" spans="2:4" x14ac:dyDescent="0.3">
      <c r="B24" s="32">
        <v>2023</v>
      </c>
      <c r="C24" s="26">
        <v>109.66800000000001</v>
      </c>
      <c r="D24" s="26">
        <v>101.74299999999999</v>
      </c>
    </row>
    <row r="25" spans="2:4" x14ac:dyDescent="0.3">
      <c r="B25" s="32">
        <v>2024</v>
      </c>
      <c r="C25" s="26">
        <v>113.404</v>
      </c>
      <c r="D25" s="26">
        <v>103.94199999999999</v>
      </c>
    </row>
    <row r="26" spans="2:4" x14ac:dyDescent="0.3">
      <c r="B26" s="32">
        <v>2025</v>
      </c>
      <c r="C26" s="26">
        <v>116.733</v>
      </c>
      <c r="D26" s="26">
        <v>106.02800000000001</v>
      </c>
    </row>
    <row r="27" spans="2:4" x14ac:dyDescent="0.3">
      <c r="B27" s="32">
        <v>2026</v>
      </c>
      <c r="C27" s="26">
        <v>119.532</v>
      </c>
      <c r="D27" s="26">
        <v>107.9</v>
      </c>
    </row>
  </sheetData>
  <sortState xmlns:xlrd2="http://schemas.microsoft.com/office/spreadsheetml/2017/richdata2" ref="F3:H27">
    <sortCondition ref="F3:F27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">
    <tabColor theme="0" tint="-0.499984740745262"/>
  </sheetPr>
  <dimension ref="B2:D211"/>
  <sheetViews>
    <sheetView topLeftCell="A7" zoomScaleNormal="100" workbookViewId="0">
      <selection activeCell="B49" sqref="B49"/>
    </sheetView>
  </sheetViews>
  <sheetFormatPr baseColWidth="10" defaultColWidth="11.5546875" defaultRowHeight="14.4" x14ac:dyDescent="0.3"/>
  <cols>
    <col min="1" max="1" width="11.5546875" style="23"/>
    <col min="2" max="2" width="18.88671875" style="23" bestFit="1" customWidth="1"/>
    <col min="3" max="3" width="24.6640625" style="23" bestFit="1" customWidth="1"/>
    <col min="4" max="4" width="26.44140625" style="23" bestFit="1" customWidth="1"/>
    <col min="5" max="16384" width="11.5546875" style="23"/>
  </cols>
  <sheetData>
    <row r="2" spans="2:4" x14ac:dyDescent="0.3">
      <c r="C2" s="75">
        <v>1</v>
      </c>
      <c r="D2" s="75">
        <v>2</v>
      </c>
    </row>
    <row r="3" spans="2:4" x14ac:dyDescent="0.3">
      <c r="B3" s="75" t="str">
        <f>IF(language=1,"En uso","In use")</f>
        <v>In use</v>
      </c>
      <c r="C3" s="75" t="str">
        <f>IF(language=1,"Español","Spanish")</f>
        <v>Spanish</v>
      </c>
      <c r="D3" s="75" t="str">
        <f>IF(language=1,"Inglés","English")</f>
        <v>English</v>
      </c>
    </row>
    <row r="4" spans="2:4" x14ac:dyDescent="0.3">
      <c r="B4" s="40" t="str" cm="1">
        <f t="array" ref="B4">INDEX(C4:D4,1,language)</f>
        <v>Cost</v>
      </c>
      <c r="C4" t="s">
        <v>121</v>
      </c>
      <c r="D4" t="s">
        <v>122</v>
      </c>
    </row>
    <row r="5" spans="2:4" x14ac:dyDescent="0.3">
      <c r="B5" s="40" t="str" cm="1">
        <f t="array" ref="B5">INDEX(C5:D5,1,language)</f>
        <v>Effectiveness</v>
      </c>
      <c r="C5" t="s">
        <v>123</v>
      </c>
      <c r="D5" t="s">
        <v>124</v>
      </c>
    </row>
    <row r="6" spans="2:4" x14ac:dyDescent="0.3">
      <c r="B6" s="40" t="str" cm="1">
        <f t="array" ref="B6">INDEX(C6:D6,1,language)</f>
        <v>LY</v>
      </c>
      <c r="C6" t="s">
        <v>139</v>
      </c>
      <c r="D6" t="s">
        <v>23</v>
      </c>
    </row>
    <row r="7" spans="2:4" x14ac:dyDescent="0.3">
      <c r="B7" s="40" t="str" cm="1">
        <f t="array" ref="B7">INDEX(C7:D7,1,language)</f>
        <v>QALY</v>
      </c>
      <c r="C7" t="s">
        <v>140</v>
      </c>
      <c r="D7" t="s">
        <v>141</v>
      </c>
    </row>
    <row r="8" spans="2:4" x14ac:dyDescent="0.3">
      <c r="B8" s="40" t="str" cm="1">
        <f t="array" ref="B8">INDEX(C8:D8,1,language)</f>
        <v>Willingness to pay</v>
      </c>
      <c r="C8" t="s">
        <v>125</v>
      </c>
      <c r="D8" t="s">
        <v>126</v>
      </c>
    </row>
    <row r="9" spans="2:4" x14ac:dyDescent="0.3">
      <c r="B9" s="40" t="str" cm="1">
        <f t="array" ref="B9">INDEX(C9:D9,1,language)</f>
        <v>EVPI (€)</v>
      </c>
      <c r="C9" t="s">
        <v>127</v>
      </c>
      <c r="D9" t="s">
        <v>128</v>
      </c>
    </row>
    <row r="10" spans="2:4" x14ac:dyDescent="0.3">
      <c r="B10" s="40" t="str" cm="1">
        <f t="array" ref="B10">INDEX(C10:D10,1,language)</f>
        <v>Incremental net cost</v>
      </c>
      <c r="C10" t="s">
        <v>129</v>
      </c>
      <c r="D10" t="s">
        <v>130</v>
      </c>
    </row>
    <row r="11" spans="2:4" x14ac:dyDescent="0.3">
      <c r="B11" s="40" t="str" cm="1">
        <f t="array" ref="B11">INDEX(C11:D11,1,language)</f>
        <v>Year</v>
      </c>
      <c r="C11" t="s">
        <v>66</v>
      </c>
      <c r="D11" t="s">
        <v>31</v>
      </c>
    </row>
    <row r="12" spans="2:4" x14ac:dyDescent="0.3">
      <c r="B12" s="40" t="str" cm="1">
        <f t="array" ref="B12">INDEX(C12:D12,1,language)</f>
        <v>Years</v>
      </c>
      <c r="C12" t="s">
        <v>227</v>
      </c>
      <c r="D12" t="s">
        <v>30</v>
      </c>
    </row>
    <row r="13" spans="2:4" x14ac:dyDescent="0.3">
      <c r="B13" s="40" t="str" cm="1">
        <f t="array" ref="B13">INDEX(C13:D13,1,language)</f>
        <v>ICER</v>
      </c>
      <c r="C13" t="s">
        <v>18</v>
      </c>
      <c r="D13" t="s">
        <v>111</v>
      </c>
    </row>
    <row r="14" spans="2:4" x14ac:dyDescent="0.3">
      <c r="B14" s="40" t="str" cm="1">
        <f t="array" ref="B14">INDEX(C14:D14,1,language)</f>
        <v>Time horizon</v>
      </c>
      <c r="C14" t="s">
        <v>131</v>
      </c>
      <c r="D14" t="s">
        <v>132</v>
      </c>
    </row>
    <row r="15" spans="2:4" x14ac:dyDescent="0.3">
      <c r="B15" s="40" t="str" cm="1">
        <f t="array" ref="B15">INDEX(C15:D15,1,language)</f>
        <v>EVPPI (€)</v>
      </c>
      <c r="C15" t="s">
        <v>133</v>
      </c>
      <c r="D15" t="s">
        <v>134</v>
      </c>
    </row>
    <row r="16" spans="2:4" x14ac:dyDescent="0.3">
      <c r="B16" s="40" t="str" cm="1">
        <f t="array" ref="B16">INDEX(C16:D16,1,language)</f>
        <v>Probability</v>
      </c>
      <c r="C16" t="s">
        <v>135</v>
      </c>
      <c r="D16" t="s">
        <v>136</v>
      </c>
    </row>
    <row r="17" spans="2:4" x14ac:dyDescent="0.3">
      <c r="B17" s="40" t="str" cm="1">
        <f t="array" ref="B17">INDEX(C17:D17,1,language)</f>
        <v>Probabilities</v>
      </c>
      <c r="C17" t="s">
        <v>220</v>
      </c>
      <c r="D17" t="s">
        <v>219</v>
      </c>
    </row>
    <row r="18" spans="2:4" x14ac:dyDescent="0.3">
      <c r="B18" s="40" t="str" cm="1">
        <f t="array" ref="B18">INDEX(C18:D18,1,language)</f>
        <v>Confidence ellipse</v>
      </c>
      <c r="C18" t="s">
        <v>11</v>
      </c>
      <c r="D18" t="s">
        <v>137</v>
      </c>
    </row>
    <row r="19" spans="2:4" x14ac:dyDescent="0.3">
      <c r="B19" s="40" t="str" cm="1">
        <f t="array" ref="B19">INDEX(C19:D19,1,language)</f>
        <v>PSA</v>
      </c>
      <c r="C19" t="s">
        <v>215</v>
      </c>
      <c r="D19" t="s">
        <v>102</v>
      </c>
    </row>
    <row r="20" spans="2:4" x14ac:dyDescent="0.3">
      <c r="B20" s="40" t="str" cm="1">
        <f t="array" ref="B20">INDEX(C20:D20,1,language)</f>
        <v>Base case</v>
      </c>
      <c r="C20" t="s">
        <v>138</v>
      </c>
      <c r="D20" t="s">
        <v>112</v>
      </c>
    </row>
    <row r="21" spans="2:4" x14ac:dyDescent="0.3">
      <c r="B21" s="40" t="str" cm="1">
        <f t="array" ref="B21">INDEX(C21:D21,1,language)</f>
        <v>Parameter</v>
      </c>
      <c r="C21" t="s">
        <v>10</v>
      </c>
      <c r="D21" t="s">
        <v>113</v>
      </c>
    </row>
    <row r="22" spans="2:4" x14ac:dyDescent="0.3">
      <c r="B22" s="40" t="str" cm="1">
        <f t="array" ref="B22">INDEX(C22:D22,1,language)</f>
        <v>Value</v>
      </c>
      <c r="C22" t="s">
        <v>174</v>
      </c>
      <c r="D22" t="s">
        <v>114</v>
      </c>
    </row>
    <row r="23" spans="2:4" x14ac:dyDescent="0.3">
      <c r="B23" s="40" t="str" cm="1">
        <f t="array" ref="B23">INDEX(C23:D23,1,language)</f>
        <v>Group</v>
      </c>
      <c r="C23" t="s">
        <v>142</v>
      </c>
      <c r="D23" t="s">
        <v>143</v>
      </c>
    </row>
    <row r="24" spans="2:4" x14ac:dyDescent="0.3">
      <c r="B24" s="40" t="str" cm="1">
        <f t="array" ref="B24">INDEX(C24:D24,1,language)</f>
        <v>Threshold</v>
      </c>
      <c r="C24" t="s">
        <v>144</v>
      </c>
      <c r="D24" t="s">
        <v>145</v>
      </c>
    </row>
    <row r="25" spans="2:4" x14ac:dyDescent="0.3">
      <c r="B25" s="40" t="str" cm="1">
        <f t="array" ref="B25">INDEX(C25:D25,1,language)</f>
        <v>Reference threshold</v>
      </c>
      <c r="C25" t="s">
        <v>179</v>
      </c>
      <c r="D25" t="s">
        <v>180</v>
      </c>
    </row>
    <row r="26" spans="2:4" x14ac:dyDescent="0.3">
      <c r="B26" s="40" t="str" cm="1">
        <f t="array" ref="B26">INDEX(C26:D26,1,language)</f>
        <v>NB</v>
      </c>
      <c r="C26" t="s">
        <v>146</v>
      </c>
      <c r="D26" t="s">
        <v>147</v>
      </c>
    </row>
    <row r="27" spans="2:4" x14ac:dyDescent="0.3">
      <c r="B27" s="40" t="str" cm="1">
        <f t="array" ref="B27">INDEX(C27:D27,1,language)</f>
        <v>Deaths</v>
      </c>
      <c r="C27" t="s">
        <v>148</v>
      </c>
      <c r="D27" t="s">
        <v>92</v>
      </c>
    </row>
    <row r="28" spans="2:4" x14ac:dyDescent="0.3">
      <c r="B28" s="40" t="str" cm="1">
        <f t="array" ref="B28">INDEX(C28:D28,1,language)</f>
        <v>Lost</v>
      </c>
      <c r="C28" t="s">
        <v>149</v>
      </c>
      <c r="D28" t="s">
        <v>93</v>
      </c>
    </row>
    <row r="29" spans="2:4" x14ac:dyDescent="0.3">
      <c r="B29" s="40" t="str" cm="1">
        <f t="array" ref="B29">INDEX(C29:D29,1,language)</f>
        <v>Pooled</v>
      </c>
      <c r="C29" t="s">
        <v>150</v>
      </c>
      <c r="D29" t="s">
        <v>94</v>
      </c>
    </row>
    <row r="30" spans="2:4" x14ac:dyDescent="0.3">
      <c r="B30" s="40" t="str" cm="1">
        <f t="array" ref="B30">INDEX(C30:D30,1,language)</f>
        <v>Probabilistic</v>
      </c>
      <c r="C30" t="s">
        <v>151</v>
      </c>
      <c r="D30" t="s">
        <v>37</v>
      </c>
    </row>
    <row r="31" spans="2:4" x14ac:dyDescent="0.3">
      <c r="B31" s="40" t="str" cm="1">
        <f t="array" ref="B31">INDEX(C31:D31,1,language)</f>
        <v>Deterministic</v>
      </c>
      <c r="C31" t="s">
        <v>152</v>
      </c>
      <c r="D31" t="s">
        <v>36</v>
      </c>
    </row>
    <row r="32" spans="2:4" x14ac:dyDescent="0.3">
      <c r="B32" s="40" t="str" cm="1">
        <f t="array" ref="B32">INDEX(C32:D32,1,language)</f>
        <v>Standard error</v>
      </c>
      <c r="C32" t="s">
        <v>153</v>
      </c>
      <c r="D32" t="s">
        <v>63</v>
      </c>
    </row>
    <row r="33" spans="2:4" x14ac:dyDescent="0.3">
      <c r="B33" s="40" t="str" cm="1">
        <f t="array" ref="B33">INDEX(C33:D33,1,language)</f>
        <v>'Live' value</v>
      </c>
      <c r="C33" s="76" t="s">
        <v>154</v>
      </c>
      <c r="D33" s="76" t="str">
        <f>"'Live' value"</f>
        <v>'Live' value</v>
      </c>
    </row>
    <row r="34" spans="2:4" x14ac:dyDescent="0.3">
      <c r="B34" s="40" t="str" cm="1">
        <f t="array" ref="B34">INDEX(C34:D34,1,language)</f>
        <v>Name</v>
      </c>
      <c r="C34" t="s">
        <v>155</v>
      </c>
      <c r="D34" t="s">
        <v>20</v>
      </c>
    </row>
    <row r="35" spans="2:4" x14ac:dyDescent="0.3">
      <c r="B35" s="40" t="str" cm="1">
        <f t="array" ref="B35">INDEX(C35:D35,1,language)</f>
        <v>Distribution</v>
      </c>
      <c r="C35" t="s">
        <v>156</v>
      </c>
      <c r="D35" t="s">
        <v>38</v>
      </c>
    </row>
    <row r="36" spans="2:4" x14ac:dyDescent="0.3">
      <c r="B36" s="40" t="str" cm="1">
        <f t="array" ref="B36">INDEX(C36:D36,1,language)</f>
        <v>Description/Source</v>
      </c>
      <c r="C36" t="s">
        <v>157</v>
      </c>
      <c r="D36" t="s">
        <v>21</v>
      </c>
    </row>
    <row r="37" spans="2:4" x14ac:dyDescent="0.3">
      <c r="B37" s="40" t="str" cm="1">
        <f t="array" ref="B37">INDEX(C37:D37,1,language)</f>
        <v>General</v>
      </c>
      <c r="C37" t="s">
        <v>158</v>
      </c>
      <c r="D37" t="s">
        <v>159</v>
      </c>
    </row>
    <row r="38" spans="2:4" x14ac:dyDescent="0.3">
      <c r="B38" s="40" t="str" cm="1">
        <f t="array" ref="B38">INDEX(C38:D38,1,language)</f>
        <v>Unit costs</v>
      </c>
      <c r="C38" t="s">
        <v>161</v>
      </c>
      <c r="D38" t="s">
        <v>162</v>
      </c>
    </row>
    <row r="39" spans="2:4" x14ac:dyDescent="0.3">
      <c r="B39" s="40" t="str" cm="1">
        <f t="array" ref="B39">INDEX(C39:D39,1,language)</f>
        <v>Resource use</v>
      </c>
      <c r="C39" t="s">
        <v>163</v>
      </c>
      <c r="D39" t="s">
        <v>164</v>
      </c>
    </row>
    <row r="40" spans="2:4" x14ac:dyDescent="0.3">
      <c r="B40" s="40" t="str" cm="1">
        <f t="array" ref="B40">INDEX(C40:D40,1,language)</f>
        <v>Life expectancy</v>
      </c>
      <c r="C40" t="s">
        <v>165</v>
      </c>
      <c r="D40" t="s">
        <v>166</v>
      </c>
    </row>
    <row r="41" spans="2:4" x14ac:dyDescent="0.3">
      <c r="B41" s="40" t="str" cm="1">
        <f t="array" ref="B41">INDEX(C41:D41,1,language)</f>
        <v>Productivity losses</v>
      </c>
      <c r="C41" t="s">
        <v>167</v>
      </c>
      <c r="D41" t="s">
        <v>168</v>
      </c>
    </row>
    <row r="42" spans="2:4" x14ac:dyDescent="0.3">
      <c r="B42" s="40" t="str" cm="1">
        <f t="array" ref="B42">INDEX(C42:D42,1,language)</f>
        <v>Dependency</v>
      </c>
      <c r="C42" t="s">
        <v>169</v>
      </c>
      <c r="D42" t="s">
        <v>89</v>
      </c>
    </row>
    <row r="43" spans="2:4" x14ac:dyDescent="0.3">
      <c r="B43" s="40" t="str" cm="1">
        <f t="array" ref="B43">INDEX(C43:D43,1,language)</f>
        <v>Utilities</v>
      </c>
      <c r="C43" t="s">
        <v>119</v>
      </c>
      <c r="D43" t="s">
        <v>160</v>
      </c>
    </row>
    <row r="44" spans="2:4" x14ac:dyDescent="0.3">
      <c r="B44" s="40" t="str" cm="1">
        <f t="array" ref="B44">INDEX(C44:D44,1,language)</f>
        <v>Cost of hospitalization</v>
      </c>
      <c r="C44" t="s">
        <v>221</v>
      </c>
      <c r="D44" t="s">
        <v>223</v>
      </c>
    </row>
    <row r="45" spans="2:4" x14ac:dyDescent="0.3">
      <c r="B45" s="40" t="str" cm="1">
        <f t="array" ref="B45">INDEX(C45:D45,1,language)</f>
        <v>Cost of hospitalization (cardiomyopathy)</v>
      </c>
      <c r="C45" t="s">
        <v>222</v>
      </c>
      <c r="D45" t="s">
        <v>224</v>
      </c>
    </row>
    <row r="46" spans="2:4" x14ac:dyDescent="0.3">
      <c r="B46" s="40" t="str" cm="1">
        <f t="array" ref="B46">INDEX(C46:D46,1,language)</f>
        <v>Calculations for follow-up</v>
      </c>
      <c r="C46" t="s">
        <v>170</v>
      </c>
      <c r="D46" t="s">
        <v>27</v>
      </c>
    </row>
    <row r="47" spans="2:4" x14ac:dyDescent="0.3">
      <c r="B47" s="40" t="str" cm="1">
        <f t="array" ref="B47">INDEX(C47:D47,1,language)</f>
        <v>Weighted avg</v>
      </c>
      <c r="C47" t="s">
        <v>171</v>
      </c>
      <c r="D47" t="s">
        <v>26</v>
      </c>
    </row>
    <row r="48" spans="2:4" x14ac:dyDescent="0.3">
      <c r="B48" s="40" t="str" cm="1">
        <f t="array" ref="B48">INDEX(C48:D48,1,language)</f>
        <v>Drugs</v>
      </c>
      <c r="C48" t="s">
        <v>172</v>
      </c>
      <c r="D48" t="s">
        <v>32</v>
      </c>
    </row>
    <row r="49" spans="2:4" x14ac:dyDescent="0.3">
      <c r="B49" s="40" t="str" cm="1">
        <f t="array" ref="B49">INDEX(C49:D49,1,language)</f>
        <v>Discount</v>
      </c>
      <c r="C49" t="s">
        <v>262</v>
      </c>
      <c r="D49" t="s">
        <v>263</v>
      </c>
    </row>
    <row r="50" spans="2:4" x14ac:dyDescent="0.3">
      <c r="B50" s="40" t="str" cm="1">
        <f t="array" ref="B50">INDEX(C50:D50,1,language)</f>
        <v>General population</v>
      </c>
      <c r="C50" t="s">
        <v>173</v>
      </c>
      <c r="D50" t="s">
        <v>109</v>
      </c>
    </row>
    <row r="51" spans="2:4" x14ac:dyDescent="0.3">
      <c r="B51" s="40" t="str" cm="1">
        <f t="array" ref="B51">INDEX(C51:D51,1,language)</f>
        <v>Results</v>
      </c>
      <c r="C51" t="s">
        <v>175</v>
      </c>
      <c r="D51" t="s">
        <v>110</v>
      </c>
    </row>
    <row r="52" spans="2:4" x14ac:dyDescent="0.3">
      <c r="B52" s="40" t="str" cm="1">
        <f t="array" ref="B52">INDEX(C52:D52,1,language)</f>
        <v>Original order</v>
      </c>
      <c r="C52" t="s">
        <v>9</v>
      </c>
      <c r="D52" t="s">
        <v>176</v>
      </c>
    </row>
    <row r="53" spans="2:4" x14ac:dyDescent="0.3">
      <c r="B53" s="40" t="str" cm="1">
        <f t="array" ref="B53">INDEX(C53:D53,1,language)</f>
        <v>Average</v>
      </c>
      <c r="C53" t="s">
        <v>177</v>
      </c>
      <c r="D53" t="s">
        <v>178</v>
      </c>
    </row>
    <row r="54" spans="2:4" x14ac:dyDescent="0.3">
      <c r="B54" s="40" t="str" cm="1">
        <f t="array" ref="B54">INDEX(C54:D54,1,language)</f>
        <v>Harmonic mean</v>
      </c>
      <c r="C54" t="s">
        <v>233</v>
      </c>
      <c r="D54" t="s">
        <v>234</v>
      </c>
    </row>
    <row r="55" spans="2:4" x14ac:dyDescent="0.3">
      <c r="B55" s="40" t="str" cm="1">
        <f t="array" ref="B55">INDEX(C55:D55,1,language)</f>
        <v>Acceptability curve</v>
      </c>
      <c r="C55" t="s">
        <v>181</v>
      </c>
      <c r="D55" t="s">
        <v>182</v>
      </c>
    </row>
    <row r="56" spans="2:4" x14ac:dyDescent="0.3">
      <c r="B56" s="40" t="str" cm="1">
        <f t="array" ref="B56">INDEX(C56:D56,1,language)</f>
        <v>Unit costs for tests</v>
      </c>
      <c r="C56" t="s">
        <v>189</v>
      </c>
      <c r="D56" t="s">
        <v>64</v>
      </c>
    </row>
    <row r="57" spans="2:4" x14ac:dyDescent="0.3">
      <c r="B57" s="40" t="str" cm="1">
        <f t="array" ref="B57">INDEX(C57:D57,1,language)</f>
        <v>Trade name</v>
      </c>
      <c r="C57" t="s">
        <v>190</v>
      </c>
      <c r="D57" t="s">
        <v>191</v>
      </c>
    </row>
    <row r="58" spans="2:4" x14ac:dyDescent="0.3">
      <c r="B58" s="40" t="str" cm="1">
        <f t="array" ref="B58">INDEX(C58:D58,1,language)</f>
        <v>Package cost</v>
      </c>
      <c r="C58" t="s">
        <v>192</v>
      </c>
      <c r="D58" t="s">
        <v>34</v>
      </c>
    </row>
    <row r="59" spans="2:4" x14ac:dyDescent="0.3">
      <c r="B59" s="40" t="str" cm="1">
        <f t="array" ref="B59">INDEX(C59:D59,1,language)</f>
        <v>Units/package</v>
      </c>
      <c r="C59" t="s">
        <v>193</v>
      </c>
      <c r="D59" t="s">
        <v>35</v>
      </c>
    </row>
    <row r="60" spans="2:4" x14ac:dyDescent="0.3">
      <c r="B60" s="40" t="str" cm="1">
        <f t="array" ref="B60">INDEX(C60:D60,1,language)</f>
        <v>mg/unit</v>
      </c>
      <c r="C60" t="s">
        <v>194</v>
      </c>
      <c r="D60" t="s">
        <v>33</v>
      </c>
    </row>
    <row r="61" spans="2:4" x14ac:dyDescent="0.3">
      <c r="B61" s="40" t="str" cm="1">
        <f t="array" ref="B61">INDEX(C61:D61,1,language)</f>
        <v>cost/mg</v>
      </c>
      <c r="C61" t="s">
        <v>196</v>
      </c>
      <c r="D61" t="s">
        <v>195</v>
      </c>
    </row>
    <row r="62" spans="2:4" x14ac:dyDescent="0.3">
      <c r="B62" s="40" t="str" cm="1">
        <f t="array" ref="B62">INDEX(C62:D62,1,language)</f>
        <v>TOTAL (adjusted to time horizon)</v>
      </c>
      <c r="C62" t="s">
        <v>197</v>
      </c>
      <c r="D62" t="s">
        <v>90</v>
      </c>
    </row>
    <row r="63" spans="2:4" x14ac:dyDescent="0.3">
      <c r="B63" s="40" t="str" cm="1">
        <f t="array" ref="B63">INDEX(C63:D63,1,language)</f>
        <v>Lower bound</v>
      </c>
      <c r="C63" t="s">
        <v>198</v>
      </c>
      <c r="D63" t="s">
        <v>65</v>
      </c>
    </row>
    <row r="64" spans="2:4" x14ac:dyDescent="0.3">
      <c r="B64" s="40" t="str" cm="1">
        <f t="array" ref="B64">INDEX(C64:D64,1,language)</f>
        <v>Upper bound</v>
      </c>
      <c r="C64" t="s">
        <v>199</v>
      </c>
      <c r="D64" t="s">
        <v>39</v>
      </c>
    </row>
    <row r="65" spans="2:4" x14ac:dyDescent="0.3">
      <c r="B65" s="40" t="str" cm="1">
        <f t="array" ref="B65">INDEX(C65:D65,1,language)</f>
        <v>Show probabilities?</v>
      </c>
      <c r="C65" t="s">
        <v>200</v>
      </c>
      <c r="D65" t="s">
        <v>87</v>
      </c>
    </row>
    <row r="66" spans="2:4" x14ac:dyDescent="0.3">
      <c r="B66" s="40" t="str" cm="1">
        <f t="array" ref="B66">INDEX(C66:D66,1,language)</f>
        <v>Yes</v>
      </c>
      <c r="C66" t="s">
        <v>201</v>
      </c>
      <c r="D66" t="s">
        <v>88</v>
      </c>
    </row>
    <row r="67" spans="2:4" x14ac:dyDescent="0.3">
      <c r="B67" s="40" t="str" cm="1">
        <f t="array" ref="B67">INDEX(C67:D67,1,language)</f>
        <v>No</v>
      </c>
      <c r="C67" t="s">
        <v>86</v>
      </c>
      <c r="D67" t="s">
        <v>86</v>
      </c>
    </row>
    <row r="68" spans="2:4" x14ac:dyDescent="0.3">
      <c r="B68" s="40" t="str" cm="1">
        <f t="array" ref="B68">INDEX(C68:D68,1,language)</f>
        <v>Age</v>
      </c>
      <c r="C68" t="s">
        <v>202</v>
      </c>
      <c r="D68" t="s">
        <v>91</v>
      </c>
    </row>
    <row r="69" spans="2:4" x14ac:dyDescent="0.3">
      <c r="B69" s="40" t="str" cm="1">
        <f t="array" ref="B69">INDEX(C69:D69,1,language)</f>
        <v>Survival</v>
      </c>
      <c r="C69" t="s">
        <v>203</v>
      </c>
      <c r="D69" t="s">
        <v>95</v>
      </c>
    </row>
    <row r="70" spans="2:4" x14ac:dyDescent="0.3">
      <c r="B70" s="40" t="str" cm="1">
        <f t="array" ref="B70">INDEX(C70:D70,1,language)</f>
        <v>Mortality probability</v>
      </c>
      <c r="C70" t="s">
        <v>237</v>
      </c>
      <c r="D70" t="s">
        <v>238</v>
      </c>
    </row>
    <row r="71" spans="2:4" x14ac:dyDescent="0.3">
      <c r="B71" s="40" t="str" cm="1">
        <f t="array" ref="B71">INDEX(C71:D71,1,language)</f>
        <v>Natural history</v>
      </c>
      <c r="C71" t="s">
        <v>239</v>
      </c>
      <c r="D71" t="s">
        <v>240</v>
      </c>
    </row>
    <row r="72" spans="2:4" x14ac:dyDescent="0.3">
      <c r="B72" s="40" t="str" cm="1">
        <f t="array" ref="B72">INDEX(C72:D72,1,language)</f>
        <v>MC simulations</v>
      </c>
      <c r="C72" t="s">
        <v>225</v>
      </c>
      <c r="D72" t="s">
        <v>226</v>
      </c>
    </row>
    <row r="73" spans="2:4" x14ac:dyDescent="0.3">
      <c r="B73" s="40" t="str" cm="1">
        <f t="array" ref="B73">INDEX(C73:D73,1,language)</f>
        <v>BI</v>
      </c>
      <c r="C73" t="s">
        <v>228</v>
      </c>
      <c r="D73" t="s">
        <v>229</v>
      </c>
    </row>
    <row r="74" spans="2:4" x14ac:dyDescent="0.3">
      <c r="B74" s="40" t="str" cm="1">
        <f t="array" ref="B74">INDEX(C74:D74,1,language)</f>
        <v>Population</v>
      </c>
      <c r="C74" t="s">
        <v>230</v>
      </c>
      <c r="D74" t="s">
        <v>231</v>
      </c>
    </row>
    <row r="75" spans="2:4" x14ac:dyDescent="0.3">
      <c r="B75" s="40" t="str" cm="1">
        <f t="array" ref="B75">INDEX(C75:D75,1,language)</f>
        <v>Individual</v>
      </c>
      <c r="C75" t="s">
        <v>232</v>
      </c>
      <c r="D75" t="s">
        <v>232</v>
      </c>
    </row>
    <row r="76" spans="2:4" x14ac:dyDescent="0.3">
      <c r="B76" s="40" t="str" cm="1">
        <f t="array" ref="B76">INDEX(C76:D76,1,language)</f>
        <v>Transformed</v>
      </c>
      <c r="C76" t="s">
        <v>235</v>
      </c>
      <c r="D76" t="s">
        <v>236</v>
      </c>
    </row>
    <row r="77" spans="2:4" x14ac:dyDescent="0.3">
      <c r="B77" s="40" t="str" cm="1">
        <f t="array" ref="B77">INDEX(C77:D77,1,language)</f>
        <v>Population size</v>
      </c>
      <c r="C77" t="s">
        <v>267</v>
      </c>
      <c r="D77" t="s">
        <v>268</v>
      </c>
    </row>
    <row r="78" spans="2:4" x14ac:dyDescent="0.3">
      <c r="B78" s="40"/>
      <c r="C78"/>
      <c r="D78"/>
    </row>
    <row r="79" spans="2:4" x14ac:dyDescent="0.3">
      <c r="B79" s="40" t="str" cm="1">
        <f t="array" ref="B79">INDEX(C79:D79,1,language)</f>
        <v>Avg cost</v>
      </c>
      <c r="C79" t="s">
        <v>204</v>
      </c>
      <c r="D79" t="s">
        <v>24</v>
      </c>
    </row>
    <row r="80" spans="2:4" x14ac:dyDescent="0.3">
      <c r="B80" s="40" t="str" cm="1">
        <f t="array" ref="B80">INDEX(C80:D80,1,language)</f>
        <v>Updated € 2014</v>
      </c>
      <c r="C80" t="s">
        <v>217</v>
      </c>
      <c r="D80" t="s">
        <v>218</v>
      </c>
    </row>
    <row r="81" spans="2:4" x14ac:dyDescent="0.3">
      <c r="B81" s="40" t="str" cm="1">
        <f t="array" ref="B81">INDEX(C81:D81,1,language)</f>
        <v>Cases</v>
      </c>
      <c r="C81" t="s">
        <v>205</v>
      </c>
      <c r="D81" t="s">
        <v>206</v>
      </c>
    </row>
    <row r="82" spans="2:4" x14ac:dyDescent="0.3">
      <c r="B82" s="40" t="str" cm="1">
        <f t="array" ref="B82">INDEX(C82:D82,1,language)</f>
        <v>Detected</v>
      </c>
      <c r="C82" t="s">
        <v>211</v>
      </c>
      <c r="D82" t="s">
        <v>210</v>
      </c>
    </row>
    <row r="83" spans="2:4" x14ac:dyDescent="0.3">
      <c r="B83" s="40" t="str" cm="1">
        <f t="array" ref="B83">INDEX(C83:D83,1,language)</f>
        <v>Undetected</v>
      </c>
      <c r="C83" t="s">
        <v>212</v>
      </c>
      <c r="D83" t="s">
        <v>213</v>
      </c>
    </row>
    <row r="84" spans="2:4" x14ac:dyDescent="0.3">
      <c r="B84" s="40" t="str" cm="1">
        <f t="array" ref="B84">INDEX(C84:D84,1,language)</f>
        <v>Sudden death</v>
      </c>
      <c r="C84" t="s">
        <v>209</v>
      </c>
      <c r="D84" t="s">
        <v>214</v>
      </c>
    </row>
    <row r="85" spans="2:4" x14ac:dyDescent="0.3">
      <c r="B85" s="40" t="str" cm="1">
        <f t="array" ref="B85">INDEX(C85:D85,1,language)</f>
        <v>Birth prevalence</v>
      </c>
      <c r="C85" t="s">
        <v>120</v>
      </c>
      <c r="D85" t="s">
        <v>216</v>
      </c>
    </row>
    <row r="86" spans="2:4" x14ac:dyDescent="0.3">
      <c r="B86" s="40" t="str" cm="1">
        <f t="array" ref="B86">INDEX(C86:D86,1,language)</f>
        <v>Grouping</v>
      </c>
      <c r="C86" t="s">
        <v>241</v>
      </c>
      <c r="D86" t="s">
        <v>242</v>
      </c>
    </row>
    <row r="87" spans="2:4" x14ac:dyDescent="0.3">
      <c r="B87" s="40" t="str" cm="1">
        <f t="array" ref="B87">INDEX(C87:D87,1,language)</f>
        <v>Uncertainty</v>
      </c>
      <c r="C87" t="s">
        <v>243</v>
      </c>
      <c r="D87" t="s">
        <v>244</v>
      </c>
    </row>
    <row r="88" spans="2:4" x14ac:dyDescent="0.3">
      <c r="B88" s="40"/>
      <c r="C88"/>
      <c r="D88"/>
    </row>
    <row r="89" spans="2:4" x14ac:dyDescent="0.3">
      <c r="B89" s="40"/>
      <c r="C89"/>
      <c r="D89"/>
    </row>
    <row r="90" spans="2:4" x14ac:dyDescent="0.3">
      <c r="B90" s="40"/>
      <c r="C90"/>
      <c r="D90"/>
    </row>
    <row r="91" spans="2:4" x14ac:dyDescent="0.3">
      <c r="B91" s="40"/>
      <c r="C91"/>
      <c r="D91"/>
    </row>
    <row r="92" spans="2:4" x14ac:dyDescent="0.3">
      <c r="B92" s="40"/>
      <c r="C92"/>
      <c r="D92"/>
    </row>
    <row r="93" spans="2:4" x14ac:dyDescent="0.3">
      <c r="B93" s="40"/>
      <c r="C93"/>
      <c r="D93"/>
    </row>
    <row r="94" spans="2:4" x14ac:dyDescent="0.3">
      <c r="B94" s="40"/>
      <c r="C94"/>
      <c r="D94"/>
    </row>
    <row r="95" spans="2:4" x14ac:dyDescent="0.3">
      <c r="B95" s="40"/>
      <c r="C95"/>
      <c r="D95"/>
    </row>
    <row r="96" spans="2:4" x14ac:dyDescent="0.3">
      <c r="B96" s="40"/>
      <c r="C96"/>
      <c r="D96"/>
    </row>
    <row r="97" spans="2:4" x14ac:dyDescent="0.3">
      <c r="B97" s="40"/>
      <c r="C97"/>
      <c r="D97"/>
    </row>
    <row r="98" spans="2:4" x14ac:dyDescent="0.3">
      <c r="B98" s="40"/>
      <c r="C98"/>
      <c r="D98"/>
    </row>
    <row r="99" spans="2:4" x14ac:dyDescent="0.3">
      <c r="B99" s="40"/>
      <c r="C99"/>
      <c r="D99"/>
    </row>
    <row r="100" spans="2:4" x14ac:dyDescent="0.3">
      <c r="B100" s="40"/>
      <c r="C100"/>
      <c r="D100"/>
    </row>
    <row r="101" spans="2:4" x14ac:dyDescent="0.3">
      <c r="B101" s="40"/>
      <c r="C101"/>
      <c r="D101"/>
    </row>
    <row r="102" spans="2:4" x14ac:dyDescent="0.3">
      <c r="B102" s="40"/>
      <c r="C102"/>
      <c r="D102"/>
    </row>
    <row r="103" spans="2:4" x14ac:dyDescent="0.3">
      <c r="B103" s="40"/>
      <c r="C103"/>
      <c r="D103"/>
    </row>
    <row r="104" spans="2:4" x14ac:dyDescent="0.3">
      <c r="B104" s="40"/>
      <c r="C104"/>
      <c r="D104"/>
    </row>
    <row r="105" spans="2:4" x14ac:dyDescent="0.3">
      <c r="B105" s="40"/>
      <c r="C105"/>
      <c r="D105"/>
    </row>
    <row r="106" spans="2:4" x14ac:dyDescent="0.3">
      <c r="B106" s="40"/>
      <c r="C106"/>
      <c r="D106"/>
    </row>
    <row r="107" spans="2:4" x14ac:dyDescent="0.3">
      <c r="B107" s="40"/>
      <c r="C107"/>
      <c r="D107"/>
    </row>
    <row r="108" spans="2:4" x14ac:dyDescent="0.3">
      <c r="B108" s="40"/>
      <c r="C108"/>
      <c r="D108"/>
    </row>
    <row r="109" spans="2:4" x14ac:dyDescent="0.3">
      <c r="B109" s="40"/>
      <c r="C109"/>
      <c r="D109"/>
    </row>
    <row r="110" spans="2:4" x14ac:dyDescent="0.3">
      <c r="B110" s="40"/>
      <c r="C110"/>
      <c r="D110"/>
    </row>
    <row r="111" spans="2:4" x14ac:dyDescent="0.3">
      <c r="B111" s="40"/>
      <c r="C111"/>
      <c r="D111"/>
    </row>
    <row r="112" spans="2:4" x14ac:dyDescent="0.3">
      <c r="B112" s="40"/>
      <c r="C112"/>
      <c r="D112"/>
    </row>
    <row r="113" spans="2:4" x14ac:dyDescent="0.3">
      <c r="B113" s="40"/>
      <c r="C113"/>
      <c r="D113"/>
    </row>
    <row r="114" spans="2:4" x14ac:dyDescent="0.3">
      <c r="B114" s="40"/>
      <c r="C114"/>
      <c r="D114"/>
    </row>
    <row r="115" spans="2:4" x14ac:dyDescent="0.3">
      <c r="B115" s="40"/>
      <c r="C115"/>
      <c r="D115"/>
    </row>
    <row r="116" spans="2:4" x14ac:dyDescent="0.3">
      <c r="B116" s="40"/>
      <c r="C116"/>
      <c r="D116"/>
    </row>
    <row r="117" spans="2:4" x14ac:dyDescent="0.3">
      <c r="B117" s="40"/>
      <c r="C117"/>
      <c r="D117"/>
    </row>
    <row r="118" spans="2:4" x14ac:dyDescent="0.3">
      <c r="B118" s="40"/>
      <c r="C118"/>
      <c r="D118"/>
    </row>
    <row r="119" spans="2:4" x14ac:dyDescent="0.3">
      <c r="B119" s="40"/>
      <c r="C119"/>
      <c r="D119"/>
    </row>
    <row r="120" spans="2:4" x14ac:dyDescent="0.3">
      <c r="B120" s="40"/>
      <c r="C120"/>
      <c r="D120"/>
    </row>
    <row r="121" spans="2:4" x14ac:dyDescent="0.3">
      <c r="B121" s="40"/>
      <c r="C121"/>
      <c r="D121"/>
    </row>
    <row r="122" spans="2:4" x14ac:dyDescent="0.3">
      <c r="B122" s="40"/>
      <c r="C122"/>
      <c r="D122"/>
    </row>
    <row r="123" spans="2:4" x14ac:dyDescent="0.3">
      <c r="B123" s="40"/>
      <c r="C123"/>
      <c r="D123"/>
    </row>
    <row r="124" spans="2:4" x14ac:dyDescent="0.3">
      <c r="B124" s="40"/>
      <c r="C124"/>
      <c r="D124"/>
    </row>
    <row r="125" spans="2:4" x14ac:dyDescent="0.3">
      <c r="B125" s="40"/>
      <c r="C125"/>
      <c r="D125"/>
    </row>
    <row r="126" spans="2:4" x14ac:dyDescent="0.3">
      <c r="B126" s="40"/>
      <c r="C126"/>
      <c r="D126"/>
    </row>
    <row r="127" spans="2:4" x14ac:dyDescent="0.3">
      <c r="B127" s="40"/>
      <c r="C127"/>
      <c r="D127"/>
    </row>
    <row r="128" spans="2:4" x14ac:dyDescent="0.3">
      <c r="B128" s="40"/>
      <c r="C128"/>
      <c r="D128"/>
    </row>
    <row r="129" spans="2:4" x14ac:dyDescent="0.3">
      <c r="B129" s="40"/>
      <c r="C129"/>
      <c r="D129"/>
    </row>
    <row r="130" spans="2:4" x14ac:dyDescent="0.3">
      <c r="B130" s="40"/>
      <c r="C130"/>
      <c r="D130"/>
    </row>
    <row r="131" spans="2:4" x14ac:dyDescent="0.3">
      <c r="B131" s="40"/>
      <c r="C131"/>
      <c r="D131"/>
    </row>
    <row r="132" spans="2:4" x14ac:dyDescent="0.3">
      <c r="B132" s="40"/>
      <c r="C132"/>
      <c r="D132"/>
    </row>
    <row r="133" spans="2:4" x14ac:dyDescent="0.3">
      <c r="B133" s="40"/>
      <c r="C133"/>
      <c r="D133"/>
    </row>
    <row r="134" spans="2:4" x14ac:dyDescent="0.3">
      <c r="B134" s="40"/>
      <c r="C134"/>
      <c r="D134"/>
    </row>
    <row r="135" spans="2:4" x14ac:dyDescent="0.3">
      <c r="B135" s="40"/>
      <c r="C135"/>
      <c r="D135"/>
    </row>
    <row r="136" spans="2:4" x14ac:dyDescent="0.3">
      <c r="B136" s="40"/>
      <c r="C136"/>
      <c r="D136"/>
    </row>
    <row r="137" spans="2:4" x14ac:dyDescent="0.3">
      <c r="B137" s="40"/>
      <c r="C137"/>
      <c r="D137"/>
    </row>
    <row r="138" spans="2:4" x14ac:dyDescent="0.3">
      <c r="B138" s="40"/>
      <c r="C138"/>
      <c r="D138"/>
    </row>
    <row r="139" spans="2:4" x14ac:dyDescent="0.3">
      <c r="B139" s="40"/>
      <c r="C139"/>
      <c r="D139"/>
    </row>
    <row r="140" spans="2:4" x14ac:dyDescent="0.3">
      <c r="B140" s="40"/>
      <c r="C140"/>
      <c r="D140"/>
    </row>
    <row r="141" spans="2:4" x14ac:dyDescent="0.3">
      <c r="B141" s="40"/>
      <c r="C141"/>
      <c r="D141"/>
    </row>
    <row r="142" spans="2:4" x14ac:dyDescent="0.3">
      <c r="B142" s="40"/>
      <c r="C142"/>
      <c r="D142"/>
    </row>
    <row r="143" spans="2:4" x14ac:dyDescent="0.3">
      <c r="B143" s="40"/>
      <c r="C143"/>
      <c r="D143"/>
    </row>
    <row r="144" spans="2:4" x14ac:dyDescent="0.3">
      <c r="B144" s="40"/>
      <c r="C144"/>
      <c r="D144"/>
    </row>
    <row r="145" spans="2:4" x14ac:dyDescent="0.3">
      <c r="B145" s="40"/>
      <c r="C145"/>
      <c r="D145"/>
    </row>
    <row r="146" spans="2:4" x14ac:dyDescent="0.3">
      <c r="B146" s="40"/>
      <c r="C146"/>
      <c r="D146"/>
    </row>
    <row r="147" spans="2:4" x14ac:dyDescent="0.3">
      <c r="B147" s="40"/>
      <c r="C147"/>
      <c r="D147"/>
    </row>
    <row r="148" spans="2:4" x14ac:dyDescent="0.3">
      <c r="B148" s="40"/>
      <c r="C148"/>
      <c r="D148"/>
    </row>
    <row r="149" spans="2:4" x14ac:dyDescent="0.3">
      <c r="B149" s="40"/>
      <c r="C149"/>
      <c r="D149"/>
    </row>
    <row r="150" spans="2:4" x14ac:dyDescent="0.3">
      <c r="B150" s="40"/>
      <c r="C150"/>
      <c r="D150"/>
    </row>
    <row r="151" spans="2:4" x14ac:dyDescent="0.3">
      <c r="B151" s="40"/>
      <c r="C151"/>
      <c r="D151"/>
    </row>
    <row r="152" spans="2:4" x14ac:dyDescent="0.3">
      <c r="B152" s="40"/>
      <c r="C152"/>
      <c r="D152"/>
    </row>
    <row r="153" spans="2:4" x14ac:dyDescent="0.3">
      <c r="B153" s="40"/>
      <c r="C153"/>
      <c r="D153"/>
    </row>
    <row r="154" spans="2:4" x14ac:dyDescent="0.3">
      <c r="B154" s="40"/>
      <c r="C154"/>
      <c r="D154"/>
    </row>
    <row r="155" spans="2:4" x14ac:dyDescent="0.3">
      <c r="B155" s="40"/>
      <c r="C155"/>
      <c r="D155"/>
    </row>
    <row r="156" spans="2:4" x14ac:dyDescent="0.3">
      <c r="B156" s="40"/>
      <c r="C156"/>
      <c r="D156"/>
    </row>
    <row r="157" spans="2:4" x14ac:dyDescent="0.3">
      <c r="B157" s="40"/>
      <c r="C157"/>
      <c r="D157"/>
    </row>
    <row r="158" spans="2:4" x14ac:dyDescent="0.3">
      <c r="B158" s="40"/>
      <c r="C158"/>
      <c r="D158"/>
    </row>
    <row r="159" spans="2:4" x14ac:dyDescent="0.3">
      <c r="B159" s="40"/>
      <c r="C159"/>
      <c r="D159"/>
    </row>
    <row r="160" spans="2:4" x14ac:dyDescent="0.3">
      <c r="B160" s="40"/>
      <c r="C160"/>
      <c r="D160"/>
    </row>
    <row r="161" spans="2:4" x14ac:dyDescent="0.3">
      <c r="B161" s="40"/>
      <c r="C161"/>
      <c r="D161"/>
    </row>
    <row r="162" spans="2:4" x14ac:dyDescent="0.3">
      <c r="B162" s="40"/>
      <c r="C162"/>
      <c r="D162"/>
    </row>
    <row r="163" spans="2:4" x14ac:dyDescent="0.3">
      <c r="B163" s="40"/>
      <c r="C163"/>
      <c r="D163"/>
    </row>
    <row r="164" spans="2:4" x14ac:dyDescent="0.3">
      <c r="B164" s="40"/>
      <c r="C164"/>
      <c r="D164"/>
    </row>
    <row r="165" spans="2:4" x14ac:dyDescent="0.3">
      <c r="B165" s="40"/>
      <c r="C165"/>
      <c r="D165"/>
    </row>
    <row r="166" spans="2:4" x14ac:dyDescent="0.3">
      <c r="B166" s="40"/>
      <c r="C166"/>
      <c r="D166"/>
    </row>
    <row r="167" spans="2:4" x14ac:dyDescent="0.3">
      <c r="B167" s="40"/>
      <c r="C167"/>
      <c r="D167"/>
    </row>
    <row r="168" spans="2:4" x14ac:dyDescent="0.3">
      <c r="B168" s="40"/>
      <c r="C168"/>
      <c r="D168"/>
    </row>
    <row r="169" spans="2:4" x14ac:dyDescent="0.3">
      <c r="B169" s="40"/>
      <c r="C169"/>
      <c r="D169"/>
    </row>
    <row r="170" spans="2:4" x14ac:dyDescent="0.3">
      <c r="B170" s="40"/>
      <c r="C170"/>
      <c r="D170"/>
    </row>
    <row r="171" spans="2:4" x14ac:dyDescent="0.3">
      <c r="B171" s="40"/>
      <c r="C171"/>
      <c r="D171"/>
    </row>
    <row r="172" spans="2:4" x14ac:dyDescent="0.3">
      <c r="B172" s="40"/>
      <c r="C172"/>
      <c r="D172"/>
    </row>
    <row r="173" spans="2:4" x14ac:dyDescent="0.3">
      <c r="B173" s="40"/>
      <c r="C173"/>
      <c r="D173"/>
    </row>
    <row r="174" spans="2:4" x14ac:dyDescent="0.3">
      <c r="B174" s="40"/>
      <c r="C174"/>
      <c r="D174"/>
    </row>
    <row r="175" spans="2:4" x14ac:dyDescent="0.3">
      <c r="B175" s="40"/>
      <c r="C175"/>
      <c r="D175"/>
    </row>
    <row r="176" spans="2:4" x14ac:dyDescent="0.3">
      <c r="B176" s="40"/>
      <c r="C176"/>
      <c r="D176"/>
    </row>
    <row r="177" spans="2:4" x14ac:dyDescent="0.3">
      <c r="B177" s="40"/>
      <c r="C177"/>
      <c r="D177"/>
    </row>
    <row r="178" spans="2:4" x14ac:dyDescent="0.3">
      <c r="B178" s="40"/>
      <c r="C178"/>
      <c r="D178"/>
    </row>
    <row r="179" spans="2:4" x14ac:dyDescent="0.3">
      <c r="B179" s="40"/>
      <c r="C179"/>
      <c r="D179"/>
    </row>
    <row r="180" spans="2:4" x14ac:dyDescent="0.3">
      <c r="B180" s="40"/>
      <c r="C180"/>
      <c r="D180"/>
    </row>
    <row r="181" spans="2:4" x14ac:dyDescent="0.3">
      <c r="B181" s="40"/>
      <c r="C181"/>
      <c r="D181"/>
    </row>
    <row r="182" spans="2:4" x14ac:dyDescent="0.3">
      <c r="B182" s="40"/>
      <c r="C182"/>
      <c r="D182"/>
    </row>
    <row r="183" spans="2:4" x14ac:dyDescent="0.3">
      <c r="B183" s="40"/>
      <c r="C183"/>
      <c r="D183"/>
    </row>
    <row r="184" spans="2:4" x14ac:dyDescent="0.3">
      <c r="B184" s="40"/>
      <c r="C184"/>
      <c r="D184"/>
    </row>
    <row r="185" spans="2:4" x14ac:dyDescent="0.3">
      <c r="B185" s="40"/>
      <c r="C185"/>
      <c r="D185"/>
    </row>
    <row r="186" spans="2:4" x14ac:dyDescent="0.3">
      <c r="B186" s="40"/>
      <c r="C186"/>
      <c r="D186"/>
    </row>
    <row r="187" spans="2:4" x14ac:dyDescent="0.3">
      <c r="B187" s="40"/>
      <c r="C187"/>
      <c r="D187"/>
    </row>
    <row r="188" spans="2:4" x14ac:dyDescent="0.3">
      <c r="B188" s="40"/>
      <c r="C188"/>
      <c r="D188"/>
    </row>
    <row r="189" spans="2:4" x14ac:dyDescent="0.3">
      <c r="B189" s="40"/>
      <c r="C189"/>
      <c r="D189"/>
    </row>
    <row r="190" spans="2:4" x14ac:dyDescent="0.3">
      <c r="B190" s="40"/>
      <c r="C190"/>
      <c r="D190"/>
    </row>
    <row r="191" spans="2:4" x14ac:dyDescent="0.3">
      <c r="B191" s="40"/>
      <c r="C191"/>
      <c r="D191"/>
    </row>
    <row r="192" spans="2:4" x14ac:dyDescent="0.3">
      <c r="B192" s="40"/>
      <c r="C192"/>
      <c r="D192"/>
    </row>
    <row r="193" spans="2:4" x14ac:dyDescent="0.3">
      <c r="B193" s="40"/>
      <c r="C193"/>
      <c r="D193"/>
    </row>
    <row r="194" spans="2:4" x14ac:dyDescent="0.3">
      <c r="B194" s="40"/>
      <c r="C194"/>
      <c r="D194"/>
    </row>
    <row r="195" spans="2:4" x14ac:dyDescent="0.3">
      <c r="B195" s="40"/>
      <c r="C195"/>
      <c r="D195"/>
    </row>
    <row r="196" spans="2:4" x14ac:dyDescent="0.3">
      <c r="B196" s="40"/>
      <c r="C196"/>
      <c r="D196"/>
    </row>
    <row r="197" spans="2:4" x14ac:dyDescent="0.3">
      <c r="B197" s="40"/>
      <c r="C197"/>
      <c r="D197"/>
    </row>
    <row r="198" spans="2:4" x14ac:dyDescent="0.3">
      <c r="B198" s="40"/>
      <c r="C198"/>
      <c r="D198"/>
    </row>
    <row r="199" spans="2:4" x14ac:dyDescent="0.3">
      <c r="B199" s="40"/>
      <c r="C199"/>
      <c r="D199"/>
    </row>
    <row r="200" spans="2:4" x14ac:dyDescent="0.3">
      <c r="B200" s="40"/>
      <c r="C200"/>
      <c r="D200"/>
    </row>
    <row r="201" spans="2:4" x14ac:dyDescent="0.3">
      <c r="B201" s="40"/>
      <c r="C201"/>
      <c r="D201"/>
    </row>
    <row r="202" spans="2:4" x14ac:dyDescent="0.3">
      <c r="B202" s="40"/>
      <c r="C202"/>
      <c r="D202"/>
    </row>
    <row r="203" spans="2:4" x14ac:dyDescent="0.3">
      <c r="B203" s="40"/>
      <c r="C203"/>
      <c r="D203"/>
    </row>
    <row r="204" spans="2:4" x14ac:dyDescent="0.3">
      <c r="B204" s="40"/>
      <c r="C204"/>
      <c r="D204"/>
    </row>
    <row r="205" spans="2:4" x14ac:dyDescent="0.3">
      <c r="B205" s="40"/>
      <c r="C205"/>
      <c r="D205"/>
    </row>
    <row r="206" spans="2:4" x14ac:dyDescent="0.3">
      <c r="B206" s="40"/>
      <c r="C206"/>
      <c r="D206"/>
    </row>
    <row r="207" spans="2:4" x14ac:dyDescent="0.3">
      <c r="B207" s="40"/>
      <c r="C207"/>
      <c r="D207"/>
    </row>
    <row r="208" spans="2:4" x14ac:dyDescent="0.3">
      <c r="B208" s="40"/>
      <c r="C208"/>
      <c r="D208"/>
    </row>
    <row r="209" spans="2:4" x14ac:dyDescent="0.3">
      <c r="B209" s="40"/>
      <c r="C209"/>
      <c r="D209"/>
    </row>
    <row r="210" spans="2:4" x14ac:dyDescent="0.3">
      <c r="B210" s="40"/>
      <c r="C210"/>
      <c r="D210"/>
    </row>
    <row r="211" spans="2:4" x14ac:dyDescent="0.3">
      <c r="B211" s="40"/>
      <c r="C211"/>
      <c r="D2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55</vt:i4>
      </vt:variant>
    </vt:vector>
  </HeadingPairs>
  <TitlesOfParts>
    <vt:vector size="74" baseType="lpstr">
      <vt:lpstr>Control</vt:lpstr>
      <vt:lpstr>Style templates</vt:lpstr>
      <vt:lpstr>Parameters</vt:lpstr>
      <vt:lpstr>Parameter details</vt:lpstr>
      <vt:lpstr>Model</vt:lpstr>
      <vt:lpstr>Process</vt:lpstr>
      <vt:lpstr>Results</vt:lpstr>
      <vt:lpstr>Cost-effectiveness</vt:lpstr>
      <vt:lpstr>Acceptability curves</vt:lpstr>
      <vt:lpstr>EVPI</vt:lpstr>
      <vt:lpstr>Impact of uncertainty</vt:lpstr>
      <vt:lpstr>One-way sensitivity</vt:lpstr>
      <vt:lpstr>Two-way sensitivity</vt:lpstr>
      <vt:lpstr>Budget impact</vt:lpstr>
      <vt:lpstr>Weights Spain</vt:lpstr>
      <vt:lpstr>Heights Spain</vt:lpstr>
      <vt:lpstr>Mortality Spain</vt:lpstr>
      <vt:lpstr>CPI Update</vt:lpstr>
      <vt:lpstr>Localization</vt:lpstr>
      <vt:lpstr>alfaElipse</vt:lpstr>
      <vt:lpstr>colDist1</vt:lpstr>
      <vt:lpstr>colDistN</vt:lpstr>
      <vt:lpstr>corrElipse</vt:lpstr>
      <vt:lpstr>corrElipse2</vt:lpstr>
      <vt:lpstr>costsBI</vt:lpstr>
      <vt:lpstr>CPI</vt:lpstr>
      <vt:lpstr>discountCosts</vt:lpstr>
      <vt:lpstr>discountLE</vt:lpstr>
      <vt:lpstr>discountQALE</vt:lpstr>
      <vt:lpstr>Heigths</vt:lpstr>
      <vt:lpstr>incEVPI</vt:lpstr>
      <vt:lpstr>innerLoopEVPPI</vt:lpstr>
      <vt:lpstr>intervention1</vt:lpstr>
      <vt:lpstr>intervention2</vt:lpstr>
      <vt:lpstr>isProbabilistic</vt:lpstr>
      <vt:lpstr>language</vt:lpstr>
      <vt:lpstr>maxUmbral</vt:lpstr>
      <vt:lpstr>newbornsBI</vt:lpstr>
      <vt:lpstr>nSim</vt:lpstr>
      <vt:lpstr>outerLoopEVPPI</vt:lpstr>
      <vt:lpstr>parameterRow</vt:lpstr>
      <vt:lpstr>payoffTitles</vt:lpstr>
      <vt:lpstr>popEVPI</vt:lpstr>
      <vt:lpstr>ref_EVPI</vt:lpstr>
      <vt:lpstr>ref_NB_EVPI</vt:lpstr>
      <vt:lpstr>ref_oneway</vt:lpstr>
      <vt:lpstr>ref_tablaCurva</vt:lpstr>
      <vt:lpstr>ref_tablaElipse</vt:lpstr>
      <vt:lpstr>ref_umbral</vt:lpstr>
      <vt:lpstr>results</vt:lpstr>
      <vt:lpstr>roundCost</vt:lpstr>
      <vt:lpstr>roundLE</vt:lpstr>
      <vt:lpstr>roundQALE</vt:lpstr>
      <vt:lpstr>stCost</vt:lpstr>
      <vt:lpstr>stCostTitle</vt:lpstr>
      <vt:lpstr>stEffect1</vt:lpstr>
      <vt:lpstr>stEffect1Title</vt:lpstr>
      <vt:lpstr>stEffect2</vt:lpstr>
      <vt:lpstr>stEffect2Title</vt:lpstr>
      <vt:lpstr>stProbability</vt:lpstr>
      <vt:lpstr>stProbTile</vt:lpstr>
      <vt:lpstr>stTreeBranch</vt:lpstr>
      <vt:lpstr>stTreeCorner</vt:lpstr>
      <vt:lpstr>stTreeNode</vt:lpstr>
      <vt:lpstr>studyYear</vt:lpstr>
      <vt:lpstr>summaryRow</vt:lpstr>
      <vt:lpstr>summaryTitles</vt:lpstr>
      <vt:lpstr>thresholdGap</vt:lpstr>
      <vt:lpstr>timeHorizon</vt:lpstr>
      <vt:lpstr>unitCost</vt:lpstr>
      <vt:lpstr>unitLE</vt:lpstr>
      <vt:lpstr>unitQALE</vt:lpstr>
      <vt:lpstr>Weights</vt:lpstr>
      <vt:lpstr>yearsBI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Iván Castilla Rodríguez</cp:lastModifiedBy>
  <cp:lastPrinted>2014-06-09T13:43:40Z</cp:lastPrinted>
  <dcterms:created xsi:type="dcterms:W3CDTF">2012-12-04T15:58:16Z</dcterms:created>
  <dcterms:modified xsi:type="dcterms:W3CDTF">2026-01-09T13:24:29Z</dcterms:modified>
</cp:coreProperties>
</file>