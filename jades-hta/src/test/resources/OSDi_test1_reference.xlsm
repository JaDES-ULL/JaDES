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casrod\git\JaDES\jades-hta\src\test\resources\"/>
    </mc:Choice>
  </mc:AlternateContent>
  <xr:revisionPtr revIDLastSave="0" documentId="13_ncr:1_{2F6399C5-6308-438A-9D36-B6F655A44CD3}" xr6:coauthVersionLast="47" xr6:coauthVersionMax="47" xr10:uidLastSave="{00000000-0000-0000-0000-000000000000}"/>
  <bookViews>
    <workbookView xWindow="-108" yWindow="-108" windowWidth="23256" windowHeight="12456" tabRatio="860" activeTab="6" xr2:uid="{00000000-000D-0000-FFFF-FFFF00000000}"/>
  </bookViews>
  <sheets>
    <sheet name="Control" sheetId="5" r:id="rId1"/>
    <sheet name="Parameters" sheetId="34" r:id="rId2"/>
    <sheet name="Model" sheetId="35" r:id="rId3"/>
    <sheet name="Process" sheetId="93" r:id="rId4"/>
    <sheet name="Results" sheetId="6" r:id="rId5"/>
    <sheet name="CPI Update" sheetId="98" r:id="rId6"/>
    <sheet name="Localization" sheetId="96" r:id="rId7"/>
  </sheets>
  <externalReferences>
    <externalReference r:id="rId8"/>
  </externalReferences>
  <definedNames>
    <definedName name="_xleta.YEAR" hidden="1" xlm="1">#NAME?</definedName>
    <definedName name="C_PBD_InterventionNoScreening">Model!$D$4</definedName>
    <definedName name="C_PBD_InterventionScreening">Model!$D$3</definedName>
    <definedName name="colDist1">Control!$D$16</definedName>
    <definedName name="colDistN">Control!$E$16</definedName>
    <definedName name="CPI">'CPI Update'!$B$3:$C$26</definedName>
    <definedName name="discountCosts">Control!$D$22</definedName>
    <definedName name="discountLE">Control!$E$22</definedName>
    <definedName name="discountQALE">Control!$F$22</definedName>
    <definedName name="intervention1">Control!$D$8</definedName>
    <definedName name="intervention2">Control!$D$9</definedName>
    <definedName name="isProbabilistic">Control!$K$5</definedName>
    <definedName name="language">Control!$E$5</definedName>
    <definedName name="LE_PBD_InterventionNoScreening">Model!$E$4</definedName>
    <definedName name="LE_PBD_InterventionScreening">Model!$E$3</definedName>
    <definedName name="nSim">Control!$D$12</definedName>
    <definedName name="parameterRow">'[1]Style templates'!$G$11:$U$11</definedName>
    <definedName name="payoffTitles">'[1]Style templates'!$G$4:$P$5</definedName>
    <definedName name="QALE_PBD_InterventionNoScreening">Model!$F$4</definedName>
    <definedName name="QALE_PBD_InterventionScreening">Model!$F$3</definedName>
    <definedName name="results">Process!$B$11:$AZ$11</definedName>
    <definedName name="roundCost">Control!$D$21</definedName>
    <definedName name="roundLE">Control!$E$21</definedName>
    <definedName name="roundQALE">Control!$F$21</definedName>
    <definedName name="stCost">'[1]Style templates'!$C$12</definedName>
    <definedName name="stCostTitle">'[1]Style templates'!$H$5</definedName>
    <definedName name="stEffect1">'[1]Style templates'!$C$14</definedName>
    <definedName name="stEffect1Title">'[1]Style templates'!$I$5</definedName>
    <definedName name="stEffect2">'[1]Style templates'!$C$16</definedName>
    <definedName name="stEffect2Title">'[1]Style templates'!$J$5</definedName>
    <definedName name="stProbability">'[1]Style templates'!$C$10</definedName>
    <definedName name="stProbTile">'[1]Style templates'!$G$5</definedName>
    <definedName name="stTreeBranch">'[1]Style templates'!$C$6</definedName>
    <definedName name="stTreeCorner">'[1]Style templates'!$C$8</definedName>
    <definedName name="stTreeNode">'[1]Style templates'!$C$4</definedName>
    <definedName name="studyYear">Control!$G$12</definedName>
    <definedName name="summaryRow">'[1]Style templates'!$G$9:$K$9</definedName>
    <definedName name="summaryTitles">'[1]Style templates'!$G$7:$K$7</definedName>
    <definedName name="TEST1_BaseAnnualTreatmentCost">Parameters!$F$7</definedName>
    <definedName name="TEST1_InterventionEffectiveCost">Parameters!$F$8</definedName>
    <definedName name="TEST1_InterventionEffectiveEffect">Parameters!$F$9</definedName>
    <definedName name="TEST1_LifeExpectancy">Parameters!$F$10</definedName>
    <definedName name="TEST1_LifetimeReduction">Parameters!$F$11</definedName>
    <definedName name="TEST1_PopulationAge">Parameters!$F$12</definedName>
    <definedName name="TEST1_PopulationBaseUtility">Parameters!$F$13</definedName>
    <definedName name="TEST1_PopulationSex">Parameters!$F$14</definedName>
    <definedName name="TEST1_SevereAnnualTreatmentCost">Parameters!$F$17</definedName>
    <definedName name="TEST1_SevereDevelopmentDisutility">Parameters!$F$15</definedName>
    <definedName name="TEST1_SevereDevelopmentIncidence">Parameters!$F$16</definedName>
    <definedName name="timeHorizon">Control!$G$9</definedName>
    <definedName name="unitCost">Control!$D$20</definedName>
    <definedName name="unitLE">Control!$E$20</definedName>
    <definedName name="unitQALE">Control!$F$20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9" i="96" l="1" a="1"/>
  <c r="B88" i="96" a="1"/>
  <c r="F8" i="34"/>
  <c r="F7" i="34"/>
  <c r="F17" i="34"/>
  <c r="N2" i="93"/>
  <c r="N3" i="93"/>
  <c r="N4" i="93"/>
  <c r="N5" i="93"/>
  <c r="N6" i="93"/>
  <c r="N7" i="93"/>
  <c r="N8" i="93"/>
  <c r="N9" i="93"/>
  <c r="N11" i="93"/>
  <c r="F11" i="34" l="1"/>
  <c r="F16" i="34"/>
  <c r="G14" i="35" s="1"/>
  <c r="F15" i="34"/>
  <c r="F14" i="34"/>
  <c r="F13" i="34"/>
  <c r="F12" i="34"/>
  <c r="F10" i="34"/>
  <c r="S9" i="35" s="1"/>
  <c r="Q9" i="35" s="1"/>
  <c r="F9" i="34"/>
  <c r="G7" i="35" s="1"/>
  <c r="J6" i="35" s="1"/>
  <c r="O9" i="35" l="1"/>
  <c r="G17" i="35"/>
  <c r="J13" i="35"/>
  <c r="S16" i="35"/>
  <c r="S6" i="35"/>
  <c r="S13" i="35"/>
  <c r="G10" i="35"/>
  <c r="J9" i="35" s="1"/>
  <c r="B87" i="96" a="1"/>
  <c r="D6" i="34" s="1"/>
  <c r="B86" i="96" a="1"/>
  <c r="C6" i="34" s="1"/>
  <c r="B85" i="96" a="1"/>
  <c r="B84" i="96" a="1"/>
  <c r="B83" i="96" a="1"/>
  <c r="B82" i="96" a="1"/>
  <c r="B81" i="96" a="1"/>
  <c r="B80" i="96" a="1"/>
  <c r="B79" i="96" a="1"/>
  <c r="B77" i="96" a="1"/>
  <c r="B76" i="96" a="1"/>
  <c r="B75" i="96" a="1"/>
  <c r="B74" i="96" a="1"/>
  <c r="B73" i="96" a="1"/>
  <c r="B72" i="96" a="1"/>
  <c r="B71" i="96" a="1"/>
  <c r="B70" i="96" a="1"/>
  <c r="B69" i="96" a="1"/>
  <c r="B68" i="96" a="1"/>
  <c r="B67" i="96" a="1"/>
  <c r="B66" i="96" a="1"/>
  <c r="B65" i="96" a="1"/>
  <c r="B64" i="96" a="1"/>
  <c r="B63" i="96" a="1"/>
  <c r="B62" i="96" a="1"/>
  <c r="B61" i="96" a="1"/>
  <c r="B60" i="96" a="1"/>
  <c r="B59" i="96" a="1"/>
  <c r="B58" i="96" a="1"/>
  <c r="B57" i="96" a="1"/>
  <c r="B56" i="96" a="1"/>
  <c r="B55" i="96" a="1"/>
  <c r="B54" i="96" a="1"/>
  <c r="B53" i="96" a="1"/>
  <c r="B52" i="96" a="1"/>
  <c r="B51" i="96" a="1"/>
  <c r="B50" i="96" a="1"/>
  <c r="B49" i="96" a="1"/>
  <c r="C22" i="5" s="1"/>
  <c r="B48" i="96" a="1"/>
  <c r="B47" i="96" a="1"/>
  <c r="B46" i="96" a="1"/>
  <c r="B45" i="96" a="1"/>
  <c r="B44" i="96" a="1"/>
  <c r="B43" i="96" a="1"/>
  <c r="B42" i="96" a="1"/>
  <c r="B41" i="96" a="1"/>
  <c r="B40" i="96" a="1"/>
  <c r="B39" i="96" a="1"/>
  <c r="B38" i="96" a="1"/>
  <c r="B37" i="96" a="1"/>
  <c r="B36" i="96" a="1"/>
  <c r="B35" i="96" a="1"/>
  <c r="J6" i="34" s="1"/>
  <c r="B34" i="96" a="1"/>
  <c r="B6" i="34" s="1"/>
  <c r="D33" i="96"/>
  <c r="B33" i="96" s="1" a="1"/>
  <c r="F6" i="34" s="1"/>
  <c r="B32" i="96" a="1"/>
  <c r="I6" i="34" s="1"/>
  <c r="B31" i="96" a="1"/>
  <c r="H6" i="34" s="1"/>
  <c r="B30" i="96" a="1"/>
  <c r="G6" i="34" s="1"/>
  <c r="B29" i="96" a="1"/>
  <c r="B28" i="96" a="1"/>
  <c r="B27" i="96" a="1"/>
  <c r="B26" i="96" a="1"/>
  <c r="B25" i="96" a="1"/>
  <c r="B24" i="96" a="1"/>
  <c r="B23" i="96" a="1"/>
  <c r="B22" i="96" a="1"/>
  <c r="B21" i="96" a="1"/>
  <c r="B20" i="96" a="1"/>
  <c r="C13" i="6" s="1"/>
  <c r="B19" i="96" a="1"/>
  <c r="C2" i="6" s="1"/>
  <c r="B18" i="96" a="1"/>
  <c r="B17" i="96" a="1"/>
  <c r="B16" i="96" a="1"/>
  <c r="B15" i="96" a="1"/>
  <c r="B14" i="96" a="1"/>
  <c r="B13" i="96" a="1"/>
  <c r="B12" i="96" a="1"/>
  <c r="B11" i="96" a="1"/>
  <c r="B10" i="96" a="1"/>
  <c r="B9" i="96" a="1"/>
  <c r="B8" i="96" a="1"/>
  <c r="B7" i="96" a="1"/>
  <c r="B6" i="96" a="1"/>
  <c r="B5" i="96" a="1"/>
  <c r="B4" i="96" a="1"/>
  <c r="D3" i="96"/>
  <c r="C3" i="96"/>
  <c r="B3" i="96"/>
  <c r="H6" i="98"/>
  <c r="H4" i="98"/>
  <c r="G7" i="98" s="1"/>
  <c r="E15" i="6"/>
  <c r="D15" i="6"/>
  <c r="E4" i="6"/>
  <c r="D4" i="6"/>
  <c r="X9" i="93"/>
  <c r="W9" i="93"/>
  <c r="V9" i="93"/>
  <c r="U9" i="93"/>
  <c r="T9" i="93"/>
  <c r="S9" i="93"/>
  <c r="R9" i="93"/>
  <c r="Q9" i="93"/>
  <c r="P9" i="93"/>
  <c r="O9" i="93"/>
  <c r="M9" i="93"/>
  <c r="X8" i="93"/>
  <c r="W8" i="93"/>
  <c r="V8" i="93"/>
  <c r="U8" i="93"/>
  <c r="T8" i="93"/>
  <c r="S8" i="93"/>
  <c r="R8" i="93"/>
  <c r="Q8" i="93"/>
  <c r="P8" i="93"/>
  <c r="O8" i="93"/>
  <c r="M8" i="93"/>
  <c r="X7" i="93"/>
  <c r="W7" i="93"/>
  <c r="V7" i="93"/>
  <c r="U7" i="93"/>
  <c r="T7" i="93"/>
  <c r="S7" i="93"/>
  <c r="R7" i="93"/>
  <c r="Q7" i="93"/>
  <c r="P7" i="93"/>
  <c r="O7" i="93"/>
  <c r="M7" i="93"/>
  <c r="X6" i="93"/>
  <c r="W6" i="93"/>
  <c r="V6" i="93"/>
  <c r="U6" i="93"/>
  <c r="T6" i="93"/>
  <c r="S6" i="93"/>
  <c r="R6" i="93"/>
  <c r="Q6" i="93"/>
  <c r="P6" i="93"/>
  <c r="O6" i="93"/>
  <c r="M6" i="93"/>
  <c r="L6" i="93"/>
  <c r="K6" i="93"/>
  <c r="J6" i="93"/>
  <c r="I6" i="93"/>
  <c r="H6" i="93"/>
  <c r="G6" i="93"/>
  <c r="F6" i="93"/>
  <c r="E6" i="93"/>
  <c r="D6" i="93"/>
  <c r="C6" i="93"/>
  <c r="B6" i="93"/>
  <c r="X5" i="93"/>
  <c r="W5" i="93"/>
  <c r="V5" i="93"/>
  <c r="U5" i="93"/>
  <c r="T5" i="93"/>
  <c r="S5" i="93"/>
  <c r="R5" i="93"/>
  <c r="Q5" i="93"/>
  <c r="P5" i="93"/>
  <c r="O5" i="93"/>
  <c r="M5" i="93"/>
  <c r="L5" i="93"/>
  <c r="K5" i="93"/>
  <c r="J5" i="93"/>
  <c r="I5" i="93"/>
  <c r="H5" i="93"/>
  <c r="G5" i="93"/>
  <c r="F5" i="93"/>
  <c r="E5" i="93"/>
  <c r="D5" i="93"/>
  <c r="C5" i="93"/>
  <c r="B5" i="93"/>
  <c r="X4" i="93"/>
  <c r="W4" i="93"/>
  <c r="V4" i="93"/>
  <c r="U4" i="93"/>
  <c r="T4" i="93"/>
  <c r="S4" i="93"/>
  <c r="R4" i="93"/>
  <c r="Q4" i="93"/>
  <c r="P4" i="93"/>
  <c r="O4" i="93"/>
  <c r="M4" i="93"/>
  <c r="L4" i="93"/>
  <c r="K4" i="93"/>
  <c r="J4" i="93"/>
  <c r="I4" i="93"/>
  <c r="H4" i="93"/>
  <c r="G4" i="93"/>
  <c r="F4" i="93"/>
  <c r="E4" i="93"/>
  <c r="D4" i="93"/>
  <c r="C4" i="93"/>
  <c r="B4" i="93"/>
  <c r="X3" i="93"/>
  <c r="W3" i="93"/>
  <c r="V3" i="93"/>
  <c r="U3" i="93"/>
  <c r="T3" i="93"/>
  <c r="S3" i="93"/>
  <c r="R3" i="93"/>
  <c r="Q3" i="93"/>
  <c r="P3" i="93"/>
  <c r="O3" i="93"/>
  <c r="M3" i="93"/>
  <c r="L3" i="93"/>
  <c r="K3" i="93"/>
  <c r="J3" i="93"/>
  <c r="I3" i="93"/>
  <c r="H3" i="93"/>
  <c r="G3" i="93"/>
  <c r="F3" i="93"/>
  <c r="E3" i="93"/>
  <c r="D3" i="93"/>
  <c r="C3" i="93"/>
  <c r="B3" i="93"/>
  <c r="X2" i="93"/>
  <c r="W2" i="93"/>
  <c r="V2" i="93"/>
  <c r="U2" i="93"/>
  <c r="T2" i="93"/>
  <c r="S2" i="93"/>
  <c r="R2" i="93"/>
  <c r="Q2" i="93"/>
  <c r="P2" i="93"/>
  <c r="O2" i="93"/>
  <c r="M2" i="93"/>
  <c r="L2" i="93"/>
  <c r="K2" i="93"/>
  <c r="J2" i="93"/>
  <c r="E5" i="6" s="1"/>
  <c r="I2" i="93"/>
  <c r="H2" i="93"/>
  <c r="G2" i="93"/>
  <c r="D5" i="6" s="1"/>
  <c r="F2" i="93"/>
  <c r="E2" i="93"/>
  <c r="D2" i="93"/>
  <c r="C2" i="93"/>
  <c r="B2" i="93"/>
  <c r="O4" i="35"/>
  <c r="K4" i="35"/>
  <c r="J4" i="35"/>
  <c r="O3" i="35"/>
  <c r="D2" i="35"/>
  <c r="C2" i="35"/>
  <c r="C23" i="5"/>
  <c r="C21" i="5"/>
  <c r="C20" i="5"/>
  <c r="D19" i="5"/>
  <c r="C17" i="5"/>
  <c r="C16" i="5"/>
  <c r="F13" i="5"/>
  <c r="C13" i="5"/>
  <c r="C12" i="5"/>
  <c r="F10" i="5"/>
  <c r="C10" i="5"/>
  <c r="D7" i="5"/>
  <c r="L5" i="5"/>
  <c r="C5" i="5"/>
  <c r="K3" i="5"/>
  <c r="C3" i="5"/>
  <c r="M11" i="93"/>
  <c r="X11" i="93"/>
  <c r="W11" i="93"/>
  <c r="U11" i="93"/>
  <c r="T11" i="93"/>
  <c r="S11" i="93"/>
  <c r="R11" i="93"/>
  <c r="O11" i="93"/>
  <c r="V11" i="93"/>
  <c r="P11" i="93"/>
  <c r="Q11" i="93"/>
  <c r="C18" i="6" l="1"/>
  <c r="F20" i="5"/>
  <c r="A8" i="93" s="1"/>
  <c r="C5" i="6"/>
  <c r="C16" i="6"/>
  <c r="K6" i="34"/>
  <c r="L6" i="34"/>
  <c r="M4" i="35"/>
  <c r="Q4" i="35"/>
  <c r="Q13" i="35"/>
  <c r="O13" i="35"/>
  <c r="Q6" i="35"/>
  <c r="O6" i="35"/>
  <c r="P6" i="35"/>
  <c r="E9" i="6"/>
  <c r="Q16" i="35"/>
  <c r="O16" i="35"/>
  <c r="I5" i="34"/>
  <c r="D9" i="6"/>
  <c r="F2" i="35"/>
  <c r="C9" i="6"/>
  <c r="C7" i="6"/>
  <c r="E20" i="5"/>
  <c r="F7" i="6" s="1"/>
  <c r="C17" i="6"/>
  <c r="G6" i="6"/>
  <c r="G16" i="6"/>
  <c r="E6" i="6"/>
  <c r="E10" i="6"/>
  <c r="F6" i="6"/>
  <c r="F10" i="6"/>
  <c r="D6" i="6"/>
  <c r="G10" i="6"/>
  <c r="D10" i="6"/>
  <c r="J10" i="6"/>
  <c r="F5" i="6"/>
  <c r="G9" i="6"/>
  <c r="J16" i="35"/>
  <c r="F9" i="6" l="1"/>
  <c r="G8" i="6"/>
  <c r="J8" i="6"/>
  <c r="E8" i="6"/>
  <c r="F8" i="6"/>
  <c r="E7" i="6"/>
  <c r="G7" i="6"/>
  <c r="D7" i="6"/>
  <c r="D8" i="6"/>
  <c r="A9" i="93"/>
  <c r="E2" i="35"/>
  <c r="P4" i="35"/>
  <c r="S4" i="35"/>
  <c r="L4" i="35"/>
  <c r="K13" i="35"/>
  <c r="P13" i="35"/>
  <c r="P16" i="35"/>
  <c r="L16" i="35" s="1"/>
  <c r="M16" i="35"/>
  <c r="P9" i="35"/>
  <c r="K16" i="35"/>
  <c r="L6" i="35" l="1"/>
  <c r="M6" i="35"/>
  <c r="L13" i="35"/>
  <c r="M13" i="35"/>
  <c r="K6" i="35"/>
  <c r="L9" i="35"/>
  <c r="M9" i="35"/>
  <c r="K9" i="35"/>
  <c r="C3" i="35" l="1"/>
  <c r="C4" i="35"/>
  <c r="D3" i="35" l="1"/>
  <c r="E3" i="35"/>
  <c r="F4" i="35"/>
  <c r="E4" i="35"/>
  <c r="F3" i="35"/>
  <c r="D4" i="35"/>
  <c r="G11" i="93" a="1"/>
  <c r="L11" i="93" a="1"/>
  <c r="I11" i="93" a="1"/>
  <c r="J11" i="93" a="1"/>
  <c r="H11" i="93" a="1"/>
  <c r="K11" i="93" a="1"/>
  <c r="E17" i="6" s="1"/>
  <c r="D17" i="6" s="1"/>
  <c r="E18" i="6" s="1"/>
  <c r="D16" i="6" s="1"/>
  <c r="F17" i="6" l="1"/>
  <c r="B11" i="93"/>
  <c r="E16" i="6"/>
  <c r="F16" i="6" s="1"/>
  <c r="E11" i="93"/>
  <c r="F18" i="6"/>
  <c r="D18" i="6"/>
  <c r="C11" i="93"/>
  <c r="G18" i="6" l="1"/>
  <c r="G17" i="6"/>
  <c r="F11" i="93"/>
  <c r="D11" i="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K5" authorId="0" shapeId="0" xr:uid="{00000000-0006-0000-0000-000001000000}">
      <text>
        <r>
          <rPr>
            <sz val="8"/>
            <color indexed="81"/>
            <rFont val="Tahoma"/>
            <family val="2"/>
          </rPr>
          <t>'Switch' to control deterministic versus probabilistic analysis:
        0 = deterministic
        1 = probabilistic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<sst xmlns="http://schemas.openxmlformats.org/spreadsheetml/2006/main" count="289" uniqueCount="240">
  <si>
    <t>C(Inc)</t>
  </si>
  <si>
    <t>Mean</t>
  </si>
  <si>
    <t>SD</t>
  </si>
  <si>
    <t>IC95-</t>
  </si>
  <si>
    <t>IC95+</t>
  </si>
  <si>
    <t>X</t>
  </si>
  <si>
    <t>Orden original</t>
  </si>
  <si>
    <t>Parámetro</t>
  </si>
  <si>
    <t>Elipse de confianza</t>
  </si>
  <si>
    <t>€</t>
  </si>
  <si>
    <t>R2 (Cost)</t>
  </si>
  <si>
    <t>Incremental</t>
  </si>
  <si>
    <t>RCEI</t>
  </si>
  <si>
    <t>All other parameters are left deterministic</t>
  </si>
  <si>
    <t>Name</t>
  </si>
  <si>
    <t>Description/Source</t>
  </si>
  <si>
    <t>Parameters coloured blue are endogenous and so cannot be varied in the sensitivity analysis</t>
  </si>
  <si>
    <t>LY</t>
  </si>
  <si>
    <t>Avg cost</t>
  </si>
  <si>
    <t>Weighted avg</t>
  </si>
  <si>
    <t>Calculations for follow-up</t>
  </si>
  <si>
    <t>Column N</t>
  </si>
  <si>
    <t>Column 1</t>
  </si>
  <si>
    <t>Years</t>
  </si>
  <si>
    <t>Year</t>
  </si>
  <si>
    <t>Drugs</t>
  </si>
  <si>
    <t>mg/unit</t>
  </si>
  <si>
    <t>Package cost</t>
  </si>
  <si>
    <t>Units/package</t>
  </si>
  <si>
    <t>Deterministic</t>
  </si>
  <si>
    <t>Probabilistic</t>
  </si>
  <si>
    <t>Distribution</t>
  </si>
  <si>
    <t>Upper bound</t>
  </si>
  <si>
    <t>Parameters coloured orange are linked to the probabilistic sensitivity analysis</t>
  </si>
  <si>
    <t>Standard error</t>
  </si>
  <si>
    <t>Unit costs for tests</t>
  </si>
  <si>
    <t>Lower bound</t>
  </si>
  <si>
    <t>Año</t>
  </si>
  <si>
    <t>No</t>
  </si>
  <si>
    <t>Show probabilities?</t>
  </si>
  <si>
    <t>Yes</t>
  </si>
  <si>
    <t>Dependency</t>
  </si>
  <si>
    <t>TOTAL (adjusted to time horizon)</t>
  </si>
  <si>
    <t>Age</t>
  </si>
  <si>
    <t>Deaths</t>
  </si>
  <si>
    <t>Lost</t>
  </si>
  <si>
    <t>Pooled</t>
  </si>
  <si>
    <t>Survival</t>
  </si>
  <si>
    <t>PSA</t>
  </si>
  <si>
    <t>Live' Value</t>
  </si>
  <si>
    <t>QALY(Inc)</t>
  </si>
  <si>
    <t>LY(inc)</t>
  </si>
  <si>
    <t>ICER(QALY)</t>
  </si>
  <si>
    <t>ICER(LY)</t>
  </si>
  <si>
    <t>M</t>
  </si>
  <si>
    <t>General population</t>
  </si>
  <si>
    <t>Results</t>
  </si>
  <si>
    <t>ICER</t>
  </si>
  <si>
    <t>Base case</t>
  </si>
  <si>
    <t>Parameter</t>
  </si>
  <si>
    <t>Value</t>
  </si>
  <si>
    <t>English</t>
  </si>
  <si>
    <t>Utilidades</t>
  </si>
  <si>
    <t>Prevalencia al nacimiento</t>
  </si>
  <si>
    <t>Coste</t>
  </si>
  <si>
    <t>Cost</t>
  </si>
  <si>
    <t>Efectividad</t>
  </si>
  <si>
    <t>Effectiveness</t>
  </si>
  <si>
    <t>Disponibilidad a pagar</t>
  </si>
  <si>
    <t>Willingness to pay</t>
  </si>
  <si>
    <t>VEIP (€)</t>
  </si>
  <si>
    <t>EVPI (€)</t>
  </si>
  <si>
    <t>Coste incremental neto</t>
  </si>
  <si>
    <t>Incremental net cost</t>
  </si>
  <si>
    <t>Horizonte temporal</t>
  </si>
  <si>
    <t>Time horizon</t>
  </si>
  <si>
    <t>VEIPP (€)</t>
  </si>
  <si>
    <t>EVPPI (€)</t>
  </si>
  <si>
    <t>Probabilidad</t>
  </si>
  <si>
    <t>Probability</t>
  </si>
  <si>
    <t>Confidence ellipse</t>
  </si>
  <si>
    <t>Caso base</t>
  </si>
  <si>
    <t>AVG</t>
  </si>
  <si>
    <t>AVAC</t>
  </si>
  <si>
    <t>QALY</t>
  </si>
  <si>
    <t>Grupo</t>
  </si>
  <si>
    <t>Group</t>
  </si>
  <si>
    <t>Umbral</t>
  </si>
  <si>
    <t>Threshold</t>
  </si>
  <si>
    <t>BNS</t>
  </si>
  <si>
    <t>NB</t>
  </si>
  <si>
    <t>Muertes</t>
  </si>
  <si>
    <t>Pérdidos</t>
  </si>
  <si>
    <t>Agrupados</t>
  </si>
  <si>
    <t>Probabilístico</t>
  </si>
  <si>
    <t>Determinístico</t>
  </si>
  <si>
    <t>Error estándar</t>
  </si>
  <si>
    <t>Valor en uso</t>
  </si>
  <si>
    <t>Nombre</t>
  </si>
  <si>
    <t>Distribución</t>
  </si>
  <si>
    <t>Descripción/Fuente</t>
  </si>
  <si>
    <t>Generales</t>
  </si>
  <si>
    <t>General</t>
  </si>
  <si>
    <t>Utilities</t>
  </si>
  <si>
    <t>Costes unitarios</t>
  </si>
  <si>
    <t>Unit costs</t>
  </si>
  <si>
    <t>Uso de recursos</t>
  </si>
  <si>
    <t>Resource use</t>
  </si>
  <si>
    <t>Esperanza de vida</t>
  </si>
  <si>
    <t>Life expectancy</t>
  </si>
  <si>
    <t>Pérdidas de productividad</t>
  </si>
  <si>
    <t>Productivity losses</t>
  </si>
  <si>
    <t>Dependendencia</t>
  </si>
  <si>
    <t>Cálculos para seguimiento</t>
  </si>
  <si>
    <t>Media ponderada</t>
  </si>
  <si>
    <t>Fármacos</t>
  </si>
  <si>
    <t>Población general</t>
  </si>
  <si>
    <t>Valor</t>
  </si>
  <si>
    <t>Resultados</t>
  </si>
  <si>
    <t>Original order</t>
  </si>
  <si>
    <t>Promedio</t>
  </si>
  <si>
    <t>Average</t>
  </si>
  <si>
    <t>Umbral de referencia</t>
  </si>
  <si>
    <t>Reference threshold</t>
  </si>
  <si>
    <t>Curva de aceptabilidad</t>
  </si>
  <si>
    <t>Acceptability curve</t>
  </si>
  <si>
    <t>Costes unitarios de pruebas</t>
  </si>
  <si>
    <t>Nombre comercial</t>
  </si>
  <si>
    <t>Trade name</t>
  </si>
  <si>
    <t>PVP/PVL</t>
  </si>
  <si>
    <t>Unidades/presentación</t>
  </si>
  <si>
    <t>mg/unidad</t>
  </si>
  <si>
    <t>cost/mg</t>
  </si>
  <si>
    <t>coste/mg</t>
  </si>
  <si>
    <t>TOTAL (ajustado al horizonte temporal)</t>
  </si>
  <si>
    <t>Límite inferior</t>
  </si>
  <si>
    <t>Límite superior</t>
  </si>
  <si>
    <t>¿Mostrar probabilidades?</t>
  </si>
  <si>
    <t>Sí</t>
  </si>
  <si>
    <t>Edad</t>
  </si>
  <si>
    <t>Supervivencia</t>
  </si>
  <si>
    <t>Coste promedio</t>
  </si>
  <si>
    <t>Casos</t>
  </si>
  <si>
    <t>Cases</t>
  </si>
  <si>
    <t>Muerte súbita</t>
  </si>
  <si>
    <t>Detected</t>
  </si>
  <si>
    <t>Detectado</t>
  </si>
  <si>
    <t>No detectado</t>
  </si>
  <si>
    <t>Undetected</t>
  </si>
  <si>
    <t>Sudden death</t>
  </si>
  <si>
    <t>Análisis de Sensibilidad Probabilístico</t>
  </si>
  <si>
    <t>Birth prevalence</t>
  </si>
  <si>
    <t>Actualizado € 2014</t>
  </si>
  <si>
    <t>Updated € 2014</t>
  </si>
  <si>
    <t>Probabilities</t>
  </si>
  <si>
    <t>Probabilidades</t>
  </si>
  <si>
    <t>Coste de hospitalización</t>
  </si>
  <si>
    <t>Coste de hospitalización (miocardiopatía)</t>
  </si>
  <si>
    <t>Cost of hospitalization</t>
  </si>
  <si>
    <t>Cost of hospitalization (cardiomyopathy)</t>
  </si>
  <si>
    <t>Simulaciones de MC</t>
  </si>
  <si>
    <t>MC simulations</t>
  </si>
  <si>
    <t>Años</t>
  </si>
  <si>
    <t>IP</t>
  </si>
  <si>
    <t>BI</t>
  </si>
  <si>
    <t>Poblacional</t>
  </si>
  <si>
    <t>Population</t>
  </si>
  <si>
    <t>Individual</t>
  </si>
  <si>
    <t>Media armónica</t>
  </si>
  <si>
    <t>Harmonic mean</t>
  </si>
  <si>
    <t>Transformado</t>
  </si>
  <si>
    <t>Transformed</t>
  </si>
  <si>
    <t>Probabilidad de mortalidad</t>
  </si>
  <si>
    <t>Mortality probability</t>
  </si>
  <si>
    <t>Historia natural</t>
  </si>
  <si>
    <t>Natural history</t>
  </si>
  <si>
    <t>Agrupación</t>
  </si>
  <si>
    <t>Grouping</t>
  </si>
  <si>
    <t>Incertidumbre</t>
  </si>
  <si>
    <t>Uncertainty</t>
  </si>
  <si>
    <t>Descripción</t>
  </si>
  <si>
    <t>Fuente</t>
  </si>
  <si>
    <t>Descuento</t>
  </si>
  <si>
    <t>Discount</t>
  </si>
  <si>
    <t>Tamaño de la población</t>
  </si>
  <si>
    <t>Population size</t>
  </si>
  <si>
    <t>Median</t>
  </si>
  <si>
    <t>Index</t>
  </si>
  <si>
    <t>Source: https://www.ine.es/jaxiT3/Tabla.htm?t=50902&amp;L=0</t>
  </si>
  <si>
    <t>Index Healthcare</t>
  </si>
  <si>
    <t>Test</t>
  </si>
  <si>
    <t>Value updated</t>
  </si>
  <si>
    <t>Year updated</t>
  </si>
  <si>
    <t>Study year</t>
  </si>
  <si>
    <t>QALE</t>
  </si>
  <si>
    <t>LE</t>
  </si>
  <si>
    <t>Español</t>
  </si>
  <si>
    <t>PROBABILITY</t>
  </si>
  <si>
    <t>DETERMINISTIC</t>
  </si>
  <si>
    <t>PBD_BirthPrevalenceSpain</t>
  </si>
  <si>
    <t>COST</t>
  </si>
  <si>
    <t>UTILITY</t>
  </si>
  <si>
    <t>LIFE_EXPECTANCY</t>
  </si>
  <si>
    <t>MODIFIER</t>
  </si>
  <si>
    <t>OTHER</t>
  </si>
  <si>
    <t>C_PBD_InterventionScreening</t>
  </si>
  <si>
    <t>LE_PBD_InterventionScreening</t>
  </si>
  <si>
    <t>QALE_PBD_InterventionScreening</t>
  </si>
  <si>
    <t>C_PBD_InterventionNoScreening</t>
  </si>
  <si>
    <t>LE_PBD_InterventionNoScreening</t>
  </si>
  <si>
    <t>QALE_PBD_InterventionNoScreening</t>
  </si>
  <si>
    <t>Annual cost for treatment</t>
  </si>
  <si>
    <t>Assumption</t>
  </si>
  <si>
    <t>TEST1_InterventionEffectiveCost</t>
  </si>
  <si>
    <t>Annual cost for intervention</t>
  </si>
  <si>
    <t>TEST1_InterventionEffectiveEffect</t>
  </si>
  <si>
    <t>The effect of the intervention, which consists on reducing the incidence of the severe development to 0.</t>
  </si>
  <si>
    <t>TEST1_LifeExpectancy</t>
  </si>
  <si>
    <t>Life expectancy for general population</t>
  </si>
  <si>
    <t>TEST1_LifetimeReduction</t>
  </si>
  <si>
    <t>Life expectancy reduction in case of severe development</t>
  </si>
  <si>
    <t>TEST1_PopulationAge</t>
  </si>
  <si>
    <t>TEST1_PopulationBaseUtility</t>
  </si>
  <si>
    <t>TEST1_PopulationSex</t>
  </si>
  <si>
    <t>Rate of men to women</t>
  </si>
  <si>
    <t>Base utility for the studied population</t>
  </si>
  <si>
    <t>TEST1_SevereDevelopmentDisutility</t>
  </si>
  <si>
    <t>TEST1_SevereDevelopmentIncidence</t>
  </si>
  <si>
    <t>TEST1_Intervention_Effective</t>
  </si>
  <si>
    <t>TEST1_InterventionIneffective</t>
  </si>
  <si>
    <t>TEST1_SevereDevelopment</t>
  </si>
  <si>
    <t>TEST1_NormalDevelopment</t>
  </si>
  <si>
    <t>TEST1_SevereAnnualTreatmentCost</t>
  </si>
  <si>
    <t>TEST1_BaseAnnualTreatmentCost</t>
  </si>
  <si>
    <t>Assessed</t>
  </si>
  <si>
    <t>Comparator</t>
  </si>
  <si>
    <t>Dominante</t>
  </si>
  <si>
    <t>Dominado</t>
  </si>
  <si>
    <t>Dominant</t>
  </si>
  <si>
    <t>Domined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</si>
</sst>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#,##0.00\ &quot;€&quot;"/>
    <numFmt numFmtId="165" formatCode="0.00000000"/>
    <numFmt numFmtId="166" formatCode="0.0000000"/>
    <numFmt numFmtId="167" formatCode="0.00000"/>
    <numFmt numFmtId="168" formatCode="0.0000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indexed="32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16"/>
      </left>
      <right/>
      <top style="medium">
        <color indexed="16"/>
      </top>
      <bottom style="medium">
        <color indexed="16"/>
      </bottom>
      <diagonal/>
    </border>
    <border>
      <left/>
      <right style="medium">
        <color indexed="16"/>
      </right>
      <top style="medium">
        <color indexed="16"/>
      </top>
      <bottom style="medium">
        <color indexed="16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70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2" fillId="6" borderId="0" xfId="0" applyFont="1" applyFill="1" applyAlignment="1">
      <alignment horizontal="left"/>
    </xf>
    <xf numFmtId="0" fontId="2" fillId="6" borderId="0" xfId="0" applyFont="1" applyFill="1" applyAlignment="1">
      <alignment horizontal="center"/>
    </xf>
    <xf numFmtId="0" fontId="3" fillId="5" borderId="0" xfId="0" applyFont="1" applyFill="1"/>
    <xf numFmtId="0" fontId="0" fillId="7" borderId="0" xfId="0" applyFill="1"/>
    <xf numFmtId="164" fontId="0" fillId="8" borderId="1" xfId="0" applyNumberFormat="1" applyFill="1" applyBorder="1"/>
    <xf numFmtId="0" fontId="0" fillId="7" borderId="4" xfId="0" applyFill="1" applyBorder="1"/>
    <xf numFmtId="0" fontId="0" fillId="7" borderId="3" xfId="0" applyFill="1" applyBorder="1"/>
    <xf numFmtId="0" fontId="0" fillId="10" borderId="0" xfId="0" applyFill="1"/>
    <xf numFmtId="0" fontId="6" fillId="10" borderId="5" xfId="0" applyFont="1" applyFill="1" applyBorder="1" applyAlignment="1">
      <alignment horizontal="center"/>
    </xf>
    <xf numFmtId="0" fontId="9" fillId="10" borderId="0" xfId="0" applyFont="1" applyFill="1"/>
    <xf numFmtId="0" fontId="7" fillId="11" borderId="5" xfId="0" applyFont="1" applyFill="1" applyBorder="1" applyAlignment="1">
      <alignment horizontal="left"/>
    </xf>
    <xf numFmtId="0" fontId="7" fillId="11" borderId="6" xfId="0" applyFont="1" applyFill="1" applyBorder="1" applyAlignment="1">
      <alignment horizontal="center"/>
    </xf>
    <xf numFmtId="0" fontId="0" fillId="12" borderId="0" xfId="0" applyFill="1"/>
    <xf numFmtId="0" fontId="4" fillId="7" borderId="2" xfId="0" applyFont="1" applyFill="1" applyBorder="1" applyAlignment="1">
      <alignment horizontal="center"/>
    </xf>
    <xf numFmtId="165" fontId="2" fillId="13" borderId="1" xfId="0" applyNumberFormat="1" applyFont="1" applyFill="1" applyBorder="1"/>
    <xf numFmtId="0" fontId="0" fillId="15" borderId="0" xfId="0" applyFill="1"/>
    <xf numFmtId="164" fontId="0" fillId="15" borderId="0" xfId="0" applyNumberFormat="1" applyFill="1"/>
    <xf numFmtId="0" fontId="2" fillId="14" borderId="0" xfId="0" applyFont="1" applyFill="1" applyAlignment="1">
      <alignment horizontal="left"/>
    </xf>
    <xf numFmtId="0" fontId="2" fillId="17" borderId="0" xfId="0" applyFont="1" applyFill="1" applyAlignment="1">
      <alignment horizontal="right"/>
    </xf>
    <xf numFmtId="0" fontId="10" fillId="9" borderId="0" xfId="0" applyFont="1" applyFill="1"/>
    <xf numFmtId="0" fontId="0" fillId="18" borderId="0" xfId="0" applyFill="1"/>
    <xf numFmtId="0" fontId="13" fillId="5" borderId="0" xfId="0" applyFont="1" applyFill="1"/>
    <xf numFmtId="0" fontId="10" fillId="10" borderId="0" xfId="0" applyFont="1" applyFill="1"/>
    <xf numFmtId="0" fontId="2" fillId="17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164" fontId="0" fillId="2" borderId="0" xfId="0" applyNumberFormat="1" applyFill="1"/>
    <xf numFmtId="0" fontId="2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2" fillId="19" borderId="0" xfId="0" applyFont="1" applyFill="1" applyAlignment="1">
      <alignment horizontal="left"/>
    </xf>
    <xf numFmtId="0" fontId="2" fillId="14" borderId="0" xfId="0" quotePrefix="1" applyFont="1" applyFill="1" applyAlignment="1">
      <alignment horizontal="left"/>
    </xf>
    <xf numFmtId="167" fontId="0" fillId="9" borderId="1" xfId="0" applyNumberFormat="1" applyFill="1" applyBorder="1"/>
    <xf numFmtId="167" fontId="0" fillId="5" borderId="1" xfId="0" applyNumberFormat="1" applyFill="1" applyBorder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168" fontId="0" fillId="7" borderId="0" xfId="0" applyNumberFormat="1" applyFill="1"/>
    <xf numFmtId="166" fontId="0" fillId="7" borderId="0" xfId="0" applyNumberFormat="1" applyFill="1"/>
    <xf numFmtId="0" fontId="2" fillId="13" borderId="0" xfId="0" applyFont="1" applyFill="1"/>
    <xf numFmtId="0" fontId="0" fillId="0" borderId="0" xfId="0" quotePrefix="1"/>
    <xf numFmtId="0" fontId="15" fillId="10" borderId="0" xfId="0" applyFont="1" applyFill="1"/>
    <xf numFmtId="0" fontId="16" fillId="10" borderId="0" xfId="0" applyFont="1" applyFill="1"/>
    <xf numFmtId="0" fontId="0" fillId="10" borderId="0" xfId="0" applyFill="1" applyAlignment="1">
      <alignment horizontal="center"/>
    </xf>
    <xf numFmtId="8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2" fillId="22" borderId="2" xfId="0" applyFont="1" applyFill="1" applyBorder="1" applyAlignment="1">
      <alignment horizontal="center"/>
    </xf>
    <xf numFmtId="0" fontId="0" fillId="9" borderId="1" xfId="0" applyFill="1" applyBorder="1"/>
    <xf numFmtId="0" fontId="2" fillId="16" borderId="2" xfId="0" applyFont="1" applyFill="1" applyBorder="1" applyAlignment="1">
      <alignment horizontal="center"/>
    </xf>
    <xf numFmtId="0" fontId="0" fillId="5" borderId="1" xfId="0" applyFill="1" applyBorder="1"/>
    <xf numFmtId="0" fontId="2" fillId="21" borderId="2" xfId="0" applyFont="1" applyFill="1" applyBorder="1" applyAlignment="1">
      <alignment horizontal="center"/>
    </xf>
    <xf numFmtId="0" fontId="2" fillId="23" borderId="0" xfId="0" applyFont="1" applyFill="1" applyAlignment="1">
      <alignment horizontal="center"/>
    </xf>
    <xf numFmtId="0" fontId="4" fillId="7" borderId="7" xfId="0" applyFont="1" applyFill="1" applyBorder="1" applyAlignment="1">
      <alignment horizontal="right"/>
    </xf>
    <xf numFmtId="0" fontId="11" fillId="10" borderId="0" xfId="0" applyFont="1" applyFill="1" applyAlignment="1">
      <alignment horizontal="left"/>
    </xf>
    <xf numFmtId="0" fontId="12" fillId="10" borderId="0" xfId="0" applyFont="1" applyFill="1" applyAlignment="1">
      <alignment horizontal="left"/>
    </xf>
    <xf numFmtId="0" fontId="17" fillId="10" borderId="0" xfId="0" applyFont="1" applyFill="1" applyAlignment="1">
      <alignment horizontal="left"/>
    </xf>
    <xf numFmtId="0" fontId="2" fillId="20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2" fillId="7" borderId="0" xfId="0" applyFont="1" applyFill="1" applyAlignment="1">
      <alignment horizontal="right"/>
    </xf>
    <xf numFmtId="0" fontId="14" fillId="20" borderId="0" xfId="0" applyFont="1" applyFill="1" applyAlignment="1">
      <alignment horizontal="right"/>
    </xf>
    <xf numFmtId="0" fontId="2" fillId="14" borderId="0" xfId="0" applyFont="1" applyFill="1" applyAlignment="1">
      <alignment horizontal="center"/>
    </xf>
    <xf numFmtId="8" fontId="0" fillId="7" borderId="0" xfId="0" applyNumberFormat="1" applyFill="1"/>
    <xf numFmtId="0" fontId="2" fillId="16" borderId="0" xfId="0" applyFont="1" applyFill="1" applyAlignment="1">
      <alignment horizontal="center"/>
    </xf>
    <xf numFmtId="0" fontId="0" fillId="5" borderId="1" xfId="0" applyNumberFormat="1" applyFill="1" applyBorder="1"/>
    <xf numFmtId="0" fontId="0" fillId="9" borderId="1" xfId="0" applyNumberFormat="1" applyFill="1" applyBorder="1"/>
    <xf numFmtId="0" fontId="0" fillId="7" borderId="0" xfId="0" applyNumberFormat="1" applyFill="1"/>
  </cellXfs>
  <cellStyles count="3">
    <cellStyle name="Normal" xfId="0" builtinId="0"/>
    <cellStyle name="Normal 2" xfId="1" xr:uid="{00000000-0005-0000-0000-000003000000}"/>
    <cellStyle name="Normal 3" xfId="2" xr:uid="{00000000-0005-0000-0000-000004000000}"/>
  </cellStyles>
  <dxfs count="3"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$E$5" fmlaRange="$F$5:$F$6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</xdr:row>
          <xdr:rowOff>175260</xdr:rowOff>
        </xdr:from>
        <xdr:to>
          <xdr:col>11</xdr:col>
          <xdr:colOff>708660</xdr:colOff>
          <xdr:row>8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MC + 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3</xdr:col>
          <xdr:colOff>1143000</xdr:colOff>
          <xdr:row>5</xdr:row>
          <xdr:rowOff>22860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yle%20templat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yle templat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trol">
    <tabColor theme="0" tint="-0.34998626667073579"/>
  </sheetPr>
  <dimension ref="B3:N24"/>
  <sheetViews>
    <sheetView zoomScale="115" zoomScaleNormal="115" workbookViewId="0">
      <selection activeCell="F22" sqref="F22"/>
    </sheetView>
  </sheetViews>
  <sheetFormatPr baseColWidth="10" defaultColWidth="11.5546875" defaultRowHeight="14.4" x14ac:dyDescent="0.3"/>
  <cols>
    <col min="1" max="1" width="11.5546875" style="2"/>
    <col min="2" max="2" width="2.88671875" style="2" customWidth="1"/>
    <col min="3" max="3" width="15.109375" style="2" bestFit="1" customWidth="1"/>
    <col min="4" max="4" width="27.109375" style="2" customWidth="1"/>
    <col min="5" max="5" width="14" style="2" bestFit="1" customWidth="1"/>
    <col min="6" max="6" width="15" style="2" bestFit="1" customWidth="1"/>
    <col min="7" max="7" width="16.5546875" style="2" customWidth="1"/>
    <col min="8" max="8" width="4.5546875" style="2" customWidth="1"/>
    <col min="9" max="9" width="11.5546875" style="2"/>
    <col min="10" max="10" width="3.33203125" style="2" customWidth="1"/>
    <col min="11" max="11" width="11.5546875" style="2"/>
    <col min="12" max="12" width="14.33203125" style="2" customWidth="1"/>
    <col min="13" max="13" width="6.109375" style="2" customWidth="1"/>
    <col min="14" max="14" width="4" style="2" customWidth="1"/>
    <col min="15" max="15" width="11.5546875" style="2" customWidth="1"/>
    <col min="16" max="16384" width="11.5546875" style="2"/>
  </cols>
  <sheetData>
    <row r="3" spans="2:14" x14ac:dyDescent="0.3">
      <c r="B3" s="4"/>
      <c r="C3" s="4" t="str">
        <f>IF(language=1,"Panel de control (ASP)", "Control panel (PSA)")</f>
        <v>Control panel (PSA)</v>
      </c>
      <c r="D3" s="4"/>
      <c r="J3" s="4"/>
      <c r="K3" s="4" t="str">
        <f>IF(language=1,"Panel de control (Acciones)", "Control panel (Actions)")</f>
        <v>Control panel (Actions)</v>
      </c>
      <c r="L3" s="4"/>
    </row>
    <row r="4" spans="2:14" ht="15" thickBot="1" x14ac:dyDescent="0.35">
      <c r="B4" s="3"/>
      <c r="C4" s="3"/>
      <c r="D4" s="3"/>
      <c r="E4" s="3"/>
      <c r="F4" s="3"/>
      <c r="G4" s="3"/>
      <c r="H4" s="3"/>
      <c r="J4" s="3"/>
      <c r="K4" s="3"/>
      <c r="L4" s="3"/>
      <c r="M4" s="3"/>
      <c r="N4" s="3"/>
    </row>
    <row r="5" spans="2:14" ht="15" thickBot="1" x14ac:dyDescent="0.35">
      <c r="B5" s="3"/>
      <c r="C5" s="4" t="str">
        <f>IF(language=1,"Lenguaje", "Language")</f>
        <v>Language</v>
      </c>
      <c r="D5" s="3"/>
      <c r="E5" s="26">
        <v>2</v>
      </c>
      <c r="F5" s="26" t="s">
        <v>196</v>
      </c>
      <c r="G5" s="3"/>
      <c r="H5" s="3"/>
      <c r="J5" s="3"/>
      <c r="K5" s="13">
        <v>0</v>
      </c>
      <c r="L5" s="15" t="str">
        <f>IF(language=1,"¿Probabilístico?", "Probabilistic?")</f>
        <v>Probabilistic?</v>
      </c>
      <c r="M5" s="16"/>
      <c r="N5" s="3"/>
    </row>
    <row r="6" spans="2:14" x14ac:dyDescent="0.3">
      <c r="B6" s="3"/>
      <c r="C6" s="3"/>
      <c r="D6" s="3"/>
      <c r="E6" s="3"/>
      <c r="F6" s="26" t="s">
        <v>61</v>
      </c>
      <c r="G6" s="3"/>
      <c r="H6" s="3"/>
      <c r="J6" s="3"/>
      <c r="K6" s="3"/>
      <c r="L6" s="3"/>
      <c r="M6" s="3"/>
      <c r="N6" s="3"/>
    </row>
    <row r="7" spans="2:14" x14ac:dyDescent="0.3">
      <c r="B7" s="3"/>
      <c r="C7" s="3"/>
      <c r="D7" s="6" t="str">
        <f>IF(language=1,"Nombre","Name")</f>
        <v>Name</v>
      </c>
      <c r="E7" s="3"/>
      <c r="F7" s="3"/>
      <c r="G7" s="3"/>
      <c r="H7" s="3"/>
      <c r="J7" s="3"/>
      <c r="K7" s="3"/>
      <c r="L7" s="3"/>
      <c r="M7" s="3"/>
      <c r="N7" s="3"/>
    </row>
    <row r="8" spans="2:14" x14ac:dyDescent="0.3">
      <c r="B8" s="3"/>
      <c r="C8" s="4" t="s">
        <v>234</v>
      </c>
      <c r="D8" s="1" t="s">
        <v>228</v>
      </c>
      <c r="E8" s="3"/>
      <c r="F8" s="3"/>
      <c r="G8" s="3"/>
      <c r="H8" s="3"/>
      <c r="J8" s="3"/>
      <c r="K8" s="3"/>
      <c r="L8" s="3"/>
      <c r="M8" s="3"/>
      <c r="N8" s="3"/>
    </row>
    <row r="9" spans="2:14" x14ac:dyDescent="0.3">
      <c r="B9" s="3"/>
      <c r="C9" s="4" t="s">
        <v>235</v>
      </c>
      <c r="D9" s="1" t="s">
        <v>229</v>
      </c>
      <c r="E9" s="3"/>
      <c r="F9" s="4" t="s">
        <v>75</v>
      </c>
      <c r="G9" s="1">
        <v>150</v>
      </c>
      <c r="H9" s="3"/>
      <c r="J9" s="3"/>
      <c r="K9" s="3"/>
      <c r="L9" s="3"/>
      <c r="M9" s="3"/>
      <c r="N9" s="3"/>
    </row>
    <row r="10" spans="2:14" x14ac:dyDescent="0.3">
      <c r="B10" s="3"/>
      <c r="C10" s="7" t="str">
        <f>IF(language=1,"Nombres de alternativas de tratamiento a comparar","Name of compared treatment alternatives")</f>
        <v>Name of compared treatment alternatives</v>
      </c>
      <c r="D10" s="3"/>
      <c r="E10" s="3"/>
      <c r="F10" s="7" t="str">
        <f>IF(language=1,"Horizonte temporal","Time horizon")</f>
        <v>Time horizon</v>
      </c>
      <c r="G10" s="3"/>
      <c r="H10" s="3"/>
    </row>
    <row r="11" spans="2:14" x14ac:dyDescent="0.3">
      <c r="B11" s="3"/>
      <c r="C11" s="3"/>
      <c r="D11" s="3"/>
      <c r="E11" s="3"/>
      <c r="F11" s="3"/>
      <c r="G11" s="3"/>
      <c r="H11" s="3"/>
    </row>
    <row r="12" spans="2:14" x14ac:dyDescent="0.3">
      <c r="B12" s="3"/>
      <c r="C12" s="4" t="str">
        <f>IF(language=1,"# Simulaciones", "# Simulations")</f>
        <v># Simulations</v>
      </c>
      <c r="D12" s="1">
        <v>1000</v>
      </c>
      <c r="E12" s="3"/>
      <c r="F12" s="4" t="s">
        <v>193</v>
      </c>
      <c r="G12" s="1">
        <v>2025</v>
      </c>
      <c r="H12" s="3"/>
    </row>
    <row r="13" spans="2:14" x14ac:dyDescent="0.3">
      <c r="B13" s="3"/>
      <c r="C13" s="7" t="str">
        <f>IF(language=1,"Número de simulaciones de MC efectuadas","Number of MC simulations to perform")</f>
        <v>Number of MC simulations to perform</v>
      </c>
      <c r="D13" s="3"/>
      <c r="E13" s="3"/>
      <c r="F13" s="7" t="str">
        <f>IF(language=1,"Año para actualizar costes","Year used to update costs")</f>
        <v>Year used to update costs</v>
      </c>
      <c r="G13" s="3"/>
      <c r="H13" s="3"/>
    </row>
    <row r="14" spans="2:14" x14ac:dyDescent="0.3">
      <c r="B14" s="3"/>
      <c r="C14" s="7"/>
      <c r="D14" s="3"/>
      <c r="E14" s="3"/>
      <c r="F14" s="3"/>
      <c r="G14" s="3"/>
      <c r="H14" s="3"/>
    </row>
    <row r="15" spans="2:14" x14ac:dyDescent="0.3">
      <c r="B15" s="3"/>
      <c r="C15" s="3"/>
      <c r="D15" s="6" t="s">
        <v>22</v>
      </c>
      <c r="E15" s="6" t="s">
        <v>21</v>
      </c>
      <c r="F15" s="3"/>
      <c r="G15" s="3"/>
      <c r="H15" s="3"/>
    </row>
    <row r="16" spans="2:14" x14ac:dyDescent="0.3">
      <c r="B16" s="3"/>
      <c r="C16" s="4" t="str">
        <f>IF(language=1,"Distribuciones", "Distributions")</f>
        <v>Distributions</v>
      </c>
      <c r="D16" s="1" t="s">
        <v>54</v>
      </c>
      <c r="E16" s="1" t="s">
        <v>5</v>
      </c>
      <c r="F16" s="3"/>
      <c r="G16" s="3"/>
      <c r="H16" s="3"/>
    </row>
    <row r="17" spans="2:8" x14ac:dyDescent="0.3">
      <c r="B17" s="3"/>
      <c r="C17" s="7" t="str">
        <f>IF(language=1,"La primera y última columnas que contienen los valores muestreados de cada distribución","First and last columns with values sampled from distributions")</f>
        <v>First and last columns with values sampled from distributions</v>
      </c>
      <c r="D17" s="3"/>
      <c r="E17" s="3"/>
      <c r="F17" s="3"/>
      <c r="G17" s="3"/>
      <c r="H17" s="3"/>
    </row>
    <row r="18" spans="2:8" x14ac:dyDescent="0.3">
      <c r="B18" s="3"/>
      <c r="C18" s="3"/>
      <c r="D18" s="3"/>
      <c r="E18" s="3"/>
      <c r="F18" s="3"/>
      <c r="G18" s="3"/>
      <c r="H18" s="3"/>
    </row>
    <row r="19" spans="2:8" x14ac:dyDescent="0.3">
      <c r="B19" s="3"/>
      <c r="C19" s="3"/>
      <c r="D19" s="6" t="str">
        <f>IF(language=1,"Costes","Costs")</f>
        <v>Costs</v>
      </c>
      <c r="E19" s="6" t="s">
        <v>195</v>
      </c>
      <c r="F19" s="6" t="s">
        <v>194</v>
      </c>
      <c r="G19" s="3"/>
      <c r="H19" s="3"/>
    </row>
    <row r="20" spans="2:8" x14ac:dyDescent="0.3">
      <c r="B20" s="3"/>
      <c r="C20" s="4" t="str">
        <f>IF(language=1,"Unidades", "Units")</f>
        <v>Units</v>
      </c>
      <c r="D20" s="1" t="s">
        <v>9</v>
      </c>
      <c r="E20" s="1" t="str">
        <f>Localization!$B$6</f>
        <v>LY</v>
      </c>
      <c r="F20" s="1" t="str">
        <f>Localization!$B$7</f>
        <v>QALY</v>
      </c>
      <c r="G20" s="3"/>
      <c r="H20" s="3"/>
    </row>
    <row r="21" spans="2:8" x14ac:dyDescent="0.3">
      <c r="B21" s="3"/>
      <c r="C21" s="4" t="str">
        <f>IF(language=1,"Redondear a", "Round to")</f>
        <v>Round to</v>
      </c>
      <c r="D21" s="1">
        <v>2</v>
      </c>
      <c r="E21" s="1">
        <v>3</v>
      </c>
      <c r="F21" s="1">
        <v>3</v>
      </c>
      <c r="G21" s="3"/>
      <c r="H21" s="3"/>
    </row>
    <row r="22" spans="2:8" x14ac:dyDescent="0.3">
      <c r="B22" s="3"/>
      <c r="C22" s="4" t="str">
        <f>Localization!$B$49</f>
        <v>Discount</v>
      </c>
      <c r="D22" s="1">
        <v>0.03</v>
      </c>
      <c r="E22" s="1">
        <v>0.03</v>
      </c>
      <c r="F22" s="1">
        <v>0.03</v>
      </c>
      <c r="G22" s="3"/>
      <c r="H22" s="3"/>
    </row>
    <row r="23" spans="2:8" x14ac:dyDescent="0.3">
      <c r="B23" s="3"/>
      <c r="C23" s="7" t="str">
        <f>IF(language=1,"Unidades y redondeo que se aplicará a los resultados","Units and rounding applied to results")</f>
        <v>Units and rounding applied to results</v>
      </c>
      <c r="D23" s="3"/>
      <c r="E23" s="3"/>
      <c r="F23" s="3"/>
      <c r="G23" s="3"/>
      <c r="H23" s="3"/>
    </row>
    <row r="24" spans="2:8" x14ac:dyDescent="0.3">
      <c r="B24" s="3"/>
      <c r="C24" s="7"/>
      <c r="D24" s="3"/>
      <c r="E24" s="3"/>
      <c r="F24" s="3"/>
      <c r="G24" s="3"/>
      <c r="H2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ódulo1.Procesar">
                <anchor moveWithCells="1">
                  <from>
                    <xdr:col>10</xdr:col>
                    <xdr:colOff>22860</xdr:colOff>
                    <xdr:row>5</xdr:row>
                    <xdr:rowOff>175260</xdr:rowOff>
                  </from>
                  <to>
                    <xdr:col>11</xdr:col>
                    <xdr:colOff>708660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3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arameters">
    <tabColor theme="7" tint="-0.499984740745262"/>
  </sheetPr>
  <dimension ref="B1:P18"/>
  <sheetViews>
    <sheetView zoomScaleNormal="100" workbookViewId="0">
      <pane xSplit="5" ySplit="6" topLeftCell="F7" activePane="bottomRight" state="frozen"/>
      <selection pane="topRight" activeCell="D1" sqref="D1"/>
      <selection pane="bottomLeft" activeCell="A7" sqref="A7"/>
      <selection pane="bottomRight" activeCell="H14" sqref="H14"/>
    </sheetView>
  </sheetViews>
  <sheetFormatPr baseColWidth="10" defaultColWidth="11.5546875" defaultRowHeight="14.4" x14ac:dyDescent="0.3"/>
  <cols>
    <col min="1" max="1" width="3.33203125" style="12" customWidth="1"/>
    <col min="2" max="2" width="30.33203125" style="12" bestFit="1" customWidth="1"/>
    <col min="3" max="3" width="14.33203125" style="12" customWidth="1"/>
    <col min="4" max="4" width="16.109375" style="12" customWidth="1"/>
    <col min="5" max="5" width="2.33203125" style="12" customWidth="1"/>
    <col min="6" max="6" width="12" style="12" bestFit="1" customWidth="1"/>
    <col min="7" max="7" width="12.33203125" style="12" bestFit="1" customWidth="1"/>
    <col min="8" max="8" width="13.109375" style="12" bestFit="1" customWidth="1"/>
    <col min="9" max="9" width="12.88671875" style="12" bestFit="1" customWidth="1"/>
    <col min="10" max="11" width="11.5546875" style="12"/>
    <col min="12" max="12" width="12" style="12" bestFit="1" customWidth="1"/>
    <col min="13" max="13" width="2.33203125" style="12" customWidth="1"/>
    <col min="14" max="14" width="8.109375" style="12" customWidth="1"/>
    <col min="15" max="15" width="38" style="12" customWidth="1"/>
    <col min="16" max="16" width="41.33203125" style="12" customWidth="1"/>
    <col min="17" max="20" width="11.5546875" style="12"/>
    <col min="21" max="21" width="14.44140625" style="12" bestFit="1" customWidth="1"/>
    <col min="22" max="22" width="13.44140625" style="12" bestFit="1" customWidth="1"/>
    <col min="23" max="16384" width="11.5546875" style="12"/>
  </cols>
  <sheetData>
    <row r="1" spans="2:16" x14ac:dyDescent="0.3">
      <c r="B1" s="43"/>
      <c r="C1" s="43"/>
      <c r="D1" s="43"/>
      <c r="J1" s="45"/>
    </row>
    <row r="2" spans="2:16" s="27" customFormat="1" x14ac:dyDescent="0.3">
      <c r="B2" s="57" t="s">
        <v>33</v>
      </c>
      <c r="C2" s="57"/>
      <c r="D2" s="44"/>
    </row>
    <row r="3" spans="2:16" s="27" customFormat="1" x14ac:dyDescent="0.3">
      <c r="B3" s="58" t="s">
        <v>16</v>
      </c>
      <c r="C3" s="58"/>
      <c r="D3" s="44"/>
    </row>
    <row r="4" spans="2:16" s="27" customFormat="1" x14ac:dyDescent="0.3">
      <c r="B4" s="59" t="s">
        <v>13</v>
      </c>
      <c r="C4" s="59"/>
      <c r="D4" s="44"/>
    </row>
    <row r="5" spans="2:16" ht="15.75" customHeight="1" x14ac:dyDescent="0.3">
      <c r="B5" s="43"/>
      <c r="C5" s="43"/>
      <c r="D5" s="43"/>
      <c r="E5" s="27"/>
      <c r="F5" s="14"/>
      <c r="G5" s="14"/>
      <c r="I5" s="66" t="str">
        <f>Localization!$B$19</f>
        <v>PSA</v>
      </c>
      <c r="J5" s="66"/>
      <c r="K5" s="66"/>
      <c r="L5" s="66"/>
      <c r="M5" s="27"/>
    </row>
    <row r="6" spans="2:16" x14ac:dyDescent="0.3">
      <c r="B6" s="29" t="str">
        <f>Localization!$B$34</f>
        <v>Name</v>
      </c>
      <c r="C6" s="29" t="str">
        <f>Localization!$B$86</f>
        <v>Grouping</v>
      </c>
      <c r="D6" s="29" t="str">
        <f>Localization!$B$87</f>
        <v>Uncertainty</v>
      </c>
      <c r="E6" s="27"/>
      <c r="F6" s="29" t="str">
        <f>Localization!$B$33</f>
        <v>'Live' value</v>
      </c>
      <c r="G6" s="29" t="str">
        <f>Localization!$B$30</f>
        <v>Probabilistic</v>
      </c>
      <c r="H6" s="29" t="str">
        <f>Localization!$B$31</f>
        <v>Deterministic</v>
      </c>
      <c r="I6" s="29" t="str">
        <f>Localization!$B$32</f>
        <v>Standard error</v>
      </c>
      <c r="J6" s="29" t="str">
        <f>Localization!$B$35</f>
        <v>Distribution</v>
      </c>
      <c r="K6" s="29" t="str">
        <f>Localization!$B$21 &amp; " " &amp; 1</f>
        <v>Parameter 1</v>
      </c>
      <c r="L6" s="29" t="str">
        <f>Localization!$B$21 &amp; " " &amp; 2</f>
        <v>Parameter 2</v>
      </c>
      <c r="M6" s="27"/>
      <c r="N6" s="29" t="s">
        <v>37</v>
      </c>
      <c r="O6" s="29" t="s">
        <v>180</v>
      </c>
      <c r="P6" s="29" t="s">
        <v>181</v>
      </c>
    </row>
    <row r="7" spans="2:16" x14ac:dyDescent="0.3">
      <c r="B7" s="24" t="s">
        <v>233</v>
      </c>
      <c r="C7" s="24" t="s">
        <v>200</v>
      </c>
      <c r="D7" s="24" t="s">
        <v>198</v>
      </c>
      <c r="F7" s="24">
        <f>H7*ROUND(1000*VLOOKUP(studyYear,CPI,2,FALSE)/VLOOKUP(N7,CPI,2,FALSE),0)/ 1000</f>
        <v>1000</v>
      </c>
      <c r="G7" s="20"/>
      <c r="H7" s="20">
        <v>1000</v>
      </c>
      <c r="I7" s="20"/>
      <c r="J7" s="20"/>
      <c r="K7" s="20"/>
      <c r="L7" s="20"/>
      <c r="N7" s="20">
        <v>2025</v>
      </c>
      <c r="O7" s="20" t="s">
        <v>211</v>
      </c>
      <c r="P7" s="20" t="s">
        <v>212</v>
      </c>
    </row>
    <row r="8" spans="2:16" x14ac:dyDescent="0.3">
      <c r="B8" s="24" t="s">
        <v>213</v>
      </c>
      <c r="C8" s="24" t="s">
        <v>200</v>
      </c>
      <c r="D8" s="24" t="s">
        <v>198</v>
      </c>
      <c r="F8" s="24">
        <f>H8*ROUND(1000*VLOOKUP(studyYear,CPI,2,FALSE)/VLOOKUP(N8,CPI,2,FALSE),0)/ 1000</f>
        <v>100</v>
      </c>
      <c r="G8" s="20"/>
      <c r="H8" s="20">
        <v>100</v>
      </c>
      <c r="I8" s="20"/>
      <c r="J8" s="20"/>
      <c r="K8" s="20"/>
      <c r="L8" s="20"/>
      <c r="N8" s="20">
        <v>2025</v>
      </c>
      <c r="O8" s="20" t="s">
        <v>214</v>
      </c>
      <c r="P8" s="20" t="s">
        <v>212</v>
      </c>
    </row>
    <row r="9" spans="2:16" x14ac:dyDescent="0.3">
      <c r="B9" s="24" t="s">
        <v>215</v>
      </c>
      <c r="C9" s="24" t="s">
        <v>203</v>
      </c>
      <c r="D9" s="24" t="s">
        <v>198</v>
      </c>
      <c r="F9" s="24">
        <f t="shared" ref="F9:F11" si="0">H9</f>
        <v>0</v>
      </c>
      <c r="G9" s="20"/>
      <c r="H9" s="20">
        <v>0</v>
      </c>
      <c r="I9" s="20"/>
      <c r="J9" s="20"/>
      <c r="K9" s="20"/>
      <c r="L9" s="20"/>
      <c r="N9" s="20">
        <v>2025</v>
      </c>
      <c r="O9" s="20" t="s">
        <v>216</v>
      </c>
      <c r="P9" s="20" t="s">
        <v>212</v>
      </c>
    </row>
    <row r="10" spans="2:16" x14ac:dyDescent="0.3">
      <c r="B10" s="24" t="s">
        <v>217</v>
      </c>
      <c r="C10" s="24" t="s">
        <v>202</v>
      </c>
      <c r="D10" s="24" t="s">
        <v>198</v>
      </c>
      <c r="F10" s="24">
        <f t="shared" si="0"/>
        <v>65</v>
      </c>
      <c r="G10" s="20"/>
      <c r="H10" s="20">
        <v>65</v>
      </c>
      <c r="I10" s="20"/>
      <c r="J10" s="20"/>
      <c r="K10" s="20"/>
      <c r="L10" s="20"/>
      <c r="N10" s="20">
        <v>2025</v>
      </c>
      <c r="O10" s="20" t="s">
        <v>218</v>
      </c>
      <c r="P10" s="20" t="s">
        <v>212</v>
      </c>
    </row>
    <row r="11" spans="2:16" x14ac:dyDescent="0.3">
      <c r="B11" s="24" t="s">
        <v>219</v>
      </c>
      <c r="C11" s="24" t="s">
        <v>202</v>
      </c>
      <c r="D11" s="24" t="s">
        <v>198</v>
      </c>
      <c r="F11" s="24">
        <f t="shared" si="0"/>
        <v>20</v>
      </c>
      <c r="G11" s="20"/>
      <c r="H11" s="20">
        <v>20</v>
      </c>
      <c r="I11" s="20"/>
      <c r="J11" s="20"/>
      <c r="K11" s="20"/>
      <c r="L11" s="20"/>
      <c r="N11" s="20">
        <v>2025</v>
      </c>
      <c r="O11" s="20" t="s">
        <v>220</v>
      </c>
      <c r="P11" s="20" t="s">
        <v>212</v>
      </c>
    </row>
    <row r="12" spans="2:16" x14ac:dyDescent="0.3">
      <c r="B12" s="24" t="s">
        <v>221</v>
      </c>
      <c r="C12" s="24" t="s">
        <v>204</v>
      </c>
      <c r="D12" s="24" t="s">
        <v>198</v>
      </c>
      <c r="F12" s="24">
        <f t="shared" ref="F12" si="1">H12</f>
        <v>20</v>
      </c>
      <c r="G12" s="20"/>
      <c r="H12" s="20">
        <v>20</v>
      </c>
      <c r="I12" s="20"/>
      <c r="J12" s="20"/>
      <c r="K12" s="20"/>
      <c r="L12" s="20"/>
      <c r="N12" s="20"/>
      <c r="O12" s="20"/>
      <c r="P12" s="20"/>
    </row>
    <row r="13" spans="2:16" x14ac:dyDescent="0.3">
      <c r="B13" s="24" t="s">
        <v>222</v>
      </c>
      <c r="C13" s="24" t="s">
        <v>201</v>
      </c>
      <c r="D13" s="24" t="s">
        <v>198</v>
      </c>
      <c r="F13" s="24">
        <f t="shared" ref="F13:F14" si="2">H13</f>
        <v>0.85</v>
      </c>
      <c r="G13" s="20"/>
      <c r="H13" s="20">
        <v>0.85</v>
      </c>
      <c r="I13" s="20"/>
      <c r="J13" s="20"/>
      <c r="K13" s="20"/>
      <c r="L13" s="20"/>
      <c r="N13" s="20">
        <v>2025</v>
      </c>
      <c r="O13" s="20" t="s">
        <v>225</v>
      </c>
      <c r="P13" s="20" t="s">
        <v>212</v>
      </c>
    </row>
    <row r="14" spans="2:16" x14ac:dyDescent="0.3">
      <c r="B14" s="24" t="s">
        <v>223</v>
      </c>
      <c r="C14" s="24" t="s">
        <v>204</v>
      </c>
      <c r="D14" s="24" t="s">
        <v>198</v>
      </c>
      <c r="F14" s="24">
        <f t="shared" si="2"/>
        <v>0.5</v>
      </c>
      <c r="G14" s="20"/>
      <c r="H14" s="20">
        <v>0.5</v>
      </c>
      <c r="I14" s="20"/>
      <c r="J14" s="20"/>
      <c r="K14" s="20"/>
      <c r="L14" s="20"/>
      <c r="N14" s="20">
        <v>2025</v>
      </c>
      <c r="O14" s="20" t="s">
        <v>224</v>
      </c>
      <c r="P14" s="20" t="s">
        <v>212</v>
      </c>
    </row>
    <row r="15" spans="2:16" x14ac:dyDescent="0.3">
      <c r="B15" s="24" t="s">
        <v>226</v>
      </c>
      <c r="C15" s="24" t="s">
        <v>201</v>
      </c>
      <c r="D15" s="24" t="s">
        <v>198</v>
      </c>
      <c r="F15" s="24">
        <f t="shared" ref="F15" si="3">H15</f>
        <v>0.4</v>
      </c>
      <c r="G15" s="20"/>
      <c r="H15" s="20">
        <v>0.4</v>
      </c>
      <c r="I15" s="20"/>
      <c r="J15" s="20"/>
      <c r="K15" s="20"/>
      <c r="L15" s="20"/>
      <c r="N15" s="20">
        <v>2025</v>
      </c>
      <c r="O15" s="20"/>
      <c r="P15" s="20" t="s">
        <v>212</v>
      </c>
    </row>
    <row r="16" spans="2:16" x14ac:dyDescent="0.3">
      <c r="B16" s="24" t="s">
        <v>227</v>
      </c>
      <c r="C16" s="24" t="s">
        <v>197</v>
      </c>
      <c r="D16" s="24" t="s">
        <v>198</v>
      </c>
      <c r="F16" s="24">
        <f t="shared" ref="F16" si="4">H16</f>
        <v>0.8</v>
      </c>
      <c r="G16" s="20"/>
      <c r="H16" s="20">
        <v>0.8</v>
      </c>
      <c r="I16" s="20"/>
      <c r="J16" s="20"/>
      <c r="K16" s="20"/>
      <c r="L16" s="20"/>
      <c r="N16" s="20">
        <v>2025</v>
      </c>
      <c r="O16" s="20"/>
      <c r="P16" s="20" t="s">
        <v>212</v>
      </c>
    </row>
    <row r="17" spans="2:16" x14ac:dyDescent="0.3">
      <c r="B17" s="24" t="s">
        <v>232</v>
      </c>
      <c r="C17" s="24" t="s">
        <v>200</v>
      </c>
      <c r="D17" s="24" t="s">
        <v>198</v>
      </c>
      <c r="F17" s="24">
        <f>H17*ROUND(1000*VLOOKUP(studyYear,CPI,2,FALSE)/VLOOKUP(N17,CPI,2,FALSE),0)/ 1000</f>
        <v>1000</v>
      </c>
      <c r="G17" s="20"/>
      <c r="H17" s="20">
        <v>1000</v>
      </c>
      <c r="I17" s="20"/>
      <c r="J17" s="20"/>
      <c r="K17" s="20"/>
      <c r="L17" s="20"/>
      <c r="N17" s="20">
        <v>2025</v>
      </c>
      <c r="O17" s="20"/>
      <c r="P17" s="20" t="s">
        <v>212</v>
      </c>
    </row>
    <row r="18" spans="2:16" x14ac:dyDescent="0.3">
      <c r="B18" s="24"/>
      <c r="C18" s="24"/>
      <c r="D18" s="24"/>
      <c r="F18" s="24"/>
      <c r="G18" s="20"/>
      <c r="H18" s="20"/>
      <c r="I18" s="20"/>
      <c r="J18" s="20"/>
      <c r="K18" s="20"/>
      <c r="L18" s="20"/>
      <c r="N18" s="20"/>
      <c r="O18" s="20"/>
      <c r="P18" s="20"/>
    </row>
  </sheetData>
  <mergeCells count="1">
    <mergeCell ref="I5:L5"/>
  </mergeCells>
  <conditionalFormatting sqref="B7:D18">
    <cfRule type="expression" dxfId="2" priority="1">
      <formula>OR($D7="Calculado",$D7="CALCULATED")</formula>
    </cfRule>
    <cfRule type="expression" dxfId="1" priority="2">
      <formula>OR($D7="Estocástico",$D7="SECOND_ORDER")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theme="9" tint="-0.499984740745262"/>
  </sheetPr>
  <dimension ref="B2:S17"/>
  <sheetViews>
    <sheetView zoomScale="60" zoomScaleNormal="60" workbookViewId="0">
      <selection activeCell="N31" sqref="N31"/>
    </sheetView>
  </sheetViews>
  <sheetFormatPr baseColWidth="10" defaultColWidth="11.5546875" defaultRowHeight="14.4" x14ac:dyDescent="0.3"/>
  <cols>
    <col min="1" max="2" width="11.5546875" style="8"/>
    <col min="3" max="3" width="5" style="8" customWidth="1"/>
    <col min="4" max="4" width="25.88671875" style="8" bestFit="1" customWidth="1"/>
    <col min="5" max="5" width="11.5546875" style="8"/>
    <col min="6" max="6" width="9.21875" style="8" customWidth="1"/>
    <col min="7" max="7" width="41.77734375" style="8" bestFit="1" customWidth="1"/>
    <col min="8" max="13" width="11.5546875" style="8"/>
    <col min="14" max="14" width="11.5546875" style="40"/>
    <col min="15" max="15" width="13.33203125" style="39" bestFit="1" customWidth="1"/>
    <col min="16" max="16384" width="11.5546875" style="8"/>
  </cols>
  <sheetData>
    <row r="2" spans="2:19" x14ac:dyDescent="0.3">
      <c r="C2" s="55" t="str">
        <f>IF(language=1,"Chequeo","CHECK")</f>
        <v>CHECK</v>
      </c>
      <c r="D2" s="50" t="str">
        <f>IF(language=1,"COSTE","COST")</f>
        <v>COST</v>
      </c>
      <c r="E2" s="52" t="str">
        <f>unitLE</f>
        <v>LY</v>
      </c>
      <c r="F2" s="54" t="str">
        <f>unitQALE</f>
        <v>QALY</v>
      </c>
    </row>
    <row r="3" spans="2:19" x14ac:dyDescent="0.3">
      <c r="B3" s="56" t="s">
        <v>228</v>
      </c>
      <c r="C3" s="19" t="b">
        <f>SUM($J$6:$J$11)=1</f>
        <v>1</v>
      </c>
      <c r="D3" s="9">
        <f>SUM($K$6:$K$11)</f>
        <v>31298.180670209567</v>
      </c>
      <c r="E3" s="35">
        <f>SUM($L$6:$L$11)</f>
        <v>28.452891518372336</v>
      </c>
      <c r="F3" s="36">
        <f>SUM($M$6:$M$11)</f>
        <v>24.184957790616483</v>
      </c>
      <c r="N3" s="8"/>
      <c r="O3" s="64" t="str">
        <f>IF(language=1,"DETALLE","DETAIL")</f>
        <v>DETAIL</v>
      </c>
      <c r="P3" s="64"/>
      <c r="Q3" s="64"/>
    </row>
    <row r="4" spans="2:19" x14ac:dyDescent="0.3">
      <c r="B4" s="56" t="s">
        <v>229</v>
      </c>
      <c r="C4" s="19" t="b">
        <f>SUM($J$13:$J$16)=1</f>
        <v>1</v>
      </c>
      <c r="D4" s="9">
        <f>SUM($K$13:$K$16)</f>
        <v>44920.5183695655</v>
      </c>
      <c r="E4" s="35">
        <f>SUM($L$13:$L$16)</f>
        <v>25.305548336619985</v>
      </c>
      <c r="F4" s="36">
        <f>SUM($M$13:$M$16)</f>
        <v>13.663728072948778</v>
      </c>
      <c r="J4" s="49" t="str">
        <f>IF(language=1,"PROB.","PROBABILITY")</f>
        <v>PROBABILITY</v>
      </c>
      <c r="K4" s="50" t="str">
        <f>IF(language=1,"COSTE","COST")</f>
        <v>COST</v>
      </c>
      <c r="L4" s="52" t="str">
        <f>unitLE</f>
        <v>LY</v>
      </c>
      <c r="M4" s="54" t="str">
        <f>unitQALE</f>
        <v>QALY</v>
      </c>
      <c r="N4" s="8"/>
      <c r="O4" s="50" t="str">
        <f>IF(language=1,"COSTE","COST")</f>
        <v>COST</v>
      </c>
      <c r="P4" s="52" t="str">
        <f>unitLE</f>
        <v>LY</v>
      </c>
      <c r="Q4" s="54" t="str">
        <f>unitQALE</f>
        <v>QALY</v>
      </c>
      <c r="S4" s="52" t="str">
        <f>"Undiscounted "&amp;unitLE</f>
        <v>Undiscounted LY</v>
      </c>
    </row>
    <row r="6" spans="2:19" x14ac:dyDescent="0.3">
      <c r="B6" s="18"/>
      <c r="C6" s="18"/>
      <c r="D6" s="18" t="s">
        <v>228</v>
      </c>
      <c r="E6" s="18"/>
      <c r="F6" s="18"/>
      <c r="G6" s="18" t="s">
        <v>230</v>
      </c>
      <c r="H6" s="18"/>
      <c r="J6" s="48">
        <f xml:space="preserve"> $G$7</f>
        <v>0</v>
      </c>
      <c r="K6" s="9">
        <f>Model!J6 * Model!O6</f>
        <v>0</v>
      </c>
      <c r="L6" s="53">
        <f>Model!J6 * Model!P6</f>
        <v>0</v>
      </c>
      <c r="M6" s="51">
        <f>Model!J6 * Model!Q6</f>
        <v>0</v>
      </c>
      <c r="O6" s="9">
        <f>PV(discountQALE,Model!S6,-TEST1_BaseAnnualTreatmentCost-TEST1_SevereAnnualTreatmentCost-TEST1_InterventionEffectiveCost)</f>
        <v>51489.296336481973</v>
      </c>
      <c r="P6" s="67">
        <f>PV(discountLE,Model!S6,-1)</f>
        <v>24.518712541181895</v>
      </c>
      <c r="Q6" s="68">
        <f>PV(discountQALE,Model!S6,-TEST1_PopulationBaseUtility+TEST1_SevereDevelopmentDisutility)</f>
        <v>11.033420643531851</v>
      </c>
      <c r="R6" s="65"/>
      <c r="S6" s="53">
        <f>MIN(TEST1_LifeExpectancy- TEST1_LifetimeReduction, timeHorizon)</f>
        <v>45</v>
      </c>
    </row>
    <row r="7" spans="2:19" x14ac:dyDescent="0.3">
      <c r="C7" s="10"/>
      <c r="F7" s="10"/>
      <c r="G7" s="48">
        <f>TEST1_InterventionEffectiveEffect</f>
        <v>0</v>
      </c>
      <c r="P7" s="69"/>
      <c r="Q7" s="69"/>
    </row>
    <row r="8" spans="2:19" x14ac:dyDescent="0.3">
      <c r="C8" s="10"/>
      <c r="F8" s="10"/>
      <c r="P8" s="69"/>
      <c r="Q8" s="69"/>
    </row>
    <row r="9" spans="2:19" x14ac:dyDescent="0.3">
      <c r="C9" s="10"/>
      <c r="F9" s="11"/>
      <c r="G9" s="18" t="s">
        <v>231</v>
      </c>
      <c r="H9" s="18"/>
      <c r="J9" s="48">
        <f xml:space="preserve"> $G$10</f>
        <v>1</v>
      </c>
      <c r="K9" s="9">
        <f>Model!J9 * Model!O9</f>
        <v>31298.180670209567</v>
      </c>
      <c r="L9" s="53">
        <f>Model!J9 * Model!P9</f>
        <v>28.452891518372336</v>
      </c>
      <c r="M9" s="51">
        <f>Model!J9 * Model!Q9</f>
        <v>24.184957790616483</v>
      </c>
      <c r="O9" s="9">
        <f>PV(discountQALE,Model!S9,-TEST1_BaseAnnualTreatmentCost-TEST1_InterventionEffectiveCost)</f>
        <v>31298.180670209567</v>
      </c>
      <c r="P9" s="67">
        <f>PV(discountLE,Model!S9,-1)</f>
        <v>28.452891518372336</v>
      </c>
      <c r="Q9" s="68">
        <f>PV(discountQALE,Model!S9,-TEST1_PopulationBaseUtility)</f>
        <v>24.184957790616483</v>
      </c>
      <c r="S9" s="53">
        <f>MIN(TEST1_LifeExpectancy, timeHorizon)</f>
        <v>65</v>
      </c>
    </row>
    <row r="10" spans="2:19" x14ac:dyDescent="0.3">
      <c r="C10" s="10"/>
      <c r="G10" s="48">
        <f>1 - $G$7</f>
        <v>1</v>
      </c>
      <c r="P10" s="69"/>
      <c r="Q10" s="69"/>
    </row>
    <row r="11" spans="2:19" x14ac:dyDescent="0.3">
      <c r="C11" s="10"/>
      <c r="P11" s="69"/>
      <c r="Q11" s="69"/>
    </row>
    <row r="12" spans="2:19" x14ac:dyDescent="0.3">
      <c r="C12" s="10"/>
      <c r="P12" s="69"/>
      <c r="Q12" s="69"/>
    </row>
    <row r="13" spans="2:19" x14ac:dyDescent="0.3">
      <c r="C13" s="11"/>
      <c r="D13" s="18" t="s">
        <v>229</v>
      </c>
      <c r="E13" s="18"/>
      <c r="F13" s="18"/>
      <c r="G13" s="18" t="s">
        <v>230</v>
      </c>
      <c r="H13" s="18"/>
      <c r="J13" s="48">
        <f xml:space="preserve"> $G$14</f>
        <v>0.8</v>
      </c>
      <c r="K13" s="9">
        <f>Model!J13 * Model!O13</f>
        <v>39229.940065891031</v>
      </c>
      <c r="L13" s="53">
        <f>Model!J13 * Model!P13</f>
        <v>19.614970032945518</v>
      </c>
      <c r="M13" s="51">
        <f>Model!J13 * Model!Q13</f>
        <v>8.8267365148254822</v>
      </c>
      <c r="O13" s="9">
        <f>PV(discountQALE,Model!S13,-TEST1_BaseAnnualTreatmentCost-TEST1_SevereAnnualTreatmentCost)</f>
        <v>49037.425082363785</v>
      </c>
      <c r="P13" s="67">
        <f>PV(discountLE,Model!S13,-1)</f>
        <v>24.518712541181895</v>
      </c>
      <c r="Q13" s="68">
        <f>PV(discountQALE,Model!S13,-TEST1_PopulationBaseUtility+TEST1_SevereDevelopmentDisutility)</f>
        <v>11.033420643531851</v>
      </c>
      <c r="S13" s="53">
        <f>MIN(TEST1_LifeExpectancy- TEST1_LifetimeReduction, timeHorizon)</f>
        <v>45</v>
      </c>
    </row>
    <row r="14" spans="2:19" x14ac:dyDescent="0.3">
      <c r="F14" s="10"/>
      <c r="G14" s="48">
        <f>TEST1_SevereDevelopmentIncidence</f>
        <v>0.8</v>
      </c>
      <c r="P14" s="69"/>
      <c r="Q14" s="69"/>
    </row>
    <row r="15" spans="2:19" x14ac:dyDescent="0.3">
      <c r="F15" s="10"/>
      <c r="P15" s="69"/>
      <c r="Q15" s="69"/>
    </row>
    <row r="16" spans="2:19" x14ac:dyDescent="0.3">
      <c r="F16" s="11"/>
      <c r="G16" s="18" t="s">
        <v>231</v>
      </c>
      <c r="H16" s="18"/>
      <c r="J16" s="48">
        <f>$G$17</f>
        <v>0.19999999999999996</v>
      </c>
      <c r="K16" s="9">
        <f>Model!J16 * Model!O16</f>
        <v>5690.578303674466</v>
      </c>
      <c r="L16" s="53">
        <f>Model!J16 * Model!P16</f>
        <v>5.6905783036744664</v>
      </c>
      <c r="M16" s="51">
        <f>Model!J16 * Model!Q16</f>
        <v>4.8369915581232954</v>
      </c>
      <c r="O16" s="9">
        <f>PV(discountQALE,Model!S16,-TEST1_BaseAnnualTreatmentCost)</f>
        <v>28452.891518372337</v>
      </c>
      <c r="P16" s="67">
        <f>PV(discountLE,Model!S16,-1)</f>
        <v>28.452891518372336</v>
      </c>
      <c r="Q16" s="68">
        <f>PV(discountQALE,Model!S16,-TEST1_PopulationBaseUtility)</f>
        <v>24.184957790616483</v>
      </c>
      <c r="S16" s="53">
        <f>MIN(TEST1_LifeExpectancy, timeHorizon)</f>
        <v>65</v>
      </c>
    </row>
    <row r="17" spans="7:7" x14ac:dyDescent="0.3">
      <c r="G17" s="48">
        <f>1 - $G$14</f>
        <v>0.19999999999999996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MC"/>
  <dimension ref="A1:AZ1011"/>
  <sheetViews>
    <sheetView workbookViewId="0">
      <pane xSplit="1" ySplit="11" topLeftCell="B12" activePane="bottomRight" state="frozen"/>
      <selection pane="topRight" activeCell="B1" sqref="B1"/>
      <selection pane="bottomLeft" activeCell="A11" sqref="A11"/>
      <selection pane="bottomRight" activeCell="Y1" sqref="Y1:AA11"/>
    </sheetView>
  </sheetViews>
  <sheetFormatPr baseColWidth="10" defaultColWidth="11.5546875" defaultRowHeight="14.4" x14ac:dyDescent="0.3"/>
  <cols>
    <col min="1" max="6" width="11.5546875" style="8"/>
    <col min="7" max="13" width="11.6640625" style="8" bestFit="1" customWidth="1"/>
    <col min="14" max="14" width="12" style="8" bestFit="1" customWidth="1"/>
    <col min="15" max="16" width="12" style="8" customWidth="1"/>
    <col min="17" max="17" width="11.6640625" style="8" bestFit="1" customWidth="1"/>
    <col min="18" max="18" width="11.6640625" style="8" customWidth="1"/>
    <col min="19" max="20" width="11.6640625" style="8" bestFit="1" customWidth="1"/>
    <col min="21" max="24" width="11.6640625" style="8" customWidth="1"/>
    <col min="25" max="26" width="11.6640625" style="8" bestFit="1" customWidth="1"/>
    <col min="27" max="27" width="11.6640625" style="8" customWidth="1"/>
    <col min="28" max="28" width="11.6640625" style="8" bestFit="1" customWidth="1"/>
    <col min="29" max="29" width="11.6640625" style="8" customWidth="1"/>
    <col min="30" max="33" width="11.6640625" style="8" bestFit="1" customWidth="1"/>
    <col min="34" max="34" width="11.6640625" style="8" customWidth="1"/>
    <col min="35" max="38" width="11.6640625" style="8" bestFit="1" customWidth="1"/>
    <col min="39" max="39" width="11.6640625" style="8" customWidth="1"/>
    <col min="40" max="41" width="11.6640625" style="8" bestFit="1" customWidth="1"/>
    <col min="42" max="42" width="11.6640625" style="8" customWidth="1"/>
    <col min="43" max="43" width="11.6640625" style="8" bestFit="1" customWidth="1"/>
    <col min="44" max="44" width="11.6640625" style="8" customWidth="1"/>
    <col min="45" max="45" width="11.6640625" style="8" bestFit="1" customWidth="1"/>
    <col min="46" max="47" width="11.6640625" style="8" customWidth="1"/>
    <col min="48" max="52" width="11.6640625" style="8" bestFit="1" customWidth="1"/>
    <col min="53" max="16384" width="11.5546875" style="8"/>
  </cols>
  <sheetData>
    <row r="1" spans="1:52" s="32" customFormat="1" x14ac:dyDescent="0.3">
      <c r="A1" s="33"/>
      <c r="B1" s="33" t="s">
        <v>0</v>
      </c>
      <c r="C1" s="33" t="s">
        <v>50</v>
      </c>
      <c r="D1" s="33" t="s">
        <v>52</v>
      </c>
      <c r="E1" s="33" t="s">
        <v>51</v>
      </c>
      <c r="F1" s="33" t="s">
        <v>53</v>
      </c>
      <c r="G1" s="33" t="s">
        <v>205</v>
      </c>
      <c r="H1" s="33" t="s">
        <v>206</v>
      </c>
      <c r="I1" s="33" t="s">
        <v>207</v>
      </c>
      <c r="J1" s="33" t="s">
        <v>208</v>
      </c>
      <c r="K1" s="33" t="s">
        <v>209</v>
      </c>
      <c r="L1" s="33" t="s">
        <v>210</v>
      </c>
      <c r="M1" s="33" t="s">
        <v>199</v>
      </c>
      <c r="N1" s="33" t="s">
        <v>233</v>
      </c>
      <c r="O1" s="33" t="s">
        <v>213</v>
      </c>
      <c r="P1" s="33" t="s">
        <v>215</v>
      </c>
      <c r="Q1" s="33" t="s">
        <v>217</v>
      </c>
      <c r="R1" s="33" t="s">
        <v>219</v>
      </c>
      <c r="S1" s="33" t="s">
        <v>221</v>
      </c>
      <c r="T1" s="33" t="s">
        <v>222</v>
      </c>
      <c r="U1" s="33" t="s">
        <v>223</v>
      </c>
      <c r="V1" s="33" t="s">
        <v>226</v>
      </c>
      <c r="W1" s="33" t="s">
        <v>227</v>
      </c>
      <c r="X1" s="33" t="s">
        <v>232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</row>
    <row r="2" spans="1:52" s="61" customFormat="1" x14ac:dyDescent="0.3">
      <c r="A2" s="22" t="s">
        <v>1</v>
      </c>
      <c r="B2" s="60">
        <f t="shared" ref="B2:M2" ca="1" si="0">AVERAGE(OFFSET(B$12,0,0,nSim))</f>
        <v>0.51520554272849406</v>
      </c>
      <c r="C2" s="60">
        <f t="shared" ca="1" si="0"/>
        <v>6.8184080240197173E-5</v>
      </c>
      <c r="D2" s="60">
        <f t="shared" ca="1" si="0"/>
        <v>10067.620042486955</v>
      </c>
      <c r="E2" s="60">
        <f t="shared" ca="1" si="0"/>
        <v>4.6400552324080023E-5</v>
      </c>
      <c r="F2" s="60">
        <f t="shared" ca="1" si="0"/>
        <v>25832.671986696805</v>
      </c>
      <c r="G2" s="60">
        <f t="shared" ca="1" si="0"/>
        <v>0.65539027292716223</v>
      </c>
      <c r="H2" s="60">
        <f t="shared" ca="1" si="0"/>
        <v>30.95810022220444</v>
      </c>
      <c r="I2" s="60">
        <f t="shared" ca="1" si="0"/>
        <v>30.958098543677135</v>
      </c>
      <c r="J2" s="60">
        <f t="shared" ca="1" si="0"/>
        <v>0.14018473019866709</v>
      </c>
      <c r="K2" s="60">
        <f t="shared" ca="1" si="0"/>
        <v>30.958053821652076</v>
      </c>
      <c r="L2" s="60">
        <f t="shared" ca="1" si="0"/>
        <v>30.958030359596894</v>
      </c>
      <c r="M2" s="60">
        <f t="shared" ca="1" si="0"/>
        <v>11.992000000000001</v>
      </c>
      <c r="N2" s="60" t="e">
        <f t="shared" ref="N2:X2" ca="1" si="1">AVERAGE(OFFSET(N$12,0,0,nSim))</f>
        <v>#DIV/0!</v>
      </c>
      <c r="O2" s="60" t="e">
        <f t="shared" ca="1" si="1"/>
        <v>#DIV/0!</v>
      </c>
      <c r="P2" s="60" t="e">
        <f t="shared" ca="1" si="1"/>
        <v>#DIV/0!</v>
      </c>
      <c r="Q2" s="60" t="e">
        <f t="shared" ca="1" si="1"/>
        <v>#DIV/0!</v>
      </c>
      <c r="R2" s="60" t="e">
        <f t="shared" ca="1" si="1"/>
        <v>#DIV/0!</v>
      </c>
      <c r="S2" s="60" t="e">
        <f t="shared" ca="1" si="1"/>
        <v>#DIV/0!</v>
      </c>
      <c r="T2" s="60" t="e">
        <f t="shared" ca="1" si="1"/>
        <v>#DIV/0!</v>
      </c>
      <c r="U2" s="60" t="e">
        <f t="shared" ca="1" si="1"/>
        <v>#DIV/0!</v>
      </c>
      <c r="V2" s="60" t="e">
        <f t="shared" ca="1" si="1"/>
        <v>#DIV/0!</v>
      </c>
      <c r="W2" s="60" t="e">
        <f t="shared" ca="1" si="1"/>
        <v>#DIV/0!</v>
      </c>
      <c r="X2" s="60" t="e">
        <f t="shared" ca="1" si="1"/>
        <v>#DIV/0!</v>
      </c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</row>
    <row r="3" spans="1:52" s="61" customFormat="1" x14ac:dyDescent="0.3">
      <c r="A3" s="22" t="s">
        <v>2</v>
      </c>
      <c r="B3" s="60">
        <f t="shared" ref="B3:M3" ca="1" si="2">STDEV(OFFSET(B$12,0,0,nSim))</f>
        <v>0.18755896537793268</v>
      </c>
      <c r="C3" s="60">
        <f t="shared" ca="1" si="2"/>
        <v>4.0926075825856798E-5</v>
      </c>
      <c r="D3" s="60">
        <f t="shared" ca="1" si="2"/>
        <v>6084.8455029016559</v>
      </c>
      <c r="E3" s="60">
        <f t="shared" ca="1" si="2"/>
        <v>4.1651036086830293E-5</v>
      </c>
      <c r="F3" s="60">
        <f t="shared" ca="1" si="2"/>
        <v>33303.171611728852</v>
      </c>
      <c r="G3" s="60">
        <f t="shared" ca="1" si="2"/>
        <v>0.18754312617501981</v>
      </c>
      <c r="H3" s="60">
        <f t="shared" ca="1" si="2"/>
        <v>3.0168422435265234E-6</v>
      </c>
      <c r="I3" s="60">
        <f t="shared" ca="1" si="2"/>
        <v>4.0717085162378692E-6</v>
      </c>
      <c r="J3" s="60">
        <f t="shared" ca="1" si="2"/>
        <v>0.1276738439748264</v>
      </c>
      <c r="K3" s="60">
        <f t="shared" ca="1" si="2"/>
        <v>4.2720910701189161E-5</v>
      </c>
      <c r="L3" s="60">
        <f t="shared" ca="1" si="2"/>
        <v>4.2088447230243163E-5</v>
      </c>
      <c r="M3" s="60">
        <f t="shared" ca="1" si="2"/>
        <v>1.9778391865487535</v>
      </c>
      <c r="N3" s="60" t="e">
        <f t="shared" ref="N3:X3" ca="1" si="3">STDEV(OFFSET(N$12,0,0,nSim))</f>
        <v>#DIV/0!</v>
      </c>
      <c r="O3" s="60" t="e">
        <f t="shared" ca="1" si="3"/>
        <v>#DIV/0!</v>
      </c>
      <c r="P3" s="60" t="e">
        <f t="shared" ca="1" si="3"/>
        <v>#DIV/0!</v>
      </c>
      <c r="Q3" s="60" t="e">
        <f t="shared" ca="1" si="3"/>
        <v>#DIV/0!</v>
      </c>
      <c r="R3" s="60" t="e">
        <f t="shared" ca="1" si="3"/>
        <v>#DIV/0!</v>
      </c>
      <c r="S3" s="60" t="e">
        <f t="shared" ca="1" si="3"/>
        <v>#DIV/0!</v>
      </c>
      <c r="T3" s="60" t="e">
        <f t="shared" ca="1" si="3"/>
        <v>#DIV/0!</v>
      </c>
      <c r="U3" s="60" t="e">
        <f t="shared" ca="1" si="3"/>
        <v>#DIV/0!</v>
      </c>
      <c r="V3" s="60" t="e">
        <f t="shared" ca="1" si="3"/>
        <v>#DIV/0!</v>
      </c>
      <c r="W3" s="60" t="e">
        <f t="shared" ca="1" si="3"/>
        <v>#DIV/0!</v>
      </c>
      <c r="X3" s="60" t="e">
        <f t="shared" ca="1" si="3"/>
        <v>#DIV/0!</v>
      </c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</row>
    <row r="4" spans="1:52" s="61" customFormat="1" x14ac:dyDescent="0.3">
      <c r="A4" s="22" t="s">
        <v>186</v>
      </c>
      <c r="B4" s="60">
        <f t="shared" ref="B4:M4" ca="1" si="4">PERCENTILE(OFFSET(B$12,0,0,nSim),0.5)</f>
        <v>0.50173989313945067</v>
      </c>
      <c r="C4" s="60">
        <f t="shared" ca="1" si="4"/>
        <v>5.8147490603843721E-5</v>
      </c>
      <c r="D4" s="60">
        <f t="shared" ca="1" si="4"/>
        <v>9164.4751558399876</v>
      </c>
      <c r="E4" s="60">
        <f t="shared" ca="1" si="4"/>
        <v>3.4212041345682564E-5</v>
      </c>
      <c r="F4" s="60">
        <f t="shared" ca="1" si="4"/>
        <v>15278.155544802963</v>
      </c>
      <c r="G4" s="60">
        <f t="shared" ca="1" si="4"/>
        <v>0.63373621066766905</v>
      </c>
      <c r="H4" s="60">
        <f t="shared" ca="1" si="4"/>
        <v>30.958101195826686</v>
      </c>
      <c r="I4" s="60">
        <f t="shared" ca="1" si="4"/>
        <v>30.958099680285343</v>
      </c>
      <c r="J4" s="60">
        <f t="shared" ca="1" si="4"/>
        <v>0.10097855647445531</v>
      </c>
      <c r="K4" s="60">
        <f t="shared" ca="1" si="4"/>
        <v>30.958066083267454</v>
      </c>
      <c r="L4" s="60">
        <f t="shared" ca="1" si="4"/>
        <v>30.958040585203555</v>
      </c>
      <c r="M4" s="60">
        <f t="shared" ca="1" si="4"/>
        <v>12</v>
      </c>
      <c r="N4" s="60" t="e">
        <f t="shared" ref="N4:X4" ca="1" si="5">PERCENTILE(OFFSET(N$12,0,0,nSim),0.5)</f>
        <v>#NUM!</v>
      </c>
      <c r="O4" s="60" t="e">
        <f t="shared" ca="1" si="5"/>
        <v>#NUM!</v>
      </c>
      <c r="P4" s="60" t="e">
        <f t="shared" ca="1" si="5"/>
        <v>#NUM!</v>
      </c>
      <c r="Q4" s="60" t="e">
        <f t="shared" ca="1" si="5"/>
        <v>#NUM!</v>
      </c>
      <c r="R4" s="60" t="e">
        <f t="shared" ca="1" si="5"/>
        <v>#NUM!</v>
      </c>
      <c r="S4" s="60" t="e">
        <f t="shared" ca="1" si="5"/>
        <v>#NUM!</v>
      </c>
      <c r="T4" s="60" t="e">
        <f t="shared" ca="1" si="5"/>
        <v>#NUM!</v>
      </c>
      <c r="U4" s="60" t="e">
        <f t="shared" ca="1" si="5"/>
        <v>#NUM!</v>
      </c>
      <c r="V4" s="60" t="e">
        <f t="shared" ca="1" si="5"/>
        <v>#NUM!</v>
      </c>
      <c r="W4" s="60" t="e">
        <f t="shared" ca="1" si="5"/>
        <v>#NUM!</v>
      </c>
      <c r="X4" s="60" t="e">
        <f t="shared" ca="1" si="5"/>
        <v>#NUM!</v>
      </c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s="61" customFormat="1" x14ac:dyDescent="0.3">
      <c r="A5" s="22" t="s">
        <v>3</v>
      </c>
      <c r="B5" s="60">
        <f t="shared" ref="B5:M5" ca="1" si="6">PERCENTILE(OFFSET(B$12,0,0,nSim),0.025)</f>
        <v>0.16104425002069556</v>
      </c>
      <c r="C5" s="60">
        <f t="shared" ca="1" si="6"/>
        <v>2.0446661846396096E-5</v>
      </c>
      <c r="D5" s="60">
        <f t="shared" ca="1" si="6"/>
        <v>1629.4698987334191</v>
      </c>
      <c r="E5" s="60">
        <f t="shared" ca="1" si="6"/>
        <v>4.7794960750913161E-6</v>
      </c>
      <c r="F5" s="60">
        <f t="shared" ca="1" si="6"/>
        <v>1973.7192530081581</v>
      </c>
      <c r="G5" s="60">
        <f t="shared" ca="1" si="6"/>
        <v>0.35499359036288147</v>
      </c>
      <c r="H5" s="60">
        <f t="shared" ca="1" si="6"/>
        <v>30.958093312614579</v>
      </c>
      <c r="I5" s="60">
        <f t="shared" ca="1" si="6"/>
        <v>30.958088986828837</v>
      </c>
      <c r="J5" s="60">
        <f t="shared" ca="1" si="6"/>
        <v>1.8615516953922676E-2</v>
      </c>
      <c r="K5" s="60">
        <f t="shared" ca="1" si="6"/>
        <v>30.957933987094474</v>
      </c>
      <c r="L5" s="60">
        <f t="shared" ca="1" si="6"/>
        <v>30.957916633767983</v>
      </c>
      <c r="M5" s="60">
        <f t="shared" ca="1" si="6"/>
        <v>9</v>
      </c>
      <c r="N5" s="60" t="e">
        <f t="shared" ref="N5:X5" ca="1" si="7">PERCENTILE(OFFSET(N$12,0,0,nSim),0.025)</f>
        <v>#NUM!</v>
      </c>
      <c r="O5" s="60" t="e">
        <f t="shared" ca="1" si="7"/>
        <v>#NUM!</v>
      </c>
      <c r="P5" s="60" t="e">
        <f t="shared" ca="1" si="7"/>
        <v>#NUM!</v>
      </c>
      <c r="Q5" s="60" t="e">
        <f t="shared" ca="1" si="7"/>
        <v>#NUM!</v>
      </c>
      <c r="R5" s="60" t="e">
        <f t="shared" ca="1" si="7"/>
        <v>#NUM!</v>
      </c>
      <c r="S5" s="60" t="e">
        <f t="shared" ca="1" si="7"/>
        <v>#NUM!</v>
      </c>
      <c r="T5" s="60" t="e">
        <f t="shared" ca="1" si="7"/>
        <v>#NUM!</v>
      </c>
      <c r="U5" s="60" t="e">
        <f t="shared" ca="1" si="7"/>
        <v>#NUM!</v>
      </c>
      <c r="V5" s="60" t="e">
        <f t="shared" ca="1" si="7"/>
        <v>#NUM!</v>
      </c>
      <c r="W5" s="60" t="e">
        <f t="shared" ca="1" si="7"/>
        <v>#NUM!</v>
      </c>
      <c r="X5" s="60" t="e">
        <f t="shared" ca="1" si="7"/>
        <v>#NUM!</v>
      </c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</row>
    <row r="6" spans="1:52" s="61" customFormat="1" x14ac:dyDescent="0.3">
      <c r="A6" s="22" t="s">
        <v>4</v>
      </c>
      <c r="B6" s="60">
        <f t="shared" ref="B6:M6" ca="1" si="8">PERCENTILE(OFFSET(B$12,0,0,nSim),0.975)</f>
        <v>0.92971742687449421</v>
      </c>
      <c r="C6" s="60">
        <f t="shared" ca="1" si="8"/>
        <v>1.8052928108920339E-4</v>
      </c>
      <c r="D6" s="60">
        <f t="shared" ca="1" si="8"/>
        <v>23838.807931282736</v>
      </c>
      <c r="E6" s="60">
        <f t="shared" ca="1" si="8"/>
        <v>1.6415787258798885E-4</v>
      </c>
      <c r="F6" s="60">
        <f t="shared" ca="1" si="8"/>
        <v>115288.05397535708</v>
      </c>
      <c r="G6" s="60">
        <f t="shared" ca="1" si="8"/>
        <v>1.0931488775836238</v>
      </c>
      <c r="H6" s="60">
        <f t="shared" ca="1" si="8"/>
        <v>30.958101551195579</v>
      </c>
      <c r="I6" s="60">
        <f t="shared" ca="1" si="8"/>
        <v>30.958101334501873</v>
      </c>
      <c r="J6" s="60">
        <f t="shared" ca="1" si="8"/>
        <v>0.50092336003379689</v>
      </c>
      <c r="K6" s="60">
        <f t="shared" ca="1" si="8"/>
        <v>30.958096594244363</v>
      </c>
      <c r="L6" s="60">
        <f t="shared" ca="1" si="8"/>
        <v>30.958078769965308</v>
      </c>
      <c r="M6" s="60">
        <f t="shared" ca="1" si="8"/>
        <v>15</v>
      </c>
      <c r="N6" s="60" t="e">
        <f t="shared" ref="N6:X6" ca="1" si="9">PERCENTILE(OFFSET(N$12,0,0,nSim),0.975)</f>
        <v>#NUM!</v>
      </c>
      <c r="O6" s="60" t="e">
        <f t="shared" ca="1" si="9"/>
        <v>#NUM!</v>
      </c>
      <c r="P6" s="60" t="e">
        <f t="shared" ca="1" si="9"/>
        <v>#NUM!</v>
      </c>
      <c r="Q6" s="60" t="e">
        <f t="shared" ca="1" si="9"/>
        <v>#NUM!</v>
      </c>
      <c r="R6" s="60" t="e">
        <f t="shared" ca="1" si="9"/>
        <v>#NUM!</v>
      </c>
      <c r="S6" s="60" t="e">
        <f t="shared" ca="1" si="9"/>
        <v>#NUM!</v>
      </c>
      <c r="T6" s="60" t="e">
        <f t="shared" ca="1" si="9"/>
        <v>#NUM!</v>
      </c>
      <c r="U6" s="60" t="e">
        <f t="shared" ca="1" si="9"/>
        <v>#NUM!</v>
      </c>
      <c r="V6" s="60" t="e">
        <f t="shared" ca="1" si="9"/>
        <v>#NUM!</v>
      </c>
      <c r="W6" s="60" t="e">
        <f t="shared" ca="1" si="9"/>
        <v>#NUM!</v>
      </c>
      <c r="X6" s="60" t="e">
        <f t="shared" ca="1" si="9"/>
        <v>#NUM!</v>
      </c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</row>
    <row r="7" spans="1:52" s="61" customFormat="1" x14ac:dyDescent="0.3">
      <c r="A7" s="22" t="s">
        <v>10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>
        <f t="shared" ref="M7:X7" ca="1" si="10">INDEX(LINEST(OFFSET($B$12,0,0,nSim),OFFSET(M$12,0,0,nSim),TRUE,TRUE),3,1)</f>
        <v>1.0343508649858291E-6</v>
      </c>
      <c r="N7" s="60" t="e">
        <f t="shared" ca="1" si="10"/>
        <v>#VALUE!</v>
      </c>
      <c r="O7" s="60" t="e">
        <f t="shared" ca="1" si="10"/>
        <v>#VALUE!</v>
      </c>
      <c r="P7" s="60" t="e">
        <f t="shared" ca="1" si="10"/>
        <v>#VALUE!</v>
      </c>
      <c r="Q7" s="60" t="e">
        <f t="shared" ca="1" si="10"/>
        <v>#VALUE!</v>
      </c>
      <c r="R7" s="60" t="e">
        <f t="shared" ca="1" si="10"/>
        <v>#VALUE!</v>
      </c>
      <c r="S7" s="60" t="e">
        <f t="shared" ca="1" si="10"/>
        <v>#VALUE!</v>
      </c>
      <c r="T7" s="60" t="e">
        <f t="shared" ca="1" si="10"/>
        <v>#VALUE!</v>
      </c>
      <c r="U7" s="60" t="e">
        <f t="shared" ca="1" si="10"/>
        <v>#VALUE!</v>
      </c>
      <c r="V7" s="60" t="e">
        <f t="shared" ca="1" si="10"/>
        <v>#VALUE!</v>
      </c>
      <c r="W7" s="60" t="e">
        <f t="shared" ca="1" si="10"/>
        <v>#VALUE!</v>
      </c>
      <c r="X7" s="60" t="e">
        <f t="shared" ca="1" si="10"/>
        <v>#VALUE!</v>
      </c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</row>
    <row r="8" spans="1:52" s="61" customFormat="1" x14ac:dyDescent="0.3">
      <c r="A8" s="22" t="str">
        <f>"R2 ("&amp; unitQALE&amp;")"</f>
        <v>R2 (QALY)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>
        <f t="shared" ref="M8:X8" ca="1" si="11">INDEX(LINEST(OFFSET($C$12,0,0,nSim),OFFSET(M$12,0,0,nSim),TRUE,TRUE),3,1)</f>
        <v>5.6471822259082617E-6</v>
      </c>
      <c r="N8" s="60" t="e">
        <f t="shared" ca="1" si="11"/>
        <v>#VALUE!</v>
      </c>
      <c r="O8" s="60" t="e">
        <f t="shared" ca="1" si="11"/>
        <v>#VALUE!</v>
      </c>
      <c r="P8" s="60" t="e">
        <f t="shared" ca="1" si="11"/>
        <v>#VALUE!</v>
      </c>
      <c r="Q8" s="60" t="e">
        <f t="shared" ca="1" si="11"/>
        <v>#VALUE!</v>
      </c>
      <c r="R8" s="60" t="e">
        <f t="shared" ca="1" si="11"/>
        <v>#VALUE!</v>
      </c>
      <c r="S8" s="60" t="e">
        <f t="shared" ca="1" si="11"/>
        <v>#VALUE!</v>
      </c>
      <c r="T8" s="60" t="e">
        <f t="shared" ca="1" si="11"/>
        <v>#VALUE!</v>
      </c>
      <c r="U8" s="60" t="e">
        <f t="shared" ca="1" si="11"/>
        <v>#VALUE!</v>
      </c>
      <c r="V8" s="60" t="e">
        <f t="shared" ca="1" si="11"/>
        <v>#VALUE!</v>
      </c>
      <c r="W8" s="60" t="e">
        <f t="shared" ca="1" si="11"/>
        <v>#VALUE!</v>
      </c>
      <c r="X8" s="60" t="e">
        <f t="shared" ca="1" si="11"/>
        <v>#VALUE!</v>
      </c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</row>
    <row r="9" spans="1:52" s="61" customFormat="1" x14ac:dyDescent="0.3">
      <c r="A9" s="22" t="str">
        <f>"R2 ("&amp; unitLE&amp;")"</f>
        <v>R2 (LY)</v>
      </c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>
        <f t="shared" ref="M9:X9" ca="1" si="12">INDEX(LINEST(OFFSET($E$12,0,0,nSim),OFFSET(M$12,0,0,nSim),TRUE,TRUE),3,1)</f>
        <v>7.4388561797772074E-6</v>
      </c>
      <c r="N9" s="60" t="e">
        <f t="shared" ca="1" si="12"/>
        <v>#VALUE!</v>
      </c>
      <c r="O9" s="60" t="e">
        <f t="shared" ca="1" si="12"/>
        <v>#VALUE!</v>
      </c>
      <c r="P9" s="60" t="e">
        <f t="shared" ca="1" si="12"/>
        <v>#VALUE!</v>
      </c>
      <c r="Q9" s="60" t="e">
        <f t="shared" ca="1" si="12"/>
        <v>#VALUE!</v>
      </c>
      <c r="R9" s="60" t="e">
        <f t="shared" ca="1" si="12"/>
        <v>#VALUE!</v>
      </c>
      <c r="S9" s="60" t="e">
        <f t="shared" ca="1" si="12"/>
        <v>#VALUE!</v>
      </c>
      <c r="T9" s="60" t="e">
        <f t="shared" ca="1" si="12"/>
        <v>#VALUE!</v>
      </c>
      <c r="U9" s="60" t="e">
        <f t="shared" ca="1" si="12"/>
        <v>#VALUE!</v>
      </c>
      <c r="V9" s="60" t="e">
        <f t="shared" ca="1" si="12"/>
        <v>#VALUE!</v>
      </c>
      <c r="W9" s="60" t="e">
        <f t="shared" ca="1" si="12"/>
        <v>#VALUE!</v>
      </c>
      <c r="X9" s="60" t="e">
        <f t="shared" ca="1" si="12"/>
        <v>#VALUE!</v>
      </c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</row>
    <row r="10" spans="1:52" s="61" customFormat="1" x14ac:dyDescent="0.3">
      <c r="A10" s="3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</row>
    <row r="11" spans="1:52" s="61" customFormat="1" x14ac:dyDescent="0.3">
      <c r="A11" s="34" t="s">
        <v>49</v>
      </c>
      <c r="B11" s="63">
        <f ca="1">$G11-$J11</f>
        <v>-13622.337699355932</v>
      </c>
      <c r="C11" s="63">
        <f ca="1">$I11-$L11</f>
        <v>10.521229717667705</v>
      </c>
      <c r="D11" s="63">
        <f ca="1">$B11/$C11</f>
        <v>-1294.7476735044302</v>
      </c>
      <c r="E11" s="63">
        <f ca="1">$H11-$K11</f>
        <v>3.1473431817523512</v>
      </c>
      <c r="F11" s="63">
        <f ca="1">$B11/$E11</f>
        <v>-4328.2022050647183</v>
      </c>
      <c r="G11" s="63" cm="1">
        <f t="array" aca="1" ref="G11" ca="1">INDIRECT(G1)</f>
        <v>31298.180670209567</v>
      </c>
      <c r="H11" s="63" cm="1">
        <f t="array" aca="1" ref="H11" ca="1">INDIRECT(H1)</f>
        <v>28.452891518372336</v>
      </c>
      <c r="I11" s="63" cm="1">
        <f t="array" aca="1" ref="I11" ca="1">INDIRECT(I1)</f>
        <v>24.184957790616483</v>
      </c>
      <c r="J11" s="63" cm="1">
        <f t="array" aca="1" ref="J11" ca="1">INDIRECT(J1)</f>
        <v>44920.5183695655</v>
      </c>
      <c r="K11" s="63" cm="1">
        <f t="array" aca="1" ref="K11" ca="1">INDIRECT(K1)</f>
        <v>25.305548336619985</v>
      </c>
      <c r="L11" s="63" cm="1">
        <f t="array" aca="1" ref="L11" ca="1">INDIRECT(L1)</f>
        <v>13.663728072948778</v>
      </c>
      <c r="M11" s="63" t="e">
        <f t="shared" ref="M11:X11" ca="1" si="13">INDIRECT(M1)</f>
        <v>#REF!</v>
      </c>
      <c r="N11" s="63">
        <f t="shared" ca="1" si="13"/>
        <v>1000</v>
      </c>
      <c r="O11" s="63">
        <f t="shared" ca="1" si="13"/>
        <v>100</v>
      </c>
      <c r="P11" s="63">
        <f t="shared" ca="1" si="13"/>
        <v>0</v>
      </c>
      <c r="Q11" s="63">
        <f t="shared" ca="1" si="13"/>
        <v>65</v>
      </c>
      <c r="R11" s="63">
        <f t="shared" ca="1" si="13"/>
        <v>20</v>
      </c>
      <c r="S11" s="63">
        <f t="shared" ca="1" si="13"/>
        <v>20</v>
      </c>
      <c r="T11" s="63">
        <f t="shared" ca="1" si="13"/>
        <v>0.85</v>
      </c>
      <c r="U11" s="63">
        <f t="shared" ca="1" si="13"/>
        <v>0.5</v>
      </c>
      <c r="V11" s="63">
        <f t="shared" ca="1" si="13"/>
        <v>0.4</v>
      </c>
      <c r="W11" s="63">
        <f t="shared" ca="1" si="13"/>
        <v>0.8</v>
      </c>
      <c r="X11" s="63">
        <f t="shared" ca="1" si="13"/>
        <v>1000</v>
      </c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</row>
    <row r="12" spans="1:52" x14ac:dyDescent="0.3">
      <c r="A12" s="8">
        <v>1</v>
      </c>
      <c r="B12" s="8">
        <v>0.30777704850421</v>
      </c>
      <c r="C12" s="8">
        <v>1.0975793011880342E-4</v>
      </c>
      <c r="D12" s="8">
        <v>2804.1440665933487</v>
      </c>
      <c r="E12" s="8">
        <v>9.94383410350963E-5</v>
      </c>
      <c r="F12" s="8">
        <v>3095.1546988860314</v>
      </c>
      <c r="G12" s="8">
        <v>0.59923823553454969</v>
      </c>
      <c r="H12" s="8">
        <v>30.958098771414953</v>
      </c>
      <c r="I12" s="8">
        <v>30.958098269004005</v>
      </c>
      <c r="J12" s="8">
        <v>0.29146118703033969</v>
      </c>
      <c r="K12" s="8">
        <v>30.957999333073918</v>
      </c>
      <c r="L12" s="8">
        <v>30.957988511073886</v>
      </c>
      <c r="M12" s="8">
        <v>11</v>
      </c>
    </row>
    <row r="13" spans="1:52" x14ac:dyDescent="0.3">
      <c r="A13" s="8">
        <v>2</v>
      </c>
      <c r="B13" s="8">
        <v>0.55447105233393079</v>
      </c>
      <c r="C13" s="8">
        <v>7.5334869926280135E-5</v>
      </c>
      <c r="D13" s="8">
        <v>7360.0850824659983</v>
      </c>
      <c r="E13" s="8">
        <v>4.7404845300746956E-5</v>
      </c>
      <c r="F13" s="8">
        <v>11696.505891248928</v>
      </c>
      <c r="G13" s="8">
        <v>0.6491634229153771</v>
      </c>
      <c r="H13" s="8">
        <v>30.958099010388953</v>
      </c>
      <c r="I13" s="8">
        <v>30.958095883481622</v>
      </c>
      <c r="J13" s="8">
        <v>9.469237058144632E-2</v>
      </c>
      <c r="K13" s="8">
        <v>30.958051605543652</v>
      </c>
      <c r="L13" s="8">
        <v>30.958020548611696</v>
      </c>
      <c r="M13" s="8">
        <v>12</v>
      </c>
    </row>
    <row r="14" spans="1:52" x14ac:dyDescent="0.3">
      <c r="A14" s="8">
        <v>3</v>
      </c>
      <c r="B14" s="8">
        <v>0.3812620274153507</v>
      </c>
      <c r="C14" s="8">
        <v>2.0449315069726026E-5</v>
      </c>
      <c r="D14" s="8">
        <v>18644.244372750953</v>
      </c>
      <c r="E14" s="8">
        <v>1.0989490561996718E-5</v>
      </c>
      <c r="F14" s="8">
        <v>34693.330438247169</v>
      </c>
      <c r="G14" s="8">
        <v>0.44252530022313535</v>
      </c>
      <c r="H14" s="8">
        <v>30.958096488194816</v>
      </c>
      <c r="I14" s="8">
        <v>30.958090912785206</v>
      </c>
      <c r="J14" s="8">
        <v>6.1263272807784638E-2</v>
      </c>
      <c r="K14" s="8">
        <v>30.958085498704254</v>
      </c>
      <c r="L14" s="8">
        <v>30.958070463470136</v>
      </c>
      <c r="M14" s="8">
        <v>12</v>
      </c>
    </row>
    <row r="15" spans="1:52" x14ac:dyDescent="0.3">
      <c r="A15" s="8">
        <v>4</v>
      </c>
      <c r="B15" s="8">
        <v>0.75654540534544334</v>
      </c>
      <c r="C15" s="8">
        <v>3.3612803502336419E-5</v>
      </c>
      <c r="D15" s="8">
        <v>22507.655610840553</v>
      </c>
      <c r="E15" s="8">
        <v>9.1935887880367773E-6</v>
      </c>
      <c r="F15" s="8">
        <v>82290.542114511743</v>
      </c>
      <c r="G15" s="8">
        <v>0.8027354815801282</v>
      </c>
      <c r="H15" s="8">
        <v>30.958101548370145</v>
      </c>
      <c r="I15" s="8">
        <v>30.958099965030851</v>
      </c>
      <c r="J15" s="8">
        <v>4.6190076234684886E-2</v>
      </c>
      <c r="K15" s="8">
        <v>30.958092354781357</v>
      </c>
      <c r="L15" s="8">
        <v>30.958066352227348</v>
      </c>
      <c r="M15" s="8">
        <v>12</v>
      </c>
    </row>
    <row r="16" spans="1:52" x14ac:dyDescent="0.3">
      <c r="A16" s="8">
        <v>5</v>
      </c>
      <c r="B16" s="8">
        <v>0.56239970033740883</v>
      </c>
      <c r="C16" s="8">
        <v>2.3442394308403891E-5</v>
      </c>
      <c r="D16" s="8">
        <v>23990.710715747729</v>
      </c>
      <c r="E16" s="8">
        <v>5.0089708878431338E-6</v>
      </c>
      <c r="F16" s="8">
        <v>112278.49251477253</v>
      </c>
      <c r="G16" s="8">
        <v>0.58100236388809112</v>
      </c>
      <c r="H16" s="8">
        <v>30.958101549952257</v>
      </c>
      <c r="I16" s="8">
        <v>30.958100670806147</v>
      </c>
      <c r="J16" s="8">
        <v>1.8602663550682345E-2</v>
      </c>
      <c r="K16" s="8">
        <v>30.958096540981369</v>
      </c>
      <c r="L16" s="8">
        <v>30.958077228411838</v>
      </c>
      <c r="M16" s="8">
        <v>14</v>
      </c>
    </row>
    <row r="17" spans="1:13" x14ac:dyDescent="0.3">
      <c r="A17" s="8">
        <v>6</v>
      </c>
      <c r="B17" s="8">
        <v>0.58671426368644986</v>
      </c>
      <c r="C17" s="8">
        <v>4.1081552396349252E-5</v>
      </c>
      <c r="D17" s="8">
        <v>14281.696514920131</v>
      </c>
      <c r="E17" s="8">
        <v>1.5006695704755657E-5</v>
      </c>
      <c r="F17" s="8">
        <v>39096.832189415203</v>
      </c>
      <c r="G17" s="8">
        <v>0.64375826504395117</v>
      </c>
      <c r="H17" s="8">
        <v>30.958101537124946</v>
      </c>
      <c r="I17" s="8">
        <v>30.958101506939158</v>
      </c>
      <c r="J17" s="8">
        <v>5.7044001357501276E-2</v>
      </c>
      <c r="K17" s="8">
        <v>30.958086530429242</v>
      </c>
      <c r="L17" s="8">
        <v>30.958060425386762</v>
      </c>
      <c r="M17" s="8">
        <v>14</v>
      </c>
    </row>
    <row r="18" spans="1:13" x14ac:dyDescent="0.3">
      <c r="A18" s="8">
        <v>7</v>
      </c>
      <c r="B18" s="8">
        <v>0.67987857814432473</v>
      </c>
      <c r="C18" s="8">
        <v>6.0905694201807137E-5</v>
      </c>
      <c r="D18" s="8">
        <v>11162.80812581481</v>
      </c>
      <c r="E18" s="8">
        <v>2.8068164667161E-5</v>
      </c>
      <c r="F18" s="8">
        <v>24222.409487990659</v>
      </c>
      <c r="G18" s="8">
        <v>0.73822333693161934</v>
      </c>
      <c r="H18" s="8">
        <v>30.958101521580261</v>
      </c>
      <c r="I18" s="8">
        <v>30.958101204224469</v>
      </c>
      <c r="J18" s="8">
        <v>5.8344758787294608E-2</v>
      </c>
      <c r="K18" s="8">
        <v>30.958073453415594</v>
      </c>
      <c r="L18" s="8">
        <v>30.958040298530268</v>
      </c>
      <c r="M18" s="8">
        <v>15</v>
      </c>
    </row>
    <row r="19" spans="1:13" x14ac:dyDescent="0.3">
      <c r="A19" s="8">
        <v>8</v>
      </c>
      <c r="B19" s="8">
        <v>0.68705403635912776</v>
      </c>
      <c r="C19" s="8">
        <v>1.5540111890288699E-4</v>
      </c>
      <c r="D19" s="8">
        <v>4421.1653121267445</v>
      </c>
      <c r="E19" s="8">
        <v>1.2315164018161795E-4</v>
      </c>
      <c r="F19" s="8">
        <v>5578.9272099494119</v>
      </c>
      <c r="G19" s="8">
        <v>1.0087538460392844</v>
      </c>
      <c r="H19" s="8">
        <v>30.958095756793632</v>
      </c>
      <c r="I19" s="8">
        <v>30.958092547070908</v>
      </c>
      <c r="J19" s="8">
        <v>0.32169980968015671</v>
      </c>
      <c r="K19" s="8">
        <v>30.957972605153451</v>
      </c>
      <c r="L19" s="8">
        <v>30.957937145952005</v>
      </c>
      <c r="M19" s="8">
        <v>15</v>
      </c>
    </row>
    <row r="20" spans="1:13" x14ac:dyDescent="0.3">
      <c r="A20" s="8">
        <v>9</v>
      </c>
      <c r="B20" s="8">
        <v>0.34900585035560561</v>
      </c>
      <c r="C20" s="8">
        <v>6.1221932387667266E-5</v>
      </c>
      <c r="D20" s="8">
        <v>5700.6670117114827</v>
      </c>
      <c r="E20" s="8">
        <v>4.5990439559773222E-5</v>
      </c>
      <c r="F20" s="8">
        <v>7588.6608977069436</v>
      </c>
      <c r="G20" s="8">
        <v>0.49245693565344673</v>
      </c>
      <c r="H20" s="8">
        <v>30.958101551433387</v>
      </c>
      <c r="I20" s="8">
        <v>30.958100229787078</v>
      </c>
      <c r="J20" s="8">
        <v>0.14345108529784112</v>
      </c>
      <c r="K20" s="8">
        <v>30.958055560993827</v>
      </c>
      <c r="L20" s="8">
        <v>30.958039007854691</v>
      </c>
      <c r="M20" s="8">
        <v>14</v>
      </c>
    </row>
    <row r="21" spans="1:13" x14ac:dyDescent="0.3">
      <c r="A21" s="8">
        <v>10</v>
      </c>
      <c r="B21" s="8">
        <v>0.51805286598283296</v>
      </c>
      <c r="C21" s="8">
        <v>7.6006031008546415E-5</v>
      </c>
      <c r="D21" s="8">
        <v>6815.9441969095988</v>
      </c>
      <c r="E21" s="8">
        <v>5.0186234677340735E-5</v>
      </c>
      <c r="F21" s="8">
        <v>10322.608765401874</v>
      </c>
      <c r="G21" s="8">
        <v>0.63609472490252394</v>
      </c>
      <c r="H21" s="8">
        <v>30.95810134487153</v>
      </c>
      <c r="I21" s="8">
        <v>30.958100269222058</v>
      </c>
      <c r="J21" s="8">
        <v>0.11804185891969103</v>
      </c>
      <c r="K21" s="8">
        <v>30.958051158636852</v>
      </c>
      <c r="L21" s="8">
        <v>30.958024263191049</v>
      </c>
      <c r="M21" s="8">
        <v>14</v>
      </c>
    </row>
    <row r="22" spans="1:13" x14ac:dyDescent="0.3">
      <c r="A22" s="8">
        <v>11</v>
      </c>
      <c r="B22" s="8">
        <v>0.38851986155885559</v>
      </c>
      <c r="C22" s="8">
        <v>1.162889497798858E-4</v>
      </c>
      <c r="D22" s="8">
        <v>3340.9869320709686</v>
      </c>
      <c r="E22" s="8">
        <v>1.0057051471434875E-4</v>
      </c>
      <c r="F22" s="8">
        <v>3863.1587266145721</v>
      </c>
      <c r="G22" s="8">
        <v>0.5445766194850028</v>
      </c>
      <c r="H22" s="8">
        <v>30.958101445817629</v>
      </c>
      <c r="I22" s="8">
        <v>30.958101338150172</v>
      </c>
      <c r="J22" s="8">
        <v>0.1560567579261472</v>
      </c>
      <c r="K22" s="8">
        <v>30.958000875302915</v>
      </c>
      <c r="L22" s="8">
        <v>30.957985049200392</v>
      </c>
      <c r="M22" s="8">
        <v>13</v>
      </c>
    </row>
    <row r="23" spans="1:13" x14ac:dyDescent="0.3">
      <c r="A23" s="8">
        <v>12</v>
      </c>
      <c r="B23" s="8">
        <v>0.52790915683969986</v>
      </c>
      <c r="C23" s="8">
        <v>5.2242673241664761E-5</v>
      </c>
      <c r="D23" s="8">
        <v>10104.941498642145</v>
      </c>
      <c r="E23" s="8">
        <v>3.5904727575086781E-5</v>
      </c>
      <c r="F23" s="8">
        <v>14703.05423528684</v>
      </c>
      <c r="G23" s="8">
        <v>0.59202988001441414</v>
      </c>
      <c r="H23" s="8">
        <v>30.958101516276948</v>
      </c>
      <c r="I23" s="8">
        <v>30.958099645613135</v>
      </c>
      <c r="J23" s="8">
        <v>6.4120723174714303E-2</v>
      </c>
      <c r="K23" s="8">
        <v>30.958065611549372</v>
      </c>
      <c r="L23" s="8">
        <v>30.958047402939894</v>
      </c>
      <c r="M23" s="8">
        <v>11</v>
      </c>
    </row>
    <row r="24" spans="1:13" x14ac:dyDescent="0.3">
      <c r="A24" s="8">
        <v>13</v>
      </c>
      <c r="B24" s="8">
        <v>0.94815968039854925</v>
      </c>
      <c r="C24" s="8">
        <v>1.0264235730517157E-4</v>
      </c>
      <c r="D24" s="8">
        <v>9237.5088149965632</v>
      </c>
      <c r="E24" s="8">
        <v>4.4777055482114747E-5</v>
      </c>
      <c r="F24" s="8">
        <v>21175.123513364379</v>
      </c>
      <c r="G24" s="8">
        <v>1.149066612932452</v>
      </c>
      <c r="H24" s="8">
        <v>30.958101282853445</v>
      </c>
      <c r="I24" s="8">
        <v>30.95809962069135</v>
      </c>
      <c r="J24" s="8">
        <v>0.20090693253390277</v>
      </c>
      <c r="K24" s="8">
        <v>30.958056505797963</v>
      </c>
      <c r="L24" s="8">
        <v>30.957996978334045</v>
      </c>
      <c r="M24" s="8">
        <v>10</v>
      </c>
    </row>
    <row r="25" spans="1:13" x14ac:dyDescent="0.3">
      <c r="A25" s="8">
        <v>14</v>
      </c>
      <c r="B25" s="8">
        <v>0.43284431643731652</v>
      </c>
      <c r="C25" s="8">
        <v>2.3232630081082561E-5</v>
      </c>
      <c r="D25" s="8">
        <v>18630.878851282749</v>
      </c>
      <c r="E25" s="8">
        <v>7.9645293098451475E-6</v>
      </c>
      <c r="F25" s="8">
        <v>54346.503051004809</v>
      </c>
      <c r="G25" s="8">
        <v>0.49861870358555077</v>
      </c>
      <c r="H25" s="8">
        <v>30.958101518112283</v>
      </c>
      <c r="I25" s="8">
        <v>30.958100562854511</v>
      </c>
      <c r="J25" s="8">
        <v>6.5774387148234234E-2</v>
      </c>
      <c r="K25" s="8">
        <v>30.958093553582973</v>
      </c>
      <c r="L25" s="8">
        <v>30.95807733022443</v>
      </c>
      <c r="M25" s="8">
        <v>13</v>
      </c>
    </row>
    <row r="26" spans="1:13" x14ac:dyDescent="0.3">
      <c r="A26" s="8">
        <v>15</v>
      </c>
      <c r="B26" s="8">
        <v>0.35414804511941678</v>
      </c>
      <c r="C26" s="8">
        <v>5.8044191863615424E-5</v>
      </c>
      <c r="D26" s="8">
        <v>6101.351982840024</v>
      </c>
      <c r="E26" s="8">
        <v>4.3453302200902044E-5</v>
      </c>
      <c r="F26" s="8">
        <v>8150.0835881712355</v>
      </c>
      <c r="G26" s="8">
        <v>0.48169615878027677</v>
      </c>
      <c r="H26" s="8">
        <v>30.958101551454213</v>
      </c>
      <c r="I26" s="8">
        <v>30.958100545249632</v>
      </c>
      <c r="J26" s="8">
        <v>0.12754811366086</v>
      </c>
      <c r="K26" s="8">
        <v>30.958058098152012</v>
      </c>
      <c r="L26" s="8">
        <v>30.958042501057768</v>
      </c>
      <c r="M26" s="8">
        <v>11</v>
      </c>
    </row>
    <row r="27" spans="1:13" x14ac:dyDescent="0.3">
      <c r="A27" s="8">
        <v>16</v>
      </c>
      <c r="B27" s="8">
        <v>0.11159169613372233</v>
      </c>
      <c r="C27" s="8">
        <v>5.22966492368937E-5</v>
      </c>
      <c r="D27" s="8">
        <v>2133.8211484302474</v>
      </c>
      <c r="E27" s="8">
        <v>4.0905236335930795E-5</v>
      </c>
      <c r="F27" s="8">
        <v>2728.0540617657102</v>
      </c>
      <c r="G27" s="8">
        <v>0.34338669247981912</v>
      </c>
      <c r="H27" s="8">
        <v>30.958099228675518</v>
      </c>
      <c r="I27" s="8">
        <v>30.95809772179323</v>
      </c>
      <c r="J27" s="8">
        <v>0.23179499634609679</v>
      </c>
      <c r="K27" s="8">
        <v>30.958058323439182</v>
      </c>
      <c r="L27" s="8">
        <v>30.958045425143993</v>
      </c>
      <c r="M27" s="8">
        <v>14</v>
      </c>
    </row>
    <row r="28" spans="1:13" x14ac:dyDescent="0.3">
      <c r="A28" s="8">
        <v>17</v>
      </c>
      <c r="B28" s="8">
        <v>0.50064836998902518</v>
      </c>
      <c r="C28" s="8">
        <v>3.5603198071498809E-5</v>
      </c>
      <c r="D28" s="8">
        <v>14061.893231715212</v>
      </c>
      <c r="E28" s="8">
        <v>1.7025859744279614E-5</v>
      </c>
      <c r="F28" s="8">
        <v>29405.174100370121</v>
      </c>
      <c r="G28" s="8">
        <v>0.67678491457982182</v>
      </c>
      <c r="H28" s="8">
        <v>30.95810105441377</v>
      </c>
      <c r="I28" s="8">
        <v>30.958099775376514</v>
      </c>
      <c r="J28" s="8">
        <v>0.17613654459079667</v>
      </c>
      <c r="K28" s="8">
        <v>30.958084028554026</v>
      </c>
      <c r="L28" s="8">
        <v>30.958064172178442</v>
      </c>
      <c r="M28" s="8">
        <v>14</v>
      </c>
    </row>
    <row r="29" spans="1:13" x14ac:dyDescent="0.3">
      <c r="A29" s="8">
        <v>18</v>
      </c>
      <c r="B29" s="8">
        <v>0.33623510553488839</v>
      </c>
      <c r="C29" s="8">
        <v>4.7839131415372549E-5</v>
      </c>
      <c r="D29" s="8">
        <v>7028.4533934251813</v>
      </c>
      <c r="E29" s="8">
        <v>3.5864573021626711E-5</v>
      </c>
      <c r="F29" s="8">
        <v>9375.1319814161761</v>
      </c>
      <c r="G29" s="8">
        <v>0.42554650054503157</v>
      </c>
      <c r="H29" s="8">
        <v>30.958100892452968</v>
      </c>
      <c r="I29" s="8">
        <v>30.958100380608307</v>
      </c>
      <c r="J29" s="8">
        <v>8.9311395010143166E-2</v>
      </c>
      <c r="K29" s="8">
        <v>30.958065027879947</v>
      </c>
      <c r="L29" s="8">
        <v>30.958052541476892</v>
      </c>
      <c r="M29" s="8">
        <v>9</v>
      </c>
    </row>
    <row r="30" spans="1:13" x14ac:dyDescent="0.3">
      <c r="A30" s="8">
        <v>19</v>
      </c>
      <c r="B30" s="8">
        <v>0.38835401340720377</v>
      </c>
      <c r="C30" s="8">
        <v>8.6238237454239197E-5</v>
      </c>
      <c r="D30" s="8">
        <v>4503.2693718175424</v>
      </c>
      <c r="E30" s="8">
        <v>5.7515273105934739E-5</v>
      </c>
      <c r="F30" s="8">
        <v>6752.1893305089998</v>
      </c>
      <c r="G30" s="8">
        <v>0.51482390126681299</v>
      </c>
      <c r="H30" s="8">
        <v>30.95809730125</v>
      </c>
      <c r="I30" s="8">
        <v>30.958094496565003</v>
      </c>
      <c r="J30" s="8">
        <v>0.12646988785960919</v>
      </c>
      <c r="K30" s="8">
        <v>30.958039785976894</v>
      </c>
      <c r="L30" s="8">
        <v>30.958008258327549</v>
      </c>
      <c r="M30" s="8">
        <v>13</v>
      </c>
    </row>
    <row r="31" spans="1:13" x14ac:dyDescent="0.3">
      <c r="A31" s="8">
        <v>20</v>
      </c>
      <c r="B31" s="8">
        <v>0.53383646033558474</v>
      </c>
      <c r="C31" s="8">
        <v>7.7485046169556426E-5</v>
      </c>
      <c r="D31" s="8">
        <v>6889.541746770321</v>
      </c>
      <c r="E31" s="8">
        <v>3.3011301670882176E-5</v>
      </c>
      <c r="F31" s="8">
        <v>16171.324162187113</v>
      </c>
      <c r="G31" s="8">
        <v>0.710682228246444</v>
      </c>
      <c r="H31" s="8">
        <v>30.958101549309092</v>
      </c>
      <c r="I31" s="8">
        <v>30.958098983638262</v>
      </c>
      <c r="J31" s="8">
        <v>0.17684576791085926</v>
      </c>
      <c r="K31" s="8">
        <v>30.958068538007421</v>
      </c>
      <c r="L31" s="8">
        <v>30.958021498592093</v>
      </c>
      <c r="M31" s="8">
        <v>11</v>
      </c>
    </row>
    <row r="32" spans="1:13" x14ac:dyDescent="0.3">
      <c r="A32" s="8">
        <v>21</v>
      </c>
      <c r="B32" s="8">
        <v>0.47877290857562937</v>
      </c>
      <c r="C32" s="8">
        <v>3.1141353272090555E-5</v>
      </c>
      <c r="D32" s="8">
        <v>15374.184429059938</v>
      </c>
      <c r="E32" s="8">
        <v>5.1892527146435441E-6</v>
      </c>
      <c r="F32" s="8">
        <v>92262.399791126154</v>
      </c>
      <c r="G32" s="8">
        <v>0.50349020754132268</v>
      </c>
      <c r="H32" s="8">
        <v>30.958101550917704</v>
      </c>
      <c r="I32" s="8">
        <v>30.958101409147297</v>
      </c>
      <c r="J32" s="8">
        <v>2.4717298965693316E-2</v>
      </c>
      <c r="K32" s="8">
        <v>30.958096361664989</v>
      </c>
      <c r="L32" s="8">
        <v>30.958070267794024</v>
      </c>
      <c r="M32" s="8">
        <v>13</v>
      </c>
    </row>
    <row r="33" spans="1:13" x14ac:dyDescent="0.3">
      <c r="A33" s="8">
        <v>22</v>
      </c>
      <c r="B33" s="8">
        <v>0.44312781121288691</v>
      </c>
      <c r="C33" s="8">
        <v>3.7091715931580893E-5</v>
      </c>
      <c r="D33" s="8">
        <v>11946.81346180579</v>
      </c>
      <c r="E33" s="8">
        <v>8.7564530453221323E-6</v>
      </c>
      <c r="F33" s="8">
        <v>50605.857065563141</v>
      </c>
      <c r="G33" s="8">
        <v>0.48170302166011658</v>
      </c>
      <c r="H33" s="8">
        <v>30.958096181541247</v>
      </c>
      <c r="I33" s="8">
        <v>30.958076470073973</v>
      </c>
      <c r="J33" s="8">
        <v>3.8575210447229696E-2</v>
      </c>
      <c r="K33" s="8">
        <v>30.958087425088202</v>
      </c>
      <c r="L33" s="8">
        <v>30.958039378358041</v>
      </c>
      <c r="M33" s="8">
        <v>11</v>
      </c>
    </row>
    <row r="34" spans="1:13" x14ac:dyDescent="0.3">
      <c r="A34" s="8">
        <v>23</v>
      </c>
      <c r="B34" s="8">
        <v>0.45842886642395064</v>
      </c>
      <c r="C34" s="8">
        <v>2.5726354866861811E-5</v>
      </c>
      <c r="D34" s="8">
        <v>17819.425596684672</v>
      </c>
      <c r="E34" s="8">
        <v>4.8596935400269103E-6</v>
      </c>
      <c r="F34" s="8">
        <v>94332.875653186173</v>
      </c>
      <c r="G34" s="8">
        <v>0.47476958631243538</v>
      </c>
      <c r="H34" s="8">
        <v>30.958101452527004</v>
      </c>
      <c r="I34" s="8">
        <v>30.958099604983477</v>
      </c>
      <c r="J34" s="8">
        <v>1.6340719888484709E-2</v>
      </c>
      <c r="K34" s="8">
        <v>30.958096592833463</v>
      </c>
      <c r="L34" s="8">
        <v>30.95807387862861</v>
      </c>
      <c r="M34" s="8">
        <v>13</v>
      </c>
    </row>
    <row r="35" spans="1:13" x14ac:dyDescent="0.3">
      <c r="A35" s="8">
        <v>24</v>
      </c>
      <c r="B35" s="8">
        <v>0.75287404330544161</v>
      </c>
      <c r="C35" s="8">
        <v>5.6239524646173322E-5</v>
      </c>
      <c r="D35" s="8">
        <v>13386.920462825588</v>
      </c>
      <c r="E35" s="8">
        <v>3.2780132208642954E-5</v>
      </c>
      <c r="F35" s="8">
        <v>22967.388859613431</v>
      </c>
      <c r="G35" s="8">
        <v>0.86486925009357885</v>
      </c>
      <c r="H35" s="8">
        <v>30.958098248580974</v>
      </c>
      <c r="I35" s="8">
        <v>30.958093250939299</v>
      </c>
      <c r="J35" s="8">
        <v>0.11199520678813721</v>
      </c>
      <c r="K35" s="8">
        <v>30.958065468448766</v>
      </c>
      <c r="L35" s="8">
        <v>30.958037011414653</v>
      </c>
      <c r="M35" s="8">
        <v>12</v>
      </c>
    </row>
    <row r="36" spans="1:13" x14ac:dyDescent="0.3">
      <c r="A36" s="8">
        <v>25</v>
      </c>
      <c r="B36" s="8">
        <v>0.85852321521808106</v>
      </c>
      <c r="C36" s="8">
        <v>5.7880760856221514E-5</v>
      </c>
      <c r="D36" s="8">
        <v>14832.617998071803</v>
      </c>
      <c r="E36" s="8">
        <v>2.0340771747839881E-5</v>
      </c>
      <c r="F36" s="8">
        <v>42207.012883336312</v>
      </c>
      <c r="G36" s="8">
        <v>0.91937123103181528</v>
      </c>
      <c r="H36" s="8">
        <v>30.95810152128632</v>
      </c>
      <c r="I36" s="8">
        <v>30.958100323656694</v>
      </c>
      <c r="J36" s="8">
        <v>6.0848015813734224E-2</v>
      </c>
      <c r="K36" s="8">
        <v>30.958081180514572</v>
      </c>
      <c r="L36" s="8">
        <v>30.958042442895838</v>
      </c>
      <c r="M36" s="8">
        <v>11</v>
      </c>
    </row>
    <row r="37" spans="1:13" x14ac:dyDescent="0.3">
      <c r="A37" s="8">
        <v>26</v>
      </c>
      <c r="B37" s="8">
        <v>0.38879745103942737</v>
      </c>
      <c r="C37" s="8">
        <v>7.8412174268294166E-5</v>
      </c>
      <c r="D37" s="8">
        <v>4958.3812037799462</v>
      </c>
      <c r="E37" s="8">
        <v>4.9158901369139585E-5</v>
      </c>
      <c r="F37" s="8">
        <v>7908.9938995972398</v>
      </c>
      <c r="G37" s="8">
        <v>0.50413091062156656</v>
      </c>
      <c r="H37" s="8">
        <v>30.958101133453166</v>
      </c>
      <c r="I37" s="8">
        <v>30.958099338844317</v>
      </c>
      <c r="J37" s="8">
        <v>0.1153334595821392</v>
      </c>
      <c r="K37" s="8">
        <v>30.958051974551797</v>
      </c>
      <c r="L37" s="8">
        <v>30.958020926670049</v>
      </c>
      <c r="M37" s="8">
        <v>11</v>
      </c>
    </row>
    <row r="38" spans="1:13" x14ac:dyDescent="0.3">
      <c r="A38" s="8">
        <v>27</v>
      </c>
      <c r="B38" s="8">
        <v>0.51703820488653074</v>
      </c>
      <c r="C38" s="8">
        <v>2.7717193468390633E-5</v>
      </c>
      <c r="D38" s="8">
        <v>18654.06053741241</v>
      </c>
      <c r="E38" s="8">
        <v>9.953211570490339E-6</v>
      </c>
      <c r="F38" s="8">
        <v>51946.871743334115</v>
      </c>
      <c r="G38" s="8">
        <v>0.59221403532328709</v>
      </c>
      <c r="H38" s="8">
        <v>30.958101035547813</v>
      </c>
      <c r="I38" s="8">
        <v>30.958099422884512</v>
      </c>
      <c r="J38" s="8">
        <v>7.5175830436756408E-2</v>
      </c>
      <c r="K38" s="8">
        <v>30.958091082336242</v>
      </c>
      <c r="L38" s="8">
        <v>30.958071705691044</v>
      </c>
      <c r="M38" s="8">
        <v>12</v>
      </c>
    </row>
    <row r="39" spans="1:13" x14ac:dyDescent="0.3">
      <c r="A39" s="8">
        <v>28</v>
      </c>
      <c r="B39" s="8">
        <v>0.55417617844105571</v>
      </c>
      <c r="C39" s="8">
        <v>6.4980194920849499E-5</v>
      </c>
      <c r="D39" s="8">
        <v>8528.3859045988047</v>
      </c>
      <c r="E39" s="8">
        <v>3.2726666798765791E-5</v>
      </c>
      <c r="F39" s="8">
        <v>16933.474522433036</v>
      </c>
      <c r="G39" s="8">
        <v>0.68851641691912502</v>
      </c>
      <c r="H39" s="8">
        <v>30.958098687267242</v>
      </c>
      <c r="I39" s="8">
        <v>30.958094031399597</v>
      </c>
      <c r="J39" s="8">
        <v>0.13434023847806936</v>
      </c>
      <c r="K39" s="8">
        <v>30.958065960600443</v>
      </c>
      <c r="L39" s="8">
        <v>30.958029051204676</v>
      </c>
      <c r="M39" s="8">
        <v>12</v>
      </c>
    </row>
    <row r="40" spans="1:13" x14ac:dyDescent="0.3">
      <c r="A40" s="8">
        <v>29</v>
      </c>
      <c r="B40" s="8">
        <v>0.60784884047052623</v>
      </c>
      <c r="C40" s="8">
        <v>2.114834376598651E-5</v>
      </c>
      <c r="D40" s="8">
        <v>28742.148661690804</v>
      </c>
      <c r="E40" s="8">
        <v>5.1504695441906279E-6</v>
      </c>
      <c r="F40" s="8">
        <v>118018.14092001331</v>
      </c>
      <c r="G40" s="8">
        <v>0.64612680735192418</v>
      </c>
      <c r="H40" s="8">
        <v>30.958101528596401</v>
      </c>
      <c r="I40" s="8">
        <v>30.958099900320541</v>
      </c>
      <c r="J40" s="8">
        <v>3.8277966881397986E-2</v>
      </c>
      <c r="K40" s="8">
        <v>30.958096378126857</v>
      </c>
      <c r="L40" s="8">
        <v>30.958078751976775</v>
      </c>
      <c r="M40" s="8">
        <v>11</v>
      </c>
    </row>
    <row r="41" spans="1:13" x14ac:dyDescent="0.3">
      <c r="A41" s="8">
        <v>30</v>
      </c>
      <c r="B41" s="8">
        <v>0.48269174138802518</v>
      </c>
      <c r="C41" s="8">
        <v>1.250688105791653E-4</v>
      </c>
      <c r="D41" s="8">
        <v>3859.4093855437591</v>
      </c>
      <c r="E41" s="8">
        <v>9.181452748308061E-5</v>
      </c>
      <c r="F41" s="8">
        <v>5257.2480044290878</v>
      </c>
      <c r="G41" s="8">
        <v>0.67191687067422734</v>
      </c>
      <c r="H41" s="8">
        <v>30.958100992842429</v>
      </c>
      <c r="I41" s="8">
        <v>30.958099873075099</v>
      </c>
      <c r="J41" s="8">
        <v>0.18922512928620219</v>
      </c>
      <c r="K41" s="8">
        <v>30.958009178314946</v>
      </c>
      <c r="L41" s="8">
        <v>30.95797480426452</v>
      </c>
      <c r="M41" s="8">
        <v>15</v>
      </c>
    </row>
    <row r="42" spans="1:13" x14ac:dyDescent="0.3">
      <c r="A42" s="8">
        <v>31</v>
      </c>
      <c r="B42" s="8">
        <v>0.40281895692252445</v>
      </c>
      <c r="C42" s="8">
        <v>3.5454367562692823E-5</v>
      </c>
      <c r="D42" s="8">
        <v>11361.617329944826</v>
      </c>
      <c r="E42" s="8">
        <v>2.858553837725708E-5</v>
      </c>
      <c r="F42" s="8">
        <v>14091.70439983775</v>
      </c>
      <c r="G42" s="8">
        <v>0.4558806061578905</v>
      </c>
      <c r="H42" s="8">
        <v>30.958100817591109</v>
      </c>
      <c r="I42" s="8">
        <v>30.958100370388291</v>
      </c>
      <c r="J42" s="8">
        <v>5.3061649235366021E-2</v>
      </c>
      <c r="K42" s="8">
        <v>30.958072232052732</v>
      </c>
      <c r="L42" s="8">
        <v>30.958064916020728</v>
      </c>
      <c r="M42" s="8">
        <v>11</v>
      </c>
    </row>
    <row r="43" spans="1:13" x14ac:dyDescent="0.3">
      <c r="A43" s="8">
        <v>32</v>
      </c>
      <c r="B43" s="8">
        <v>0.28252097640149609</v>
      </c>
      <c r="C43" s="8">
        <v>1.5096815026538479E-5</v>
      </c>
      <c r="D43" s="8">
        <v>18713.945683566795</v>
      </c>
      <c r="E43" s="8">
        <v>3.1817814161172464E-6</v>
      </c>
      <c r="F43" s="8">
        <v>88793.332870194063</v>
      </c>
      <c r="G43" s="8">
        <v>0.2901056617490182</v>
      </c>
      <c r="H43" s="8">
        <v>30.958100943359863</v>
      </c>
      <c r="I43" s="8">
        <v>30.958098414830634</v>
      </c>
      <c r="J43" s="8">
        <v>7.5846853475220882E-3</v>
      </c>
      <c r="K43" s="8">
        <v>30.958097761578447</v>
      </c>
      <c r="L43" s="8">
        <v>30.958083318015607</v>
      </c>
      <c r="M43" s="8">
        <v>13</v>
      </c>
    </row>
    <row r="44" spans="1:13" x14ac:dyDescent="0.3">
      <c r="A44" s="8">
        <v>33</v>
      </c>
      <c r="B44" s="8">
        <v>0.53387717544111479</v>
      </c>
      <c r="C44" s="8">
        <v>4.0390654351796229E-5</v>
      </c>
      <c r="D44" s="8">
        <v>13217.839225656728</v>
      </c>
      <c r="E44" s="8">
        <v>1.8090862802466745E-5</v>
      </c>
      <c r="F44" s="8">
        <v>29510.874150696614</v>
      </c>
      <c r="G44" s="8">
        <v>0.60812172301642586</v>
      </c>
      <c r="H44" s="8">
        <v>30.958101356059192</v>
      </c>
      <c r="I44" s="8">
        <v>30.958100378443753</v>
      </c>
      <c r="J44" s="8">
        <v>7.4244547575311043E-2</v>
      </c>
      <c r="K44" s="8">
        <v>30.95808326519639</v>
      </c>
      <c r="L44" s="8">
        <v>30.958059987789401</v>
      </c>
      <c r="M44" s="8">
        <v>10</v>
      </c>
    </row>
    <row r="45" spans="1:13" x14ac:dyDescent="0.3">
      <c r="A45" s="8">
        <v>34</v>
      </c>
      <c r="B45" s="8">
        <v>0.49581085905312344</v>
      </c>
      <c r="C45" s="8">
        <v>8.849439229763334E-5</v>
      </c>
      <c r="D45" s="8">
        <v>5602.7375992996476</v>
      </c>
      <c r="E45" s="8">
        <v>5.8726191834779229E-5</v>
      </c>
      <c r="F45" s="8">
        <v>8442.7551585166966</v>
      </c>
      <c r="G45" s="8">
        <v>0.58297195401399815</v>
      </c>
      <c r="H45" s="8">
        <v>30.95810146103257</v>
      </c>
      <c r="I45" s="8">
        <v>30.958099681306141</v>
      </c>
      <c r="J45" s="8">
        <v>8.7161094960874694E-2</v>
      </c>
      <c r="K45" s="8">
        <v>30.958042734840735</v>
      </c>
      <c r="L45" s="8">
        <v>30.958011186913843</v>
      </c>
      <c r="M45" s="8">
        <v>13</v>
      </c>
    </row>
    <row r="46" spans="1:13" x14ac:dyDescent="0.3">
      <c r="A46" s="8">
        <v>35</v>
      </c>
      <c r="B46" s="8">
        <v>0.35958015947196725</v>
      </c>
      <c r="C46" s="8">
        <v>4.3327723513897354E-5</v>
      </c>
      <c r="D46" s="8">
        <v>8299.0780569542731</v>
      </c>
      <c r="E46" s="8">
        <v>1.5681217892193899E-5</v>
      </c>
      <c r="F46" s="8">
        <v>22930.627068894057</v>
      </c>
      <c r="G46" s="8">
        <v>0.40766127709551109</v>
      </c>
      <c r="H46" s="8">
        <v>30.958100939547588</v>
      </c>
      <c r="I46" s="8">
        <v>30.958098626609317</v>
      </c>
      <c r="J46" s="8">
        <v>4.8081117623543834E-2</v>
      </c>
      <c r="K46" s="8">
        <v>30.958085258329696</v>
      </c>
      <c r="L46" s="8">
        <v>30.958055298885803</v>
      </c>
      <c r="M46" s="8">
        <v>12</v>
      </c>
    </row>
    <row r="47" spans="1:13" x14ac:dyDescent="0.3">
      <c r="A47" s="8">
        <v>36</v>
      </c>
      <c r="B47" s="8">
        <v>0.26149826693152622</v>
      </c>
      <c r="C47" s="8">
        <v>6.9217746226257759E-5</v>
      </c>
      <c r="D47" s="8">
        <v>3777.9078515030706</v>
      </c>
      <c r="E47" s="8">
        <v>5.538963375428807E-5</v>
      </c>
      <c r="F47" s="8">
        <v>4721.0687128127465</v>
      </c>
      <c r="G47" s="8">
        <v>0.35718753266032444</v>
      </c>
      <c r="H47" s="8">
        <v>30.958099947483081</v>
      </c>
      <c r="I47" s="8">
        <v>30.958098493589137</v>
      </c>
      <c r="J47" s="8">
        <v>9.5689265728798184E-2</v>
      </c>
      <c r="K47" s="8">
        <v>30.958044557849327</v>
      </c>
      <c r="L47" s="8">
        <v>30.958029275842911</v>
      </c>
      <c r="M47" s="8">
        <v>9</v>
      </c>
    </row>
    <row r="48" spans="1:13" x14ac:dyDescent="0.3">
      <c r="A48" s="8">
        <v>37</v>
      </c>
      <c r="B48" s="8">
        <v>0.63563241947073146</v>
      </c>
      <c r="C48" s="8">
        <v>7.7635894761840518E-5</v>
      </c>
      <c r="D48" s="8">
        <v>8187.3522733347381</v>
      </c>
      <c r="E48" s="8">
        <v>5.0936788444033709E-5</v>
      </c>
      <c r="F48" s="8">
        <v>12478.847585161877</v>
      </c>
      <c r="G48" s="8">
        <v>0.7864611664551675</v>
      </c>
      <c r="H48" s="8">
        <v>30.958101522708461</v>
      </c>
      <c r="I48" s="8">
        <v>30.95809993589102</v>
      </c>
      <c r="J48" s="8">
        <v>0.15082874698443607</v>
      </c>
      <c r="K48" s="8">
        <v>30.958050585920017</v>
      </c>
      <c r="L48" s="8">
        <v>30.958022299996259</v>
      </c>
      <c r="M48" s="8">
        <v>12</v>
      </c>
    </row>
    <row r="49" spans="1:13" x14ac:dyDescent="0.3">
      <c r="A49" s="8">
        <v>38</v>
      </c>
      <c r="B49" s="8">
        <v>0.45897085037040153</v>
      </c>
      <c r="C49" s="8">
        <v>6.1525656832372988E-5</v>
      </c>
      <c r="D49" s="8">
        <v>7459.8285333364311</v>
      </c>
      <c r="E49" s="8">
        <v>3.889670148637947E-5</v>
      </c>
      <c r="F49" s="8">
        <v>11799.737068479193</v>
      </c>
      <c r="G49" s="8">
        <v>0.56098284863190806</v>
      </c>
      <c r="H49" s="8">
        <v>30.958100762590533</v>
      </c>
      <c r="I49" s="8">
        <v>30.958100197678792</v>
      </c>
      <c r="J49" s="8">
        <v>0.10201199826150655</v>
      </c>
      <c r="K49" s="8">
        <v>30.958061865889047</v>
      </c>
      <c r="L49" s="8">
        <v>30.95803867202196</v>
      </c>
      <c r="M49" s="8">
        <v>9</v>
      </c>
    </row>
    <row r="50" spans="1:13" x14ac:dyDescent="0.3">
      <c r="A50" s="8">
        <v>39</v>
      </c>
      <c r="B50" s="8">
        <v>0.43710404924316043</v>
      </c>
      <c r="C50" s="8">
        <v>4.3401337588733213E-5</v>
      </c>
      <c r="D50" s="8">
        <v>10071.211477054352</v>
      </c>
      <c r="E50" s="8">
        <v>7.0427934666383862E-6</v>
      </c>
      <c r="F50" s="8">
        <v>62064.01640396189</v>
      </c>
      <c r="G50" s="8">
        <v>0.44901552524236205</v>
      </c>
      <c r="H50" s="8">
        <v>30.958101282258962</v>
      </c>
      <c r="I50" s="8">
        <v>30.958099787048152</v>
      </c>
      <c r="J50" s="8">
        <v>1.1911475999201594E-2</v>
      </c>
      <c r="K50" s="8">
        <v>30.958094239465495</v>
      </c>
      <c r="L50" s="8">
        <v>30.958056385710563</v>
      </c>
      <c r="M50" s="8">
        <v>14</v>
      </c>
    </row>
    <row r="51" spans="1:13" x14ac:dyDescent="0.3">
      <c r="A51" s="8">
        <v>40</v>
      </c>
      <c r="B51" s="8">
        <v>0.79019000285309438</v>
      </c>
      <c r="C51" s="8">
        <v>5.1230489511056021E-5</v>
      </c>
      <c r="D51" s="8">
        <v>15424.213400938985</v>
      </c>
      <c r="E51" s="8">
        <v>2.6153056399635943E-5</v>
      </c>
      <c r="F51" s="8">
        <v>30214.059526292844</v>
      </c>
      <c r="G51" s="8">
        <v>0.97005986914893183</v>
      </c>
      <c r="H51" s="8">
        <v>30.958101532614432</v>
      </c>
      <c r="I51" s="8">
        <v>30.958099918955085</v>
      </c>
      <c r="J51" s="8">
        <v>0.1798698662958374</v>
      </c>
      <c r="K51" s="8">
        <v>30.958075379558032</v>
      </c>
      <c r="L51" s="8">
        <v>30.958048688465574</v>
      </c>
      <c r="M51" s="8">
        <v>15</v>
      </c>
    </row>
    <row r="52" spans="1:13" x14ac:dyDescent="0.3">
      <c r="A52" s="8">
        <v>41</v>
      </c>
      <c r="B52" s="8">
        <v>0.58317936781324886</v>
      </c>
      <c r="C52" s="8">
        <v>1.0932351484527203E-4</v>
      </c>
      <c r="D52" s="8">
        <v>5334.4366821596932</v>
      </c>
      <c r="E52" s="8">
        <v>8.2065034977318874E-5</v>
      </c>
      <c r="F52" s="8">
        <v>7106.3074301306024</v>
      </c>
      <c r="G52" s="8">
        <v>0.78324037551979597</v>
      </c>
      <c r="H52" s="8">
        <v>30.958101274116334</v>
      </c>
      <c r="I52" s="8">
        <v>30.9581008378196</v>
      </c>
      <c r="J52" s="8">
        <v>0.20006100770654706</v>
      </c>
      <c r="K52" s="8">
        <v>30.958019209081357</v>
      </c>
      <c r="L52" s="8">
        <v>30.957991514304755</v>
      </c>
      <c r="M52" s="8">
        <v>15</v>
      </c>
    </row>
    <row r="53" spans="1:13" x14ac:dyDescent="0.3">
      <c r="A53" s="8">
        <v>42</v>
      </c>
      <c r="B53" s="8">
        <v>0.55109837900306347</v>
      </c>
      <c r="C53" s="8">
        <v>7.8925652449157724E-5</v>
      </c>
      <c r="D53" s="8">
        <v>6982.5001365439412</v>
      </c>
      <c r="E53" s="8">
        <v>5.7468083298317651E-5</v>
      </c>
      <c r="F53" s="8">
        <v>9589.6425872132149</v>
      </c>
      <c r="G53" s="8">
        <v>0.59694710448429689</v>
      </c>
      <c r="H53" s="8">
        <v>30.958096913116485</v>
      </c>
      <c r="I53" s="8">
        <v>30.958092597446694</v>
      </c>
      <c r="J53" s="8">
        <v>4.5848725481233407E-2</v>
      </c>
      <c r="K53" s="8">
        <v>30.958039445033187</v>
      </c>
      <c r="L53" s="8">
        <v>30.958013671794244</v>
      </c>
      <c r="M53" s="8">
        <v>9</v>
      </c>
    </row>
    <row r="54" spans="1:13" x14ac:dyDescent="0.3">
      <c r="A54" s="8">
        <v>43</v>
      </c>
      <c r="B54" s="8">
        <v>0.40113318643145141</v>
      </c>
      <c r="C54" s="8">
        <v>9.9270589142719246E-5</v>
      </c>
      <c r="D54" s="8">
        <v>4040.8059415740008</v>
      </c>
      <c r="E54" s="8">
        <v>8.7589402820498208E-5</v>
      </c>
      <c r="F54" s="8">
        <v>4579.6999809841809</v>
      </c>
      <c r="G54" s="8">
        <v>0.60817541031058953</v>
      </c>
      <c r="H54" s="8">
        <v>30.958101508243544</v>
      </c>
      <c r="I54" s="8">
        <v>30.95810094882339</v>
      </c>
      <c r="J54" s="8">
        <v>0.20704222387913812</v>
      </c>
      <c r="K54" s="8">
        <v>30.958013918840724</v>
      </c>
      <c r="L54" s="8">
        <v>30.958001678234247</v>
      </c>
      <c r="M54" s="8">
        <v>12</v>
      </c>
    </row>
    <row r="55" spans="1:13" x14ac:dyDescent="0.3">
      <c r="A55" s="8">
        <v>44</v>
      </c>
      <c r="B55" s="8">
        <v>0.60905036689953662</v>
      </c>
      <c r="C55" s="8">
        <v>1.1074449553305499E-4</v>
      </c>
      <c r="D55" s="8">
        <v>5499.5994515840057</v>
      </c>
      <c r="E55" s="8">
        <v>7.4234335308176469E-5</v>
      </c>
      <c r="F55" s="8">
        <v>8204.4294512926463</v>
      </c>
      <c r="G55" s="8">
        <v>0.73179165702681981</v>
      </c>
      <c r="H55" s="8">
        <v>30.958101550037995</v>
      </c>
      <c r="I55" s="8">
        <v>30.958101539870786</v>
      </c>
      <c r="J55" s="8">
        <v>0.12274129012728321</v>
      </c>
      <c r="K55" s="8">
        <v>30.958027315702687</v>
      </c>
      <c r="L55" s="8">
        <v>30.957990795375252</v>
      </c>
      <c r="M55" s="8">
        <v>10</v>
      </c>
    </row>
    <row r="56" spans="1:13" x14ac:dyDescent="0.3">
      <c r="A56" s="8">
        <v>45</v>
      </c>
      <c r="B56" s="8">
        <v>0.41493127603995539</v>
      </c>
      <c r="C56" s="8">
        <v>3.4570474692685593E-5</v>
      </c>
      <c r="D56" s="8">
        <v>12002.475514973081</v>
      </c>
      <c r="E56" s="8">
        <v>2.1335440955283502E-5</v>
      </c>
      <c r="F56" s="8">
        <v>19447.982205270611</v>
      </c>
      <c r="G56" s="8">
        <v>0.47473376492132402</v>
      </c>
      <c r="H56" s="8">
        <v>30.958101464557409</v>
      </c>
      <c r="I56" s="8">
        <v>30.958100228254359</v>
      </c>
      <c r="J56" s="8">
        <v>5.9802488881368618E-2</v>
      </c>
      <c r="K56" s="8">
        <v>30.958080129116453</v>
      </c>
      <c r="L56" s="8">
        <v>30.958065657779667</v>
      </c>
      <c r="M56" s="8">
        <v>15</v>
      </c>
    </row>
    <row r="57" spans="1:13" x14ac:dyDescent="0.3">
      <c r="A57" s="8">
        <v>46</v>
      </c>
      <c r="B57" s="8">
        <v>0.27299123364234668</v>
      </c>
      <c r="C57" s="8">
        <v>4.1005791544534986E-5</v>
      </c>
      <c r="D57" s="8">
        <v>6657.3823686798059</v>
      </c>
      <c r="E57" s="8">
        <v>2.5573485022079012E-5</v>
      </c>
      <c r="F57" s="8">
        <v>10674.77637117734</v>
      </c>
      <c r="G57" s="8">
        <v>0.3972808909640384</v>
      </c>
      <c r="H57" s="8">
        <v>30.958101421828729</v>
      </c>
      <c r="I57" s="8">
        <v>30.958101225970726</v>
      </c>
      <c r="J57" s="8">
        <v>0.12428965732169173</v>
      </c>
      <c r="K57" s="8">
        <v>30.958075848343707</v>
      </c>
      <c r="L57" s="8">
        <v>30.958060220179181</v>
      </c>
      <c r="M57" s="8">
        <v>13</v>
      </c>
    </row>
    <row r="58" spans="1:13" x14ac:dyDescent="0.3">
      <c r="A58" s="8">
        <v>47</v>
      </c>
      <c r="B58" s="8">
        <v>6.2986004747965452E-2</v>
      </c>
      <c r="C58" s="8">
        <v>4.2212127628005192E-5</v>
      </c>
      <c r="D58" s="8">
        <v>1492.1305389538823</v>
      </c>
      <c r="E58" s="8">
        <v>2.726156600374452E-5</v>
      </c>
      <c r="F58" s="8">
        <v>2310.4323771904369</v>
      </c>
      <c r="G58" s="8">
        <v>0.67690700497339473</v>
      </c>
      <c r="H58" s="8">
        <v>30.958101501154285</v>
      </c>
      <c r="I58" s="8">
        <v>30.95810068120867</v>
      </c>
      <c r="J58" s="8">
        <v>0.61392100022542928</v>
      </c>
      <c r="K58" s="8">
        <v>30.958074239588282</v>
      </c>
      <c r="L58" s="8">
        <v>30.958058469081042</v>
      </c>
      <c r="M58" s="8">
        <v>9</v>
      </c>
    </row>
    <row r="59" spans="1:13" x14ac:dyDescent="0.3">
      <c r="A59" s="8">
        <v>48</v>
      </c>
      <c r="B59" s="8">
        <v>0.8389737697095565</v>
      </c>
      <c r="C59" s="8">
        <v>9.4501633842725141E-5</v>
      </c>
      <c r="D59" s="8">
        <v>8877.8758164734299</v>
      </c>
      <c r="E59" s="8">
        <v>4.9949010808347793E-5</v>
      </c>
      <c r="F59" s="8">
        <v>16796.60429970601</v>
      </c>
      <c r="G59" s="8">
        <v>0.92901690350528932</v>
      </c>
      <c r="H59" s="8">
        <v>30.958101532634466</v>
      </c>
      <c r="I59" s="8">
        <v>30.958099931612519</v>
      </c>
      <c r="J59" s="8">
        <v>9.0043133795732755E-2</v>
      </c>
      <c r="K59" s="8">
        <v>30.958051583623657</v>
      </c>
      <c r="L59" s="8">
        <v>30.958005429978677</v>
      </c>
      <c r="M59" s="8">
        <v>10</v>
      </c>
    </row>
    <row r="60" spans="1:13" x14ac:dyDescent="0.3">
      <c r="A60" s="8">
        <v>49</v>
      </c>
      <c r="B60" s="8">
        <v>0.38958282302644892</v>
      </c>
      <c r="C60" s="8">
        <v>6.1965739906355566E-5</v>
      </c>
      <c r="D60" s="8">
        <v>6287.0680413918699</v>
      </c>
      <c r="E60" s="8">
        <v>5.1270598319774763E-5</v>
      </c>
      <c r="F60" s="8">
        <v>7598.5620568853237</v>
      </c>
      <c r="G60" s="8">
        <v>0.5750511930615434</v>
      </c>
      <c r="H60" s="8">
        <v>30.958095689537373</v>
      </c>
      <c r="I60" s="8">
        <v>30.958093582297504</v>
      </c>
      <c r="J60" s="8">
        <v>0.18546837003509448</v>
      </c>
      <c r="K60" s="8">
        <v>30.958044418939053</v>
      </c>
      <c r="L60" s="8">
        <v>30.958031616557598</v>
      </c>
      <c r="M60" s="8">
        <v>13</v>
      </c>
    </row>
    <row r="61" spans="1:13" x14ac:dyDescent="0.3">
      <c r="A61" s="8">
        <v>50</v>
      </c>
      <c r="B61" s="8">
        <v>0.56189809919044742</v>
      </c>
      <c r="C61" s="8">
        <v>2.6511648652416397E-5</v>
      </c>
      <c r="D61" s="8">
        <v>21194.385402328924</v>
      </c>
      <c r="E61" s="8">
        <v>8.8253500116763917E-6</v>
      </c>
      <c r="F61" s="8">
        <v>63668.647526390152</v>
      </c>
      <c r="G61" s="8">
        <v>0.63033157489962033</v>
      </c>
      <c r="H61" s="8">
        <v>30.958101547662029</v>
      </c>
      <c r="I61" s="8">
        <v>30.958101369708018</v>
      </c>
      <c r="J61" s="8">
        <v>6.8433475709172908E-2</v>
      </c>
      <c r="K61" s="8">
        <v>30.958092722312017</v>
      </c>
      <c r="L61" s="8">
        <v>30.958074858059366</v>
      </c>
      <c r="M61" s="8">
        <v>15</v>
      </c>
    </row>
    <row r="62" spans="1:13" x14ac:dyDescent="0.3">
      <c r="A62" s="8">
        <v>51</v>
      </c>
      <c r="B62" s="8">
        <v>0.61365652494669798</v>
      </c>
      <c r="C62" s="8">
        <v>5.4913531570832674E-5</v>
      </c>
      <c r="D62" s="8">
        <v>11174.960112611692</v>
      </c>
      <c r="E62" s="8">
        <v>2.8545929300349826E-5</v>
      </c>
      <c r="F62" s="8">
        <v>21497.164043602454</v>
      </c>
      <c r="G62" s="8">
        <v>0.73058386982378731</v>
      </c>
      <c r="H62" s="8">
        <v>30.958100975762747</v>
      </c>
      <c r="I62" s="8">
        <v>30.958098339539809</v>
      </c>
      <c r="J62" s="8">
        <v>0.11692734487708929</v>
      </c>
      <c r="K62" s="8">
        <v>30.958072429833447</v>
      </c>
      <c r="L62" s="8">
        <v>30.958043426008238</v>
      </c>
      <c r="M62" s="8">
        <v>14</v>
      </c>
    </row>
    <row r="63" spans="1:13" x14ac:dyDescent="0.3">
      <c r="A63" s="8">
        <v>52</v>
      </c>
      <c r="B63" s="8">
        <v>0.4944515253828673</v>
      </c>
      <c r="C63" s="8">
        <v>9.7058849704012573E-5</v>
      </c>
      <c r="D63" s="8">
        <v>5094.3476755672473</v>
      </c>
      <c r="E63" s="8">
        <v>7.2927114597831633E-5</v>
      </c>
      <c r="F63" s="8">
        <v>6780.0780012975993</v>
      </c>
      <c r="G63" s="8">
        <v>0.78459744982446356</v>
      </c>
      <c r="H63" s="8">
        <v>30.958101301052846</v>
      </c>
      <c r="I63" s="8">
        <v>30.95809861748684</v>
      </c>
      <c r="J63" s="8">
        <v>0.29014592444159626</v>
      </c>
      <c r="K63" s="8">
        <v>30.958028373938248</v>
      </c>
      <c r="L63" s="8">
        <v>30.958001558637136</v>
      </c>
      <c r="M63" s="8">
        <v>15</v>
      </c>
    </row>
    <row r="64" spans="1:13" x14ac:dyDescent="0.3">
      <c r="A64" s="8">
        <v>53</v>
      </c>
      <c r="B64" s="8">
        <v>0.71215766715875151</v>
      </c>
      <c r="C64" s="8">
        <v>6.568307123089312E-5</v>
      </c>
      <c r="D64" s="8">
        <v>10842.332031876702</v>
      </c>
      <c r="E64" s="8">
        <v>2.6574194741613155E-5</v>
      </c>
      <c r="F64" s="8">
        <v>26798.842790279065</v>
      </c>
      <c r="G64" s="8">
        <v>0.81874142994222321</v>
      </c>
      <c r="H64" s="8">
        <v>30.958101456010795</v>
      </c>
      <c r="I64" s="8">
        <v>30.958098311036704</v>
      </c>
      <c r="J64" s="8">
        <v>0.1065837627834717</v>
      </c>
      <c r="K64" s="8">
        <v>30.958074881816053</v>
      </c>
      <c r="L64" s="8">
        <v>30.958032627965473</v>
      </c>
      <c r="M64" s="8">
        <v>13</v>
      </c>
    </row>
    <row r="65" spans="1:13" x14ac:dyDescent="0.3">
      <c r="A65" s="8">
        <v>54</v>
      </c>
      <c r="B65" s="8">
        <v>0.52598287301051849</v>
      </c>
      <c r="C65" s="8">
        <v>3.5933154926226507E-5</v>
      </c>
      <c r="D65" s="8">
        <v>14637.81496755298</v>
      </c>
      <c r="E65" s="8">
        <v>2.0052975461481992E-5</v>
      </c>
      <c r="F65" s="8">
        <v>26229.667214266185</v>
      </c>
      <c r="G65" s="8">
        <v>0.56619724532558624</v>
      </c>
      <c r="H65" s="8">
        <v>30.958101509291279</v>
      </c>
      <c r="I65" s="8">
        <v>30.958101070541545</v>
      </c>
      <c r="J65" s="8">
        <v>4.021437231506772E-2</v>
      </c>
      <c r="K65" s="8">
        <v>30.958081456315817</v>
      </c>
      <c r="L65" s="8">
        <v>30.958065137386619</v>
      </c>
      <c r="M65" s="8">
        <v>15</v>
      </c>
    </row>
    <row r="66" spans="1:13" x14ac:dyDescent="0.3">
      <c r="A66" s="8">
        <v>55</v>
      </c>
      <c r="B66" s="8">
        <v>0.52055480436057611</v>
      </c>
      <c r="C66" s="8">
        <v>8.7237171712217787E-5</v>
      </c>
      <c r="D66" s="8">
        <v>5967.1215164770301</v>
      </c>
      <c r="E66" s="8">
        <v>5.4464110380791908E-5</v>
      </c>
      <c r="F66" s="8">
        <v>9557.7583241708908</v>
      </c>
      <c r="G66" s="8">
        <v>0.59341743373009936</v>
      </c>
      <c r="H66" s="8">
        <v>30.958101101842342</v>
      </c>
      <c r="I66" s="8">
        <v>30.958100653046309</v>
      </c>
      <c r="J66" s="8">
        <v>7.2862629369523202E-2</v>
      </c>
      <c r="K66" s="8">
        <v>30.958046637731961</v>
      </c>
      <c r="L66" s="8">
        <v>30.958013415874596</v>
      </c>
      <c r="M66" s="8">
        <v>13</v>
      </c>
    </row>
    <row r="67" spans="1:13" x14ac:dyDescent="0.3">
      <c r="A67" s="8">
        <v>56</v>
      </c>
      <c r="B67" s="8">
        <v>0.41683636933757967</v>
      </c>
      <c r="C67" s="8">
        <v>2.8924867802260223E-5</v>
      </c>
      <c r="D67" s="8">
        <v>14411.003437844842</v>
      </c>
      <c r="E67" s="8">
        <v>6.4031422049026787E-6</v>
      </c>
      <c r="F67" s="8">
        <v>65098.721221343723</v>
      </c>
      <c r="G67" s="8">
        <v>0.4378121971830875</v>
      </c>
      <c r="H67" s="8">
        <v>30.958101544111937</v>
      </c>
      <c r="I67" s="8">
        <v>30.958100697257322</v>
      </c>
      <c r="J67" s="8">
        <v>2.097582784550784E-2</v>
      </c>
      <c r="K67" s="8">
        <v>30.958095140969732</v>
      </c>
      <c r="L67" s="8">
        <v>30.95807177238952</v>
      </c>
      <c r="M67" s="8">
        <v>15</v>
      </c>
    </row>
    <row r="68" spans="1:13" x14ac:dyDescent="0.3">
      <c r="A68" s="8">
        <v>57</v>
      </c>
      <c r="B68" s="8">
        <v>0.50286928713155032</v>
      </c>
      <c r="C68" s="8">
        <v>5.8517339631691812E-5</v>
      </c>
      <c r="D68" s="8">
        <v>8593.5090401684374</v>
      </c>
      <c r="E68" s="8">
        <v>3.8605833413640767E-5</v>
      </c>
      <c r="F68" s="8">
        <v>13025.733229058314</v>
      </c>
      <c r="G68" s="8">
        <v>0.56319209966641348</v>
      </c>
      <c r="H68" s="8">
        <v>30.958101305403499</v>
      </c>
      <c r="I68" s="8">
        <v>30.958100387003803</v>
      </c>
      <c r="J68" s="8">
        <v>6.0322812534863116E-2</v>
      </c>
      <c r="K68" s="8">
        <v>30.958062699570085</v>
      </c>
      <c r="L68" s="8">
        <v>30.958041869664171</v>
      </c>
      <c r="M68" s="8">
        <v>11</v>
      </c>
    </row>
    <row r="69" spans="1:13" x14ac:dyDescent="0.3">
      <c r="A69" s="8">
        <v>58</v>
      </c>
      <c r="B69" s="8">
        <v>0.73464307467347822</v>
      </c>
      <c r="C69" s="8">
        <v>3.9503702634391402E-5</v>
      </c>
      <c r="D69" s="8">
        <v>18596.815632008824</v>
      </c>
      <c r="E69" s="8">
        <v>8.4920958869361129E-6</v>
      </c>
      <c r="F69" s="8">
        <v>86509.041402090457</v>
      </c>
      <c r="G69" s="8">
        <v>0.76939056052317356</v>
      </c>
      <c r="H69" s="8">
        <v>30.958101484640721</v>
      </c>
      <c r="I69" s="8">
        <v>30.958099193389234</v>
      </c>
      <c r="J69" s="8">
        <v>3.4747485849695288E-2</v>
      </c>
      <c r="K69" s="8">
        <v>30.958092992544834</v>
      </c>
      <c r="L69" s="8">
        <v>30.9580596896866</v>
      </c>
      <c r="M69" s="8">
        <v>13</v>
      </c>
    </row>
    <row r="70" spans="1:13" x14ac:dyDescent="0.3">
      <c r="A70" s="8">
        <v>59</v>
      </c>
      <c r="B70" s="8">
        <v>0.94509526719438353</v>
      </c>
      <c r="C70" s="8">
        <v>8.4526061815637377E-5</v>
      </c>
      <c r="D70" s="8">
        <v>11181.110853783328</v>
      </c>
      <c r="E70" s="8">
        <v>5.3179955450843863E-5</v>
      </c>
      <c r="F70" s="8">
        <v>17771.644582665529</v>
      </c>
      <c r="G70" s="8">
        <v>1.0886986039844364</v>
      </c>
      <c r="H70" s="8">
        <v>30.958101542220437</v>
      </c>
      <c r="I70" s="8">
        <v>30.958100601148804</v>
      </c>
      <c r="J70" s="8">
        <v>0.14360333679005285</v>
      </c>
      <c r="K70" s="8">
        <v>30.958048362264986</v>
      </c>
      <c r="L70" s="8">
        <v>30.958016075086988</v>
      </c>
      <c r="M70" s="8">
        <v>9</v>
      </c>
    </row>
    <row r="71" spans="1:13" x14ac:dyDescent="0.3">
      <c r="A71" s="8">
        <v>60</v>
      </c>
      <c r="B71" s="8">
        <v>0.31983886780938298</v>
      </c>
      <c r="C71" s="8">
        <v>2.7764802474905537E-5</v>
      </c>
      <c r="D71" s="8">
        <v>11519.580162634351</v>
      </c>
      <c r="E71" s="8">
        <v>1.5767922000975432E-5</v>
      </c>
      <c r="F71" s="8">
        <v>20284.148272016893</v>
      </c>
      <c r="G71" s="8">
        <v>0.37088374375919253</v>
      </c>
      <c r="H71" s="8">
        <v>30.958101452579303</v>
      </c>
      <c r="I71" s="8">
        <v>30.958100632121404</v>
      </c>
      <c r="J71" s="8">
        <v>5.1044875949809526E-2</v>
      </c>
      <c r="K71" s="8">
        <v>30.958085684657302</v>
      </c>
      <c r="L71" s="8">
        <v>30.958072867318929</v>
      </c>
      <c r="M71" s="8">
        <v>14</v>
      </c>
    </row>
    <row r="72" spans="1:13" x14ac:dyDescent="0.3">
      <c r="A72" s="8">
        <v>61</v>
      </c>
      <c r="B72" s="8">
        <v>0.62765238064415518</v>
      </c>
      <c r="C72" s="8">
        <v>6.0480593578660091E-5</v>
      </c>
      <c r="D72" s="8">
        <v>10377.748357046803</v>
      </c>
      <c r="E72" s="8">
        <v>4.0951932341215525E-5</v>
      </c>
      <c r="F72" s="8">
        <v>15326.563235514599</v>
      </c>
      <c r="G72" s="8">
        <v>0.73821760238003509</v>
      </c>
      <c r="H72" s="8">
        <v>30.95810155143565</v>
      </c>
      <c r="I72" s="8">
        <v>30.958101173096306</v>
      </c>
      <c r="J72" s="8">
        <v>0.11056522173587993</v>
      </c>
      <c r="K72" s="8">
        <v>30.958060599503309</v>
      </c>
      <c r="L72" s="8">
        <v>30.958040692502728</v>
      </c>
      <c r="M72" s="8">
        <v>14</v>
      </c>
    </row>
    <row r="73" spans="1:13" x14ac:dyDescent="0.3">
      <c r="A73" s="8">
        <v>62</v>
      </c>
      <c r="B73" s="8">
        <v>0.3261942019608991</v>
      </c>
      <c r="C73" s="8">
        <v>8.6282081561250834E-5</v>
      </c>
      <c r="D73" s="8">
        <v>3780.5555459314796</v>
      </c>
      <c r="E73" s="8">
        <v>8.1242628969135922E-5</v>
      </c>
      <c r="F73" s="8">
        <v>4015.0621182485402</v>
      </c>
      <c r="G73" s="8">
        <v>0.49928090536925518</v>
      </c>
      <c r="H73" s="8">
        <v>30.958097033874349</v>
      </c>
      <c r="I73" s="8">
        <v>30.958096460541935</v>
      </c>
      <c r="J73" s="8">
        <v>0.17308670340835608</v>
      </c>
      <c r="K73" s="8">
        <v>30.95801579124538</v>
      </c>
      <c r="L73" s="8">
        <v>30.958010178460373</v>
      </c>
      <c r="M73" s="8">
        <v>15</v>
      </c>
    </row>
    <row r="74" spans="1:13" x14ac:dyDescent="0.3">
      <c r="A74" s="8">
        <v>63</v>
      </c>
      <c r="B74" s="8">
        <v>0.71560261517769208</v>
      </c>
      <c r="C74" s="8">
        <v>4.0468062927345727E-5</v>
      </c>
      <c r="D74" s="8">
        <v>17683.144766836213</v>
      </c>
      <c r="E74" s="8">
        <v>1.1520292773070651E-5</v>
      </c>
      <c r="F74" s="8">
        <v>62116.703913155274</v>
      </c>
      <c r="G74" s="8">
        <v>0.7610285817982223</v>
      </c>
      <c r="H74" s="8">
        <v>30.958101270219313</v>
      </c>
      <c r="I74" s="8">
        <v>30.95809935143582</v>
      </c>
      <c r="J74" s="8">
        <v>4.5425966620530202E-2</v>
      </c>
      <c r="K74" s="8">
        <v>30.95808974992654</v>
      </c>
      <c r="L74" s="8">
        <v>30.958058883372892</v>
      </c>
      <c r="M74" s="8">
        <v>9</v>
      </c>
    </row>
    <row r="75" spans="1:13" x14ac:dyDescent="0.3">
      <c r="A75" s="8">
        <v>64</v>
      </c>
      <c r="B75" s="8">
        <v>0.23878248663072774</v>
      </c>
      <c r="C75" s="8">
        <v>1.3461157259087031E-5</v>
      </c>
      <c r="D75" s="8">
        <v>17738.629898966246</v>
      </c>
      <c r="E75" s="8">
        <v>5.0046698589767402E-6</v>
      </c>
      <c r="F75" s="8">
        <v>47711.935723877985</v>
      </c>
      <c r="G75" s="8">
        <v>0.27313087792052548</v>
      </c>
      <c r="H75" s="8">
        <v>30.95810137086626</v>
      </c>
      <c r="I75" s="8">
        <v>30.9581003919088</v>
      </c>
      <c r="J75" s="8">
        <v>3.434839128979774E-2</v>
      </c>
      <c r="K75" s="8">
        <v>30.958096366196401</v>
      </c>
      <c r="L75" s="8">
        <v>30.958086930751541</v>
      </c>
      <c r="M75" s="8">
        <v>12</v>
      </c>
    </row>
    <row r="76" spans="1:13" x14ac:dyDescent="0.3">
      <c r="A76" s="8">
        <v>65</v>
      </c>
      <c r="B76" s="8">
        <v>0.7014736604450893</v>
      </c>
      <c r="C76" s="8">
        <v>3.7710198508733583E-5</v>
      </c>
      <c r="D76" s="8">
        <v>18601.69630988895</v>
      </c>
      <c r="E76" s="8">
        <v>4.5693582002570565E-6</v>
      </c>
      <c r="F76" s="8">
        <v>153516.89005375563</v>
      </c>
      <c r="G76" s="8">
        <v>0.73872060638989034</v>
      </c>
      <c r="H76" s="8">
        <v>30.958101243160169</v>
      </c>
      <c r="I76" s="8">
        <v>30.958097666117208</v>
      </c>
      <c r="J76" s="8">
        <v>3.7246945944801088E-2</v>
      </c>
      <c r="K76" s="8">
        <v>30.958096673801968</v>
      </c>
      <c r="L76" s="8">
        <v>30.958059955918699</v>
      </c>
      <c r="M76" s="8">
        <v>11</v>
      </c>
    </row>
    <row r="77" spans="1:13" x14ac:dyDescent="0.3">
      <c r="A77" s="8">
        <v>66</v>
      </c>
      <c r="B77" s="8">
        <v>0.56850472684851883</v>
      </c>
      <c r="C77" s="8">
        <v>3.2791702032852754E-5</v>
      </c>
      <c r="D77" s="8">
        <v>17336.847177952386</v>
      </c>
      <c r="E77" s="8">
        <v>9.6416824035827631E-6</v>
      </c>
      <c r="F77" s="8">
        <v>58963.228931629979</v>
      </c>
      <c r="G77" s="8">
        <v>0.62663268000940264</v>
      </c>
      <c r="H77" s="8">
        <v>30.958100564832399</v>
      </c>
      <c r="I77" s="8">
        <v>30.958096826553398</v>
      </c>
      <c r="J77" s="8">
        <v>5.8127953160883844E-2</v>
      </c>
      <c r="K77" s="8">
        <v>30.958090923149996</v>
      </c>
      <c r="L77" s="8">
        <v>30.958064034851365</v>
      </c>
      <c r="M77" s="8">
        <v>10</v>
      </c>
    </row>
    <row r="78" spans="1:13" x14ac:dyDescent="0.3">
      <c r="A78" s="8">
        <v>67</v>
      </c>
      <c r="B78" s="8">
        <v>0.46286973334382142</v>
      </c>
      <c r="C78" s="8">
        <v>6.4913860796877998E-5</v>
      </c>
      <c r="D78" s="8">
        <v>7130.5223208366451</v>
      </c>
      <c r="E78" s="8">
        <v>4.8419770603658208E-5</v>
      </c>
      <c r="F78" s="8">
        <v>9559.5193362781174</v>
      </c>
      <c r="G78" s="8">
        <v>0.54017036464492363</v>
      </c>
      <c r="H78" s="8">
        <v>30.95810118173743</v>
      </c>
      <c r="I78" s="8">
        <v>30.958101007105153</v>
      </c>
      <c r="J78" s="8">
        <v>7.7300631301102207E-2</v>
      </c>
      <c r="K78" s="8">
        <v>30.958052761966826</v>
      </c>
      <c r="L78" s="8">
        <v>30.958036093244356</v>
      </c>
      <c r="M78" s="8">
        <v>15</v>
      </c>
    </row>
    <row r="79" spans="1:13" x14ac:dyDescent="0.3">
      <c r="A79" s="8">
        <v>68</v>
      </c>
      <c r="B79" s="8">
        <v>0.43446441618004344</v>
      </c>
      <c r="C79" s="8">
        <v>1.6244927592268255E-4</v>
      </c>
      <c r="D79" s="8">
        <v>2674.46200490808</v>
      </c>
      <c r="E79" s="8">
        <v>1.3920056353100563E-4</v>
      </c>
      <c r="F79" s="8">
        <v>3121.1397796049191</v>
      </c>
      <c r="G79" s="8">
        <v>0.90572180821217796</v>
      </c>
      <c r="H79" s="8">
        <v>30.958097841855345</v>
      </c>
      <c r="I79" s="8">
        <v>30.958097173509703</v>
      </c>
      <c r="J79" s="8">
        <v>0.47125739203213451</v>
      </c>
      <c r="K79" s="8">
        <v>30.957958641291814</v>
      </c>
      <c r="L79" s="8">
        <v>30.95793472423378</v>
      </c>
      <c r="M79" s="8">
        <v>10</v>
      </c>
    </row>
    <row r="80" spans="1:13" x14ac:dyDescent="0.3">
      <c r="A80" s="8">
        <v>69</v>
      </c>
      <c r="B80" s="8">
        <v>0.6921438030423297</v>
      </c>
      <c r="C80" s="8">
        <v>4.7361264705614303E-5</v>
      </c>
      <c r="D80" s="8">
        <v>14614.132611207096</v>
      </c>
      <c r="E80" s="8">
        <v>1.6183240102662921E-5</v>
      </c>
      <c r="F80" s="8">
        <v>42769.173456707147</v>
      </c>
      <c r="G80" s="8">
        <v>0.80749246495025184</v>
      </c>
      <c r="H80" s="8">
        <v>30.958101534224596</v>
      </c>
      <c r="I80" s="8">
        <v>30.958100854860014</v>
      </c>
      <c r="J80" s="8">
        <v>0.11534866190792213</v>
      </c>
      <c r="K80" s="8">
        <v>30.958085350984494</v>
      </c>
      <c r="L80" s="8">
        <v>30.958053493595308</v>
      </c>
      <c r="M80" s="8">
        <v>13</v>
      </c>
    </row>
    <row r="81" spans="1:13" x14ac:dyDescent="0.3">
      <c r="A81" s="8">
        <v>70</v>
      </c>
      <c r="B81" s="8">
        <v>0.51519441373435981</v>
      </c>
      <c r="C81" s="8">
        <v>3.1562807350837829E-5</v>
      </c>
      <c r="D81" s="8">
        <v>16322.832376971184</v>
      </c>
      <c r="E81" s="8">
        <v>1.4506495364940974E-5</v>
      </c>
      <c r="F81" s="8">
        <v>35514.740174906197</v>
      </c>
      <c r="G81" s="8">
        <v>0.55339023978937596</v>
      </c>
      <c r="H81" s="8">
        <v>30.958101431628013</v>
      </c>
      <c r="I81" s="8">
        <v>30.958100120297917</v>
      </c>
      <c r="J81" s="8">
        <v>3.8195826055016195E-2</v>
      </c>
      <c r="K81" s="8">
        <v>30.958086925132648</v>
      </c>
      <c r="L81" s="8">
        <v>30.958068557490567</v>
      </c>
      <c r="M81" s="8">
        <v>9</v>
      </c>
    </row>
    <row r="82" spans="1:13" x14ac:dyDescent="0.3">
      <c r="A82" s="8">
        <v>71</v>
      </c>
      <c r="B82" s="8">
        <v>0.2793540819649068</v>
      </c>
      <c r="C82" s="8">
        <v>1.7052174779763618E-5</v>
      </c>
      <c r="D82" s="8">
        <v>16382.314019935191</v>
      </c>
      <c r="E82" s="8">
        <v>4.7804105314241951E-6</v>
      </c>
      <c r="F82" s="8">
        <v>58437.257664077806</v>
      </c>
      <c r="G82" s="8">
        <v>0.29361197271027695</v>
      </c>
      <c r="H82" s="8">
        <v>30.958101540506334</v>
      </c>
      <c r="I82" s="8">
        <v>30.958100745798038</v>
      </c>
      <c r="J82" s="8">
        <v>1.4257890745370157E-2</v>
      </c>
      <c r="K82" s="8">
        <v>30.958096760095803</v>
      </c>
      <c r="L82" s="8">
        <v>30.958083693623259</v>
      </c>
      <c r="M82" s="8">
        <v>15</v>
      </c>
    </row>
    <row r="83" spans="1:13" x14ac:dyDescent="0.3">
      <c r="A83" s="8">
        <v>72</v>
      </c>
      <c r="B83" s="8">
        <v>0.51447841198214095</v>
      </c>
      <c r="C83" s="8">
        <v>3.0967621871269557E-5</v>
      </c>
      <c r="D83" s="8">
        <v>16613.429798413166</v>
      </c>
      <c r="E83" s="8">
        <v>7.8609863116696488E-6</v>
      </c>
      <c r="F83" s="8">
        <v>65447.056079769121</v>
      </c>
      <c r="G83" s="8">
        <v>0.52914432099558051</v>
      </c>
      <c r="H83" s="8">
        <v>30.958101471754535</v>
      </c>
      <c r="I83" s="8">
        <v>30.95809986064452</v>
      </c>
      <c r="J83" s="8">
        <v>1.4665909013439582E-2</v>
      </c>
      <c r="K83" s="8">
        <v>30.958093610768223</v>
      </c>
      <c r="L83" s="8">
        <v>30.958068893022649</v>
      </c>
      <c r="M83" s="8">
        <v>15</v>
      </c>
    </row>
    <row r="84" spans="1:13" x14ac:dyDescent="0.3">
      <c r="A84" s="8">
        <v>73</v>
      </c>
      <c r="B84" s="8">
        <v>0.66559603657178368</v>
      </c>
      <c r="C84" s="8">
        <v>7.180852564658835E-5</v>
      </c>
      <c r="D84" s="8">
        <v>9269.0391646191165</v>
      </c>
      <c r="E84" s="8">
        <v>4.4825411773530277E-5</v>
      </c>
      <c r="F84" s="8">
        <v>14848.63184156677</v>
      </c>
      <c r="G84" s="8">
        <v>0.75215037564020037</v>
      </c>
      <c r="H84" s="8">
        <v>30.958101472704179</v>
      </c>
      <c r="I84" s="8">
        <v>30.958099308036232</v>
      </c>
      <c r="J84" s="8">
        <v>8.6554339068416683E-2</v>
      </c>
      <c r="K84" s="8">
        <v>30.958056647292405</v>
      </c>
      <c r="L84" s="8">
        <v>30.958027499510585</v>
      </c>
      <c r="M84" s="8">
        <v>9</v>
      </c>
    </row>
    <row r="85" spans="1:13" x14ac:dyDescent="0.3">
      <c r="A85" s="8">
        <v>74</v>
      </c>
      <c r="B85" s="8">
        <v>0.31277228870150869</v>
      </c>
      <c r="C85" s="8">
        <v>8.0242133876140542E-5</v>
      </c>
      <c r="D85" s="8">
        <v>3897.8560712791491</v>
      </c>
      <c r="E85" s="8">
        <v>6.4508646055116969E-5</v>
      </c>
      <c r="F85" s="8">
        <v>4848.5328375094441</v>
      </c>
      <c r="G85" s="8">
        <v>0.42423662078274749</v>
      </c>
      <c r="H85" s="8">
        <v>30.958101477434731</v>
      </c>
      <c r="I85" s="8">
        <v>30.958099954895587</v>
      </c>
      <c r="J85" s="8">
        <v>0.11146433208123879</v>
      </c>
      <c r="K85" s="8">
        <v>30.958036968788676</v>
      </c>
      <c r="L85" s="8">
        <v>30.958019712761711</v>
      </c>
      <c r="M85" s="8">
        <v>15</v>
      </c>
    </row>
    <row r="86" spans="1:13" x14ac:dyDescent="0.3">
      <c r="A86" s="8">
        <v>75</v>
      </c>
      <c r="B86" s="8">
        <v>0.11439698490207878</v>
      </c>
      <c r="C86" s="8">
        <v>6.4219666665366049E-5</v>
      </c>
      <c r="D86" s="8">
        <v>1781.338814761765</v>
      </c>
      <c r="E86" s="8">
        <v>5.316661960108604E-5</v>
      </c>
      <c r="F86" s="8">
        <v>2151.6693323820418</v>
      </c>
      <c r="G86" s="8">
        <v>0.61143513350122269</v>
      </c>
      <c r="H86" s="8">
        <v>30.958097071427428</v>
      </c>
      <c r="I86" s="8">
        <v>30.958095531772852</v>
      </c>
      <c r="J86" s="8">
        <v>0.49703814859914391</v>
      </c>
      <c r="K86" s="8">
        <v>30.958043904807827</v>
      </c>
      <c r="L86" s="8">
        <v>30.958031312106186</v>
      </c>
      <c r="M86" s="8">
        <v>14</v>
      </c>
    </row>
    <row r="87" spans="1:13" x14ac:dyDescent="0.3">
      <c r="A87" s="8">
        <v>76</v>
      </c>
      <c r="B87" s="8">
        <v>0.35215586744026195</v>
      </c>
      <c r="C87" s="8">
        <v>9.7266703175336033E-5</v>
      </c>
      <c r="D87" s="8">
        <v>3620.5181829331118</v>
      </c>
      <c r="E87" s="8">
        <v>6.8517313295046733E-5</v>
      </c>
      <c r="F87" s="8">
        <v>5139.6625247668617</v>
      </c>
      <c r="G87" s="8">
        <v>0.85789074128396048</v>
      </c>
      <c r="H87" s="8">
        <v>30.958101109162751</v>
      </c>
      <c r="I87" s="8">
        <v>30.958099634191818</v>
      </c>
      <c r="J87" s="8">
        <v>0.50573487384369853</v>
      </c>
      <c r="K87" s="8">
        <v>30.958032591849456</v>
      </c>
      <c r="L87" s="8">
        <v>30.958002367488643</v>
      </c>
      <c r="M87" s="8">
        <v>11</v>
      </c>
    </row>
    <row r="88" spans="1:13" x14ac:dyDescent="0.3">
      <c r="A88" s="8">
        <v>77</v>
      </c>
      <c r="B88" s="8">
        <v>0.23233567461206012</v>
      </c>
      <c r="C88" s="8">
        <v>7.3206332768194216E-5</v>
      </c>
      <c r="D88" s="8">
        <v>3173.7100579501021</v>
      </c>
      <c r="E88" s="8">
        <v>5.9058988238547272E-5</v>
      </c>
      <c r="F88" s="8">
        <v>3933.9596146419708</v>
      </c>
      <c r="G88" s="8">
        <v>0.44033752590999925</v>
      </c>
      <c r="H88" s="8">
        <v>30.95810080593418</v>
      </c>
      <c r="I88" s="8">
        <v>30.958099561608396</v>
      </c>
      <c r="J88" s="8">
        <v>0.20800185129793913</v>
      </c>
      <c r="K88" s="8">
        <v>30.958041746945941</v>
      </c>
      <c r="L88" s="8">
        <v>30.958026355275628</v>
      </c>
      <c r="M88" s="8">
        <v>12</v>
      </c>
    </row>
    <row r="89" spans="1:13" x14ac:dyDescent="0.3">
      <c r="A89" s="8">
        <v>78</v>
      </c>
      <c r="B89" s="8">
        <v>0.56009666705869132</v>
      </c>
      <c r="C89" s="8">
        <v>2.7172873835468181E-5</v>
      </c>
      <c r="D89" s="8">
        <v>20612.345622699977</v>
      </c>
      <c r="E89" s="8">
        <v>4.6362047356751646E-6</v>
      </c>
      <c r="F89" s="8">
        <v>120809.30394397804</v>
      </c>
      <c r="G89" s="8">
        <v>0.58569681695704001</v>
      </c>
      <c r="H89" s="8">
        <v>30.958101503207917</v>
      </c>
      <c r="I89" s="8">
        <v>30.958099420388692</v>
      </c>
      <c r="J89" s="8">
        <v>2.5600149898348724E-2</v>
      </c>
      <c r="K89" s="8">
        <v>30.958096867003182</v>
      </c>
      <c r="L89" s="8">
        <v>30.958072247514856</v>
      </c>
      <c r="M89" s="8">
        <v>15</v>
      </c>
    </row>
    <row r="90" spans="1:13" x14ac:dyDescent="0.3">
      <c r="A90" s="8">
        <v>79</v>
      </c>
      <c r="B90" s="8">
        <v>0.69439293149509895</v>
      </c>
      <c r="C90" s="8">
        <v>4.8219602621912827E-5</v>
      </c>
      <c r="D90" s="8">
        <v>14400.635711160761</v>
      </c>
      <c r="E90" s="8">
        <v>2.2223768006313094E-5</v>
      </c>
      <c r="F90" s="8">
        <v>31245.508470833709</v>
      </c>
      <c r="G90" s="8">
        <v>0.77047904544510326</v>
      </c>
      <c r="H90" s="8">
        <v>30.958100347377449</v>
      </c>
      <c r="I90" s="8">
        <v>30.95809729449596</v>
      </c>
      <c r="J90" s="8">
        <v>7.6086113950004294E-2</v>
      </c>
      <c r="K90" s="8">
        <v>30.958078123609443</v>
      </c>
      <c r="L90" s="8">
        <v>30.958049074893339</v>
      </c>
      <c r="M90" s="8">
        <v>15</v>
      </c>
    </row>
    <row r="91" spans="1:13" x14ac:dyDescent="0.3">
      <c r="A91" s="8">
        <v>80</v>
      </c>
      <c r="B91" s="8">
        <v>0.15821527213134973</v>
      </c>
      <c r="C91" s="8">
        <v>5.6952781974928257E-5</v>
      </c>
      <c r="D91" s="8">
        <v>2778.0077925078222</v>
      </c>
      <c r="E91" s="8">
        <v>4.9630566941516463E-5</v>
      </c>
      <c r="F91" s="8">
        <v>3187.8594560039387</v>
      </c>
      <c r="G91" s="8">
        <v>0.52914173530810904</v>
      </c>
      <c r="H91" s="8">
        <v>30.958101537561888</v>
      </c>
      <c r="I91" s="8">
        <v>30.958101269028454</v>
      </c>
      <c r="J91" s="8">
        <v>0.37092646317675931</v>
      </c>
      <c r="K91" s="8">
        <v>30.958051906994946</v>
      </c>
      <c r="L91" s="8">
        <v>30.958044316246479</v>
      </c>
      <c r="M91" s="8">
        <v>12</v>
      </c>
    </row>
    <row r="92" spans="1:13" x14ac:dyDescent="0.3">
      <c r="A92" s="8">
        <v>81</v>
      </c>
      <c r="B92" s="8">
        <v>0.57829460906368479</v>
      </c>
      <c r="C92" s="8">
        <v>3.7884623239392567E-5</v>
      </c>
      <c r="D92" s="8">
        <v>15264.626109898118</v>
      </c>
      <c r="E92" s="8">
        <v>2.0659195932637431E-5</v>
      </c>
      <c r="F92" s="8">
        <v>27992.116002447805</v>
      </c>
      <c r="G92" s="8">
        <v>0.65626803937140388</v>
      </c>
      <c r="H92" s="8">
        <v>30.958101250305248</v>
      </c>
      <c r="I92" s="8">
        <v>30.958100504514242</v>
      </c>
      <c r="J92" s="8">
        <v>7.7973430307719055E-2</v>
      </c>
      <c r="K92" s="8">
        <v>30.958080591109315</v>
      </c>
      <c r="L92" s="8">
        <v>30.958062619891002</v>
      </c>
      <c r="M92" s="8">
        <v>14</v>
      </c>
    </row>
    <row r="93" spans="1:13" x14ac:dyDescent="0.3">
      <c r="A93" s="8">
        <v>82</v>
      </c>
      <c r="B93" s="8">
        <v>0.48341897850228188</v>
      </c>
      <c r="C93" s="8">
        <v>2.8911718366941841E-5</v>
      </c>
      <c r="D93" s="8">
        <v>16720.520460486758</v>
      </c>
      <c r="E93" s="8">
        <v>1.1873676953655377E-5</v>
      </c>
      <c r="F93" s="8">
        <v>40713.50268237327</v>
      </c>
      <c r="G93" s="8">
        <v>0.51997644310865587</v>
      </c>
      <c r="H93" s="8">
        <v>30.958101536389648</v>
      </c>
      <c r="I93" s="8">
        <v>30.958100206278402</v>
      </c>
      <c r="J93" s="8">
        <v>3.6557464606373977E-2</v>
      </c>
      <c r="K93" s="8">
        <v>30.958089662712695</v>
      </c>
      <c r="L93" s="8">
        <v>30.958071294560035</v>
      </c>
      <c r="M93" s="8">
        <v>14</v>
      </c>
    </row>
    <row r="94" spans="1:13" x14ac:dyDescent="0.3">
      <c r="A94" s="8">
        <v>83</v>
      </c>
      <c r="B94" s="8">
        <v>0.66222050410090227</v>
      </c>
      <c r="C94" s="8">
        <v>3.5833072409729994E-5</v>
      </c>
      <c r="D94" s="8">
        <v>18480.70677637693</v>
      </c>
      <c r="E94" s="8">
        <v>1.3664648058409057E-5</v>
      </c>
      <c r="F94" s="8">
        <v>48462.316868335285</v>
      </c>
      <c r="G94" s="8">
        <v>0.7125937739704139</v>
      </c>
      <c r="H94" s="8">
        <v>30.958101483294833</v>
      </c>
      <c r="I94" s="8">
        <v>30.958100855067983</v>
      </c>
      <c r="J94" s="8">
        <v>5.0373269869511614E-2</v>
      </c>
      <c r="K94" s="8">
        <v>30.958087818646774</v>
      </c>
      <c r="L94" s="8">
        <v>30.958065021995573</v>
      </c>
      <c r="M94" s="8">
        <v>9</v>
      </c>
    </row>
    <row r="95" spans="1:13" x14ac:dyDescent="0.3">
      <c r="A95" s="8">
        <v>84</v>
      </c>
      <c r="B95" s="8">
        <v>0.32331612989277969</v>
      </c>
      <c r="C95" s="8">
        <v>2.131455886456024E-5</v>
      </c>
      <c r="D95" s="8">
        <v>15168.792933845705</v>
      </c>
      <c r="E95" s="8">
        <v>7.9118486482343542E-6</v>
      </c>
      <c r="F95" s="8">
        <v>40864.80218057918</v>
      </c>
      <c r="G95" s="8">
        <v>0.34045785723903743</v>
      </c>
      <c r="H95" s="8">
        <v>30.958101230558594</v>
      </c>
      <c r="I95" s="8">
        <v>30.958100494032564</v>
      </c>
      <c r="J95" s="8">
        <v>1.714172734625773E-2</v>
      </c>
      <c r="K95" s="8">
        <v>30.958093318709945</v>
      </c>
      <c r="L95" s="8">
        <v>30.9580791794737</v>
      </c>
      <c r="M95" s="8">
        <v>15</v>
      </c>
    </row>
    <row r="96" spans="1:13" x14ac:dyDescent="0.3">
      <c r="A96" s="8">
        <v>85</v>
      </c>
      <c r="B96" s="8">
        <v>0.7196641585597493</v>
      </c>
      <c r="C96" s="8">
        <v>4.6714079420695498E-5</v>
      </c>
      <c r="D96" s="8">
        <v>15405.722803153865</v>
      </c>
      <c r="E96" s="8">
        <v>1.6298614820442481E-5</v>
      </c>
      <c r="F96" s="8">
        <v>44154.927672572092</v>
      </c>
      <c r="G96" s="8">
        <v>0.77995715972483115</v>
      </c>
      <c r="H96" s="8">
        <v>30.958100508031418</v>
      </c>
      <c r="I96" s="8">
        <v>30.958096809991613</v>
      </c>
      <c r="J96" s="8">
        <v>6.0293001165081878E-2</v>
      </c>
      <c r="K96" s="8">
        <v>30.958084209416597</v>
      </c>
      <c r="L96" s="8">
        <v>30.958050095912192</v>
      </c>
      <c r="M96" s="8">
        <v>14</v>
      </c>
    </row>
    <row r="97" spans="1:13" x14ac:dyDescent="0.3">
      <c r="A97" s="8">
        <v>86</v>
      </c>
      <c r="B97" s="8">
        <v>0.45677370389637406</v>
      </c>
      <c r="C97" s="8">
        <v>1.6188364884683892E-4</v>
      </c>
      <c r="D97" s="8">
        <v>2821.6172982889457</v>
      </c>
      <c r="E97" s="8">
        <v>1.4909343260072205E-4</v>
      </c>
      <c r="F97" s="8">
        <v>3063.6742070298401</v>
      </c>
      <c r="G97" s="8">
        <v>0.65996903741120727</v>
      </c>
      <c r="H97" s="8">
        <v>30.958095672073096</v>
      </c>
      <c r="I97" s="8">
        <v>30.958094980484454</v>
      </c>
      <c r="J97" s="8">
        <v>0.20319533351483321</v>
      </c>
      <c r="K97" s="8">
        <v>30.957946578640495</v>
      </c>
      <c r="L97" s="8">
        <v>30.957933096835607</v>
      </c>
      <c r="M97" s="8">
        <v>9</v>
      </c>
    </row>
    <row r="98" spans="1:13" x14ac:dyDescent="0.3">
      <c r="A98" s="8">
        <v>87</v>
      </c>
      <c r="B98" s="8">
        <v>0.27120831070215068</v>
      </c>
      <c r="C98" s="8">
        <v>9.8632297401479718E-5</v>
      </c>
      <c r="D98" s="8">
        <v>2749.6906981513939</v>
      </c>
      <c r="E98" s="8">
        <v>9.0569689842112666E-5</v>
      </c>
      <c r="F98" s="8">
        <v>2994.4710109412954</v>
      </c>
      <c r="G98" s="8">
        <v>0.62264861699248275</v>
      </c>
      <c r="H98" s="8">
        <v>30.958100175413456</v>
      </c>
      <c r="I98" s="8">
        <v>30.958099991121891</v>
      </c>
      <c r="J98" s="8">
        <v>0.35144030629033207</v>
      </c>
      <c r="K98" s="8">
        <v>30.958009605723614</v>
      </c>
      <c r="L98" s="8">
        <v>30.95800135882449</v>
      </c>
      <c r="M98" s="8">
        <v>13</v>
      </c>
    </row>
    <row r="99" spans="1:13" x14ac:dyDescent="0.3">
      <c r="A99" s="8">
        <v>88</v>
      </c>
      <c r="B99" s="8">
        <v>0.67510779409068611</v>
      </c>
      <c r="C99" s="8">
        <v>5.284847557263106E-5</v>
      </c>
      <c r="D99" s="8">
        <v>12774.404309219242</v>
      </c>
      <c r="E99" s="8">
        <v>1.9307257467460204E-5</v>
      </c>
      <c r="F99" s="8">
        <v>34966.529825817561</v>
      </c>
      <c r="G99" s="8">
        <v>0.76117108428174185</v>
      </c>
      <c r="H99" s="8">
        <v>30.958101360376855</v>
      </c>
      <c r="I99" s="8">
        <v>30.958100134801533</v>
      </c>
      <c r="J99" s="8">
        <v>8.6063290191055769E-2</v>
      </c>
      <c r="K99" s="8">
        <v>30.958082053119387</v>
      </c>
      <c r="L99" s="8">
        <v>30.958047286325961</v>
      </c>
      <c r="M99" s="8">
        <v>15</v>
      </c>
    </row>
    <row r="100" spans="1:13" x14ac:dyDescent="0.3">
      <c r="A100" s="8">
        <v>89</v>
      </c>
      <c r="B100" s="8">
        <v>0.59335990155646468</v>
      </c>
      <c r="C100" s="8">
        <v>3.0529494292608206E-5</v>
      </c>
      <c r="D100" s="8">
        <v>19435.628244262429</v>
      </c>
      <c r="E100" s="8">
        <v>3.0424426853414843E-6</v>
      </c>
      <c r="F100" s="8">
        <v>195027.47066206962</v>
      </c>
      <c r="G100" s="8">
        <v>0.60811628089068748</v>
      </c>
      <c r="H100" s="8">
        <v>30.958101548329616</v>
      </c>
      <c r="I100" s="8">
        <v>30.958100778892526</v>
      </c>
      <c r="J100" s="8">
        <v>1.4756379334222778E-2</v>
      </c>
      <c r="K100" s="8">
        <v>30.95809850588693</v>
      </c>
      <c r="L100" s="8">
        <v>30.958070249398233</v>
      </c>
      <c r="M100" s="8">
        <v>13</v>
      </c>
    </row>
    <row r="101" spans="1:13" x14ac:dyDescent="0.3">
      <c r="A101" s="8">
        <v>90</v>
      </c>
      <c r="B101" s="8">
        <v>0.67310445410673692</v>
      </c>
      <c r="C101" s="8">
        <v>3.1188078509458705E-4</v>
      </c>
      <c r="D101" s="8">
        <v>2158.2107211337116</v>
      </c>
      <c r="E101" s="8">
        <v>3.0598650769420033E-4</v>
      </c>
      <c r="F101" s="8">
        <v>2199.7847525336979</v>
      </c>
      <c r="G101" s="8">
        <v>1.1267846496217031</v>
      </c>
      <c r="H101" s="8">
        <v>30.958100407237062</v>
      </c>
      <c r="I101" s="8">
        <v>30.958098927407161</v>
      </c>
      <c r="J101" s="8">
        <v>0.45368019551496619</v>
      </c>
      <c r="K101" s="8">
        <v>30.957794420729368</v>
      </c>
      <c r="L101" s="8">
        <v>30.957787046622066</v>
      </c>
      <c r="M101" s="8">
        <v>15</v>
      </c>
    </row>
    <row r="102" spans="1:13" x14ac:dyDescent="0.3">
      <c r="A102" s="8">
        <v>91</v>
      </c>
      <c r="B102" s="8">
        <v>0.34638835078805918</v>
      </c>
      <c r="C102" s="8">
        <v>9.6352176484515439E-5</v>
      </c>
      <c r="D102" s="8">
        <v>3595.0236250628604</v>
      </c>
      <c r="E102" s="8">
        <v>7.3639686739568333E-5</v>
      </c>
      <c r="F102" s="8">
        <v>4703.8270547386319</v>
      </c>
      <c r="G102" s="8">
        <v>0.48509561470990625</v>
      </c>
      <c r="H102" s="8">
        <v>30.958101539864774</v>
      </c>
      <c r="I102" s="8">
        <v>30.958101530259423</v>
      </c>
      <c r="J102" s="8">
        <v>0.1387072639218471</v>
      </c>
      <c r="K102" s="8">
        <v>30.958027900178035</v>
      </c>
      <c r="L102" s="8">
        <v>30.958005178082939</v>
      </c>
      <c r="M102" s="8">
        <v>14</v>
      </c>
    </row>
    <row r="103" spans="1:13" x14ac:dyDescent="0.3">
      <c r="A103" s="8">
        <v>92</v>
      </c>
      <c r="B103" s="8">
        <v>0.48581095128354912</v>
      </c>
      <c r="C103" s="8">
        <v>1.2143380083173838E-4</v>
      </c>
      <c r="D103" s="8">
        <v>4000.623779837877</v>
      </c>
      <c r="E103" s="8">
        <v>9.628213496881699E-5</v>
      </c>
      <c r="F103" s="8">
        <v>5045.7018993283573</v>
      </c>
      <c r="G103" s="8">
        <v>0.65123864056203573</v>
      </c>
      <c r="H103" s="8">
        <v>30.958098741809401</v>
      </c>
      <c r="I103" s="8">
        <v>30.958097585203269</v>
      </c>
      <c r="J103" s="8">
        <v>0.16542768927848658</v>
      </c>
      <c r="K103" s="8">
        <v>30.958002459674432</v>
      </c>
      <c r="L103" s="8">
        <v>30.957976151402438</v>
      </c>
      <c r="M103" s="8">
        <v>10</v>
      </c>
    </row>
    <row r="104" spans="1:13" x14ac:dyDescent="0.3">
      <c r="A104" s="8">
        <v>93</v>
      </c>
      <c r="B104" s="8">
        <v>0.55627567393615807</v>
      </c>
      <c r="C104" s="8">
        <v>5.3299691465724663E-5</v>
      </c>
      <c r="D104" s="8">
        <v>10436.752233244752</v>
      </c>
      <c r="E104" s="8">
        <v>3.4277203045718352E-5</v>
      </c>
      <c r="F104" s="8">
        <v>16228.735850886287</v>
      </c>
      <c r="G104" s="8">
        <v>0.74692252298266126</v>
      </c>
      <c r="H104" s="8">
        <v>30.958099806797559</v>
      </c>
      <c r="I104" s="8">
        <v>30.958098390579252</v>
      </c>
      <c r="J104" s="8">
        <v>0.1906468490465032</v>
      </c>
      <c r="K104" s="8">
        <v>30.958065529594514</v>
      </c>
      <c r="L104" s="8">
        <v>30.958045090887786</v>
      </c>
      <c r="M104" s="8">
        <v>13</v>
      </c>
    </row>
    <row r="105" spans="1:13" x14ac:dyDescent="0.3">
      <c r="A105" s="8">
        <v>94</v>
      </c>
      <c r="B105" s="8">
        <v>0.63650427577892943</v>
      </c>
      <c r="C105" s="8">
        <v>5.6593042526031923E-5</v>
      </c>
      <c r="D105" s="8">
        <v>11247.041109093001</v>
      </c>
      <c r="E105" s="8">
        <v>3.0489757516960481E-5</v>
      </c>
      <c r="F105" s="8">
        <v>20876.003209433933</v>
      </c>
      <c r="G105" s="8">
        <v>0.71801134414814882</v>
      </c>
      <c r="H105" s="8">
        <v>30.958101289850841</v>
      </c>
      <c r="I105" s="8">
        <v>30.958100202909552</v>
      </c>
      <c r="J105" s="8">
        <v>8.1507068369219379E-2</v>
      </c>
      <c r="K105" s="8">
        <v>30.958070800093324</v>
      </c>
      <c r="L105" s="8">
        <v>30.958043609867026</v>
      </c>
      <c r="M105" s="8">
        <v>12</v>
      </c>
    </row>
    <row r="106" spans="1:13" x14ac:dyDescent="0.3">
      <c r="A106" s="8">
        <v>95</v>
      </c>
      <c r="B106" s="8">
        <v>0.29918702450839374</v>
      </c>
      <c r="C106" s="8">
        <v>8.7824008573988976E-5</v>
      </c>
      <c r="D106" s="8">
        <v>3406.665550415386</v>
      </c>
      <c r="E106" s="8">
        <v>7.8432630807867554E-5</v>
      </c>
      <c r="F106" s="8">
        <v>3814.5733660432361</v>
      </c>
      <c r="G106" s="8">
        <v>0.52870888186211373</v>
      </c>
      <c r="H106" s="8">
        <v>30.9580957179619</v>
      </c>
      <c r="I106" s="8">
        <v>30.958094600483449</v>
      </c>
      <c r="J106" s="8">
        <v>0.22952185735371999</v>
      </c>
      <c r="K106" s="8">
        <v>30.958017285331092</v>
      </c>
      <c r="L106" s="8">
        <v>30.958006776474875</v>
      </c>
      <c r="M106" s="8">
        <v>13</v>
      </c>
    </row>
    <row r="107" spans="1:13" x14ac:dyDescent="0.3">
      <c r="A107" s="8">
        <v>96</v>
      </c>
      <c r="B107" s="8">
        <v>0.228086271441655</v>
      </c>
      <c r="C107" s="8">
        <v>1.1035263779746174E-4</v>
      </c>
      <c r="D107" s="8">
        <v>2066.8855406997918</v>
      </c>
      <c r="E107" s="8">
        <v>1.0120836446247949E-4</v>
      </c>
      <c r="F107" s="8">
        <v>2253.6306426156343</v>
      </c>
      <c r="G107" s="8">
        <v>0.61950713945515523</v>
      </c>
      <c r="H107" s="8">
        <v>30.958100809725849</v>
      </c>
      <c r="I107" s="8">
        <v>30.958099595187406</v>
      </c>
      <c r="J107" s="8">
        <v>0.39142086801350023</v>
      </c>
      <c r="K107" s="8">
        <v>30.957999601361387</v>
      </c>
      <c r="L107" s="8">
        <v>30.957989242549608</v>
      </c>
      <c r="M107" s="8">
        <v>10</v>
      </c>
    </row>
    <row r="108" spans="1:13" x14ac:dyDescent="0.3">
      <c r="A108" s="8">
        <v>97</v>
      </c>
      <c r="B108" s="8">
        <v>0.9347698235883386</v>
      </c>
      <c r="C108" s="8">
        <v>6.7579534427153476E-5</v>
      </c>
      <c r="D108" s="8">
        <v>13832.143584770656</v>
      </c>
      <c r="E108" s="8">
        <v>2.2261141946700036E-5</v>
      </c>
      <c r="F108" s="8">
        <v>41991.099370664037</v>
      </c>
      <c r="G108" s="8">
        <v>1.0291522607929027</v>
      </c>
      <c r="H108" s="8">
        <v>30.958100162996637</v>
      </c>
      <c r="I108" s="8">
        <v>30.958095827330673</v>
      </c>
      <c r="J108" s="8">
        <v>9.4382437204564115E-2</v>
      </c>
      <c r="K108" s="8">
        <v>30.95807790185469</v>
      </c>
      <c r="L108" s="8">
        <v>30.958028247796246</v>
      </c>
      <c r="M108" s="8">
        <v>9</v>
      </c>
    </row>
    <row r="109" spans="1:13" x14ac:dyDescent="0.3">
      <c r="A109" s="8">
        <v>98</v>
      </c>
      <c r="B109" s="8">
        <v>0.39509578100069731</v>
      </c>
      <c r="C109" s="8">
        <v>4.7946562229839174E-5</v>
      </c>
      <c r="D109" s="8">
        <v>8240.3359620809788</v>
      </c>
      <c r="E109" s="8">
        <v>2.5018615378513687E-5</v>
      </c>
      <c r="F109" s="8">
        <v>15792.072223949321</v>
      </c>
      <c r="G109" s="8">
        <v>0.46794919074775598</v>
      </c>
      <c r="H109" s="8">
        <v>30.958100779332327</v>
      </c>
      <c r="I109" s="8">
        <v>30.958099469820151</v>
      </c>
      <c r="J109" s="8">
        <v>7.2853409747058701E-2</v>
      </c>
      <c r="K109" s="8">
        <v>30.958075760716948</v>
      </c>
      <c r="L109" s="8">
        <v>30.958051523257922</v>
      </c>
      <c r="M109" s="8">
        <v>11</v>
      </c>
    </row>
    <row r="110" spans="1:13" x14ac:dyDescent="0.3">
      <c r="A110" s="8">
        <v>99</v>
      </c>
      <c r="B110" s="8">
        <v>0.28127984562434288</v>
      </c>
      <c r="C110" s="8">
        <v>5.6203501852536419E-5</v>
      </c>
      <c r="D110" s="8">
        <v>5004.6676159494309</v>
      </c>
      <c r="E110" s="8">
        <v>3.6179774884459448E-5</v>
      </c>
      <c r="F110" s="8">
        <v>7774.505135054419</v>
      </c>
      <c r="G110" s="8">
        <v>0.35106009281016681</v>
      </c>
      <c r="H110" s="8">
        <v>30.958101444729717</v>
      </c>
      <c r="I110" s="8">
        <v>30.958099702234616</v>
      </c>
      <c r="J110" s="8">
        <v>6.9780247185823915E-2</v>
      </c>
      <c r="K110" s="8">
        <v>30.958065264954833</v>
      </c>
      <c r="L110" s="8">
        <v>30.958043498732764</v>
      </c>
      <c r="M110" s="8">
        <v>11</v>
      </c>
    </row>
    <row r="111" spans="1:13" x14ac:dyDescent="0.3">
      <c r="A111" s="8">
        <v>100</v>
      </c>
      <c r="B111" s="8">
        <v>0.639324817172085</v>
      </c>
      <c r="C111" s="8">
        <v>3.4443757037649902E-5</v>
      </c>
      <c r="D111" s="8">
        <v>18561.413508789115</v>
      </c>
      <c r="E111" s="8">
        <v>1.2114760828296767E-5</v>
      </c>
      <c r="F111" s="8">
        <v>52772.384550819785</v>
      </c>
      <c r="G111" s="8">
        <v>0.67618379694161646</v>
      </c>
      <c r="H111" s="8">
        <v>30.958101521441971</v>
      </c>
      <c r="I111" s="8">
        <v>30.958099924210384</v>
      </c>
      <c r="J111" s="8">
        <v>3.6858979769531446E-2</v>
      </c>
      <c r="K111" s="8">
        <v>30.958089406681143</v>
      </c>
      <c r="L111" s="8">
        <v>30.958065480453346</v>
      </c>
      <c r="M111" s="8">
        <v>14</v>
      </c>
    </row>
    <row r="112" spans="1:13" x14ac:dyDescent="0.3">
      <c r="A112" s="8">
        <v>101</v>
      </c>
      <c r="B112" s="8">
        <v>0.58574579450376363</v>
      </c>
      <c r="C112" s="8">
        <v>2.4186931085523611E-5</v>
      </c>
      <c r="D112" s="8">
        <v>24217.450011851437</v>
      </c>
      <c r="E112" s="8">
        <v>1.2123980468459195E-5</v>
      </c>
      <c r="F112" s="8">
        <v>48312.993907206823</v>
      </c>
      <c r="G112" s="8">
        <v>0.62390776078645815</v>
      </c>
      <c r="H112" s="8">
        <v>30.958100867246426</v>
      </c>
      <c r="I112" s="8">
        <v>30.958099473195947</v>
      </c>
      <c r="J112" s="8">
        <v>3.8161966282694484E-2</v>
      </c>
      <c r="K112" s="8">
        <v>30.958088743265957</v>
      </c>
      <c r="L112" s="8">
        <v>30.958075286264862</v>
      </c>
      <c r="M112" s="8">
        <v>15</v>
      </c>
    </row>
    <row r="113" spans="1:13" x14ac:dyDescent="0.3">
      <c r="A113" s="8">
        <v>102</v>
      </c>
      <c r="B113" s="8">
        <v>0.50160782352171629</v>
      </c>
      <c r="C113" s="8">
        <v>3.1651205052440901E-5</v>
      </c>
      <c r="D113" s="8">
        <v>15847.985019547714</v>
      </c>
      <c r="E113" s="8">
        <v>7.493723451545975E-6</v>
      </c>
      <c r="F113" s="8">
        <v>66937.06096376339</v>
      </c>
      <c r="G113" s="8">
        <v>0.5351767220275947</v>
      </c>
      <c r="H113" s="8">
        <v>30.95810126291396</v>
      </c>
      <c r="I113" s="8">
        <v>30.958100302964613</v>
      </c>
      <c r="J113" s="8">
        <v>3.3568898505878422E-2</v>
      </c>
      <c r="K113" s="8">
        <v>30.958093769190508</v>
      </c>
      <c r="L113" s="8">
        <v>30.958068651759561</v>
      </c>
      <c r="M113" s="8">
        <v>13</v>
      </c>
    </row>
    <row r="114" spans="1:13" x14ac:dyDescent="0.3">
      <c r="A114" s="8">
        <v>103</v>
      </c>
      <c r="B114" s="8">
        <v>0.51578015091480889</v>
      </c>
      <c r="C114" s="8">
        <v>3.2004690485365472E-5</v>
      </c>
      <c r="D114" s="8">
        <v>16115.767504474245</v>
      </c>
      <c r="E114" s="8">
        <v>1.2750924437199274E-5</v>
      </c>
      <c r="F114" s="8">
        <v>40450.412317563656</v>
      </c>
      <c r="G114" s="8">
        <v>0.55660283803138999</v>
      </c>
      <c r="H114" s="8">
        <v>30.958101076120471</v>
      </c>
      <c r="I114" s="8">
        <v>30.958098769108396</v>
      </c>
      <c r="J114" s="8">
        <v>4.082268711658113E-2</v>
      </c>
      <c r="K114" s="8">
        <v>30.958088325196034</v>
      </c>
      <c r="L114" s="8">
        <v>30.958066764417911</v>
      </c>
      <c r="M114" s="8">
        <v>9</v>
      </c>
    </row>
    <row r="115" spans="1:13" x14ac:dyDescent="0.3">
      <c r="A115" s="8">
        <v>104</v>
      </c>
      <c r="B115" s="8">
        <v>0.42853063785900924</v>
      </c>
      <c r="C115" s="8">
        <v>3.4441043776922697E-5</v>
      </c>
      <c r="D115" s="8">
        <v>12442.440497292571</v>
      </c>
      <c r="E115" s="8">
        <v>1.6996585525674845E-5</v>
      </c>
      <c r="F115" s="8">
        <v>25212.748596574049</v>
      </c>
      <c r="G115" s="8">
        <v>0.57912048689142259</v>
      </c>
      <c r="H115" s="8">
        <v>30.958101474676575</v>
      </c>
      <c r="I115" s="8">
        <v>30.9581012540107</v>
      </c>
      <c r="J115" s="8">
        <v>0.15058984903241335</v>
      </c>
      <c r="K115" s="8">
        <v>30.958084478091049</v>
      </c>
      <c r="L115" s="8">
        <v>30.958066812966923</v>
      </c>
      <c r="M115" s="8">
        <v>13</v>
      </c>
    </row>
    <row r="116" spans="1:13" x14ac:dyDescent="0.3">
      <c r="A116" s="8">
        <v>105</v>
      </c>
      <c r="B116" s="8">
        <v>0.58438872947153309</v>
      </c>
      <c r="C116" s="8">
        <v>7.923155973799112E-5</v>
      </c>
      <c r="D116" s="8">
        <v>7375.7064912521437</v>
      </c>
      <c r="E116" s="8">
        <v>6.5934225116137668E-5</v>
      </c>
      <c r="F116" s="8">
        <v>8863.2076655512501</v>
      </c>
      <c r="G116" s="8">
        <v>0.70118966772202951</v>
      </c>
      <c r="H116" s="8">
        <v>30.958100248665055</v>
      </c>
      <c r="I116" s="8">
        <v>30.958099347073283</v>
      </c>
      <c r="J116" s="8">
        <v>0.11680093825049646</v>
      </c>
      <c r="K116" s="8">
        <v>30.958034314439939</v>
      </c>
      <c r="L116" s="8">
        <v>30.958020115513545</v>
      </c>
      <c r="M116" s="8">
        <v>15</v>
      </c>
    </row>
    <row r="117" spans="1:13" x14ac:dyDescent="0.3">
      <c r="A117" s="8">
        <v>106</v>
      </c>
      <c r="B117" s="8">
        <v>0.42219034649194354</v>
      </c>
      <c r="C117" s="8">
        <v>4.2002472948610148E-5</v>
      </c>
      <c r="D117" s="8">
        <v>10051.559273866844</v>
      </c>
      <c r="E117" s="8">
        <v>2.124421447646796E-5</v>
      </c>
      <c r="F117" s="8">
        <v>19873.191685180936</v>
      </c>
      <c r="G117" s="8">
        <v>0.48972156310508874</v>
      </c>
      <c r="H117" s="8">
        <v>30.958101061002335</v>
      </c>
      <c r="I117" s="8">
        <v>30.95809981887</v>
      </c>
      <c r="J117" s="8">
        <v>6.7531216613145192E-2</v>
      </c>
      <c r="K117" s="8">
        <v>30.958079816787858</v>
      </c>
      <c r="L117" s="8">
        <v>30.958057816397051</v>
      </c>
      <c r="M117" s="8">
        <v>9</v>
      </c>
    </row>
    <row r="118" spans="1:13" x14ac:dyDescent="0.3">
      <c r="A118" s="8">
        <v>107</v>
      </c>
      <c r="B118" s="8">
        <v>0.48864573045986642</v>
      </c>
      <c r="C118" s="8">
        <v>1.1250824747577326E-4</v>
      </c>
      <c r="D118" s="8">
        <v>4343.1992002638563</v>
      </c>
      <c r="E118" s="8">
        <v>9.2826605651907812E-5</v>
      </c>
      <c r="F118" s="8">
        <v>5264.0697893473343</v>
      </c>
      <c r="G118" s="8">
        <v>0.69277149969701823</v>
      </c>
      <c r="H118" s="8">
        <v>30.958100618755758</v>
      </c>
      <c r="I118" s="8">
        <v>30.958099584218338</v>
      </c>
      <c r="J118" s="8">
        <v>0.20412576923715181</v>
      </c>
      <c r="K118" s="8">
        <v>30.958007792150106</v>
      </c>
      <c r="L118" s="8">
        <v>30.957987075970863</v>
      </c>
      <c r="M118" s="8">
        <v>13</v>
      </c>
    </row>
    <row r="119" spans="1:13" x14ac:dyDescent="0.3">
      <c r="A119" s="8">
        <v>108</v>
      </c>
      <c r="B119" s="8">
        <v>0.48893386526376098</v>
      </c>
      <c r="C119" s="8">
        <v>2.4759541929597617E-5</v>
      </c>
      <c r="D119" s="8">
        <v>19747.290424597406</v>
      </c>
      <c r="E119" s="8">
        <v>1.049182529655468E-5</v>
      </c>
      <c r="F119" s="8">
        <v>46601.411236261985</v>
      </c>
      <c r="G119" s="8">
        <v>0.51250304670745805</v>
      </c>
      <c r="H119" s="8">
        <v>30.958101527281276</v>
      </c>
      <c r="I119" s="8">
        <v>30.9581006494913</v>
      </c>
      <c r="J119" s="8">
        <v>2.356918144369706E-2</v>
      </c>
      <c r="K119" s="8">
        <v>30.958091035455979</v>
      </c>
      <c r="L119" s="8">
        <v>30.95807588994937</v>
      </c>
      <c r="M119" s="8">
        <v>15</v>
      </c>
    </row>
    <row r="120" spans="1:13" x14ac:dyDescent="0.3">
      <c r="A120" s="8">
        <v>109</v>
      </c>
      <c r="B120" s="8">
        <v>0.96492800567221348</v>
      </c>
      <c r="C120" s="8">
        <v>5.8710467321532178E-5</v>
      </c>
      <c r="D120" s="8">
        <v>16435.365782181812</v>
      </c>
      <c r="E120" s="8">
        <v>3.6299180898424765E-5</v>
      </c>
      <c r="F120" s="8">
        <v>26582.638555188096</v>
      </c>
      <c r="G120" s="8">
        <v>1.0804547548767482</v>
      </c>
      <c r="H120" s="8">
        <v>30.958101259407112</v>
      </c>
      <c r="I120" s="8">
        <v>30.95809933475304</v>
      </c>
      <c r="J120" s="8">
        <v>0.11552674920453473</v>
      </c>
      <c r="K120" s="8">
        <v>30.958064960226213</v>
      </c>
      <c r="L120" s="8">
        <v>30.958040624285719</v>
      </c>
      <c r="M120" s="8">
        <v>15</v>
      </c>
    </row>
    <row r="121" spans="1:13" x14ac:dyDescent="0.3">
      <c r="A121" s="8">
        <v>110</v>
      </c>
      <c r="B121" s="8">
        <v>0.49080450005663734</v>
      </c>
      <c r="C121" s="8">
        <v>3.6362880980078671E-5</v>
      </c>
      <c r="D121" s="8">
        <v>13497.404133779268</v>
      </c>
      <c r="E121" s="8">
        <v>1.1574275742276541E-5</v>
      </c>
      <c r="F121" s="8">
        <v>42404.769938555233</v>
      </c>
      <c r="G121" s="8">
        <v>0.56995422933995787</v>
      </c>
      <c r="H121" s="8">
        <v>30.95810148503752</v>
      </c>
      <c r="I121" s="8">
        <v>30.958099225494284</v>
      </c>
      <c r="J121" s="8">
        <v>7.9149729283320508E-2</v>
      </c>
      <c r="K121" s="8">
        <v>30.958089910761778</v>
      </c>
      <c r="L121" s="8">
        <v>30.958062862613303</v>
      </c>
      <c r="M121" s="8">
        <v>12</v>
      </c>
    </row>
    <row r="122" spans="1:13" x14ac:dyDescent="0.3">
      <c r="A122" s="8">
        <v>111</v>
      </c>
      <c r="B122" s="8">
        <v>0.72291964249574558</v>
      </c>
      <c r="C122" s="8">
        <v>5.2290485417216814E-5</v>
      </c>
      <c r="D122" s="8">
        <v>13825.070406742139</v>
      </c>
      <c r="E122" s="8">
        <v>2.7358080927797346E-5</v>
      </c>
      <c r="F122" s="8">
        <v>26424.354997839731</v>
      </c>
      <c r="G122" s="8">
        <v>0.80261528629658663</v>
      </c>
      <c r="H122" s="8">
        <v>30.958098668457698</v>
      </c>
      <c r="I122" s="8">
        <v>30.958094490104834</v>
      </c>
      <c r="J122" s="8">
        <v>7.9695643800841071E-2</v>
      </c>
      <c r="K122" s="8">
        <v>30.95807131037677</v>
      </c>
      <c r="L122" s="8">
        <v>30.958042199619417</v>
      </c>
      <c r="M122" s="8">
        <v>10</v>
      </c>
    </row>
    <row r="123" spans="1:13" x14ac:dyDescent="0.3">
      <c r="A123" s="8">
        <v>112</v>
      </c>
      <c r="B123" s="8">
        <v>0.27278602896727705</v>
      </c>
      <c r="C123" s="8">
        <v>4.9683115943111034E-5</v>
      </c>
      <c r="D123" s="8">
        <v>5490.5177299996021</v>
      </c>
      <c r="E123" s="8">
        <v>2.835508650989027E-5</v>
      </c>
      <c r="F123" s="8">
        <v>9620.3560822192921</v>
      </c>
      <c r="G123" s="8">
        <v>0.53497886061112576</v>
      </c>
      <c r="H123" s="8">
        <v>30.958101126581894</v>
      </c>
      <c r="I123" s="8">
        <v>30.958099083696194</v>
      </c>
      <c r="J123" s="8">
        <v>0.26219283164384871</v>
      </c>
      <c r="K123" s="8">
        <v>30.958072771495385</v>
      </c>
      <c r="L123" s="8">
        <v>30.958049400580251</v>
      </c>
      <c r="M123" s="8">
        <v>9</v>
      </c>
    </row>
    <row r="124" spans="1:13" x14ac:dyDescent="0.3">
      <c r="A124" s="8">
        <v>113</v>
      </c>
      <c r="B124" s="8">
        <v>0.97540826649840384</v>
      </c>
      <c r="C124" s="8">
        <v>5.5524702560205696E-5</v>
      </c>
      <c r="D124" s="8">
        <v>17567.104757396297</v>
      </c>
      <c r="E124" s="8">
        <v>1.7638021585497654E-5</v>
      </c>
      <c r="F124" s="8">
        <v>55301.455538551141</v>
      </c>
      <c r="G124" s="8">
        <v>1.0362830252184785</v>
      </c>
      <c r="H124" s="8">
        <v>30.958101351844412</v>
      </c>
      <c r="I124" s="8">
        <v>30.958099637041322</v>
      </c>
      <c r="J124" s="8">
        <v>6.0874758720074633E-2</v>
      </c>
      <c r="K124" s="8">
        <v>30.958083713822827</v>
      </c>
      <c r="L124" s="8">
        <v>30.958044112338762</v>
      </c>
      <c r="M124" s="8">
        <v>12</v>
      </c>
    </row>
    <row r="125" spans="1:13" x14ac:dyDescent="0.3">
      <c r="A125" s="8">
        <v>114</v>
      </c>
      <c r="B125" s="8">
        <v>0.3605864125929143</v>
      </c>
      <c r="C125" s="8">
        <v>1.1758717323928636E-4</v>
      </c>
      <c r="D125" s="8">
        <v>3066.5454629063306</v>
      </c>
      <c r="E125" s="8">
        <v>8.5652884493470083E-5</v>
      </c>
      <c r="F125" s="8">
        <v>4209.8572012528584</v>
      </c>
      <c r="G125" s="8">
        <v>0.61532126626206562</v>
      </c>
      <c r="H125" s="8">
        <v>30.958097482725204</v>
      </c>
      <c r="I125" s="8">
        <v>30.958093931142006</v>
      </c>
      <c r="J125" s="8">
        <v>0.25473485366915133</v>
      </c>
      <c r="K125" s="8">
        <v>30.958011829840711</v>
      </c>
      <c r="L125" s="8">
        <v>30.957976343968767</v>
      </c>
      <c r="M125" s="8">
        <v>12</v>
      </c>
    </row>
    <row r="126" spans="1:13" x14ac:dyDescent="0.3">
      <c r="A126" s="8">
        <v>115</v>
      </c>
      <c r="B126" s="8">
        <v>0.48087081435625711</v>
      </c>
      <c r="C126" s="8">
        <v>4.4376759749553685E-5</v>
      </c>
      <c r="D126" s="8">
        <v>10836.095674179849</v>
      </c>
      <c r="E126" s="8">
        <v>2.1150099708933112E-5</v>
      </c>
      <c r="F126" s="8">
        <v>22736.101530204749</v>
      </c>
      <c r="G126" s="8">
        <v>0.52807636164255767</v>
      </c>
      <c r="H126" s="8">
        <v>30.958099831548989</v>
      </c>
      <c r="I126" s="8">
        <v>30.958096778829479</v>
      </c>
      <c r="J126" s="8">
        <v>4.7205547286300574E-2</v>
      </c>
      <c r="K126" s="8">
        <v>30.95807868144928</v>
      </c>
      <c r="L126" s="8">
        <v>30.958052402069729</v>
      </c>
      <c r="M126" s="8">
        <v>11</v>
      </c>
    </row>
    <row r="127" spans="1:13" x14ac:dyDescent="0.3">
      <c r="A127" s="8">
        <v>116</v>
      </c>
      <c r="B127" s="8">
        <v>0.56121728844717367</v>
      </c>
      <c r="C127" s="8">
        <v>6.4038426760504308E-5</v>
      </c>
      <c r="D127" s="8">
        <v>8763.7582126440429</v>
      </c>
      <c r="E127" s="8">
        <v>3.8403075887316618E-5</v>
      </c>
      <c r="F127" s="8">
        <v>14613.862964881073</v>
      </c>
      <c r="G127" s="8">
        <v>0.76966602232766612</v>
      </c>
      <c r="H127" s="8">
        <v>30.958101527272927</v>
      </c>
      <c r="I127" s="8">
        <v>30.958099427638441</v>
      </c>
      <c r="J127" s="8">
        <v>0.20844873388049248</v>
      </c>
      <c r="K127" s="8">
        <v>30.958063124197039</v>
      </c>
      <c r="L127" s="8">
        <v>30.95803538921168</v>
      </c>
      <c r="M127" s="8">
        <v>12</v>
      </c>
    </row>
    <row r="128" spans="1:13" x14ac:dyDescent="0.3">
      <c r="A128" s="8">
        <v>117</v>
      </c>
      <c r="B128" s="8">
        <v>0.34206683555214257</v>
      </c>
      <c r="C128" s="8">
        <v>1.7946099038823604E-5</v>
      </c>
      <c r="D128" s="8">
        <v>19060.790582517904</v>
      </c>
      <c r="E128" s="8">
        <v>8.8291083528702075E-6</v>
      </c>
      <c r="F128" s="8">
        <v>38743.078222722448</v>
      </c>
      <c r="G128" s="8">
        <v>0.3674332244145232</v>
      </c>
      <c r="H128" s="8">
        <v>30.958097297871522</v>
      </c>
      <c r="I128" s="8">
        <v>30.958092760878166</v>
      </c>
      <c r="J128" s="8">
        <v>2.5366388862380629E-2</v>
      </c>
      <c r="K128" s="8">
        <v>30.958088468763169</v>
      </c>
      <c r="L128" s="8">
        <v>30.958074814779128</v>
      </c>
      <c r="M128" s="8">
        <v>11</v>
      </c>
    </row>
    <row r="129" spans="1:13" x14ac:dyDescent="0.3">
      <c r="A129" s="8">
        <v>118</v>
      </c>
      <c r="B129" s="8">
        <v>0.67266649275252743</v>
      </c>
      <c r="C129" s="8">
        <v>4.3939574005946724E-5</v>
      </c>
      <c r="D129" s="8">
        <v>15308.898822311969</v>
      </c>
      <c r="E129" s="8">
        <v>2.438477392630034E-5</v>
      </c>
      <c r="F129" s="8">
        <v>27585.512778817239</v>
      </c>
      <c r="G129" s="8">
        <v>0.77686345162291426</v>
      </c>
      <c r="H129" s="8">
        <v>30.958100830597381</v>
      </c>
      <c r="I129" s="8">
        <v>30.958098091056765</v>
      </c>
      <c r="J129" s="8">
        <v>0.1041969588703868</v>
      </c>
      <c r="K129" s="8">
        <v>30.958076445823455</v>
      </c>
      <c r="L129" s="8">
        <v>30.958054151482759</v>
      </c>
      <c r="M129" s="8">
        <v>11</v>
      </c>
    </row>
    <row r="130" spans="1:13" x14ac:dyDescent="0.3">
      <c r="A130" s="8">
        <v>119</v>
      </c>
      <c r="B130" s="8">
        <v>8.3708113006347507E-2</v>
      </c>
      <c r="C130" s="8">
        <v>5.1340933705290581E-5</v>
      </c>
      <c r="D130" s="8">
        <v>1630.4361250391819</v>
      </c>
      <c r="E130" s="8">
        <v>3.3075946276994728E-5</v>
      </c>
      <c r="F130" s="8">
        <v>2530.7851302373442</v>
      </c>
      <c r="G130" s="8">
        <v>0.39645942690240299</v>
      </c>
      <c r="H130" s="8">
        <v>30.958101479481066</v>
      </c>
      <c r="I130" s="8">
        <v>30.958101401381732</v>
      </c>
      <c r="J130" s="8">
        <v>0.31275131389605548</v>
      </c>
      <c r="K130" s="8">
        <v>30.958068403534789</v>
      </c>
      <c r="L130" s="8">
        <v>30.958050060448027</v>
      </c>
      <c r="M130" s="8">
        <v>10</v>
      </c>
    </row>
    <row r="131" spans="1:13" x14ac:dyDescent="0.3">
      <c r="A131" s="8">
        <v>120</v>
      </c>
      <c r="B131" s="8">
        <v>0.44735600611499526</v>
      </c>
      <c r="C131" s="8">
        <v>2.3125365483878113E-5</v>
      </c>
      <c r="D131" s="8">
        <v>19344.818849538628</v>
      </c>
      <c r="E131" s="8">
        <v>7.9549273941381671E-6</v>
      </c>
      <c r="F131" s="8">
        <v>56236.340566055107</v>
      </c>
      <c r="G131" s="8">
        <v>0.47470818499457368</v>
      </c>
      <c r="H131" s="8">
        <v>30.958101535521919</v>
      </c>
      <c r="I131" s="8">
        <v>30.958100433702942</v>
      </c>
      <c r="J131" s="8">
        <v>2.7352178879578429E-2</v>
      </c>
      <c r="K131" s="8">
        <v>30.958093580594525</v>
      </c>
      <c r="L131" s="8">
        <v>30.958077308337458</v>
      </c>
      <c r="M131" s="8">
        <v>9</v>
      </c>
    </row>
    <row r="132" spans="1:13" x14ac:dyDescent="0.3">
      <c r="A132" s="8">
        <v>121</v>
      </c>
      <c r="B132" s="8">
        <v>0.53308634841809777</v>
      </c>
      <c r="C132" s="8">
        <v>6.3949663836382342E-5</v>
      </c>
      <c r="D132" s="8">
        <v>8336.0305033349287</v>
      </c>
      <c r="E132" s="8">
        <v>4.9663673767241789E-5</v>
      </c>
      <c r="F132" s="8">
        <v>10733.929006470764</v>
      </c>
      <c r="G132" s="8">
        <v>0.65334267368400567</v>
      </c>
      <c r="H132" s="8">
        <v>30.958098603359957</v>
      </c>
      <c r="I132" s="8">
        <v>30.958097334855125</v>
      </c>
      <c r="J132" s="8">
        <v>0.12025632526590792</v>
      </c>
      <c r="K132" s="8">
        <v>30.95804893968619</v>
      </c>
      <c r="L132" s="8">
        <v>30.958033385191289</v>
      </c>
      <c r="M132" s="8">
        <v>9</v>
      </c>
    </row>
    <row r="133" spans="1:13" x14ac:dyDescent="0.3">
      <c r="A133" s="8">
        <v>122</v>
      </c>
      <c r="B133" s="8">
        <v>0.36322176531604883</v>
      </c>
      <c r="C133" s="8">
        <v>2.4293633526184522E-5</v>
      </c>
      <c r="D133" s="8">
        <v>14951.314916500893</v>
      </c>
      <c r="E133" s="8">
        <v>7.476975056874835E-6</v>
      </c>
      <c r="F133" s="8">
        <v>48578.704964660574</v>
      </c>
      <c r="G133" s="8">
        <v>0.39471623426726787</v>
      </c>
      <c r="H133" s="8">
        <v>30.958101485347285</v>
      </c>
      <c r="I133" s="8">
        <v>30.958101329688905</v>
      </c>
      <c r="J133" s="8">
        <v>3.1494468951219039E-2</v>
      </c>
      <c r="K133" s="8">
        <v>30.958094008372228</v>
      </c>
      <c r="L133" s="8">
        <v>30.958077036055379</v>
      </c>
      <c r="M133" s="8">
        <v>14</v>
      </c>
    </row>
    <row r="134" spans="1:13" x14ac:dyDescent="0.3">
      <c r="A134" s="8">
        <v>123</v>
      </c>
      <c r="B134" s="8">
        <v>0.58158403431985684</v>
      </c>
      <c r="C134" s="8">
        <v>2.7190345448957487E-5</v>
      </c>
      <c r="D134" s="8">
        <v>21389.358050327952</v>
      </c>
      <c r="E134" s="8">
        <v>9.7796679874306847E-6</v>
      </c>
      <c r="F134" s="8">
        <v>59468.68902577649</v>
      </c>
      <c r="G134" s="8">
        <v>0.63904212128186599</v>
      </c>
      <c r="H134" s="8">
        <v>30.958101513236009</v>
      </c>
      <c r="I134" s="8">
        <v>30.958101145539395</v>
      </c>
      <c r="J134" s="8">
        <v>5.74580869620092E-2</v>
      </c>
      <c r="K134" s="8">
        <v>30.958091733568022</v>
      </c>
      <c r="L134" s="8">
        <v>30.958073955193946</v>
      </c>
      <c r="M134" s="8">
        <v>12</v>
      </c>
    </row>
    <row r="135" spans="1:13" x14ac:dyDescent="0.3">
      <c r="A135" s="8">
        <v>124</v>
      </c>
      <c r="B135" s="8">
        <v>0.51629004528499112</v>
      </c>
      <c r="C135" s="8">
        <v>5.517445092451112E-5</v>
      </c>
      <c r="D135" s="8">
        <v>9357.4115670198807</v>
      </c>
      <c r="E135" s="8">
        <v>3.3684909261921803E-5</v>
      </c>
      <c r="F135" s="8">
        <v>15327.042779616962</v>
      </c>
      <c r="G135" s="8">
        <v>0.80482750120253965</v>
      </c>
      <c r="H135" s="8">
        <v>30.958101241286194</v>
      </c>
      <c r="I135" s="8">
        <v>30.958100296006318</v>
      </c>
      <c r="J135" s="8">
        <v>0.28853745591754854</v>
      </c>
      <c r="K135" s="8">
        <v>30.958067556376932</v>
      </c>
      <c r="L135" s="8">
        <v>30.958045121555394</v>
      </c>
      <c r="M135" s="8">
        <v>10</v>
      </c>
    </row>
    <row r="136" spans="1:13" x14ac:dyDescent="0.3">
      <c r="A136" s="8">
        <v>125</v>
      </c>
      <c r="B136" s="8">
        <v>0.45778112020832917</v>
      </c>
      <c r="C136" s="8">
        <v>2.0343186136528857E-5</v>
      </c>
      <c r="D136" s="8">
        <v>22502.921476313051</v>
      </c>
      <c r="E136" s="8">
        <v>5.9423267515512634E-6</v>
      </c>
      <c r="F136" s="8">
        <v>77037.352429134582</v>
      </c>
      <c r="G136" s="8">
        <v>0.50020537984780788</v>
      </c>
      <c r="H136" s="8">
        <v>30.958100125881906</v>
      </c>
      <c r="I136" s="8">
        <v>30.958096657733826</v>
      </c>
      <c r="J136" s="8">
        <v>4.242425963947874E-2</v>
      </c>
      <c r="K136" s="8">
        <v>30.958094183555154</v>
      </c>
      <c r="L136" s="8">
        <v>30.958076314547689</v>
      </c>
      <c r="M136" s="8">
        <v>11</v>
      </c>
    </row>
    <row r="137" spans="1:13" x14ac:dyDescent="0.3">
      <c r="A137" s="8">
        <v>126</v>
      </c>
      <c r="B137" s="8">
        <v>0.37431197612299438</v>
      </c>
      <c r="C137" s="8">
        <v>1.5704356727042068E-5</v>
      </c>
      <c r="D137" s="8">
        <v>23834.912988091328</v>
      </c>
      <c r="E137" s="8">
        <v>2.7674361113838586E-6</v>
      </c>
      <c r="F137" s="8">
        <v>135255.86899125174</v>
      </c>
      <c r="G137" s="8">
        <v>0.39084631548893434</v>
      </c>
      <c r="H137" s="8">
        <v>30.958101399790813</v>
      </c>
      <c r="I137" s="8">
        <v>30.958099461360526</v>
      </c>
      <c r="J137" s="8">
        <v>1.6534339365939982E-2</v>
      </c>
      <c r="K137" s="8">
        <v>30.958098632354702</v>
      </c>
      <c r="L137" s="8">
        <v>30.958083757003799</v>
      </c>
      <c r="M137" s="8">
        <v>10</v>
      </c>
    </row>
    <row r="138" spans="1:13" x14ac:dyDescent="0.3">
      <c r="A138" s="8">
        <v>127</v>
      </c>
      <c r="B138" s="8">
        <v>0.56452393365021603</v>
      </c>
      <c r="C138" s="8">
        <v>8.501401179472623E-5</v>
      </c>
      <c r="D138" s="8">
        <v>6640.363414601683</v>
      </c>
      <c r="E138" s="8">
        <v>5.0659511124706569E-5</v>
      </c>
      <c r="F138" s="8">
        <v>11143.493514190241</v>
      </c>
      <c r="G138" s="8">
        <v>0.70289122800609261</v>
      </c>
      <c r="H138" s="8">
        <v>30.958097634267361</v>
      </c>
      <c r="I138" s="8">
        <v>30.958094447043631</v>
      </c>
      <c r="J138" s="8">
        <v>0.13836729435587661</v>
      </c>
      <c r="K138" s="8">
        <v>30.958046974756236</v>
      </c>
      <c r="L138" s="8">
        <v>30.958009433031837</v>
      </c>
      <c r="M138" s="8">
        <v>13</v>
      </c>
    </row>
    <row r="139" spans="1:13" x14ac:dyDescent="0.3">
      <c r="A139" s="8">
        <v>128</v>
      </c>
      <c r="B139" s="8">
        <v>0.42299296087386085</v>
      </c>
      <c r="C139" s="8">
        <v>5.4689369001437171E-5</v>
      </c>
      <c r="D139" s="8">
        <v>7734.4640941595999</v>
      </c>
      <c r="E139" s="8">
        <v>3.4211243978177208E-5</v>
      </c>
      <c r="F139" s="8">
        <v>12364.15025258015</v>
      </c>
      <c r="G139" s="8">
        <v>0.51931423032940927</v>
      </c>
      <c r="H139" s="8">
        <v>30.958101077447346</v>
      </c>
      <c r="I139" s="8">
        <v>30.958100604044986</v>
      </c>
      <c r="J139" s="8">
        <v>9.6321269455548447E-2</v>
      </c>
      <c r="K139" s="8">
        <v>30.958066866203367</v>
      </c>
      <c r="L139" s="8">
        <v>30.958045914675985</v>
      </c>
      <c r="M139" s="8">
        <v>12</v>
      </c>
    </row>
    <row r="140" spans="1:13" x14ac:dyDescent="0.3">
      <c r="A140" s="8">
        <v>129</v>
      </c>
      <c r="B140" s="8">
        <v>0.5883238761815649</v>
      </c>
      <c r="C140" s="8">
        <v>5.4333901438496923E-5</v>
      </c>
      <c r="D140" s="8">
        <v>10827.93358484511</v>
      </c>
      <c r="E140" s="8">
        <v>2.9161864020466055E-5</v>
      </c>
      <c r="F140" s="8">
        <v>20174.426290743075</v>
      </c>
      <c r="G140" s="8">
        <v>0.84584399372431895</v>
      </c>
      <c r="H140" s="8">
        <v>30.958100411124658</v>
      </c>
      <c r="I140" s="8">
        <v>30.958097558091207</v>
      </c>
      <c r="J140" s="8">
        <v>0.25752011754275406</v>
      </c>
      <c r="K140" s="8">
        <v>30.958071249260637</v>
      </c>
      <c r="L140" s="8">
        <v>30.958043224189769</v>
      </c>
      <c r="M140" s="8">
        <v>13</v>
      </c>
    </row>
    <row r="141" spans="1:13" x14ac:dyDescent="0.3">
      <c r="A141" s="8">
        <v>130</v>
      </c>
      <c r="B141" s="8">
        <v>0.79321239889814299</v>
      </c>
      <c r="C141" s="8">
        <v>7.4236629064472481E-5</v>
      </c>
      <c r="D141" s="8">
        <v>10684.919410999382</v>
      </c>
      <c r="E141" s="8">
        <v>4.3772544032094629E-5</v>
      </c>
      <c r="F141" s="8">
        <v>18121.231389168261</v>
      </c>
      <c r="G141" s="8">
        <v>0.97737352314909987</v>
      </c>
      <c r="H141" s="8">
        <v>30.958101551454217</v>
      </c>
      <c r="I141" s="8">
        <v>30.958101231227751</v>
      </c>
      <c r="J141" s="8">
        <v>0.18416112425095688</v>
      </c>
      <c r="K141" s="8">
        <v>30.958057778910185</v>
      </c>
      <c r="L141" s="8">
        <v>30.958026994598686</v>
      </c>
      <c r="M141" s="8">
        <v>9</v>
      </c>
    </row>
    <row r="142" spans="1:13" x14ac:dyDescent="0.3">
      <c r="A142" s="8">
        <v>131</v>
      </c>
      <c r="B142" s="8">
        <v>0.39617431046721918</v>
      </c>
      <c r="C142" s="8">
        <v>8.4017065052677253E-5</v>
      </c>
      <c r="D142" s="8">
        <v>4715.4028793891421</v>
      </c>
      <c r="E142" s="8">
        <v>6.6438662795320624E-5</v>
      </c>
      <c r="F142" s="8">
        <v>5963.0084923250797</v>
      </c>
      <c r="G142" s="8">
        <v>0.53102359518056363</v>
      </c>
      <c r="H142" s="8">
        <v>30.958099795543244</v>
      </c>
      <c r="I142" s="8">
        <v>30.958098696108419</v>
      </c>
      <c r="J142" s="8">
        <v>0.13484928471334448</v>
      </c>
      <c r="K142" s="8">
        <v>30.958033356880449</v>
      </c>
      <c r="L142" s="8">
        <v>30.958014679043366</v>
      </c>
      <c r="M142" s="8">
        <v>13</v>
      </c>
    </row>
    <row r="143" spans="1:13" x14ac:dyDescent="0.3">
      <c r="A143" s="8">
        <v>132</v>
      </c>
      <c r="B143" s="8">
        <v>0.79006452662437998</v>
      </c>
      <c r="C143" s="8">
        <v>4.1612694513304405E-5</v>
      </c>
      <c r="D143" s="8">
        <v>18986.141990199183</v>
      </c>
      <c r="E143" s="8">
        <v>1.2622521378347074E-5</v>
      </c>
      <c r="F143" s="8">
        <v>62591.656844382334</v>
      </c>
      <c r="G143" s="8">
        <v>0.82721123872015578</v>
      </c>
      <c r="H143" s="8">
        <v>30.958100293937413</v>
      </c>
      <c r="I143" s="8">
        <v>30.95809530289948</v>
      </c>
      <c r="J143" s="8">
        <v>3.7146712095775768E-2</v>
      </c>
      <c r="K143" s="8">
        <v>30.958087671416035</v>
      </c>
      <c r="L143" s="8">
        <v>30.958053690204967</v>
      </c>
      <c r="M143" s="8">
        <v>14</v>
      </c>
    </row>
    <row r="144" spans="1:13" x14ac:dyDescent="0.3">
      <c r="A144" s="8">
        <v>133</v>
      </c>
      <c r="B144" s="8">
        <v>0.72616436104070092</v>
      </c>
      <c r="C144" s="8">
        <v>7.6669295694387074E-5</v>
      </c>
      <c r="D144" s="8">
        <v>9471.3842675075357</v>
      </c>
      <c r="E144" s="8">
        <v>5.0308140448152017E-5</v>
      </c>
      <c r="F144" s="8">
        <v>14434.331195149061</v>
      </c>
      <c r="G144" s="8">
        <v>0.82348845371666901</v>
      </c>
      <c r="H144" s="8">
        <v>30.958094799864988</v>
      </c>
      <c r="I144" s="8">
        <v>30.958088418016931</v>
      </c>
      <c r="J144" s="8">
        <v>9.7324092675968144E-2</v>
      </c>
      <c r="K144" s="8">
        <v>30.958044491724539</v>
      </c>
      <c r="L144" s="8">
        <v>30.958011748721237</v>
      </c>
      <c r="M144" s="8">
        <v>9</v>
      </c>
    </row>
    <row r="145" spans="1:13" x14ac:dyDescent="0.3">
      <c r="A145" s="8">
        <v>134</v>
      </c>
      <c r="B145" s="8">
        <v>0.56166081242935662</v>
      </c>
      <c r="C145" s="8">
        <v>9.9717896834050634E-5</v>
      </c>
      <c r="D145" s="8">
        <v>5632.4975782839265</v>
      </c>
      <c r="E145" s="8">
        <v>7.7394182113721399E-5</v>
      </c>
      <c r="F145" s="8">
        <v>7257.1451379131304</v>
      </c>
      <c r="G145" s="8">
        <v>0.88505469387427593</v>
      </c>
      <c r="H145" s="8">
        <v>30.958098897203254</v>
      </c>
      <c r="I145" s="8">
        <v>30.958096708305437</v>
      </c>
      <c r="J145" s="8">
        <v>0.32339388144491932</v>
      </c>
      <c r="K145" s="8">
        <v>30.95802150302114</v>
      </c>
      <c r="L145" s="8">
        <v>30.957996990408603</v>
      </c>
      <c r="M145" s="8">
        <v>10</v>
      </c>
    </row>
    <row r="146" spans="1:13" x14ac:dyDescent="0.3">
      <c r="A146" s="8">
        <v>135</v>
      </c>
      <c r="B146" s="8">
        <v>0.51174631579005081</v>
      </c>
      <c r="C146" s="8">
        <v>6.6720575539136462E-5</v>
      </c>
      <c r="D146" s="8">
        <v>7669.9925271159336</v>
      </c>
      <c r="E146" s="8">
        <v>4.1227964768353331E-5</v>
      </c>
      <c r="F146" s="8">
        <v>12412.601947862056</v>
      </c>
      <c r="G146" s="8">
        <v>0.60432059086102696</v>
      </c>
      <c r="H146" s="8">
        <v>30.958101383426285</v>
      </c>
      <c r="I146" s="8">
        <v>30.958099371889951</v>
      </c>
      <c r="J146" s="8">
        <v>9.2574275070976195E-2</v>
      </c>
      <c r="K146" s="8">
        <v>30.958060155461517</v>
      </c>
      <c r="L146" s="8">
        <v>30.958032651314412</v>
      </c>
      <c r="M146" s="8">
        <v>14</v>
      </c>
    </row>
    <row r="147" spans="1:13" x14ac:dyDescent="0.3">
      <c r="A147" s="8">
        <v>136</v>
      </c>
      <c r="B147" s="8">
        <v>0.38331894099853075</v>
      </c>
      <c r="C147" s="8">
        <v>9.6998517935986683E-5</v>
      </c>
      <c r="D147" s="8">
        <v>3951.8020394033106</v>
      </c>
      <c r="E147" s="8">
        <v>8.7137590291774814E-5</v>
      </c>
      <c r="F147" s="8">
        <v>4399.00781872681</v>
      </c>
      <c r="G147" s="8">
        <v>0.57954175565698129</v>
      </c>
      <c r="H147" s="8">
        <v>30.958100206293949</v>
      </c>
      <c r="I147" s="8">
        <v>30.958099211843919</v>
      </c>
      <c r="J147" s="8">
        <v>0.19622281465845054</v>
      </c>
      <c r="K147" s="8">
        <v>30.958013068703657</v>
      </c>
      <c r="L147" s="8">
        <v>30.958002213325983</v>
      </c>
      <c r="M147" s="8">
        <v>12</v>
      </c>
    </row>
    <row r="148" spans="1:13" x14ac:dyDescent="0.3">
      <c r="A148" s="8">
        <v>137</v>
      </c>
      <c r="B148" s="8">
        <v>0.37862057180252118</v>
      </c>
      <c r="C148" s="8">
        <v>1.2975416604632528E-4</v>
      </c>
      <c r="D148" s="8">
        <v>2917.9839333046521</v>
      </c>
      <c r="E148" s="8">
        <v>1.2129717065079149E-4</v>
      </c>
      <c r="F148" s="8">
        <v>3121.4295417701946</v>
      </c>
      <c r="G148" s="8">
        <v>0.62459406766018688</v>
      </c>
      <c r="H148" s="8">
        <v>30.958101463389106</v>
      </c>
      <c r="I148" s="8">
        <v>30.958100433566287</v>
      </c>
      <c r="J148" s="8">
        <v>0.24597349585766567</v>
      </c>
      <c r="K148" s="8">
        <v>30.957980166218455</v>
      </c>
      <c r="L148" s="8">
        <v>30.95797067940024</v>
      </c>
      <c r="M148" s="8">
        <v>12</v>
      </c>
    </row>
    <row r="149" spans="1:13" x14ac:dyDescent="0.3">
      <c r="A149" s="8">
        <v>138</v>
      </c>
      <c r="B149" s="8">
        <v>0.2945643478261139</v>
      </c>
      <c r="C149" s="8">
        <v>3.8705367721547645E-5</v>
      </c>
      <c r="D149" s="8">
        <v>7610.4262836424914</v>
      </c>
      <c r="E149" s="8">
        <v>2.726275076625484E-5</v>
      </c>
      <c r="F149" s="8">
        <v>10804.645149407241</v>
      </c>
      <c r="G149" s="8">
        <v>0.35753627748894679</v>
      </c>
      <c r="H149" s="8">
        <v>30.958101550919043</v>
      </c>
      <c r="I149" s="8">
        <v>30.958101145536208</v>
      </c>
      <c r="J149" s="8">
        <v>6.2971929662832868E-2</v>
      </c>
      <c r="K149" s="8">
        <v>30.958074288168277</v>
      </c>
      <c r="L149" s="8">
        <v>30.958062440168487</v>
      </c>
      <c r="M149" s="8">
        <v>10</v>
      </c>
    </row>
    <row r="150" spans="1:13" x14ac:dyDescent="0.3">
      <c r="A150" s="8">
        <v>139</v>
      </c>
      <c r="B150" s="8">
        <v>0.40903032174984444</v>
      </c>
      <c r="C150" s="8">
        <v>1.0304637568836483E-4</v>
      </c>
      <c r="D150" s="8">
        <v>3969.3809609262062</v>
      </c>
      <c r="E150" s="8">
        <v>8.2760072217524794E-5</v>
      </c>
      <c r="F150" s="8">
        <v>4942.3630355802243</v>
      </c>
      <c r="G150" s="8">
        <v>0.60360648499983349</v>
      </c>
      <c r="H150" s="8">
        <v>30.958101408451846</v>
      </c>
      <c r="I150" s="8">
        <v>30.95809903290969</v>
      </c>
      <c r="J150" s="8">
        <v>0.19457616324998905</v>
      </c>
      <c r="K150" s="8">
        <v>30.958018648379628</v>
      </c>
      <c r="L150" s="8">
        <v>30.957995986534002</v>
      </c>
      <c r="M150" s="8">
        <v>10</v>
      </c>
    </row>
    <row r="151" spans="1:13" x14ac:dyDescent="0.3">
      <c r="A151" s="8">
        <v>140</v>
      </c>
      <c r="B151" s="8">
        <v>0.61282160767350025</v>
      </c>
      <c r="C151" s="8">
        <v>6.9076807776013993E-5</v>
      </c>
      <c r="D151" s="8">
        <v>8871.5971018900273</v>
      </c>
      <c r="E151" s="8">
        <v>4.218432328073618E-5</v>
      </c>
      <c r="F151" s="8">
        <v>14527.235712546095</v>
      </c>
      <c r="G151" s="8">
        <v>0.90973977953535168</v>
      </c>
      <c r="H151" s="8">
        <v>30.958100690567711</v>
      </c>
      <c r="I151" s="8">
        <v>30.958099108325534</v>
      </c>
      <c r="J151" s="8">
        <v>0.29691817186185143</v>
      </c>
      <c r="K151" s="8">
        <v>30.958058506244431</v>
      </c>
      <c r="L151" s="8">
        <v>30.958030031517758</v>
      </c>
      <c r="M151" s="8">
        <v>9</v>
      </c>
    </row>
    <row r="152" spans="1:13" x14ac:dyDescent="0.3">
      <c r="A152" s="8">
        <v>141</v>
      </c>
      <c r="B152" s="8">
        <v>0.36770051972098228</v>
      </c>
      <c r="C152" s="8">
        <v>1.0604232141275816E-5</v>
      </c>
      <c r="D152" s="8">
        <v>34674.884029532717</v>
      </c>
      <c r="E152" s="8">
        <v>4.0400576004628874E-6</v>
      </c>
      <c r="F152" s="8">
        <v>91013.682497708243</v>
      </c>
      <c r="G152" s="8">
        <v>0.38282304122146549</v>
      </c>
      <c r="H152" s="8">
        <v>30.958098764877072</v>
      </c>
      <c r="I152" s="8">
        <v>30.958093783179642</v>
      </c>
      <c r="J152" s="8">
        <v>1.5122521500483231E-2</v>
      </c>
      <c r="K152" s="8">
        <v>30.958094724819471</v>
      </c>
      <c r="L152" s="8">
        <v>30.958083178947501</v>
      </c>
      <c r="M152" s="8">
        <v>15</v>
      </c>
    </row>
    <row r="153" spans="1:13" x14ac:dyDescent="0.3">
      <c r="A153" s="8">
        <v>142</v>
      </c>
      <c r="B153" s="8">
        <v>0.46783141615715285</v>
      </c>
      <c r="C153" s="8">
        <v>5.2927100050226272E-5</v>
      </c>
      <c r="D153" s="8">
        <v>8839.1658661289675</v>
      </c>
      <c r="E153" s="8">
        <v>3.1672859755360605E-5</v>
      </c>
      <c r="F153" s="8">
        <v>14770.734937440335</v>
      </c>
      <c r="G153" s="8">
        <v>0.49777602099828377</v>
      </c>
      <c r="H153" s="8">
        <v>30.958101474782289</v>
      </c>
      <c r="I153" s="8">
        <v>30.958099737195059</v>
      </c>
      <c r="J153" s="8">
        <v>2.9944604841130956E-2</v>
      </c>
      <c r="K153" s="8">
        <v>30.958069801922534</v>
      </c>
      <c r="L153" s="8">
        <v>30.958046810095009</v>
      </c>
      <c r="M153" s="8">
        <v>14</v>
      </c>
    </row>
    <row r="154" spans="1:13" x14ac:dyDescent="0.3">
      <c r="A154" s="8">
        <v>143</v>
      </c>
      <c r="B154" s="8">
        <v>0.35551508757590938</v>
      </c>
      <c r="C154" s="8">
        <v>8.872692670536253E-5</v>
      </c>
      <c r="D154" s="8">
        <v>4006.8455065109624</v>
      </c>
      <c r="E154" s="8">
        <v>7.2219569972276076E-5</v>
      </c>
      <c r="F154" s="8">
        <v>4922.6973756889702</v>
      </c>
      <c r="G154" s="8">
        <v>0.48694176208988038</v>
      </c>
      <c r="H154" s="8">
        <v>30.958100938529324</v>
      </c>
      <c r="I154" s="8">
        <v>30.958099658495165</v>
      </c>
      <c r="J154" s="8">
        <v>0.131426674513971</v>
      </c>
      <c r="K154" s="8">
        <v>30.958028718959351</v>
      </c>
      <c r="L154" s="8">
        <v>30.95801093156846</v>
      </c>
      <c r="M154" s="8">
        <v>10</v>
      </c>
    </row>
    <row r="155" spans="1:13" x14ac:dyDescent="0.3">
      <c r="A155" s="8">
        <v>144</v>
      </c>
      <c r="B155" s="8">
        <v>0.40486318535142962</v>
      </c>
      <c r="C155" s="8">
        <v>2.6935998434396424E-5</v>
      </c>
      <c r="D155" s="8">
        <v>15030.561660355314</v>
      </c>
      <c r="E155" s="8">
        <v>1.7886760620200448E-5</v>
      </c>
      <c r="F155" s="8">
        <v>22634.796425586228</v>
      </c>
      <c r="G155" s="8">
        <v>0.47197660244826833</v>
      </c>
      <c r="H155" s="8">
        <v>30.958099957873042</v>
      </c>
      <c r="I155" s="8">
        <v>30.958098829132997</v>
      </c>
      <c r="J155" s="8">
        <v>6.7113417096838685E-2</v>
      </c>
      <c r="K155" s="8">
        <v>30.958082071112422</v>
      </c>
      <c r="L155" s="8">
        <v>30.958071893134562</v>
      </c>
      <c r="M155" s="8">
        <v>10</v>
      </c>
    </row>
    <row r="156" spans="1:13" x14ac:dyDescent="0.3">
      <c r="A156" s="8">
        <v>145</v>
      </c>
      <c r="B156" s="8">
        <v>0.47198352265248822</v>
      </c>
      <c r="C156" s="8">
        <v>8.8726995386423368E-5</v>
      </c>
      <c r="D156" s="8">
        <v>5319.503050868655</v>
      </c>
      <c r="E156" s="8">
        <v>5.0688870196324842E-5</v>
      </c>
      <c r="F156" s="8">
        <v>9311.3837579025185</v>
      </c>
      <c r="G156" s="8">
        <v>0.6046832620230097</v>
      </c>
      <c r="H156" s="8">
        <v>30.958101272432156</v>
      </c>
      <c r="I156" s="8">
        <v>30.958098599355267</v>
      </c>
      <c r="J156" s="8">
        <v>0.13269973937052151</v>
      </c>
      <c r="K156" s="8">
        <v>30.95805058356196</v>
      </c>
      <c r="L156" s="8">
        <v>30.958009872359881</v>
      </c>
      <c r="M156" s="8">
        <v>15</v>
      </c>
    </row>
    <row r="157" spans="1:13" x14ac:dyDescent="0.3">
      <c r="A157" s="8">
        <v>146</v>
      </c>
      <c r="B157" s="8">
        <v>0.52913707867297</v>
      </c>
      <c r="C157" s="8">
        <v>3.7678005575969564E-5</v>
      </c>
      <c r="D157" s="8">
        <v>14043.659439618674</v>
      </c>
      <c r="E157" s="8">
        <v>2.4895245829270607E-5</v>
      </c>
      <c r="F157" s="8">
        <v>21254.543228925926</v>
      </c>
      <c r="G157" s="8">
        <v>0.61917287896799711</v>
      </c>
      <c r="H157" s="8">
        <v>30.958101007747839</v>
      </c>
      <c r="I157" s="8">
        <v>30.958099495929627</v>
      </c>
      <c r="J157" s="8">
        <v>9.0035800295027085E-2</v>
      </c>
      <c r="K157" s="8">
        <v>30.95807611250201</v>
      </c>
      <c r="L157" s="8">
        <v>30.958061817924051</v>
      </c>
      <c r="M157" s="8">
        <v>11</v>
      </c>
    </row>
    <row r="158" spans="1:13" x14ac:dyDescent="0.3">
      <c r="A158" s="8">
        <v>147</v>
      </c>
      <c r="B158" s="8">
        <v>0.41004032838741356</v>
      </c>
      <c r="C158" s="8">
        <v>5.4178085456157987E-5</v>
      </c>
      <c r="D158" s="8">
        <v>7568.3798151048832</v>
      </c>
      <c r="E158" s="8">
        <v>2.3498775185260001E-5</v>
      </c>
      <c r="F158" s="8">
        <v>17449.434072828535</v>
      </c>
      <c r="G158" s="8">
        <v>0.47224441539750606</v>
      </c>
      <c r="H158" s="8">
        <v>30.958101521278852</v>
      </c>
      <c r="I158" s="8">
        <v>30.958099096048034</v>
      </c>
      <c r="J158" s="8">
        <v>6.2204087010092494E-2</v>
      </c>
      <c r="K158" s="8">
        <v>30.958078022503667</v>
      </c>
      <c r="L158" s="8">
        <v>30.958044917962578</v>
      </c>
      <c r="M158" s="8">
        <v>11</v>
      </c>
    </row>
    <row r="159" spans="1:13" x14ac:dyDescent="0.3">
      <c r="A159" s="8">
        <v>148</v>
      </c>
      <c r="B159" s="8">
        <v>0.51059641690758073</v>
      </c>
      <c r="C159" s="8">
        <v>6.4688250088096311E-5</v>
      </c>
      <c r="D159" s="8">
        <v>7893.1864165782836</v>
      </c>
      <c r="E159" s="8">
        <v>4.7068721983123396E-5</v>
      </c>
      <c r="F159" s="8">
        <v>10847.892090434414</v>
      </c>
      <c r="G159" s="8">
        <v>0.59786182699671286</v>
      </c>
      <c r="H159" s="8">
        <v>30.958101551117323</v>
      </c>
      <c r="I159" s="8">
        <v>30.958100760987822</v>
      </c>
      <c r="J159" s="8">
        <v>8.7265410089132175E-2</v>
      </c>
      <c r="K159" s="8">
        <v>30.95805448239534</v>
      </c>
      <c r="L159" s="8">
        <v>30.958036072737734</v>
      </c>
      <c r="M159" s="8">
        <v>14</v>
      </c>
    </row>
    <row r="160" spans="1:13" x14ac:dyDescent="0.3">
      <c r="A160" s="8">
        <v>149</v>
      </c>
      <c r="B160" s="8">
        <v>0.44072314626813924</v>
      </c>
      <c r="C160" s="8">
        <v>7.0442640822676594E-5</v>
      </c>
      <c r="D160" s="8">
        <v>6256.4824532566863</v>
      </c>
      <c r="E160" s="8">
        <v>4.687838635319963E-5</v>
      </c>
      <c r="F160" s="8">
        <v>9401.414608164263</v>
      </c>
      <c r="G160" s="8">
        <v>0.62752399503200662</v>
      </c>
      <c r="H160" s="8">
        <v>30.958099308934042</v>
      </c>
      <c r="I160" s="8">
        <v>30.958097664770147</v>
      </c>
      <c r="J160" s="8">
        <v>0.18680084876386735</v>
      </c>
      <c r="K160" s="8">
        <v>30.958052430547689</v>
      </c>
      <c r="L160" s="8">
        <v>30.958027222129324</v>
      </c>
      <c r="M160" s="8">
        <v>15</v>
      </c>
    </row>
    <row r="161" spans="1:13" x14ac:dyDescent="0.3">
      <c r="A161" s="8">
        <v>150</v>
      </c>
      <c r="B161" s="8">
        <v>0.56970150925835161</v>
      </c>
      <c r="C161" s="8">
        <v>4.8145150035594497E-5</v>
      </c>
      <c r="D161" s="8">
        <v>11832.998938359564</v>
      </c>
      <c r="E161" s="8">
        <v>2.5886944349906571E-5</v>
      </c>
      <c r="F161" s="8">
        <v>22007.290685136722</v>
      </c>
      <c r="G161" s="8">
        <v>0.71147487429167333</v>
      </c>
      <c r="H161" s="8">
        <v>30.958100752110109</v>
      </c>
      <c r="I161" s="8">
        <v>30.958097991255617</v>
      </c>
      <c r="J161" s="8">
        <v>0.14177336503332169</v>
      </c>
      <c r="K161" s="8">
        <v>30.958074865165759</v>
      </c>
      <c r="L161" s="8">
        <v>30.958049846105581</v>
      </c>
      <c r="M161" s="8">
        <v>15</v>
      </c>
    </row>
    <row r="162" spans="1:13" x14ac:dyDescent="0.3">
      <c r="A162" s="8">
        <v>151</v>
      </c>
      <c r="B162" s="8">
        <v>0.66294944017010249</v>
      </c>
      <c r="C162" s="8">
        <v>6.3404780210163381E-5</v>
      </c>
      <c r="D162" s="8">
        <v>10455.827430876196</v>
      </c>
      <c r="E162" s="8">
        <v>3.2629107600712359E-5</v>
      </c>
      <c r="F162" s="8">
        <v>20317.731280999818</v>
      </c>
      <c r="G162" s="8">
        <v>0.95840077515810695</v>
      </c>
      <c r="H162" s="8">
        <v>30.958100599223521</v>
      </c>
      <c r="I162" s="8">
        <v>30.95809940313093</v>
      </c>
      <c r="J162" s="8">
        <v>0.29545133498800447</v>
      </c>
      <c r="K162" s="8">
        <v>30.95806797011592</v>
      </c>
      <c r="L162" s="8">
        <v>30.95803599835072</v>
      </c>
      <c r="M162" s="8">
        <v>13</v>
      </c>
    </row>
    <row r="163" spans="1:13" x14ac:dyDescent="0.3">
      <c r="A163" s="8">
        <v>152</v>
      </c>
      <c r="B163" s="8">
        <v>0.22276072365089339</v>
      </c>
      <c r="C163" s="8">
        <v>4.4165281302355197E-5</v>
      </c>
      <c r="D163" s="8">
        <v>5043.7972335300001</v>
      </c>
      <c r="E163" s="8">
        <v>3.0793888697644434E-5</v>
      </c>
      <c r="F163" s="8">
        <v>7233.926375395823</v>
      </c>
      <c r="G163" s="8">
        <v>0.48455534630386793</v>
      </c>
      <c r="H163" s="8">
        <v>30.958101539838797</v>
      </c>
      <c r="I163" s="8">
        <v>30.958100285283951</v>
      </c>
      <c r="J163" s="8">
        <v>0.26179462265297454</v>
      </c>
      <c r="K163" s="8">
        <v>30.958070745950099</v>
      </c>
      <c r="L163" s="8">
        <v>30.958056120002649</v>
      </c>
      <c r="M163" s="8">
        <v>10</v>
      </c>
    </row>
    <row r="164" spans="1:13" x14ac:dyDescent="0.3">
      <c r="A164" s="8">
        <v>153</v>
      </c>
      <c r="B164" s="8">
        <v>0.2778048547846344</v>
      </c>
      <c r="C164" s="8">
        <v>6.343224596250252E-5</v>
      </c>
      <c r="D164" s="8">
        <v>4379.5525535838124</v>
      </c>
      <c r="E164" s="8">
        <v>4.7117248481498564E-5</v>
      </c>
      <c r="F164" s="8">
        <v>5896.0330608804434</v>
      </c>
      <c r="G164" s="8">
        <v>0.34242257075512084</v>
      </c>
      <c r="H164" s="8">
        <v>30.95809921457349</v>
      </c>
      <c r="I164" s="8">
        <v>30.958098361828903</v>
      </c>
      <c r="J164" s="8">
        <v>6.4617715970486433E-2</v>
      </c>
      <c r="K164" s="8">
        <v>30.958052097325009</v>
      </c>
      <c r="L164" s="8">
        <v>30.95803492958294</v>
      </c>
      <c r="M164" s="8">
        <v>13</v>
      </c>
    </row>
    <row r="165" spans="1:13" x14ac:dyDescent="0.3">
      <c r="A165" s="8">
        <v>154</v>
      </c>
      <c r="B165" s="8">
        <v>0.30119909517714394</v>
      </c>
      <c r="C165" s="8">
        <v>5.017807635354643E-5</v>
      </c>
      <c r="D165" s="8">
        <v>6002.6034687927231</v>
      </c>
      <c r="E165" s="8">
        <v>2.9047349485722407E-5</v>
      </c>
      <c r="F165" s="8">
        <v>10369.245404824003</v>
      </c>
      <c r="G165" s="8">
        <v>0.36625244962691139</v>
      </c>
      <c r="H165" s="8">
        <v>30.958101549786747</v>
      </c>
      <c r="I165" s="8">
        <v>30.958099590211784</v>
      </c>
      <c r="J165" s="8">
        <v>6.5053354449767425E-2</v>
      </c>
      <c r="K165" s="8">
        <v>30.958072502437261</v>
      </c>
      <c r="L165" s="8">
        <v>30.958049412135431</v>
      </c>
      <c r="M165" s="8">
        <v>11</v>
      </c>
    </row>
    <row r="166" spans="1:13" x14ac:dyDescent="0.3">
      <c r="A166" s="8">
        <v>155</v>
      </c>
      <c r="B166" s="8">
        <v>0.39986402967189572</v>
      </c>
      <c r="C166" s="8">
        <v>7.2286572965651885E-5</v>
      </c>
      <c r="D166" s="8">
        <v>5531.6501151866405</v>
      </c>
      <c r="E166" s="8">
        <v>5.9526893991801444E-5</v>
      </c>
      <c r="F166" s="8">
        <v>6717.3676107973724</v>
      </c>
      <c r="G166" s="8">
        <v>0.55590112528810787</v>
      </c>
      <c r="H166" s="8">
        <v>30.958101426213382</v>
      </c>
      <c r="I166" s="8">
        <v>30.958100126689139</v>
      </c>
      <c r="J166" s="8">
        <v>0.15603709561621215</v>
      </c>
      <c r="K166" s="8">
        <v>30.95804189931939</v>
      </c>
      <c r="L166" s="8">
        <v>30.958027840116173</v>
      </c>
      <c r="M166" s="8">
        <v>13</v>
      </c>
    </row>
    <row r="167" spans="1:13" x14ac:dyDescent="0.3">
      <c r="A167" s="8">
        <v>156</v>
      </c>
      <c r="B167" s="8">
        <v>0.16553735799502134</v>
      </c>
      <c r="C167" s="8">
        <v>7.878737522304391E-5</v>
      </c>
      <c r="D167" s="8">
        <v>2101.0645109878542</v>
      </c>
      <c r="E167" s="8">
        <v>6.7262971811032912E-5</v>
      </c>
      <c r="F167" s="8">
        <v>2461.0473420662752</v>
      </c>
      <c r="G167" s="8">
        <v>0.6663373458798465</v>
      </c>
      <c r="H167" s="8">
        <v>30.958100774655229</v>
      </c>
      <c r="I167" s="8">
        <v>30.958099564893036</v>
      </c>
      <c r="J167" s="8">
        <v>0.50079998788482516</v>
      </c>
      <c r="K167" s="8">
        <v>30.958033511683418</v>
      </c>
      <c r="L167" s="8">
        <v>30.958020777517813</v>
      </c>
      <c r="M167" s="8">
        <v>10</v>
      </c>
    </row>
    <row r="168" spans="1:13" x14ac:dyDescent="0.3">
      <c r="A168" s="8">
        <v>157</v>
      </c>
      <c r="B168" s="8">
        <v>0.75375292567157637</v>
      </c>
      <c r="C168" s="8">
        <v>5.9162984481275771E-5</v>
      </c>
      <c r="D168" s="8">
        <v>12740.278947728342</v>
      </c>
      <c r="E168" s="8">
        <v>3.0094981283923516E-5</v>
      </c>
      <c r="F168" s="8">
        <v>25045.801443120512</v>
      </c>
      <c r="G168" s="8">
        <v>0.82481521369738986</v>
      </c>
      <c r="H168" s="8">
        <v>30.958101466473988</v>
      </c>
      <c r="I168" s="8">
        <v>30.958099108334771</v>
      </c>
      <c r="J168" s="8">
        <v>7.1062288025813533E-2</v>
      </c>
      <c r="K168" s="8">
        <v>30.958071371492704</v>
      </c>
      <c r="L168" s="8">
        <v>30.95803994535029</v>
      </c>
      <c r="M168" s="8">
        <v>11</v>
      </c>
    </row>
    <row r="169" spans="1:13" x14ac:dyDescent="0.3">
      <c r="A169" s="8">
        <v>158</v>
      </c>
      <c r="B169" s="8">
        <v>0.3293933684198424</v>
      </c>
      <c r="C169" s="8">
        <v>3.4620570616539226E-5</v>
      </c>
      <c r="D169" s="8">
        <v>9514.3829969827784</v>
      </c>
      <c r="E169" s="8">
        <v>1.6008869039296769E-5</v>
      </c>
      <c r="F169" s="8">
        <v>20575.680119019318</v>
      </c>
      <c r="G169" s="8">
        <v>0.3645039791509066</v>
      </c>
      <c r="H169" s="8">
        <v>30.958098806546872</v>
      </c>
      <c r="I169" s="8">
        <v>30.958095365505979</v>
      </c>
      <c r="J169" s="8">
        <v>3.5110610731064217E-2</v>
      </c>
      <c r="K169" s="8">
        <v>30.958082797677832</v>
      </c>
      <c r="L169" s="8">
        <v>30.958060744935363</v>
      </c>
      <c r="M169" s="8">
        <v>12</v>
      </c>
    </row>
    <row r="170" spans="1:13" x14ac:dyDescent="0.3">
      <c r="A170" s="8">
        <v>159</v>
      </c>
      <c r="B170" s="8">
        <v>0.90558809868341894</v>
      </c>
      <c r="C170" s="8">
        <v>4.1786444700875336E-5</v>
      </c>
      <c r="D170" s="8">
        <v>21671.814990865896</v>
      </c>
      <c r="E170" s="8">
        <v>1.7604228712997383E-5</v>
      </c>
      <c r="F170" s="8">
        <v>51441.509505884453</v>
      </c>
      <c r="G170" s="8">
        <v>1.08570583921736</v>
      </c>
      <c r="H170" s="8">
        <v>30.958101510977016</v>
      </c>
      <c r="I170" s="8">
        <v>30.958100055545547</v>
      </c>
      <c r="J170" s="8">
        <v>0.180117740533941</v>
      </c>
      <c r="K170" s="8">
        <v>30.958083906748303</v>
      </c>
      <c r="L170" s="8">
        <v>30.958058269100846</v>
      </c>
      <c r="M170" s="8">
        <v>10</v>
      </c>
    </row>
    <row r="171" spans="1:13" x14ac:dyDescent="0.3">
      <c r="A171" s="8">
        <v>160</v>
      </c>
      <c r="B171" s="8">
        <v>0.33821061985774259</v>
      </c>
      <c r="C171" s="8">
        <v>3.8277054279944878E-5</v>
      </c>
      <c r="D171" s="8">
        <v>8835.8580935771442</v>
      </c>
      <c r="E171" s="8">
        <v>2.0027289806989756E-5</v>
      </c>
      <c r="F171" s="8">
        <v>16887.48817824083</v>
      </c>
      <c r="G171" s="8">
        <v>0.39130429908805009</v>
      </c>
      <c r="H171" s="8">
        <v>30.958099767770417</v>
      </c>
      <c r="I171" s="8">
        <v>30.958098075873846</v>
      </c>
      <c r="J171" s="8">
        <v>5.3093679230307472E-2</v>
      </c>
      <c r="K171" s="8">
        <v>30.95807974048061</v>
      </c>
      <c r="L171" s="8">
        <v>30.958059798819566</v>
      </c>
      <c r="M171" s="8">
        <v>9</v>
      </c>
    </row>
    <row r="172" spans="1:13" x14ac:dyDescent="0.3">
      <c r="A172" s="8">
        <v>161</v>
      </c>
      <c r="B172" s="8">
        <v>0.31944337158329572</v>
      </c>
      <c r="C172" s="8">
        <v>1.5064721804947112E-4</v>
      </c>
      <c r="D172" s="8">
        <v>2120.4730875175774</v>
      </c>
      <c r="E172" s="8">
        <v>1.3889536803901592E-4</v>
      </c>
      <c r="F172" s="8">
        <v>2299.8849860390133</v>
      </c>
      <c r="G172" s="8">
        <v>0.56241023542631374</v>
      </c>
      <c r="H172" s="8">
        <v>30.958099930325019</v>
      </c>
      <c r="I172" s="8">
        <v>30.958099654873848</v>
      </c>
      <c r="J172" s="8">
        <v>0.24296686384301805</v>
      </c>
      <c r="K172" s="8">
        <v>30.95796103495698</v>
      </c>
      <c r="L172" s="8">
        <v>30.957949007655799</v>
      </c>
      <c r="M172" s="8">
        <v>13</v>
      </c>
    </row>
    <row r="173" spans="1:13" x14ac:dyDescent="0.3">
      <c r="A173" s="8">
        <v>162</v>
      </c>
      <c r="B173" s="8">
        <v>0.57503719813389342</v>
      </c>
      <c r="C173" s="8">
        <v>3.3440535226247903E-5</v>
      </c>
      <c r="D173" s="8">
        <v>17195.813232156026</v>
      </c>
      <c r="E173" s="8">
        <v>1.5915712996417142E-5</v>
      </c>
      <c r="F173" s="8">
        <v>36130.156296695139</v>
      </c>
      <c r="G173" s="8">
        <v>0.63205556049845257</v>
      </c>
      <c r="H173" s="8">
        <v>30.958100686916023</v>
      </c>
      <c r="I173" s="8">
        <v>30.958098463901567</v>
      </c>
      <c r="J173" s="8">
        <v>5.7018362364559164E-2</v>
      </c>
      <c r="K173" s="8">
        <v>30.958084771203026</v>
      </c>
      <c r="L173" s="8">
        <v>30.958065023366341</v>
      </c>
      <c r="M173" s="8">
        <v>10</v>
      </c>
    </row>
    <row r="174" spans="1:13" x14ac:dyDescent="0.3">
      <c r="A174" s="8">
        <v>163</v>
      </c>
      <c r="B174" s="8">
        <v>0.52858835779974267</v>
      </c>
      <c r="C174" s="8">
        <v>6.1304177329191134E-5</v>
      </c>
      <c r="D174" s="8">
        <v>8622.387263453993</v>
      </c>
      <c r="E174" s="8">
        <v>4.1015423473567125E-5</v>
      </c>
      <c r="F174" s="8">
        <v>12887.550902415958</v>
      </c>
      <c r="G174" s="8">
        <v>0.69488414176079649</v>
      </c>
      <c r="H174" s="8">
        <v>30.958097181002788</v>
      </c>
      <c r="I174" s="8">
        <v>30.958094614981277</v>
      </c>
      <c r="J174" s="8">
        <v>0.16629578396105382</v>
      </c>
      <c r="K174" s="8">
        <v>30.958056165579315</v>
      </c>
      <c r="L174" s="8">
        <v>30.958033310803948</v>
      </c>
      <c r="M174" s="8">
        <v>10</v>
      </c>
    </row>
    <row r="175" spans="1:13" x14ac:dyDescent="0.3">
      <c r="A175" s="8">
        <v>164</v>
      </c>
      <c r="B175" s="8">
        <v>0.81831622842425289</v>
      </c>
      <c r="C175" s="8">
        <v>4.9619986814519734E-5</v>
      </c>
      <c r="D175" s="8">
        <v>16491.665575872306</v>
      </c>
      <c r="E175" s="8">
        <v>1.2435489590956195E-5</v>
      </c>
      <c r="F175" s="8">
        <v>65804.906388195581</v>
      </c>
      <c r="G175" s="8">
        <v>0.84022301253114384</v>
      </c>
      <c r="H175" s="8">
        <v>30.958101378520325</v>
      </c>
      <c r="I175" s="8">
        <v>30.958100258627493</v>
      </c>
      <c r="J175" s="8">
        <v>2.1906784106890974E-2</v>
      </c>
      <c r="K175" s="8">
        <v>30.958088943030734</v>
      </c>
      <c r="L175" s="8">
        <v>30.958050638640678</v>
      </c>
      <c r="M175" s="8">
        <v>9</v>
      </c>
    </row>
    <row r="176" spans="1:13" x14ac:dyDescent="0.3">
      <c r="A176" s="8">
        <v>165</v>
      </c>
      <c r="B176" s="8">
        <v>0.66053565218437671</v>
      </c>
      <c r="C176" s="8">
        <v>5.9064350011794886E-5</v>
      </c>
      <c r="D176" s="8">
        <v>11183.322123285378</v>
      </c>
      <c r="E176" s="8">
        <v>4.1402457309658303E-5</v>
      </c>
      <c r="F176" s="8">
        <v>15954.020488302947</v>
      </c>
      <c r="G176" s="8">
        <v>0.75570799147330114</v>
      </c>
      <c r="H176" s="8">
        <v>30.958100696887733</v>
      </c>
      <c r="I176" s="8">
        <v>30.958098715090586</v>
      </c>
      <c r="J176" s="8">
        <v>9.5172339288924435E-2</v>
      </c>
      <c r="K176" s="8">
        <v>30.958059294430424</v>
      </c>
      <c r="L176" s="8">
        <v>30.958039650740574</v>
      </c>
      <c r="M176" s="8">
        <v>13</v>
      </c>
    </row>
    <row r="177" spans="1:13" x14ac:dyDescent="0.3">
      <c r="A177" s="8">
        <v>166</v>
      </c>
      <c r="B177" s="8">
        <v>0.42102934245703211</v>
      </c>
      <c r="C177" s="8">
        <v>5.0754832042088083E-5</v>
      </c>
      <c r="D177" s="8">
        <v>8295.3548562213055</v>
      </c>
      <c r="E177" s="8">
        <v>3.8409644588455194E-5</v>
      </c>
      <c r="F177" s="8">
        <v>10961.552676891499</v>
      </c>
      <c r="G177" s="8">
        <v>0.5399974449954148</v>
      </c>
      <c r="H177" s="8">
        <v>30.958101155726439</v>
      </c>
      <c r="I177" s="8">
        <v>30.95809960087135</v>
      </c>
      <c r="J177" s="8">
        <v>0.11896810253838268</v>
      </c>
      <c r="K177" s="8">
        <v>30.95806274608185</v>
      </c>
      <c r="L177" s="8">
        <v>30.958048846039308</v>
      </c>
      <c r="M177" s="8">
        <v>11</v>
      </c>
    </row>
    <row r="178" spans="1:13" x14ac:dyDescent="0.3">
      <c r="A178" s="8">
        <v>167</v>
      </c>
      <c r="B178" s="8">
        <v>0.63734065864056244</v>
      </c>
      <c r="C178" s="8">
        <v>4.3492981607329284E-5</v>
      </c>
      <c r="D178" s="8">
        <v>14653.873684602944</v>
      </c>
      <c r="E178" s="8">
        <v>1.5256924733364485E-5</v>
      </c>
      <c r="F178" s="8">
        <v>41773.861363214244</v>
      </c>
      <c r="G178" s="8">
        <v>0.68301660320454927</v>
      </c>
      <c r="H178" s="8">
        <v>30.95810152043633</v>
      </c>
      <c r="I178" s="8">
        <v>30.95810057642878</v>
      </c>
      <c r="J178" s="8">
        <v>4.5675944563986846E-2</v>
      </c>
      <c r="K178" s="8">
        <v>30.958086263511596</v>
      </c>
      <c r="L178" s="8">
        <v>30.958057083447173</v>
      </c>
      <c r="M178" s="8">
        <v>10</v>
      </c>
    </row>
    <row r="179" spans="1:13" x14ac:dyDescent="0.3">
      <c r="A179" s="8">
        <v>168</v>
      </c>
      <c r="B179" s="8">
        <v>0.74575548111884904</v>
      </c>
      <c r="C179" s="8">
        <v>5.1531157161832652E-5</v>
      </c>
      <c r="D179" s="8">
        <v>14471.933529006881</v>
      </c>
      <c r="E179" s="8">
        <v>3.0128418355701569E-5</v>
      </c>
      <c r="F179" s="8">
        <v>24752.55993574985</v>
      </c>
      <c r="G179" s="8">
        <v>0.89203482245891308</v>
      </c>
      <c r="H179" s="8">
        <v>30.958100907403882</v>
      </c>
      <c r="I179" s="8">
        <v>30.95809919292196</v>
      </c>
      <c r="J179" s="8">
        <v>0.14627934134006401</v>
      </c>
      <c r="K179" s="8">
        <v>30.958070778985526</v>
      </c>
      <c r="L179" s="8">
        <v>30.958047661764798</v>
      </c>
      <c r="M179" s="8">
        <v>10</v>
      </c>
    </row>
    <row r="180" spans="1:13" x14ac:dyDescent="0.3">
      <c r="A180" s="8">
        <v>169</v>
      </c>
      <c r="B180" s="8">
        <v>0.55230061124366503</v>
      </c>
      <c r="C180" s="8">
        <v>5.440030246361971E-5</v>
      </c>
      <c r="D180" s="8">
        <v>10152.528317522076</v>
      </c>
      <c r="E180" s="8">
        <v>3.7918843879936048E-5</v>
      </c>
      <c r="F180" s="8">
        <v>14565.333610709138</v>
      </c>
      <c r="G180" s="8">
        <v>0.60251830173480336</v>
      </c>
      <c r="H180" s="8">
        <v>30.958100618376342</v>
      </c>
      <c r="I180" s="8">
        <v>30.95809942425463</v>
      </c>
      <c r="J180" s="8">
        <v>5.0217690491138278E-2</v>
      </c>
      <c r="K180" s="8">
        <v>30.958062699532462</v>
      </c>
      <c r="L180" s="8">
        <v>30.958045023952167</v>
      </c>
      <c r="M180" s="8">
        <v>15</v>
      </c>
    </row>
    <row r="181" spans="1:13" x14ac:dyDescent="0.3">
      <c r="A181" s="8">
        <v>170</v>
      </c>
      <c r="B181" s="8">
        <v>0.56486455507355127</v>
      </c>
      <c r="C181" s="8">
        <v>5.2156024068494844E-5</v>
      </c>
      <c r="D181" s="8">
        <v>10830.28404028138</v>
      </c>
      <c r="E181" s="8">
        <v>2.7720479423010147E-5</v>
      </c>
      <c r="F181" s="8">
        <v>20377.156774737086</v>
      </c>
      <c r="G181" s="8">
        <v>0.64133257612734884</v>
      </c>
      <c r="H181" s="8">
        <v>30.958100890060098</v>
      </c>
      <c r="I181" s="8">
        <v>30.958098572990835</v>
      </c>
      <c r="J181" s="8">
        <v>7.6468021053797602E-2</v>
      </c>
      <c r="K181" s="8">
        <v>30.958073169580675</v>
      </c>
      <c r="L181" s="8">
        <v>30.958046416966766</v>
      </c>
      <c r="M181" s="8">
        <v>15</v>
      </c>
    </row>
    <row r="182" spans="1:13" x14ac:dyDescent="0.3">
      <c r="A182" s="8">
        <v>171</v>
      </c>
      <c r="B182" s="8">
        <v>0.58012515422772271</v>
      </c>
      <c r="C182" s="8">
        <v>1.0851351625973393E-4</v>
      </c>
      <c r="D182" s="8">
        <v>5346.1096296903388</v>
      </c>
      <c r="E182" s="8">
        <v>9.3793988980905851E-5</v>
      </c>
      <c r="F182" s="8">
        <v>6185.0994987090471</v>
      </c>
      <c r="G182" s="8">
        <v>0.7209505309919999</v>
      </c>
      <c r="H182" s="8">
        <v>30.958093773470221</v>
      </c>
      <c r="I182" s="8">
        <v>30.95809135222655</v>
      </c>
      <c r="J182" s="8">
        <v>0.14082537676427723</v>
      </c>
      <c r="K182" s="8">
        <v>30.95799997948124</v>
      </c>
      <c r="L182" s="8">
        <v>30.95798283871029</v>
      </c>
      <c r="M182" s="8">
        <v>15</v>
      </c>
    </row>
    <row r="183" spans="1:13" x14ac:dyDescent="0.3">
      <c r="A183" s="8">
        <v>172</v>
      </c>
      <c r="B183" s="8">
        <v>0.61392718134055857</v>
      </c>
      <c r="C183" s="8">
        <v>8.3147292812668638E-5</v>
      </c>
      <c r="D183" s="8">
        <v>7383.6099838360378</v>
      </c>
      <c r="E183" s="8">
        <v>5.0083533498224142E-5</v>
      </c>
      <c r="F183" s="8">
        <v>12258.064446717346</v>
      </c>
      <c r="G183" s="8">
        <v>0.83216458894537781</v>
      </c>
      <c r="H183" s="8">
        <v>30.958100779724976</v>
      </c>
      <c r="I183" s="8">
        <v>30.958098608095199</v>
      </c>
      <c r="J183" s="8">
        <v>0.21823740760481922</v>
      </c>
      <c r="K183" s="8">
        <v>30.958050696191478</v>
      </c>
      <c r="L183" s="8">
        <v>30.958015460802386</v>
      </c>
      <c r="M183" s="8">
        <v>14</v>
      </c>
    </row>
    <row r="184" spans="1:13" x14ac:dyDescent="0.3">
      <c r="A184" s="8">
        <v>173</v>
      </c>
      <c r="B184" s="8">
        <v>0.41773408922593042</v>
      </c>
      <c r="C184" s="8">
        <v>1.0506273839538949E-4</v>
      </c>
      <c r="D184" s="8">
        <v>3976.0441770882112</v>
      </c>
      <c r="E184" s="8">
        <v>7.5519219741693178E-5</v>
      </c>
      <c r="F184" s="8">
        <v>5531.4937131865636</v>
      </c>
      <c r="G184" s="8">
        <v>0.71117676807315533</v>
      </c>
      <c r="H184" s="8">
        <v>30.958101358555961</v>
      </c>
      <c r="I184" s="8">
        <v>30.958098145560118</v>
      </c>
      <c r="J184" s="8">
        <v>0.29344267884722491</v>
      </c>
      <c r="K184" s="8">
        <v>30.958025839336219</v>
      </c>
      <c r="L184" s="8">
        <v>30.957993082821723</v>
      </c>
      <c r="M184" s="8">
        <v>12</v>
      </c>
    </row>
    <row r="185" spans="1:13" x14ac:dyDescent="0.3">
      <c r="A185" s="8">
        <v>174</v>
      </c>
      <c r="B185" s="8">
        <v>0.6263052903512899</v>
      </c>
      <c r="C185" s="8">
        <v>6.8505655903550178E-5</v>
      </c>
      <c r="D185" s="8">
        <v>9142.388056733178</v>
      </c>
      <c r="E185" s="8">
        <v>5.0153722867207762E-5</v>
      </c>
      <c r="F185" s="8">
        <v>12487.712866491711</v>
      </c>
      <c r="G185" s="8">
        <v>0.69555229782992278</v>
      </c>
      <c r="H185" s="8">
        <v>30.958101516809808</v>
      </c>
      <c r="I185" s="8">
        <v>30.958101304227977</v>
      </c>
      <c r="J185" s="8">
        <v>6.9247007478632924E-2</v>
      </c>
      <c r="K185" s="8">
        <v>30.958051363086941</v>
      </c>
      <c r="L185" s="8">
        <v>30.958032798572074</v>
      </c>
      <c r="M185" s="8">
        <v>15</v>
      </c>
    </row>
    <row r="186" spans="1:13" x14ac:dyDescent="0.3">
      <c r="A186" s="8">
        <v>175</v>
      </c>
      <c r="B186" s="8">
        <v>0.34512662917857817</v>
      </c>
      <c r="C186" s="8">
        <v>8.38420188102873E-5</v>
      </c>
      <c r="D186" s="8">
        <v>4116.3921632124584</v>
      </c>
      <c r="E186" s="8">
        <v>7.1356015492796132E-5</v>
      </c>
      <c r="F186" s="8">
        <v>4836.685832232617</v>
      </c>
      <c r="G186" s="8">
        <v>0.44985268485504482</v>
      </c>
      <c r="H186" s="8">
        <v>30.9580711586493</v>
      </c>
      <c r="I186" s="8">
        <v>30.958065288105516</v>
      </c>
      <c r="J186" s="8">
        <v>0.10472605567646662</v>
      </c>
      <c r="K186" s="8">
        <v>30.957999802633807</v>
      </c>
      <c r="L186" s="8">
        <v>30.957981446086706</v>
      </c>
      <c r="M186" s="8">
        <v>9</v>
      </c>
    </row>
    <row r="187" spans="1:13" x14ac:dyDescent="0.3">
      <c r="A187" s="8">
        <v>176</v>
      </c>
      <c r="B187" s="8">
        <v>0.85075638294211586</v>
      </c>
      <c r="C187" s="8">
        <v>8.1263009480636583E-5</v>
      </c>
      <c r="D187" s="8">
        <v>10469.171501023904</v>
      </c>
      <c r="E187" s="8">
        <v>2.9425578286890186E-5</v>
      </c>
      <c r="F187" s="8">
        <v>28912.138094534868</v>
      </c>
      <c r="G187" s="8">
        <v>0.94165951232274869</v>
      </c>
      <c r="H187" s="8">
        <v>30.958099136754246</v>
      </c>
      <c r="I187" s="8">
        <v>30.958093845132218</v>
      </c>
      <c r="J187" s="8">
        <v>9.0903129380632802E-2</v>
      </c>
      <c r="K187" s="8">
        <v>30.958069711175959</v>
      </c>
      <c r="L187" s="8">
        <v>30.958012582122738</v>
      </c>
      <c r="M187" s="8">
        <v>10</v>
      </c>
    </row>
    <row r="188" spans="1:13" x14ac:dyDescent="0.3">
      <c r="A188" s="8">
        <v>177</v>
      </c>
      <c r="B188" s="8">
        <v>0.26149086463299631</v>
      </c>
      <c r="C188" s="8">
        <v>1.3636753590517969E-4</v>
      </c>
      <c r="D188" s="8">
        <v>1917.5448386397368</v>
      </c>
      <c r="E188" s="8">
        <v>1.1630518618233054E-4</v>
      </c>
      <c r="F188" s="8">
        <v>2248.3164613404215</v>
      </c>
      <c r="G188" s="8">
        <v>0.64320793651167718</v>
      </c>
      <c r="H188" s="8">
        <v>30.95810086693832</v>
      </c>
      <c r="I188" s="8">
        <v>30.958099631331056</v>
      </c>
      <c r="J188" s="8">
        <v>0.38171707187868087</v>
      </c>
      <c r="K188" s="8">
        <v>30.957984561752138</v>
      </c>
      <c r="L188" s="8">
        <v>30.957963263795151</v>
      </c>
      <c r="M188" s="8">
        <v>10</v>
      </c>
    </row>
    <row r="189" spans="1:13" x14ac:dyDescent="0.3">
      <c r="A189" s="8">
        <v>178</v>
      </c>
      <c r="B189" s="8">
        <v>0.70044020465490608</v>
      </c>
      <c r="C189" s="8">
        <v>4.7952994872701993E-5</v>
      </c>
      <c r="D189" s="8">
        <v>14606.808323741274</v>
      </c>
      <c r="E189" s="8">
        <v>2.7225880739223385E-5</v>
      </c>
      <c r="F189" s="8">
        <v>25726.998930315818</v>
      </c>
      <c r="G189" s="8">
        <v>0.77734049075427158</v>
      </c>
      <c r="H189" s="8">
        <v>30.958101529189587</v>
      </c>
      <c r="I189" s="8">
        <v>30.958100807841053</v>
      </c>
      <c r="J189" s="8">
        <v>7.6900286099365445E-2</v>
      </c>
      <c r="K189" s="8">
        <v>30.958074303308848</v>
      </c>
      <c r="L189" s="8">
        <v>30.95805285484618</v>
      </c>
      <c r="M189" s="8">
        <v>11</v>
      </c>
    </row>
    <row r="190" spans="1:13" x14ac:dyDescent="0.3">
      <c r="A190" s="8">
        <v>179</v>
      </c>
      <c r="B190" s="8">
        <v>0.55425116127136231</v>
      </c>
      <c r="C190" s="8">
        <v>1.3959394926033042E-4</v>
      </c>
      <c r="D190" s="8">
        <v>3970.4526178117699</v>
      </c>
      <c r="E190" s="8">
        <v>1.1347234070768764E-4</v>
      </c>
      <c r="F190" s="8">
        <v>4884.4604580701343</v>
      </c>
      <c r="G190" s="8">
        <v>0.94501341404681793</v>
      </c>
      <c r="H190" s="8">
        <v>30.95810066503125</v>
      </c>
      <c r="I190" s="8">
        <v>30.958098244056956</v>
      </c>
      <c r="J190" s="8">
        <v>0.39076225277545568</v>
      </c>
      <c r="K190" s="8">
        <v>30.957987192690542</v>
      </c>
      <c r="L190" s="8">
        <v>30.957958650107695</v>
      </c>
      <c r="M190" s="8">
        <v>13</v>
      </c>
    </row>
    <row r="191" spans="1:13" x14ac:dyDescent="0.3">
      <c r="A191" s="8">
        <v>180</v>
      </c>
      <c r="B191" s="8">
        <v>0.6536074943204796</v>
      </c>
      <c r="C191" s="8">
        <v>3.8147689110701322E-5</v>
      </c>
      <c r="D191" s="8">
        <v>17133.60650559374</v>
      </c>
      <c r="E191" s="8">
        <v>1.6591662642895244E-5</v>
      </c>
      <c r="F191" s="8">
        <v>39393.730959227432</v>
      </c>
      <c r="G191" s="8">
        <v>0.72949254180084933</v>
      </c>
      <c r="H191" s="8">
        <v>30.958101224076238</v>
      </c>
      <c r="I191" s="8">
        <v>30.958100677921216</v>
      </c>
      <c r="J191" s="8">
        <v>7.5885047480369755E-2</v>
      </c>
      <c r="K191" s="8">
        <v>30.958084632413595</v>
      </c>
      <c r="L191" s="8">
        <v>30.958062530232105</v>
      </c>
      <c r="M191" s="8">
        <v>11</v>
      </c>
    </row>
    <row r="192" spans="1:13" x14ac:dyDescent="0.3">
      <c r="A192" s="8">
        <v>181</v>
      </c>
      <c r="B192" s="8">
        <v>0.40171578193671398</v>
      </c>
      <c r="C192" s="8">
        <v>9.2798234533120194E-5</v>
      </c>
      <c r="D192" s="8">
        <v>4328.9162122296566</v>
      </c>
      <c r="E192" s="8">
        <v>6.6426237289363144E-5</v>
      </c>
      <c r="F192" s="8">
        <v>6047.5468478935036</v>
      </c>
      <c r="G192" s="8">
        <v>0.60021589751268656</v>
      </c>
      <c r="H192" s="8">
        <v>30.958097764217442</v>
      </c>
      <c r="I192" s="8">
        <v>30.958094153865456</v>
      </c>
      <c r="J192" s="8">
        <v>0.19850011557597258</v>
      </c>
      <c r="K192" s="8">
        <v>30.958031337980152</v>
      </c>
      <c r="L192" s="8">
        <v>30.958001355630923</v>
      </c>
      <c r="M192" s="8">
        <v>11</v>
      </c>
    </row>
    <row r="193" spans="1:13" x14ac:dyDescent="0.3">
      <c r="A193" s="8">
        <v>182</v>
      </c>
      <c r="B193" s="8">
        <v>0.40864407321706869</v>
      </c>
      <c r="C193" s="8">
        <v>1.9694451783180966E-5</v>
      </c>
      <c r="D193" s="8">
        <v>20749.197678406574</v>
      </c>
      <c r="E193" s="8">
        <v>7.7730273275733452E-6</v>
      </c>
      <c r="F193" s="8">
        <v>52572.061823001844</v>
      </c>
      <c r="G193" s="8">
        <v>0.44828358777562627</v>
      </c>
      <c r="H193" s="8">
        <v>30.958101207797739</v>
      </c>
      <c r="I193" s="8">
        <v>30.958099876140327</v>
      </c>
      <c r="J193" s="8">
        <v>3.9639514558557569E-2</v>
      </c>
      <c r="K193" s="8">
        <v>30.958093434770412</v>
      </c>
      <c r="L193" s="8">
        <v>30.958080181688544</v>
      </c>
      <c r="M193" s="8">
        <v>11</v>
      </c>
    </row>
    <row r="194" spans="1:13" x14ac:dyDescent="0.3">
      <c r="A194" s="8">
        <v>183</v>
      </c>
      <c r="B194" s="8">
        <v>0.70022921301379415</v>
      </c>
      <c r="C194" s="8">
        <v>2.8180592273940874E-5</v>
      </c>
      <c r="D194" s="8">
        <v>24847.923926045703</v>
      </c>
      <c r="E194" s="8">
        <v>6.0109644408612439E-6</v>
      </c>
      <c r="F194" s="8">
        <v>116491.99057871421</v>
      </c>
      <c r="G194" s="8">
        <v>0.73843586011601747</v>
      </c>
      <c r="H194" s="8">
        <v>30.958101521806071</v>
      </c>
      <c r="I194" s="8">
        <v>30.958101075291829</v>
      </c>
      <c r="J194" s="8">
        <v>3.8206647102223296E-2</v>
      </c>
      <c r="K194" s="8">
        <v>30.95809551084163</v>
      </c>
      <c r="L194" s="8">
        <v>30.958072894699555</v>
      </c>
      <c r="M194" s="8">
        <v>11</v>
      </c>
    </row>
    <row r="195" spans="1:13" x14ac:dyDescent="0.3">
      <c r="A195" s="8">
        <v>184</v>
      </c>
      <c r="B195" s="8">
        <v>0.47317911485474284</v>
      </c>
      <c r="C195" s="8">
        <v>3.4857868833171324E-5</v>
      </c>
      <c r="D195" s="8">
        <v>13574.527952909668</v>
      </c>
      <c r="E195" s="8">
        <v>1.9268099062941246E-5</v>
      </c>
      <c r="F195" s="8">
        <v>24557.643870786327</v>
      </c>
      <c r="G195" s="8">
        <v>0.55829805267412569</v>
      </c>
      <c r="H195" s="8">
        <v>30.958101481503991</v>
      </c>
      <c r="I195" s="8">
        <v>30.95810022905356</v>
      </c>
      <c r="J195" s="8">
        <v>8.5118937819382845E-2</v>
      </c>
      <c r="K195" s="8">
        <v>30.958082213404928</v>
      </c>
      <c r="L195" s="8">
        <v>30.958065371184727</v>
      </c>
      <c r="M195" s="8">
        <v>14</v>
      </c>
    </row>
    <row r="196" spans="1:13" x14ac:dyDescent="0.3">
      <c r="A196" s="8">
        <v>185</v>
      </c>
      <c r="B196" s="8">
        <v>0.41085598866947548</v>
      </c>
      <c r="C196" s="8">
        <v>4.1665290446246672E-5</v>
      </c>
      <c r="D196" s="8">
        <v>9860.8694255841092</v>
      </c>
      <c r="E196" s="8">
        <v>2.9015831167100714E-5</v>
      </c>
      <c r="F196" s="8">
        <v>14159.71806230111</v>
      </c>
      <c r="G196" s="8">
        <v>0.44705575454042978</v>
      </c>
      <c r="H196" s="8">
        <v>30.958101339172014</v>
      </c>
      <c r="I196" s="8">
        <v>30.958100131869596</v>
      </c>
      <c r="J196" s="8">
        <v>3.6199765870954304E-2</v>
      </c>
      <c r="K196" s="8">
        <v>30.958072323340847</v>
      </c>
      <c r="L196" s="8">
        <v>30.95805846657915</v>
      </c>
      <c r="M196" s="8">
        <v>12</v>
      </c>
    </row>
    <row r="197" spans="1:13" x14ac:dyDescent="0.3">
      <c r="A197" s="8">
        <v>186</v>
      </c>
      <c r="B197" s="8">
        <v>0.52661258790005128</v>
      </c>
      <c r="C197" s="8">
        <v>6.9597941831034404E-5</v>
      </c>
      <c r="D197" s="8">
        <v>7566.4965665009013</v>
      </c>
      <c r="E197" s="8">
        <v>4.2570311698852947E-5</v>
      </c>
      <c r="F197" s="8">
        <v>12370.418887824137</v>
      </c>
      <c r="G197" s="8">
        <v>0.59707351424409227</v>
      </c>
      <c r="H197" s="8">
        <v>30.958101359819672</v>
      </c>
      <c r="I197" s="8">
        <v>30.958101198351958</v>
      </c>
      <c r="J197" s="8">
        <v>7.0460926344040997E-2</v>
      </c>
      <c r="K197" s="8">
        <v>30.958058789507973</v>
      </c>
      <c r="L197" s="8">
        <v>30.958031600410127</v>
      </c>
      <c r="M197" s="8">
        <v>14</v>
      </c>
    </row>
    <row r="198" spans="1:13" x14ac:dyDescent="0.3">
      <c r="A198" s="8">
        <v>187</v>
      </c>
      <c r="B198" s="8">
        <v>0.93837869063545531</v>
      </c>
      <c r="C198" s="8">
        <v>2.8808447844141938E-5</v>
      </c>
      <c r="D198" s="8">
        <v>32573.03884305833</v>
      </c>
      <c r="E198" s="8">
        <v>5.5011537867244442E-6</v>
      </c>
      <c r="F198" s="8">
        <v>170578.52352718805</v>
      </c>
      <c r="G198" s="8">
        <v>0.9596875182015655</v>
      </c>
      <c r="H198" s="8">
        <v>30.958101361141928</v>
      </c>
      <c r="I198" s="8">
        <v>30.958099759225625</v>
      </c>
      <c r="J198" s="8">
        <v>2.1308827566110217E-2</v>
      </c>
      <c r="K198" s="8">
        <v>30.958095859988141</v>
      </c>
      <c r="L198" s="8">
        <v>30.958070950777781</v>
      </c>
      <c r="M198" s="8">
        <v>12</v>
      </c>
    </row>
    <row r="199" spans="1:13" x14ac:dyDescent="0.3">
      <c r="A199" s="8">
        <v>188</v>
      </c>
      <c r="B199" s="8">
        <v>0.33965709883865436</v>
      </c>
      <c r="C199" s="8">
        <v>2.3853499481418794E-5</v>
      </c>
      <c r="D199" s="8">
        <v>14239.298477074095</v>
      </c>
      <c r="E199" s="8">
        <v>1.5207444164389017E-5</v>
      </c>
      <c r="F199" s="8">
        <v>22334.923289346869</v>
      </c>
      <c r="G199" s="8">
        <v>0.39347140221287025</v>
      </c>
      <c r="H199" s="8">
        <v>30.95809081089963</v>
      </c>
      <c r="I199" s="8">
        <v>30.958083529088377</v>
      </c>
      <c r="J199" s="8">
        <v>5.3814303374215861E-2</v>
      </c>
      <c r="K199" s="8">
        <v>30.958075603455466</v>
      </c>
      <c r="L199" s="8">
        <v>30.958059675588895</v>
      </c>
      <c r="M199" s="8">
        <v>12</v>
      </c>
    </row>
    <row r="200" spans="1:13" x14ac:dyDescent="0.3">
      <c r="A200" s="8">
        <v>189</v>
      </c>
      <c r="B200" s="8">
        <v>0.39506037003081113</v>
      </c>
      <c r="C200" s="8">
        <v>5.9196542533612728E-5</v>
      </c>
      <c r="D200" s="8">
        <v>6673.7068268216781</v>
      </c>
      <c r="E200" s="8">
        <v>4.5791217868185186E-5</v>
      </c>
      <c r="F200" s="8">
        <v>8627.4265770356615</v>
      </c>
      <c r="G200" s="8">
        <v>0.46482712642170937</v>
      </c>
      <c r="H200" s="8">
        <v>30.958101273802942</v>
      </c>
      <c r="I200" s="8">
        <v>30.958099991250283</v>
      </c>
      <c r="J200" s="8">
        <v>6.9766756390898244E-2</v>
      </c>
      <c r="K200" s="8">
        <v>30.958055482585074</v>
      </c>
      <c r="L200" s="8">
        <v>30.958040794707749</v>
      </c>
      <c r="M200" s="8">
        <v>10</v>
      </c>
    </row>
    <row r="201" spans="1:13" x14ac:dyDescent="0.3">
      <c r="A201" s="8">
        <v>190</v>
      </c>
      <c r="B201" s="8">
        <v>0.58419976928657924</v>
      </c>
      <c r="C201" s="8">
        <v>3.5070679253124126E-5</v>
      </c>
      <c r="D201" s="8">
        <v>16657.783131888962</v>
      </c>
      <c r="E201" s="8">
        <v>1.3776028609413515E-5</v>
      </c>
      <c r="F201" s="8">
        <v>42406.979968623215</v>
      </c>
      <c r="G201" s="8">
        <v>0.61367081764315423</v>
      </c>
      <c r="H201" s="8">
        <v>30.958101207975421</v>
      </c>
      <c r="I201" s="8">
        <v>30.958100142729812</v>
      </c>
      <c r="J201" s="8">
        <v>2.9471048356575012E-2</v>
      </c>
      <c r="K201" s="8">
        <v>30.958087431946812</v>
      </c>
      <c r="L201" s="8">
        <v>30.958065072050559</v>
      </c>
      <c r="M201" s="8">
        <v>15</v>
      </c>
    </row>
    <row r="202" spans="1:13" x14ac:dyDescent="0.3">
      <c r="A202" s="8">
        <v>191</v>
      </c>
      <c r="B202" s="8">
        <v>0.5310533136021971</v>
      </c>
      <c r="C202" s="8">
        <v>5.9842601331183687E-5</v>
      </c>
      <c r="D202" s="8">
        <v>8874.1682645648598</v>
      </c>
      <c r="E202" s="8">
        <v>3.257865561678841E-5</v>
      </c>
      <c r="F202" s="8">
        <v>16300.651563060052</v>
      </c>
      <c r="G202" s="8">
        <v>0.57198467433709599</v>
      </c>
      <c r="H202" s="8">
        <v>30.958100690027283</v>
      </c>
      <c r="I202" s="8">
        <v>30.958098491292102</v>
      </c>
      <c r="J202" s="8">
        <v>4.0931360734898947E-2</v>
      </c>
      <c r="K202" s="8">
        <v>30.958068111371666</v>
      </c>
      <c r="L202" s="8">
        <v>30.958038648690771</v>
      </c>
      <c r="M202" s="8">
        <v>14</v>
      </c>
    </row>
    <row r="203" spans="1:13" x14ac:dyDescent="0.3">
      <c r="A203" s="8">
        <v>192</v>
      </c>
      <c r="B203" s="8">
        <v>0.48200493791321752</v>
      </c>
      <c r="C203" s="8">
        <v>4.5713095595090181E-5</v>
      </c>
      <c r="D203" s="8">
        <v>10544.132521294123</v>
      </c>
      <c r="E203" s="8">
        <v>2.2726441113007922E-5</v>
      </c>
      <c r="F203" s="8">
        <v>21208.993327042859</v>
      </c>
      <c r="G203" s="8">
        <v>0.64795477084656583</v>
      </c>
      <c r="H203" s="8">
        <v>30.958100804525881</v>
      </c>
      <c r="I203" s="8">
        <v>30.958098354613682</v>
      </c>
      <c r="J203" s="8">
        <v>0.16594983293334833</v>
      </c>
      <c r="K203" s="8">
        <v>30.958078078084768</v>
      </c>
      <c r="L203" s="8">
        <v>30.958052641518087</v>
      </c>
      <c r="M203" s="8">
        <v>12</v>
      </c>
    </row>
    <row r="204" spans="1:13" x14ac:dyDescent="0.3">
      <c r="A204" s="8">
        <v>193</v>
      </c>
      <c r="B204" s="8">
        <v>0.87574481286642136</v>
      </c>
      <c r="C204" s="8">
        <v>1.6827002984598494E-4</v>
      </c>
      <c r="D204" s="8">
        <v>5204.4016018062021</v>
      </c>
      <c r="E204" s="8">
        <v>1.3538206278695952E-4</v>
      </c>
      <c r="F204" s="8">
        <v>6468.6916038834079</v>
      </c>
      <c r="G204" s="8">
        <v>1.1290154405234549</v>
      </c>
      <c r="H204" s="8">
        <v>30.958101548016739</v>
      </c>
      <c r="I204" s="8">
        <v>30.95809848319697</v>
      </c>
      <c r="J204" s="8">
        <v>0.25327062765703362</v>
      </c>
      <c r="K204" s="8">
        <v>30.957966165953952</v>
      </c>
      <c r="L204" s="8">
        <v>30.957930213167124</v>
      </c>
      <c r="M204" s="8">
        <v>10</v>
      </c>
    </row>
    <row r="205" spans="1:13" x14ac:dyDescent="0.3">
      <c r="A205" s="8">
        <v>194</v>
      </c>
      <c r="B205" s="8">
        <v>0.73599991872987736</v>
      </c>
      <c r="C205" s="8">
        <v>4.9562401510883092E-5</v>
      </c>
      <c r="D205" s="8">
        <v>14849.964817953058</v>
      </c>
      <c r="E205" s="8">
        <v>1.2531489552713992E-5</v>
      </c>
      <c r="F205" s="8">
        <v>58732.037850239365</v>
      </c>
      <c r="G205" s="8">
        <v>0.79523987970681698</v>
      </c>
      <c r="H205" s="8">
        <v>30.958101278586224</v>
      </c>
      <c r="I205" s="8">
        <v>30.958099316508441</v>
      </c>
      <c r="J205" s="8">
        <v>5.9239960976939579E-2</v>
      </c>
      <c r="K205" s="8">
        <v>30.958088747096671</v>
      </c>
      <c r="L205" s="8">
        <v>30.958049754106931</v>
      </c>
      <c r="M205" s="8">
        <v>10</v>
      </c>
    </row>
    <row r="206" spans="1:13" x14ac:dyDescent="0.3">
      <c r="A206" s="8">
        <v>195</v>
      </c>
      <c r="B206" s="8">
        <v>0.74223149783294928</v>
      </c>
      <c r="C206" s="8">
        <v>3.4784538915033636E-5</v>
      </c>
      <c r="D206" s="8">
        <v>21337.971437423941</v>
      </c>
      <c r="E206" s="8">
        <v>1.0770412682603592E-5</v>
      </c>
      <c r="F206" s="8">
        <v>68913.932985298161</v>
      </c>
      <c r="G206" s="8">
        <v>0.79597837056219278</v>
      </c>
      <c r="H206" s="8">
        <v>30.958101463066072</v>
      </c>
      <c r="I206" s="8">
        <v>30.958101001268524</v>
      </c>
      <c r="J206" s="8">
        <v>5.3746872729243486E-2</v>
      </c>
      <c r="K206" s="8">
        <v>30.958090692653389</v>
      </c>
      <c r="L206" s="8">
        <v>30.958066216729609</v>
      </c>
      <c r="M206" s="8">
        <v>11</v>
      </c>
    </row>
    <row r="207" spans="1:13" x14ac:dyDescent="0.3">
      <c r="A207" s="8">
        <v>196</v>
      </c>
      <c r="B207" s="8">
        <v>0.48914576708091106</v>
      </c>
      <c r="C207" s="8">
        <v>8.3481027893128612E-5</v>
      </c>
      <c r="D207" s="8">
        <v>5859.364449933576</v>
      </c>
      <c r="E207" s="8">
        <v>7.0427660926242197E-5</v>
      </c>
      <c r="F207" s="8">
        <v>6945.3643731429029</v>
      </c>
      <c r="G207" s="8">
        <v>0.62209519630727228</v>
      </c>
      <c r="H207" s="8">
        <v>30.958100973346721</v>
      </c>
      <c r="I207" s="8">
        <v>30.95810082182199</v>
      </c>
      <c r="J207" s="8">
        <v>0.13294942922636124</v>
      </c>
      <c r="K207" s="8">
        <v>30.958030545685794</v>
      </c>
      <c r="L207" s="8">
        <v>30.958017340794097</v>
      </c>
      <c r="M207" s="8">
        <v>9</v>
      </c>
    </row>
    <row r="208" spans="1:13" x14ac:dyDescent="0.3">
      <c r="A208" s="8">
        <v>197</v>
      </c>
      <c r="B208" s="8">
        <v>0.52126041301764836</v>
      </c>
      <c r="C208" s="8">
        <v>4.8799162428281306E-5</v>
      </c>
      <c r="D208" s="8">
        <v>10681.749175177534</v>
      </c>
      <c r="E208" s="8">
        <v>3.8172580218542862E-5</v>
      </c>
      <c r="F208" s="8">
        <v>13655.362305439308</v>
      </c>
      <c r="G208" s="8">
        <v>0.64817012567809873</v>
      </c>
      <c r="H208" s="8">
        <v>30.958101524664535</v>
      </c>
      <c r="I208" s="8">
        <v>30.95810072743998</v>
      </c>
      <c r="J208" s="8">
        <v>0.12690971266045031</v>
      </c>
      <c r="K208" s="8">
        <v>30.958063352084316</v>
      </c>
      <c r="L208" s="8">
        <v>30.958051928277552</v>
      </c>
      <c r="M208" s="8">
        <v>10</v>
      </c>
    </row>
    <row r="209" spans="1:13" x14ac:dyDescent="0.3">
      <c r="A209" s="8">
        <v>198</v>
      </c>
      <c r="B209" s="8">
        <v>0.5085473592361911</v>
      </c>
      <c r="C209" s="8">
        <v>2.4128378868226719E-5</v>
      </c>
      <c r="D209" s="8">
        <v>21076.731346666147</v>
      </c>
      <c r="E209" s="8">
        <v>5.8665920263933913E-6</v>
      </c>
      <c r="F209" s="8">
        <v>86685.311838333349</v>
      </c>
      <c r="G209" s="8">
        <v>0.56760559164499114</v>
      </c>
      <c r="H209" s="8">
        <v>30.958101399414275</v>
      </c>
      <c r="I209" s="8">
        <v>30.958099493918688</v>
      </c>
      <c r="J209" s="8">
        <v>5.9058232408800052E-2</v>
      </c>
      <c r="K209" s="8">
        <v>30.958095532822249</v>
      </c>
      <c r="L209" s="8">
        <v>30.95807536553982</v>
      </c>
      <c r="M209" s="8">
        <v>10</v>
      </c>
    </row>
    <row r="210" spans="1:13" x14ac:dyDescent="0.3">
      <c r="A210" s="8">
        <v>199</v>
      </c>
      <c r="B210" s="8">
        <v>0.57861416764407425</v>
      </c>
      <c r="C210" s="8">
        <v>5.148001966404081E-5</v>
      </c>
      <c r="D210" s="8">
        <v>11239.587152843314</v>
      </c>
      <c r="E210" s="8">
        <v>2.0992626708959961E-5</v>
      </c>
      <c r="F210" s="8">
        <v>27562.733128442342</v>
      </c>
      <c r="G210" s="8">
        <v>0.61761221222308826</v>
      </c>
      <c r="H210" s="8">
        <v>30.958101433721346</v>
      </c>
      <c r="I210" s="8">
        <v>30.958099584965357</v>
      </c>
      <c r="J210" s="8">
        <v>3.8998044579013971E-2</v>
      </c>
      <c r="K210" s="8">
        <v>30.958080441094637</v>
      </c>
      <c r="L210" s="8">
        <v>30.958048104945693</v>
      </c>
      <c r="M210" s="8">
        <v>14</v>
      </c>
    </row>
    <row r="211" spans="1:13" x14ac:dyDescent="0.3">
      <c r="A211" s="8">
        <v>200</v>
      </c>
      <c r="B211" s="8">
        <v>0.63204777004806056</v>
      </c>
      <c r="C211" s="8">
        <v>6.4429580877600756E-5</v>
      </c>
      <c r="D211" s="8">
        <v>9809.9003817638513</v>
      </c>
      <c r="E211" s="8">
        <v>4.0978917500211764E-5</v>
      </c>
      <c r="F211" s="8">
        <v>15423.730264343716</v>
      </c>
      <c r="G211" s="8">
        <v>0.69393929961516665</v>
      </c>
      <c r="H211" s="8">
        <v>30.958100337078118</v>
      </c>
      <c r="I211" s="8">
        <v>30.958098427264986</v>
      </c>
      <c r="J211" s="8">
        <v>6.1891529567106043E-2</v>
      </c>
      <c r="K211" s="8">
        <v>30.958059358160618</v>
      </c>
      <c r="L211" s="8">
        <v>30.958033997684108</v>
      </c>
      <c r="M211" s="8">
        <v>9</v>
      </c>
    </row>
    <row r="212" spans="1:13" x14ac:dyDescent="0.3">
      <c r="A212" s="8">
        <v>201</v>
      </c>
      <c r="B212" s="8">
        <v>0.44760249902268162</v>
      </c>
      <c r="C212" s="8">
        <v>1.7613562899754243E-4</v>
      </c>
      <c r="D212" s="8">
        <v>2541.2376903535337</v>
      </c>
      <c r="E212" s="8">
        <v>1.6437387954937321E-4</v>
      </c>
      <c r="F212" s="8">
        <v>2723.0755899281103</v>
      </c>
      <c r="G212" s="8">
        <v>0.58148408308362898</v>
      </c>
      <c r="H212" s="8">
        <v>30.958100121630839</v>
      </c>
      <c r="I212" s="8">
        <v>30.958099438767242</v>
      </c>
      <c r="J212" s="8">
        <v>0.13388158406094736</v>
      </c>
      <c r="K212" s="8">
        <v>30.957935747751289</v>
      </c>
      <c r="L212" s="8">
        <v>30.957923303138244</v>
      </c>
      <c r="M212" s="8">
        <v>15</v>
      </c>
    </row>
    <row r="213" spans="1:13" x14ac:dyDescent="0.3">
      <c r="A213" s="8">
        <v>202</v>
      </c>
      <c r="B213" s="8">
        <v>0.45768360226744331</v>
      </c>
      <c r="C213" s="8">
        <v>9.8348388824831545E-5</v>
      </c>
      <c r="D213" s="8">
        <v>4653.6970024249631</v>
      </c>
      <c r="E213" s="8">
        <v>7.1287468550451649E-5</v>
      </c>
      <c r="F213" s="8">
        <v>6420.2532587271062</v>
      </c>
      <c r="G213" s="8">
        <v>0.64758434622805849</v>
      </c>
      <c r="H213" s="8">
        <v>30.958101502451534</v>
      </c>
      <c r="I213" s="8">
        <v>30.958100634359528</v>
      </c>
      <c r="J213" s="8">
        <v>0.18990074396061518</v>
      </c>
      <c r="K213" s="8">
        <v>30.958030214982983</v>
      </c>
      <c r="L213" s="8">
        <v>30.958002285970704</v>
      </c>
      <c r="M213" s="8">
        <v>9</v>
      </c>
    </row>
    <row r="214" spans="1:13" x14ac:dyDescent="0.3">
      <c r="A214" s="8">
        <v>203</v>
      </c>
      <c r="B214" s="8">
        <v>0.43673993224774516</v>
      </c>
      <c r="C214" s="8">
        <v>3.6212806190150104E-5</v>
      </c>
      <c r="D214" s="8">
        <v>12060.372508953436</v>
      </c>
      <c r="E214" s="8">
        <v>1.604150608258692E-5</v>
      </c>
      <c r="F214" s="8">
        <v>27225.618966153499</v>
      </c>
      <c r="G214" s="8">
        <v>0.51347696070498461</v>
      </c>
      <c r="H214" s="8">
        <v>30.958100884088761</v>
      </c>
      <c r="I214" s="8">
        <v>30.958098900145139</v>
      </c>
      <c r="J214" s="8">
        <v>7.6737028457239467E-2</v>
      </c>
      <c r="K214" s="8">
        <v>30.958084842582679</v>
      </c>
      <c r="L214" s="8">
        <v>30.958062687338948</v>
      </c>
      <c r="M214" s="8">
        <v>12</v>
      </c>
    </row>
    <row r="215" spans="1:13" x14ac:dyDescent="0.3">
      <c r="A215" s="8">
        <v>204</v>
      </c>
      <c r="B215" s="8">
        <v>0.95632559004294548</v>
      </c>
      <c r="C215" s="8">
        <v>8.2462456333587397E-5</v>
      </c>
      <c r="D215" s="8">
        <v>11597.102882483856</v>
      </c>
      <c r="E215" s="8">
        <v>3.9367221749131431E-5</v>
      </c>
      <c r="F215" s="8">
        <v>24292.432829960755</v>
      </c>
      <c r="G215" s="8">
        <v>1.0311213895531608</v>
      </c>
      <c r="H215" s="8">
        <v>30.958101522757321</v>
      </c>
      <c r="I215" s="8">
        <v>30.958098869463498</v>
      </c>
      <c r="J215" s="8">
        <v>7.4795799510215311E-2</v>
      </c>
      <c r="K215" s="8">
        <v>30.958062155535572</v>
      </c>
      <c r="L215" s="8">
        <v>30.958016407007165</v>
      </c>
      <c r="M215" s="8">
        <v>9</v>
      </c>
    </row>
    <row r="216" spans="1:13" x14ac:dyDescent="0.3">
      <c r="A216" s="8">
        <v>205</v>
      </c>
      <c r="B216" s="8">
        <v>0.85701464497061708</v>
      </c>
      <c r="C216" s="8">
        <v>5.2853473860636768E-5</v>
      </c>
      <c r="D216" s="8">
        <v>16214.916113752148</v>
      </c>
      <c r="E216" s="8">
        <v>1.6308750840465791E-5</v>
      </c>
      <c r="F216" s="8">
        <v>52549.373851746212</v>
      </c>
      <c r="G216" s="8">
        <v>0.91983176553082036</v>
      </c>
      <c r="H216" s="8">
        <v>30.958101212843076</v>
      </c>
      <c r="I216" s="8">
        <v>30.958098935930828</v>
      </c>
      <c r="J216" s="8">
        <v>6.2817120560203277E-2</v>
      </c>
      <c r="K216" s="8">
        <v>30.958084904092235</v>
      </c>
      <c r="L216" s="8">
        <v>30.958046082456967</v>
      </c>
      <c r="M216" s="8">
        <v>13</v>
      </c>
    </row>
    <row r="217" spans="1:13" x14ac:dyDescent="0.3">
      <c r="A217" s="8">
        <v>206</v>
      </c>
      <c r="B217" s="8">
        <v>0.52063020858062448</v>
      </c>
      <c r="C217" s="8">
        <v>6.0819107300602582E-5</v>
      </c>
      <c r="D217" s="8">
        <v>8560.306648490814</v>
      </c>
      <c r="E217" s="8">
        <v>3.0062335842018229E-5</v>
      </c>
      <c r="F217" s="8">
        <v>17318.355144344368</v>
      </c>
      <c r="G217" s="8">
        <v>0.61537678244089267</v>
      </c>
      <c r="H217" s="8">
        <v>30.958097978381648</v>
      </c>
      <c r="I217" s="8">
        <v>30.958094173106836</v>
      </c>
      <c r="J217" s="8">
        <v>9.4746573860268177E-2</v>
      </c>
      <c r="K217" s="8">
        <v>30.958067916045806</v>
      </c>
      <c r="L217" s="8">
        <v>30.958033353999536</v>
      </c>
      <c r="M217" s="8">
        <v>10</v>
      </c>
    </row>
    <row r="218" spans="1:13" x14ac:dyDescent="0.3">
      <c r="A218" s="8">
        <v>207</v>
      </c>
      <c r="B218" s="8">
        <v>0.36470924322434417</v>
      </c>
      <c r="C218" s="8">
        <v>2.4749295100434665E-5</v>
      </c>
      <c r="D218" s="8">
        <v>14736.146696070502</v>
      </c>
      <c r="E218" s="8">
        <v>1.3473233813954266E-5</v>
      </c>
      <c r="F218" s="8">
        <v>27069.169010235226</v>
      </c>
      <c r="G218" s="8">
        <v>0.40544767644636881</v>
      </c>
      <c r="H218" s="8">
        <v>30.958101482414509</v>
      </c>
      <c r="I218" s="8">
        <v>30.958100468027613</v>
      </c>
      <c r="J218" s="8">
        <v>4.0738433222024618E-2</v>
      </c>
      <c r="K218" s="8">
        <v>30.958088009180695</v>
      </c>
      <c r="L218" s="8">
        <v>30.958075718732513</v>
      </c>
      <c r="M218" s="8">
        <v>10</v>
      </c>
    </row>
    <row r="219" spans="1:13" x14ac:dyDescent="0.3">
      <c r="A219" s="8">
        <v>208</v>
      </c>
      <c r="B219" s="8">
        <v>0.52122277917504833</v>
      </c>
      <c r="C219" s="8">
        <v>7.8037202644765102E-5</v>
      </c>
      <c r="D219" s="8">
        <v>6679.1576518666134</v>
      </c>
      <c r="E219" s="8">
        <v>5.0736199380452263E-5</v>
      </c>
      <c r="F219" s="8">
        <v>10273.19321391397</v>
      </c>
      <c r="G219" s="8">
        <v>0.63489990441817656</v>
      </c>
      <c r="H219" s="8">
        <v>30.958101512199235</v>
      </c>
      <c r="I219" s="8">
        <v>30.958099459804629</v>
      </c>
      <c r="J219" s="8">
        <v>0.11367712524312817</v>
      </c>
      <c r="K219" s="8">
        <v>30.958050775999855</v>
      </c>
      <c r="L219" s="8">
        <v>30.958021422601984</v>
      </c>
      <c r="M219" s="8">
        <v>12</v>
      </c>
    </row>
    <row r="220" spans="1:13" x14ac:dyDescent="0.3">
      <c r="A220" s="8">
        <v>209</v>
      </c>
      <c r="B220" s="8">
        <v>0.46777048989311337</v>
      </c>
      <c r="C220" s="8">
        <v>8.361827921277154E-5</v>
      </c>
      <c r="D220" s="8">
        <v>5594.1176295059167</v>
      </c>
      <c r="E220" s="8">
        <v>7.2680824775517294E-5</v>
      </c>
      <c r="F220" s="8">
        <v>6435.9546185376112</v>
      </c>
      <c r="G220" s="8">
        <v>0.7882688858284721</v>
      </c>
      <c r="H220" s="8">
        <v>30.958099504333639</v>
      </c>
      <c r="I220" s="8">
        <v>30.958098190235049</v>
      </c>
      <c r="J220" s="8">
        <v>0.32049839593535873</v>
      </c>
      <c r="K220" s="8">
        <v>30.958026823508863</v>
      </c>
      <c r="L220" s="8">
        <v>30.958014571955836</v>
      </c>
      <c r="M220" s="8">
        <v>10</v>
      </c>
    </row>
    <row r="221" spans="1:13" x14ac:dyDescent="0.3">
      <c r="A221" s="8">
        <v>210</v>
      </c>
      <c r="B221" s="8">
        <v>0.69105558057604155</v>
      </c>
      <c r="C221" s="8">
        <v>5.9184284523894348E-5</v>
      </c>
      <c r="D221" s="8">
        <v>11676.335806628584</v>
      </c>
      <c r="E221" s="8">
        <v>2.9073116170508229E-5</v>
      </c>
      <c r="F221" s="8">
        <v>23769.573805681292</v>
      </c>
      <c r="G221" s="8">
        <v>0.80993405600611967</v>
      </c>
      <c r="H221" s="8">
        <v>30.9581008736032</v>
      </c>
      <c r="I221" s="8">
        <v>30.958098535474118</v>
      </c>
      <c r="J221" s="8">
        <v>0.11887847543007814</v>
      </c>
      <c r="K221" s="8">
        <v>30.95807180048703</v>
      </c>
      <c r="L221" s="8">
        <v>30.958039351189594</v>
      </c>
      <c r="M221" s="8">
        <v>12</v>
      </c>
    </row>
    <row r="222" spans="1:13" x14ac:dyDescent="0.3">
      <c r="A222" s="8">
        <v>211</v>
      </c>
      <c r="B222" s="8">
        <v>0.59489177952393879</v>
      </c>
      <c r="C222" s="8">
        <v>3.0425089423857798E-5</v>
      </c>
      <c r="D222" s="8">
        <v>19552.671521729535</v>
      </c>
      <c r="E222" s="8">
        <v>1.5732255064904166E-5</v>
      </c>
      <c r="F222" s="8">
        <v>37813.509701545292</v>
      </c>
      <c r="G222" s="8">
        <v>0.64175344310188176</v>
      </c>
      <c r="H222" s="8">
        <v>30.95810147932972</v>
      </c>
      <c r="I222" s="8">
        <v>30.958100780427099</v>
      </c>
      <c r="J222" s="8">
        <v>4.686166357794299E-2</v>
      </c>
      <c r="K222" s="8">
        <v>30.958085747074655</v>
      </c>
      <c r="L222" s="8">
        <v>30.958070355337675</v>
      </c>
      <c r="M222" s="8">
        <v>10</v>
      </c>
    </row>
    <row r="223" spans="1:13" x14ac:dyDescent="0.3">
      <c r="A223" s="8">
        <v>212</v>
      </c>
      <c r="B223" s="8">
        <v>0.3639444582027358</v>
      </c>
      <c r="C223" s="8">
        <v>1.0481533490391826E-4</v>
      </c>
      <c r="D223" s="8">
        <v>3472.2443861516554</v>
      </c>
      <c r="E223" s="8">
        <v>9.104664943393459E-5</v>
      </c>
      <c r="F223" s="8">
        <v>3997.3404893589382</v>
      </c>
      <c r="G223" s="8">
        <v>0.54023220961753293</v>
      </c>
      <c r="H223" s="8">
        <v>30.958101463223674</v>
      </c>
      <c r="I223" s="8">
        <v>30.958100625108955</v>
      </c>
      <c r="J223" s="8">
        <v>0.17628775141479716</v>
      </c>
      <c r="K223" s="8">
        <v>30.95801041657424</v>
      </c>
      <c r="L223" s="8">
        <v>30.957995809774051</v>
      </c>
      <c r="M223" s="8">
        <v>11</v>
      </c>
    </row>
    <row r="224" spans="1:13" x14ac:dyDescent="0.3">
      <c r="A224" s="8">
        <v>213</v>
      </c>
      <c r="B224" s="8">
        <v>0.45767667752599706</v>
      </c>
      <c r="C224" s="8">
        <v>3.6109169478493186E-5</v>
      </c>
      <c r="D224" s="8">
        <v>12674.804880200629</v>
      </c>
      <c r="E224" s="8">
        <v>8.7860765987102241E-6</v>
      </c>
      <c r="F224" s="8">
        <v>52091.132188988988</v>
      </c>
      <c r="G224" s="8">
        <v>0.50607245733990314</v>
      </c>
      <c r="H224" s="8">
        <v>30.958101549577986</v>
      </c>
      <c r="I224" s="8">
        <v>30.958099871157692</v>
      </c>
      <c r="J224" s="8">
        <v>4.8395779813906095E-2</v>
      </c>
      <c r="K224" s="8">
        <v>30.958092763501387</v>
      </c>
      <c r="L224" s="8">
        <v>30.958063761988214</v>
      </c>
      <c r="M224" s="8">
        <v>12</v>
      </c>
    </row>
    <row r="225" spans="1:13" x14ac:dyDescent="0.3">
      <c r="A225" s="8">
        <v>214</v>
      </c>
      <c r="B225" s="8">
        <v>0.60152214071391963</v>
      </c>
      <c r="C225" s="8">
        <v>2.930760694752621E-5</v>
      </c>
      <c r="D225" s="8">
        <v>20524.437283157054</v>
      </c>
      <c r="E225" s="8">
        <v>6.682937389257404E-6</v>
      </c>
      <c r="F225" s="8">
        <v>90008.645252437374</v>
      </c>
      <c r="G225" s="8">
        <v>0.6432632562182119</v>
      </c>
      <c r="H225" s="8">
        <v>30.95810122499504</v>
      </c>
      <c r="I225" s="8">
        <v>30.958099087344273</v>
      </c>
      <c r="J225" s="8">
        <v>4.174111550429227E-2</v>
      </c>
      <c r="K225" s="8">
        <v>30.958094542057651</v>
      </c>
      <c r="L225" s="8">
        <v>30.958069779737325</v>
      </c>
      <c r="M225" s="8">
        <v>14</v>
      </c>
    </row>
    <row r="226" spans="1:13" x14ac:dyDescent="0.3">
      <c r="A226" s="8">
        <v>215</v>
      </c>
      <c r="B226" s="8">
        <v>0.45331924598435053</v>
      </c>
      <c r="C226" s="8">
        <v>1.4065211908587116E-4</v>
      </c>
      <c r="D226" s="8">
        <v>3222.9819851316233</v>
      </c>
      <c r="E226" s="8">
        <v>1.2727134022583186E-4</v>
      </c>
      <c r="F226" s="8">
        <v>3561.8328932497698</v>
      </c>
      <c r="G226" s="8">
        <v>0.64286568531961552</v>
      </c>
      <c r="H226" s="8">
        <v>30.958101523723638</v>
      </c>
      <c r="I226" s="8">
        <v>30.958100782915668</v>
      </c>
      <c r="J226" s="8">
        <v>0.18954643933526499</v>
      </c>
      <c r="K226" s="8">
        <v>30.957974252383412</v>
      </c>
      <c r="L226" s="8">
        <v>30.957960130796582</v>
      </c>
      <c r="M226" s="8">
        <v>10</v>
      </c>
    </row>
    <row r="227" spans="1:13" x14ac:dyDescent="0.3">
      <c r="A227" s="8">
        <v>216</v>
      </c>
      <c r="B227" s="8">
        <v>0.52530589997483967</v>
      </c>
      <c r="C227" s="8">
        <v>2.2974997186508972E-5</v>
      </c>
      <c r="D227" s="8">
        <v>22864.242189474644</v>
      </c>
      <c r="E227" s="8">
        <v>8.5551232018588053E-6</v>
      </c>
      <c r="F227" s="8">
        <v>61402.49387182459</v>
      </c>
      <c r="G227" s="8">
        <v>0.54746362530371284</v>
      </c>
      <c r="H227" s="8">
        <v>30.958101028485437</v>
      </c>
      <c r="I227" s="8">
        <v>30.958099478663531</v>
      </c>
      <c r="J227" s="8">
        <v>2.2157725328873196E-2</v>
      </c>
      <c r="K227" s="8">
        <v>30.958092473362235</v>
      </c>
      <c r="L227" s="8">
        <v>30.958076503666344</v>
      </c>
      <c r="M227" s="8">
        <v>15</v>
      </c>
    </row>
    <row r="228" spans="1:13" x14ac:dyDescent="0.3">
      <c r="A228" s="8">
        <v>217</v>
      </c>
      <c r="B228" s="8">
        <v>0.51385198886852013</v>
      </c>
      <c r="C228" s="8">
        <v>1.8377343065623108E-4</v>
      </c>
      <c r="D228" s="8">
        <v>2796.1168653902869</v>
      </c>
      <c r="E228" s="8">
        <v>1.6597476447088866E-4</v>
      </c>
      <c r="F228" s="8">
        <v>3095.9645612791205</v>
      </c>
      <c r="G228" s="8">
        <v>0.72098140459234694</v>
      </c>
      <c r="H228" s="8">
        <v>30.958093233711853</v>
      </c>
      <c r="I228" s="8">
        <v>30.958090801903904</v>
      </c>
      <c r="J228" s="8">
        <v>0.20712941572382679</v>
      </c>
      <c r="K228" s="8">
        <v>30.957927258947382</v>
      </c>
      <c r="L228" s="8">
        <v>30.957907028473247</v>
      </c>
      <c r="M228" s="8">
        <v>13</v>
      </c>
    </row>
    <row r="229" spans="1:13" x14ac:dyDescent="0.3">
      <c r="A229" s="8">
        <v>218</v>
      </c>
      <c r="B229" s="8">
        <v>0.3866674041511225</v>
      </c>
      <c r="C229" s="8">
        <v>8.1365344922090799E-5</v>
      </c>
      <c r="D229" s="8">
        <v>4752.2370183690055</v>
      </c>
      <c r="E229" s="8">
        <v>6.295399983358152E-5</v>
      </c>
      <c r="F229" s="8">
        <v>6142.0625404783686</v>
      </c>
      <c r="G229" s="8">
        <v>0.59485969681598827</v>
      </c>
      <c r="H229" s="8">
        <v>30.958100724249107</v>
      </c>
      <c r="I229" s="8">
        <v>30.958098884428111</v>
      </c>
      <c r="J229" s="8">
        <v>0.20819229266486577</v>
      </c>
      <c r="K229" s="8">
        <v>30.958037770249273</v>
      </c>
      <c r="L229" s="8">
        <v>30.958017519083189</v>
      </c>
      <c r="M229" s="8">
        <v>12</v>
      </c>
    </row>
    <row r="230" spans="1:13" x14ac:dyDescent="0.3">
      <c r="A230" s="8">
        <v>219</v>
      </c>
      <c r="B230" s="8">
        <v>0.46057919049348917</v>
      </c>
      <c r="C230" s="8">
        <v>3.7284567795836665E-5</v>
      </c>
      <c r="D230" s="8">
        <v>12353.078437586693</v>
      </c>
      <c r="E230" s="8">
        <v>1.7887530322724388E-5</v>
      </c>
      <c r="F230" s="8">
        <v>25748.61829351409</v>
      </c>
      <c r="G230" s="8">
        <v>0.5137361118128364</v>
      </c>
      <c r="H230" s="8">
        <v>30.958101230529991</v>
      </c>
      <c r="I230" s="8">
        <v>30.958100119441326</v>
      </c>
      <c r="J230" s="8">
        <v>5.3156921319347246E-2</v>
      </c>
      <c r="K230" s="8">
        <v>30.958083342999668</v>
      </c>
      <c r="L230" s="8">
        <v>30.95806283487353</v>
      </c>
      <c r="M230" s="8">
        <v>15</v>
      </c>
    </row>
    <row r="231" spans="1:13" x14ac:dyDescent="0.3">
      <c r="A231" s="8">
        <v>220</v>
      </c>
      <c r="B231" s="8">
        <v>0.94041129189584205</v>
      </c>
      <c r="C231" s="8">
        <v>3.285016804355223E-5</v>
      </c>
      <c r="D231" s="8">
        <v>28627.290145032432</v>
      </c>
      <c r="E231" s="8">
        <v>7.4224430441915956E-6</v>
      </c>
      <c r="F231" s="8">
        <v>126698.35070432199</v>
      </c>
      <c r="G231" s="8">
        <v>0.97332133684919864</v>
      </c>
      <c r="H231" s="8">
        <v>30.958101525893387</v>
      </c>
      <c r="I231" s="8">
        <v>30.958100449159851</v>
      </c>
      <c r="J231" s="8">
        <v>3.2910044953356629E-2</v>
      </c>
      <c r="K231" s="8">
        <v>30.958094103450343</v>
      </c>
      <c r="L231" s="8">
        <v>30.958067598991807</v>
      </c>
      <c r="M231" s="8">
        <v>11</v>
      </c>
    </row>
    <row r="232" spans="1:13" x14ac:dyDescent="0.3">
      <c r="A232" s="8">
        <v>221</v>
      </c>
      <c r="B232" s="8">
        <v>0.8420798335271632</v>
      </c>
      <c r="C232" s="8">
        <v>6.08161942921015E-5</v>
      </c>
      <c r="D232" s="8">
        <v>13846.309249188391</v>
      </c>
      <c r="E232" s="8">
        <v>3.1901120685517981E-5</v>
      </c>
      <c r="F232" s="8">
        <v>26396.559601413584</v>
      </c>
      <c r="G232" s="8">
        <v>0.9116480425458261</v>
      </c>
      <c r="H232" s="8">
        <v>30.958100746093564</v>
      </c>
      <c r="I232" s="8">
        <v>30.958099022847389</v>
      </c>
      <c r="J232" s="8">
        <v>6.9568209018662855E-2</v>
      </c>
      <c r="K232" s="8">
        <v>30.958068844972878</v>
      </c>
      <c r="L232" s="8">
        <v>30.958038206653097</v>
      </c>
      <c r="M232" s="8">
        <v>14</v>
      </c>
    </row>
    <row r="233" spans="1:13" x14ac:dyDescent="0.3">
      <c r="A233" s="8">
        <v>222</v>
      </c>
      <c r="B233" s="8">
        <v>0.72582588397154524</v>
      </c>
      <c r="C233" s="8">
        <v>5.0863119117394717E-5</v>
      </c>
      <c r="D233" s="8">
        <v>14270.180369715461</v>
      </c>
      <c r="E233" s="8">
        <v>2.7025605174202383E-5</v>
      </c>
      <c r="F233" s="8">
        <v>26856.970613349709</v>
      </c>
      <c r="G233" s="8">
        <v>0.77803924575452255</v>
      </c>
      <c r="H233" s="8">
        <v>30.958101526077904</v>
      </c>
      <c r="I233" s="8">
        <v>30.958100830185867</v>
      </c>
      <c r="J233" s="8">
        <v>5.2213361782977273E-2</v>
      </c>
      <c r="K233" s="8">
        <v>30.95807450047273</v>
      </c>
      <c r="L233" s="8">
        <v>30.958049967066749</v>
      </c>
      <c r="M233" s="8">
        <v>12</v>
      </c>
    </row>
    <row r="234" spans="1:13" x14ac:dyDescent="0.3">
      <c r="A234" s="8">
        <v>223</v>
      </c>
      <c r="B234" s="8">
        <v>0.67647090004156407</v>
      </c>
      <c r="C234" s="8">
        <v>2.7163190775780777E-5</v>
      </c>
      <c r="D234" s="8">
        <v>24903.955710708276</v>
      </c>
      <c r="E234" s="8">
        <v>8.6727710737477537E-6</v>
      </c>
      <c r="F234" s="8">
        <v>77999.395382315968</v>
      </c>
      <c r="G234" s="8">
        <v>0.73946407872082487</v>
      </c>
      <c r="H234" s="8">
        <v>30.958101538044804</v>
      </c>
      <c r="I234" s="8">
        <v>30.958101498054315</v>
      </c>
      <c r="J234" s="8">
        <v>6.2993178679260839E-2</v>
      </c>
      <c r="K234" s="8">
        <v>30.958092865273731</v>
      </c>
      <c r="L234" s="8">
        <v>30.958074334863539</v>
      </c>
      <c r="M234" s="8">
        <v>11</v>
      </c>
    </row>
    <row r="235" spans="1:13" x14ac:dyDescent="0.3">
      <c r="A235" s="8">
        <v>224</v>
      </c>
      <c r="B235" s="8">
        <v>0.45205465328743666</v>
      </c>
      <c r="C235" s="8">
        <v>2.0305677331577954E-5</v>
      </c>
      <c r="D235" s="8">
        <v>22262.475952202454</v>
      </c>
      <c r="E235" s="8">
        <v>6.7908264185234657E-6</v>
      </c>
      <c r="F235" s="8">
        <v>66568.430030012052</v>
      </c>
      <c r="G235" s="8">
        <v>0.48622128354342492</v>
      </c>
      <c r="H235" s="8">
        <v>30.958101064810617</v>
      </c>
      <c r="I235" s="8">
        <v>30.958098967981652</v>
      </c>
      <c r="J235" s="8">
        <v>3.4166630255988234E-2</v>
      </c>
      <c r="K235" s="8">
        <v>30.958094273984198</v>
      </c>
      <c r="L235" s="8">
        <v>30.95807866230432</v>
      </c>
      <c r="M235" s="8">
        <v>11</v>
      </c>
    </row>
    <row r="236" spans="1:13" x14ac:dyDescent="0.3">
      <c r="A236" s="8">
        <v>225</v>
      </c>
      <c r="B236" s="8">
        <v>0.48457123690750004</v>
      </c>
      <c r="C236" s="8">
        <v>4.2820548063815522E-5</v>
      </c>
      <c r="D236" s="8">
        <v>11316.324961215883</v>
      </c>
      <c r="E236" s="8">
        <v>1.8090954643668056E-5</v>
      </c>
      <c r="F236" s="8">
        <v>26785.277308574918</v>
      </c>
      <c r="G236" s="8">
        <v>0.61655998810827517</v>
      </c>
      <c r="H236" s="8">
        <v>30.95810152773107</v>
      </c>
      <c r="I236" s="8">
        <v>30.958100373832067</v>
      </c>
      <c r="J236" s="8">
        <v>0.13198875120077511</v>
      </c>
      <c r="K236" s="8">
        <v>30.958083436776427</v>
      </c>
      <c r="L236" s="8">
        <v>30.958057553284004</v>
      </c>
      <c r="M236" s="8">
        <v>9</v>
      </c>
    </row>
    <row r="237" spans="1:13" x14ac:dyDescent="0.3">
      <c r="A237" s="8">
        <v>226</v>
      </c>
      <c r="B237" s="8">
        <v>0.59687271715954837</v>
      </c>
      <c r="C237" s="8">
        <v>6.1417549051867582E-5</v>
      </c>
      <c r="D237" s="8">
        <v>9718.2763945120132</v>
      </c>
      <c r="E237" s="8">
        <v>2.9036706845175786E-5</v>
      </c>
      <c r="F237" s="8">
        <v>20555.799262708537</v>
      </c>
      <c r="G237" s="8">
        <v>0.6610685465272842</v>
      </c>
      <c r="H237" s="8">
        <v>30.958100217509077</v>
      </c>
      <c r="I237" s="8">
        <v>30.958095999551315</v>
      </c>
      <c r="J237" s="8">
        <v>6.4195829367735796E-2</v>
      </c>
      <c r="K237" s="8">
        <v>30.958071180802232</v>
      </c>
      <c r="L237" s="8">
        <v>30.958034582002263</v>
      </c>
      <c r="M237" s="8">
        <v>12</v>
      </c>
    </row>
    <row r="238" spans="1:13" x14ac:dyDescent="0.3">
      <c r="A238" s="8">
        <v>227</v>
      </c>
      <c r="B238" s="8">
        <v>0.32225610832942203</v>
      </c>
      <c r="C238" s="8">
        <v>4.433270765602515E-5</v>
      </c>
      <c r="D238" s="8">
        <v>7269.0373624320009</v>
      </c>
      <c r="E238" s="8">
        <v>2.4608391843372601E-5</v>
      </c>
      <c r="F238" s="8">
        <v>13095.374552734551</v>
      </c>
      <c r="G238" s="8">
        <v>0.35952668854818415</v>
      </c>
      <c r="H238" s="8">
        <v>30.958101399551634</v>
      </c>
      <c r="I238" s="8">
        <v>30.958100639188626</v>
      </c>
      <c r="J238" s="8">
        <v>3.7270580218762117E-2</v>
      </c>
      <c r="K238" s="8">
        <v>30.95807679115979</v>
      </c>
      <c r="L238" s="8">
        <v>30.95805630648097</v>
      </c>
      <c r="M238" s="8">
        <v>13</v>
      </c>
    </row>
    <row r="239" spans="1:13" x14ac:dyDescent="0.3">
      <c r="A239" s="8">
        <v>228</v>
      </c>
      <c r="B239" s="8">
        <v>0.50991101213692347</v>
      </c>
      <c r="C239" s="8">
        <v>5.4987322343436063E-5</v>
      </c>
      <c r="D239" s="8">
        <v>9273.2468213701359</v>
      </c>
      <c r="E239" s="8">
        <v>3.5192476719458909E-5</v>
      </c>
      <c r="F239" s="8">
        <v>14489.205070780919</v>
      </c>
      <c r="G239" s="8">
        <v>0.7207899301553542</v>
      </c>
      <c r="H239" s="8">
        <v>30.958098978441065</v>
      </c>
      <c r="I239" s="8">
        <v>30.958096923985426</v>
      </c>
      <c r="J239" s="8">
        <v>0.21087891801843078</v>
      </c>
      <c r="K239" s="8">
        <v>30.958063785964345</v>
      </c>
      <c r="L239" s="8">
        <v>30.958041936663083</v>
      </c>
      <c r="M239" s="8">
        <v>11</v>
      </c>
    </row>
    <row r="240" spans="1:13" x14ac:dyDescent="0.3">
      <c r="A240" s="8">
        <v>229</v>
      </c>
      <c r="B240" s="8">
        <v>0.73712078939501946</v>
      </c>
      <c r="C240" s="8">
        <v>5.9585706711828834E-5</v>
      </c>
      <c r="D240" s="8">
        <v>12370.765240058616</v>
      </c>
      <c r="E240" s="8">
        <v>2.6037467655726232E-5</v>
      </c>
      <c r="F240" s="8">
        <v>28310.003074853932</v>
      </c>
      <c r="G240" s="8">
        <v>0.92662015758451122</v>
      </c>
      <c r="H240" s="8">
        <v>30.958101392805403</v>
      </c>
      <c r="I240" s="8">
        <v>30.958099757267682</v>
      </c>
      <c r="J240" s="8">
        <v>0.18949936818949173</v>
      </c>
      <c r="K240" s="8">
        <v>30.958075355337748</v>
      </c>
      <c r="L240" s="8">
        <v>30.95804017156097</v>
      </c>
      <c r="M240" s="8">
        <v>15</v>
      </c>
    </row>
    <row r="241" spans="1:13" x14ac:dyDescent="0.3">
      <c r="A241" s="8">
        <v>230</v>
      </c>
      <c r="B241" s="8">
        <v>0.35655913967175973</v>
      </c>
      <c r="C241" s="8">
        <v>2.7608236695897403E-5</v>
      </c>
      <c r="D241" s="8">
        <v>12914.955185267032</v>
      </c>
      <c r="E241" s="8">
        <v>1.6502066436885343E-5</v>
      </c>
      <c r="F241" s="8">
        <v>21606.938805844362</v>
      </c>
      <c r="G241" s="8">
        <v>0.38463006449414561</v>
      </c>
      <c r="H241" s="8">
        <v>30.958100012233803</v>
      </c>
      <c r="I241" s="8">
        <v>30.958098583150374</v>
      </c>
      <c r="J241" s="8">
        <v>2.8070924822385882E-2</v>
      </c>
      <c r="K241" s="8">
        <v>30.958083510167366</v>
      </c>
      <c r="L241" s="8">
        <v>30.958070974913678</v>
      </c>
      <c r="M241" s="8">
        <v>12</v>
      </c>
    </row>
    <row r="242" spans="1:13" x14ac:dyDescent="0.3">
      <c r="A242" s="8">
        <v>231</v>
      </c>
      <c r="B242" s="8">
        <v>0.2947189437578539</v>
      </c>
      <c r="C242" s="8">
        <v>6.4448609823131164E-5</v>
      </c>
      <c r="D242" s="8">
        <v>4572.9294172001937</v>
      </c>
      <c r="E242" s="8">
        <v>4.3215856134537489E-5</v>
      </c>
      <c r="F242" s="8">
        <v>6819.6946704086877</v>
      </c>
      <c r="G242" s="8">
        <v>0.67630038333200659</v>
      </c>
      <c r="H242" s="8">
        <v>30.95810142043084</v>
      </c>
      <c r="I242" s="8">
        <v>30.958099696167185</v>
      </c>
      <c r="J242" s="8">
        <v>0.38158143957415269</v>
      </c>
      <c r="K242" s="8">
        <v>30.958058204574705</v>
      </c>
      <c r="L242" s="8">
        <v>30.958035247557362</v>
      </c>
      <c r="M242" s="8">
        <v>10</v>
      </c>
    </row>
    <row r="243" spans="1:13" x14ac:dyDescent="0.3">
      <c r="A243" s="8">
        <v>232</v>
      </c>
      <c r="B243" s="8">
        <v>0.46258830823126629</v>
      </c>
      <c r="C243" s="8">
        <v>4.1560954137764838E-5</v>
      </c>
      <c r="D243" s="8">
        <v>11130.35823715438</v>
      </c>
      <c r="E243" s="8">
        <v>2.1045306144884535E-5</v>
      </c>
      <c r="F243" s="8">
        <v>21980.592966746044</v>
      </c>
      <c r="G243" s="8">
        <v>0.51461013529356769</v>
      </c>
      <c r="H243" s="8">
        <v>30.95810154871144</v>
      </c>
      <c r="I243" s="8">
        <v>30.95809992765744</v>
      </c>
      <c r="J243" s="8">
        <v>5.2021827062301421E-2</v>
      </c>
      <c r="K243" s="8">
        <v>30.958080503405295</v>
      </c>
      <c r="L243" s="8">
        <v>30.958058366703302</v>
      </c>
      <c r="M243" s="8">
        <v>14</v>
      </c>
    </row>
    <row r="244" spans="1:13" x14ac:dyDescent="0.3">
      <c r="A244" s="8">
        <v>233</v>
      </c>
      <c r="B244" s="8">
        <v>0.74186094839143324</v>
      </c>
      <c r="C244" s="8">
        <v>3.879678834195488E-5</v>
      </c>
      <c r="D244" s="8">
        <v>19121.710329542515</v>
      </c>
      <c r="E244" s="8">
        <v>1.0335919437665098E-5</v>
      </c>
      <c r="F244" s="8">
        <v>71775.03200034819</v>
      </c>
      <c r="G244" s="8">
        <v>0.82649636957675376</v>
      </c>
      <c r="H244" s="8">
        <v>30.958101364002186</v>
      </c>
      <c r="I244" s="8">
        <v>30.958099133402008</v>
      </c>
      <c r="J244" s="8">
        <v>8.4635421185320484E-2</v>
      </c>
      <c r="K244" s="8">
        <v>30.958091028082748</v>
      </c>
      <c r="L244" s="8">
        <v>30.958060336613666</v>
      </c>
      <c r="M244" s="8">
        <v>12</v>
      </c>
    </row>
    <row r="245" spans="1:13" x14ac:dyDescent="0.3">
      <c r="A245" s="8">
        <v>234</v>
      </c>
      <c r="B245" s="8">
        <v>0.83920354941785902</v>
      </c>
      <c r="C245" s="8">
        <v>1.9249583438707418E-4</v>
      </c>
      <c r="D245" s="8">
        <v>4359.5932976418235</v>
      </c>
      <c r="E245" s="8">
        <v>1.6051151515839024E-4</v>
      </c>
      <c r="F245" s="8">
        <v>5228.3074431746918</v>
      </c>
      <c r="G245" s="8">
        <v>1.2236910526333122</v>
      </c>
      <c r="H245" s="8">
        <v>30.958070662861886</v>
      </c>
      <c r="I245" s="8">
        <v>30.958063827713438</v>
      </c>
      <c r="J245" s="8">
        <v>0.38448750321545322</v>
      </c>
      <c r="K245" s="8">
        <v>30.957910151346727</v>
      </c>
      <c r="L245" s="8">
        <v>30.957871331879051</v>
      </c>
      <c r="M245" s="8">
        <v>12</v>
      </c>
    </row>
    <row r="246" spans="1:13" x14ac:dyDescent="0.3">
      <c r="A246" s="8">
        <v>235</v>
      </c>
      <c r="B246" s="8">
        <v>0.6522499531784528</v>
      </c>
      <c r="C246" s="8">
        <v>7.3109222391565254E-5</v>
      </c>
      <c r="D246" s="8">
        <v>8921.5824193160079</v>
      </c>
      <c r="E246" s="8">
        <v>3.8873562054675403E-5</v>
      </c>
      <c r="F246" s="8">
        <v>16778.754472282926</v>
      </c>
      <c r="G246" s="8">
        <v>0.76004033232841406</v>
      </c>
      <c r="H246" s="8">
        <v>30.95810133341293</v>
      </c>
      <c r="I246" s="8">
        <v>30.958100745227878</v>
      </c>
      <c r="J246" s="8">
        <v>0.1077903791499613</v>
      </c>
      <c r="K246" s="8">
        <v>30.958062459850876</v>
      </c>
      <c r="L246" s="8">
        <v>30.958027636005486</v>
      </c>
      <c r="M246" s="8">
        <v>12</v>
      </c>
    </row>
    <row r="247" spans="1:13" x14ac:dyDescent="0.3">
      <c r="A247" s="8">
        <v>236</v>
      </c>
      <c r="B247" s="8">
        <v>0.68231881031579178</v>
      </c>
      <c r="C247" s="8">
        <v>6.3070117771957257E-5</v>
      </c>
      <c r="D247" s="8">
        <v>10818.416619782654</v>
      </c>
      <c r="E247" s="8">
        <v>3.8594867049823733E-5</v>
      </c>
      <c r="F247" s="8">
        <v>17679.004035302358</v>
      </c>
      <c r="G247" s="8">
        <v>0.82873780122299978</v>
      </c>
      <c r="H247" s="8">
        <v>30.958101550583891</v>
      </c>
      <c r="I247" s="8">
        <v>30.958100337889775</v>
      </c>
      <c r="J247" s="8">
        <v>0.14641899090720806</v>
      </c>
      <c r="K247" s="8">
        <v>30.958062955716841</v>
      </c>
      <c r="L247" s="8">
        <v>30.958037267772003</v>
      </c>
      <c r="M247" s="8">
        <v>14</v>
      </c>
    </row>
    <row r="248" spans="1:13" x14ac:dyDescent="0.3">
      <c r="A248" s="8">
        <v>237</v>
      </c>
      <c r="B248" s="8">
        <v>0.49434800747695917</v>
      </c>
      <c r="C248" s="8">
        <v>6.3367307951978091E-5</v>
      </c>
      <c r="D248" s="8">
        <v>7801.3099097028544</v>
      </c>
      <c r="E248" s="8">
        <v>3.2804555878840347E-5</v>
      </c>
      <c r="F248" s="8">
        <v>15069.492460217223</v>
      </c>
      <c r="G248" s="8">
        <v>0.61813854090194731</v>
      </c>
      <c r="H248" s="8">
        <v>30.958101512961417</v>
      </c>
      <c r="I248" s="8">
        <v>30.958100383399536</v>
      </c>
      <c r="J248" s="8">
        <v>0.12379053342498815</v>
      </c>
      <c r="K248" s="8">
        <v>30.958068708405538</v>
      </c>
      <c r="L248" s="8">
        <v>30.958037016091584</v>
      </c>
      <c r="M248" s="8">
        <v>11</v>
      </c>
    </row>
    <row r="249" spans="1:13" x14ac:dyDescent="0.3">
      <c r="A249" s="8">
        <v>238</v>
      </c>
      <c r="B249" s="8">
        <v>0.65809737655417966</v>
      </c>
      <c r="C249" s="8">
        <v>4.3490633984788474E-5</v>
      </c>
      <c r="D249" s="8">
        <v>15131.933390172226</v>
      </c>
      <c r="E249" s="8">
        <v>2.5517420077392217E-5</v>
      </c>
      <c r="F249" s="8">
        <v>25790.121985617079</v>
      </c>
      <c r="G249" s="8">
        <v>0.70339041244134204</v>
      </c>
      <c r="H249" s="8">
        <v>30.958101551316396</v>
      </c>
      <c r="I249" s="8">
        <v>30.958101352718614</v>
      </c>
      <c r="J249" s="8">
        <v>4.5293035887162408E-2</v>
      </c>
      <c r="K249" s="8">
        <v>30.958076033896319</v>
      </c>
      <c r="L249" s="8">
        <v>30.95805786208463</v>
      </c>
      <c r="M249" s="8">
        <v>14</v>
      </c>
    </row>
    <row r="250" spans="1:13" x14ac:dyDescent="0.3">
      <c r="A250" s="8">
        <v>239</v>
      </c>
      <c r="B250" s="8">
        <v>0.88620066089022898</v>
      </c>
      <c r="C250" s="8">
        <v>5.2801123992196608E-5</v>
      </c>
      <c r="D250" s="8">
        <v>16783.746138078408</v>
      </c>
      <c r="E250" s="8">
        <v>2.3696273899531661E-5</v>
      </c>
      <c r="F250" s="8">
        <v>37398.312690323182</v>
      </c>
      <c r="G250" s="8">
        <v>1.1015093536002714</v>
      </c>
      <c r="H250" s="8">
        <v>30.958101401077094</v>
      </c>
      <c r="I250" s="8">
        <v>30.958099673564021</v>
      </c>
      <c r="J250" s="8">
        <v>0.21530869271004235</v>
      </c>
      <c r="K250" s="8">
        <v>30.958077704803195</v>
      </c>
      <c r="L250" s="8">
        <v>30.958046872440029</v>
      </c>
      <c r="M250" s="8">
        <v>15</v>
      </c>
    </row>
    <row r="251" spans="1:13" x14ac:dyDescent="0.3">
      <c r="A251" s="8">
        <v>240</v>
      </c>
      <c r="B251" s="8">
        <v>0.40788435835001019</v>
      </c>
      <c r="C251" s="8">
        <v>5.5845560147815831E-5</v>
      </c>
      <c r="D251" s="8">
        <v>7303.7920520520183</v>
      </c>
      <c r="E251" s="8">
        <v>3.9231768532488331E-5</v>
      </c>
      <c r="F251" s="8">
        <v>10396.787440572196</v>
      </c>
      <c r="G251" s="8">
        <v>0.59129879170383803</v>
      </c>
      <c r="H251" s="8">
        <v>30.958101445237745</v>
      </c>
      <c r="I251" s="8">
        <v>30.958100968031054</v>
      </c>
      <c r="J251" s="8">
        <v>0.18341443335382784</v>
      </c>
      <c r="K251" s="8">
        <v>30.958062213469212</v>
      </c>
      <c r="L251" s="8">
        <v>30.958045122470907</v>
      </c>
      <c r="M251" s="8">
        <v>11</v>
      </c>
    </row>
    <row r="252" spans="1:13" x14ac:dyDescent="0.3">
      <c r="A252" s="8">
        <v>241</v>
      </c>
      <c r="B252" s="8">
        <v>0.37623513178527207</v>
      </c>
      <c r="C252" s="8">
        <v>6.6070629060277497E-5</v>
      </c>
      <c r="D252" s="8">
        <v>5694.4384689000854</v>
      </c>
      <c r="E252" s="8">
        <v>4.9673893425250526E-5</v>
      </c>
      <c r="F252" s="8">
        <v>7574.1019244129157</v>
      </c>
      <c r="G252" s="8">
        <v>0.4835020962383394</v>
      </c>
      <c r="H252" s="8">
        <v>30.958101468121495</v>
      </c>
      <c r="I252" s="8">
        <v>30.95810026706442</v>
      </c>
      <c r="J252" s="8">
        <v>0.10726696445306733</v>
      </c>
      <c r="K252" s="8">
        <v>30.958051794228069</v>
      </c>
      <c r="L252" s="8">
        <v>30.95803419643536</v>
      </c>
      <c r="M252" s="8">
        <v>9</v>
      </c>
    </row>
    <row r="253" spans="1:13" x14ac:dyDescent="0.3">
      <c r="A253" s="8">
        <v>242</v>
      </c>
      <c r="B253" s="8">
        <v>0.63986812918248537</v>
      </c>
      <c r="C253" s="8">
        <v>1.1173284953969187E-4</v>
      </c>
      <c r="D253" s="8">
        <v>5726.7681959116171</v>
      </c>
      <c r="E253" s="8">
        <v>7.532174909385958E-5</v>
      </c>
      <c r="F253" s="8">
        <v>8495.131046215296</v>
      </c>
      <c r="G253" s="8">
        <v>1.1107822227305602</v>
      </c>
      <c r="H253" s="8">
        <v>30.95809675809123</v>
      </c>
      <c r="I253" s="8">
        <v>30.958091222121872</v>
      </c>
      <c r="J253" s="8">
        <v>0.47091409354807479</v>
      </c>
      <c r="K253" s="8">
        <v>30.958021436342136</v>
      </c>
      <c r="L253" s="8">
        <v>30.957979489272333</v>
      </c>
      <c r="M253" s="8">
        <v>9</v>
      </c>
    </row>
    <row r="254" spans="1:13" x14ac:dyDescent="0.3">
      <c r="A254" s="8">
        <v>243</v>
      </c>
      <c r="B254" s="8">
        <v>0.52035062312996361</v>
      </c>
      <c r="C254" s="8">
        <v>5.4187706250985457E-5</v>
      </c>
      <c r="D254" s="8">
        <v>9602.7431151969176</v>
      </c>
      <c r="E254" s="8">
        <v>3.1951479325442733E-5</v>
      </c>
      <c r="F254" s="8">
        <v>16285.650433581401</v>
      </c>
      <c r="G254" s="8">
        <v>0.75447756412567002</v>
      </c>
      <c r="H254" s="8">
        <v>30.958100509637895</v>
      </c>
      <c r="I254" s="8">
        <v>30.958098249943902</v>
      </c>
      <c r="J254" s="8">
        <v>0.23412694099570641</v>
      </c>
      <c r="K254" s="8">
        <v>30.958068558158569</v>
      </c>
      <c r="L254" s="8">
        <v>30.958044062237651</v>
      </c>
      <c r="M254" s="8">
        <v>11</v>
      </c>
    </row>
    <row r="255" spans="1:13" x14ac:dyDescent="0.3">
      <c r="A255" s="8">
        <v>244</v>
      </c>
      <c r="B255" s="8">
        <v>0.45040076760446546</v>
      </c>
      <c r="C255" s="8">
        <v>4.1363239393632512E-5</v>
      </c>
      <c r="D255" s="8">
        <v>10888.914268010656</v>
      </c>
      <c r="E255" s="8">
        <v>1.4577519991121335E-5</v>
      </c>
      <c r="F255" s="8">
        <v>30896.940486364558</v>
      </c>
      <c r="G255" s="8">
        <v>0.4766672014813273</v>
      </c>
      <c r="H255" s="8">
        <v>30.958101461808866</v>
      </c>
      <c r="I255" s="8">
        <v>30.958099875444599</v>
      </c>
      <c r="J255" s="8">
        <v>2.6266433876861856E-2</v>
      </c>
      <c r="K255" s="8">
        <v>30.958086884288875</v>
      </c>
      <c r="L255" s="8">
        <v>30.958058512205206</v>
      </c>
      <c r="M255" s="8">
        <v>12</v>
      </c>
    </row>
    <row r="256" spans="1:13" x14ac:dyDescent="0.3">
      <c r="A256" s="8">
        <v>245</v>
      </c>
      <c r="B256" s="8">
        <v>0.35970776757380274</v>
      </c>
      <c r="C256" s="8">
        <v>4.6824198136619088E-5</v>
      </c>
      <c r="D256" s="8">
        <v>7682.0913520885597</v>
      </c>
      <c r="E256" s="8">
        <v>2.7070881277069248E-5</v>
      </c>
      <c r="F256" s="8">
        <v>13287.626800627952</v>
      </c>
      <c r="G256" s="8">
        <v>0.42893826012246666</v>
      </c>
      <c r="H256" s="8">
        <v>30.958101147715958</v>
      </c>
      <c r="I256" s="8">
        <v>30.958099295758171</v>
      </c>
      <c r="J256" s="8">
        <v>6.9230492548663897E-2</v>
      </c>
      <c r="K256" s="8">
        <v>30.958074076834681</v>
      </c>
      <c r="L256" s="8">
        <v>30.958052471560034</v>
      </c>
      <c r="M256" s="8">
        <v>12</v>
      </c>
    </row>
    <row r="257" spans="1:13" x14ac:dyDescent="0.3">
      <c r="A257" s="8">
        <v>246</v>
      </c>
      <c r="B257" s="8">
        <v>0.53543970550179598</v>
      </c>
      <c r="C257" s="8">
        <v>6.1379745925904672E-5</v>
      </c>
      <c r="D257" s="8">
        <v>8723.3939701894287</v>
      </c>
      <c r="E257" s="8">
        <v>5.1968722267758949E-5</v>
      </c>
      <c r="F257" s="8">
        <v>10303.114683925551</v>
      </c>
      <c r="G257" s="8">
        <v>0.75643913028798482</v>
      </c>
      <c r="H257" s="8">
        <v>30.958099515382106</v>
      </c>
      <c r="I257" s="8">
        <v>30.958098293489503</v>
      </c>
      <c r="J257" s="8">
        <v>0.22099942478618886</v>
      </c>
      <c r="K257" s="8">
        <v>30.958047546659838</v>
      </c>
      <c r="L257" s="8">
        <v>30.958036913743577</v>
      </c>
      <c r="M257" s="8">
        <v>13</v>
      </c>
    </row>
    <row r="258" spans="1:13" x14ac:dyDescent="0.3">
      <c r="A258" s="8">
        <v>247</v>
      </c>
      <c r="B258" s="8">
        <v>0.69451861571528251</v>
      </c>
      <c r="C258" s="8">
        <v>6.494770811826811E-5</v>
      </c>
      <c r="D258" s="8">
        <v>10693.504602973548</v>
      </c>
      <c r="E258" s="8">
        <v>3.5916208389608073E-5</v>
      </c>
      <c r="F258" s="8">
        <v>19337.191949143307</v>
      </c>
      <c r="G258" s="8">
        <v>0.75814464817718008</v>
      </c>
      <c r="H258" s="8">
        <v>30.958100794524359</v>
      </c>
      <c r="I258" s="8">
        <v>30.958097563812309</v>
      </c>
      <c r="J258" s="8">
        <v>6.3626032461897519E-2</v>
      </c>
      <c r="K258" s="8">
        <v>30.95806487831597</v>
      </c>
      <c r="L258" s="8">
        <v>30.958032616104191</v>
      </c>
      <c r="M258" s="8">
        <v>11</v>
      </c>
    </row>
    <row r="259" spans="1:13" x14ac:dyDescent="0.3">
      <c r="A259" s="8">
        <v>248</v>
      </c>
      <c r="B259" s="8">
        <v>0.87598914068962541</v>
      </c>
      <c r="C259" s="8">
        <v>7.6708909261924418E-5</v>
      </c>
      <c r="D259" s="8">
        <v>11419.653194370674</v>
      </c>
      <c r="E259" s="8">
        <v>2.5952462216594085E-5</v>
      </c>
      <c r="F259" s="8">
        <v>33753.604316183737</v>
      </c>
      <c r="G259" s="8">
        <v>0.96460485666722318</v>
      </c>
      <c r="H259" s="8">
        <v>30.958101544992516</v>
      </c>
      <c r="I259" s="8">
        <v>30.958099685658112</v>
      </c>
      <c r="J259" s="8">
        <v>8.861571597759775E-2</v>
      </c>
      <c r="K259" s="8">
        <v>30.9580755925303</v>
      </c>
      <c r="L259" s="8">
        <v>30.95802297674885</v>
      </c>
      <c r="M259" s="8">
        <v>11</v>
      </c>
    </row>
    <row r="260" spans="1:13" x14ac:dyDescent="0.3">
      <c r="A260" s="8">
        <v>249</v>
      </c>
      <c r="B260" s="8">
        <v>0.52529900616201164</v>
      </c>
      <c r="C260" s="8">
        <v>2.8944293063659643E-5</v>
      </c>
      <c r="D260" s="8">
        <v>18148.621042727729</v>
      </c>
      <c r="E260" s="8">
        <v>1.0628784533395219E-5</v>
      </c>
      <c r="F260" s="8">
        <v>49422.302664198622</v>
      </c>
      <c r="G260" s="8">
        <v>0.55686494008052145</v>
      </c>
      <c r="H260" s="8">
        <v>30.95810152662483</v>
      </c>
      <c r="I260" s="8">
        <v>30.958101075081611</v>
      </c>
      <c r="J260" s="8">
        <v>3.1565933918509828E-2</v>
      </c>
      <c r="K260" s="8">
        <v>30.958090897840297</v>
      </c>
      <c r="L260" s="8">
        <v>30.958072130788548</v>
      </c>
      <c r="M260" s="8">
        <v>10</v>
      </c>
    </row>
    <row r="261" spans="1:13" x14ac:dyDescent="0.3">
      <c r="A261" s="8">
        <v>250</v>
      </c>
      <c r="B261" s="8">
        <v>0.2536724352310995</v>
      </c>
      <c r="C261" s="8">
        <v>4.4143583281197607E-5</v>
      </c>
      <c r="D261" s="8">
        <v>5746.5302174313529</v>
      </c>
      <c r="E261" s="8">
        <v>3.012463379192809E-5</v>
      </c>
      <c r="F261" s="8">
        <v>8420.7641156146146</v>
      </c>
      <c r="G261" s="8">
        <v>0.33129329386714934</v>
      </c>
      <c r="H261" s="8">
        <v>30.958100764780095</v>
      </c>
      <c r="I261" s="8">
        <v>30.958100065836604</v>
      </c>
      <c r="J261" s="8">
        <v>7.7620858636049839E-2</v>
      </c>
      <c r="K261" s="8">
        <v>30.958070640146303</v>
      </c>
      <c r="L261" s="8">
        <v>30.958055922253322</v>
      </c>
      <c r="M261" s="8">
        <v>13</v>
      </c>
    </row>
    <row r="262" spans="1:13" x14ac:dyDescent="0.3">
      <c r="A262" s="8">
        <v>251</v>
      </c>
      <c r="B262" s="8">
        <v>0.40837943298782875</v>
      </c>
      <c r="C262" s="8">
        <v>6.1552758893412829E-5</v>
      </c>
      <c r="D262" s="8">
        <v>6634.6243503884953</v>
      </c>
      <c r="E262" s="8">
        <v>3.8354873069579298E-5</v>
      </c>
      <c r="F262" s="8">
        <v>10647.393676599857</v>
      </c>
      <c r="G262" s="8">
        <v>0.54475470720123131</v>
      </c>
      <c r="H262" s="8">
        <v>30.958101547625322</v>
      </c>
      <c r="I262" s="8">
        <v>30.958099362682159</v>
      </c>
      <c r="J262" s="8">
        <v>0.13637527421340259</v>
      </c>
      <c r="K262" s="8">
        <v>30.958063192752252</v>
      </c>
      <c r="L262" s="8">
        <v>30.958037809923265</v>
      </c>
      <c r="M262" s="8">
        <v>12</v>
      </c>
    </row>
    <row r="263" spans="1:13" x14ac:dyDescent="0.3">
      <c r="A263" s="8">
        <v>252</v>
      </c>
      <c r="B263" s="8">
        <v>0.39874307633717743</v>
      </c>
      <c r="C263" s="8">
        <v>4.4826347050275217E-5</v>
      </c>
      <c r="D263" s="8">
        <v>8895.2837466315304</v>
      </c>
      <c r="E263" s="8">
        <v>2.6069304063014442E-5</v>
      </c>
      <c r="F263" s="8">
        <v>15295.501382520222</v>
      </c>
      <c r="G263" s="8">
        <v>0.49166778452223159</v>
      </c>
      <c r="H263" s="8">
        <v>30.95810149160684</v>
      </c>
      <c r="I263" s="8">
        <v>30.958099430977633</v>
      </c>
      <c r="J263" s="8">
        <v>9.2924708185054133E-2</v>
      </c>
      <c r="K263" s="8">
        <v>30.958075422302777</v>
      </c>
      <c r="L263" s="8">
        <v>30.958054604630583</v>
      </c>
      <c r="M263" s="8">
        <v>13</v>
      </c>
    </row>
    <row r="264" spans="1:13" x14ac:dyDescent="0.3">
      <c r="A264" s="8">
        <v>253</v>
      </c>
      <c r="B264" s="8">
        <v>0.3895868141249057</v>
      </c>
      <c r="C264" s="8">
        <v>1.7892192276036667E-4</v>
      </c>
      <c r="D264" s="8">
        <v>2177.4124048883955</v>
      </c>
      <c r="E264" s="8">
        <v>1.6123383339916586E-4</v>
      </c>
      <c r="F264" s="8">
        <v>2416.2845099663878</v>
      </c>
      <c r="G264" s="8">
        <v>0.86928079956757698</v>
      </c>
      <c r="H264" s="8">
        <v>30.95809837411166</v>
      </c>
      <c r="I264" s="8">
        <v>30.958097630111933</v>
      </c>
      <c r="J264" s="8">
        <v>0.47969398544267128</v>
      </c>
      <c r="K264" s="8">
        <v>30.957937140278261</v>
      </c>
      <c r="L264" s="8">
        <v>30.957918708189172</v>
      </c>
      <c r="M264" s="8">
        <v>10</v>
      </c>
    </row>
    <row r="265" spans="1:13" x14ac:dyDescent="0.3">
      <c r="A265" s="8">
        <v>254</v>
      </c>
      <c r="B265" s="8">
        <v>0.37429265250502036</v>
      </c>
      <c r="C265" s="8">
        <v>7.3494924343719958E-5</v>
      </c>
      <c r="D265" s="8">
        <v>5092.7687299130221</v>
      </c>
      <c r="E265" s="8">
        <v>6.4997797750265818E-5</v>
      </c>
      <c r="F265" s="8">
        <v>5758.5436039406368</v>
      </c>
      <c r="G265" s="8">
        <v>0.56402040055365366</v>
      </c>
      <c r="H265" s="8">
        <v>30.95810069368008</v>
      </c>
      <c r="I265" s="8">
        <v>30.958099913921597</v>
      </c>
      <c r="J265" s="8">
        <v>0.18972774804863329</v>
      </c>
      <c r="K265" s="8">
        <v>30.95803569588233</v>
      </c>
      <c r="L265" s="8">
        <v>30.958026418997253</v>
      </c>
      <c r="M265" s="8">
        <v>12</v>
      </c>
    </row>
    <row r="266" spans="1:13" x14ac:dyDescent="0.3">
      <c r="A266" s="8">
        <v>255</v>
      </c>
      <c r="B266" s="8">
        <v>0.86389328093776263</v>
      </c>
      <c r="C266" s="8">
        <v>8.87128801707604E-5</v>
      </c>
      <c r="D266" s="8">
        <v>9738.0817675503695</v>
      </c>
      <c r="E266" s="8">
        <v>4.8480992429489334E-5</v>
      </c>
      <c r="F266" s="8">
        <v>17819.21610194361</v>
      </c>
      <c r="G266" s="8">
        <v>0.93772409382673971</v>
      </c>
      <c r="H266" s="8">
        <v>30.9581013538848</v>
      </c>
      <c r="I266" s="8">
        <v>30.958099781400012</v>
      </c>
      <c r="J266" s="8">
        <v>7.3830812888977027E-2</v>
      </c>
      <c r="K266" s="8">
        <v>30.95805287289237</v>
      </c>
      <c r="L266" s="8">
        <v>30.958011068519841</v>
      </c>
      <c r="M266" s="8">
        <v>10</v>
      </c>
    </row>
    <row r="267" spans="1:13" x14ac:dyDescent="0.3">
      <c r="A267" s="8">
        <v>256</v>
      </c>
      <c r="B267" s="8">
        <v>0.11375369060171103</v>
      </c>
      <c r="C267" s="8">
        <v>7.1462881276573853E-5</v>
      </c>
      <c r="D267" s="8">
        <v>1591.7870728086705</v>
      </c>
      <c r="E267" s="8">
        <v>5.5323037749133164E-5</v>
      </c>
      <c r="F267" s="8">
        <v>2056.1721703991825</v>
      </c>
      <c r="G267" s="8">
        <v>0.87811699260257681</v>
      </c>
      <c r="H267" s="8">
        <v>30.95810151629053</v>
      </c>
      <c r="I267" s="8">
        <v>30.958100098864165</v>
      </c>
      <c r="J267" s="8">
        <v>0.76436330200086577</v>
      </c>
      <c r="K267" s="8">
        <v>30.95804619325278</v>
      </c>
      <c r="L267" s="8">
        <v>30.958028635982888</v>
      </c>
      <c r="M267" s="8">
        <v>12</v>
      </c>
    </row>
    <row r="268" spans="1:13" x14ac:dyDescent="0.3">
      <c r="A268" s="8">
        <v>257</v>
      </c>
      <c r="B268" s="8">
        <v>0.38387609717035109</v>
      </c>
      <c r="C268" s="8">
        <v>6.2032865361771883E-5</v>
      </c>
      <c r="D268" s="8">
        <v>6188.2696362905235</v>
      </c>
      <c r="E268" s="8">
        <v>4.1002256885747101E-5</v>
      </c>
      <c r="F268" s="8">
        <v>9362.316280297031</v>
      </c>
      <c r="G268" s="8">
        <v>0.59547611753021568</v>
      </c>
      <c r="H268" s="8">
        <v>30.958101545529079</v>
      </c>
      <c r="I268" s="8">
        <v>30.958100674286467</v>
      </c>
      <c r="J268" s="8">
        <v>0.21160002035986461</v>
      </c>
      <c r="K268" s="8">
        <v>30.958060543272193</v>
      </c>
      <c r="L268" s="8">
        <v>30.958038641421105</v>
      </c>
      <c r="M268" s="8">
        <v>10</v>
      </c>
    </row>
    <row r="269" spans="1:13" x14ac:dyDescent="0.3">
      <c r="A269" s="8">
        <v>258</v>
      </c>
      <c r="B269" s="8">
        <v>0.12234263662119083</v>
      </c>
      <c r="C269" s="8">
        <v>9.4907117873077596E-5</v>
      </c>
      <c r="D269" s="8">
        <v>1289.0775672358279</v>
      </c>
      <c r="E269" s="8">
        <v>8.5100810725435849E-5</v>
      </c>
      <c r="F269" s="8">
        <v>1437.6201070035604</v>
      </c>
      <c r="G269" s="8">
        <v>0.55401716413077362</v>
      </c>
      <c r="H269" s="8">
        <v>30.958101099969479</v>
      </c>
      <c r="I269" s="8">
        <v>30.958100687184636</v>
      </c>
      <c r="J269" s="8">
        <v>0.43167452750958279</v>
      </c>
      <c r="K269" s="8">
        <v>30.958015999158754</v>
      </c>
      <c r="L269" s="8">
        <v>30.958005780066763</v>
      </c>
      <c r="M269" s="8">
        <v>11</v>
      </c>
    </row>
    <row r="270" spans="1:13" x14ac:dyDescent="0.3">
      <c r="A270" s="8">
        <v>259</v>
      </c>
      <c r="B270" s="8">
        <v>0.29976654561202731</v>
      </c>
      <c r="C270" s="8">
        <v>1.3456875841910687E-4</v>
      </c>
      <c r="D270" s="8">
        <v>2227.6087639779003</v>
      </c>
      <c r="E270" s="8">
        <v>1.19545616620087E-4</v>
      </c>
      <c r="F270" s="8">
        <v>2507.5494533996839</v>
      </c>
      <c r="G270" s="8">
        <v>0.5778267124454568</v>
      </c>
      <c r="H270" s="8">
        <v>30.958101517524394</v>
      </c>
      <c r="I270" s="8">
        <v>30.958100726910949</v>
      </c>
      <c r="J270" s="8">
        <v>0.27806016683342949</v>
      </c>
      <c r="K270" s="8">
        <v>30.957981971907774</v>
      </c>
      <c r="L270" s="8">
        <v>30.95796615815253</v>
      </c>
      <c r="M270" s="8">
        <v>15</v>
      </c>
    </row>
    <row r="271" spans="1:13" x14ac:dyDescent="0.3">
      <c r="A271" s="8">
        <v>260</v>
      </c>
      <c r="B271" s="8">
        <v>0.5323459570990331</v>
      </c>
      <c r="C271" s="8">
        <v>5.3923452597359756E-5</v>
      </c>
      <c r="D271" s="8">
        <v>9872.2528224221733</v>
      </c>
      <c r="E271" s="8">
        <v>2.9731746955974359E-5</v>
      </c>
      <c r="F271" s="8">
        <v>17904.967302705449</v>
      </c>
      <c r="G271" s="8">
        <v>0.59744909901051235</v>
      </c>
      <c r="H271" s="8">
        <v>30.958101165734526</v>
      </c>
      <c r="I271" s="8">
        <v>30.958100605930685</v>
      </c>
      <c r="J271" s="8">
        <v>6.5103141911479215E-2</v>
      </c>
      <c r="K271" s="8">
        <v>30.95807143398757</v>
      </c>
      <c r="L271" s="8">
        <v>30.958046682478088</v>
      </c>
      <c r="M271" s="8">
        <v>11</v>
      </c>
    </row>
    <row r="272" spans="1:13" x14ac:dyDescent="0.3">
      <c r="A272" s="8">
        <v>261</v>
      </c>
      <c r="B272" s="8">
        <v>0.43490297808429279</v>
      </c>
      <c r="C272" s="8">
        <v>1.1285961491935836E-4</v>
      </c>
      <c r="D272" s="8">
        <v>3853.4862837786945</v>
      </c>
      <c r="E272" s="8">
        <v>9.6563358130907773E-5</v>
      </c>
      <c r="F272" s="8">
        <v>4503.8095868073387</v>
      </c>
      <c r="G272" s="8">
        <v>0.56906573861139798</v>
      </c>
      <c r="H272" s="8">
        <v>30.958101551454209</v>
      </c>
      <c r="I272" s="8">
        <v>30.958101242938564</v>
      </c>
      <c r="J272" s="8">
        <v>0.13416276052710518</v>
      </c>
      <c r="K272" s="8">
        <v>30.958004988096079</v>
      </c>
      <c r="L272" s="8">
        <v>30.957988383323645</v>
      </c>
      <c r="M272" s="8">
        <v>9</v>
      </c>
    </row>
    <row r="273" spans="1:13" x14ac:dyDescent="0.3">
      <c r="A273" s="8">
        <v>262</v>
      </c>
      <c r="B273" s="8">
        <v>0.47305554813801692</v>
      </c>
      <c r="C273" s="8">
        <v>2.1839904963627532E-5</v>
      </c>
      <c r="D273" s="8">
        <v>21660.146824166586</v>
      </c>
      <c r="E273" s="8">
        <v>2.5709156830089341E-6</v>
      </c>
      <c r="F273" s="8">
        <v>184002.7470618425</v>
      </c>
      <c r="G273" s="8">
        <v>0.48326650220621781</v>
      </c>
      <c r="H273" s="8">
        <v>30.958101540749563</v>
      </c>
      <c r="I273" s="8">
        <v>30.958100618100719</v>
      </c>
      <c r="J273" s="8">
        <v>1.0210954068200892E-2</v>
      </c>
      <c r="K273" s="8">
        <v>30.95809896983388</v>
      </c>
      <c r="L273" s="8">
        <v>30.958078778195755</v>
      </c>
      <c r="M273" s="8">
        <v>11</v>
      </c>
    </row>
    <row r="274" spans="1:13" x14ac:dyDescent="0.3">
      <c r="A274" s="8">
        <v>263</v>
      </c>
      <c r="B274" s="8">
        <v>0.35784165812255875</v>
      </c>
      <c r="C274" s="8">
        <v>6.9642218807786094E-5</v>
      </c>
      <c r="D274" s="8">
        <v>5138.2862902488623</v>
      </c>
      <c r="E274" s="8">
        <v>4.334168458797194E-5</v>
      </c>
      <c r="F274" s="8">
        <v>8256.2932549665111</v>
      </c>
      <c r="G274" s="8">
        <v>0.48630762700601959</v>
      </c>
      <c r="H274" s="8">
        <v>30.958101503886557</v>
      </c>
      <c r="I274" s="8">
        <v>30.958100364042732</v>
      </c>
      <c r="J274" s="8">
        <v>0.12846596888346082</v>
      </c>
      <c r="K274" s="8">
        <v>30.958058162201969</v>
      </c>
      <c r="L274" s="8">
        <v>30.958030721823924</v>
      </c>
      <c r="M274" s="8">
        <v>9</v>
      </c>
    </row>
    <row r="275" spans="1:13" x14ac:dyDescent="0.3">
      <c r="A275" s="8">
        <v>264</v>
      </c>
      <c r="B275" s="8">
        <v>0.50920881821598218</v>
      </c>
      <c r="C275" s="8">
        <v>5.4367279748390729E-5</v>
      </c>
      <c r="D275" s="8">
        <v>9366.0896879994216</v>
      </c>
      <c r="E275" s="8">
        <v>3.2877395671704335E-5</v>
      </c>
      <c r="F275" s="8">
        <v>15488.112966752675</v>
      </c>
      <c r="G275" s="8">
        <v>0.58427678385236081</v>
      </c>
      <c r="H275" s="8">
        <v>30.958101550244894</v>
      </c>
      <c r="I275" s="8">
        <v>30.958100905950396</v>
      </c>
      <c r="J275" s="8">
        <v>7.5067965636378589E-2</v>
      </c>
      <c r="K275" s="8">
        <v>30.958068672849222</v>
      </c>
      <c r="L275" s="8">
        <v>30.958046538670647</v>
      </c>
      <c r="M275" s="8">
        <v>9</v>
      </c>
    </row>
    <row r="276" spans="1:13" x14ac:dyDescent="0.3">
      <c r="A276" s="8">
        <v>265</v>
      </c>
      <c r="B276" s="8">
        <v>0.44246570029023874</v>
      </c>
      <c r="C276" s="8">
        <v>3.6734745950894876E-5</v>
      </c>
      <c r="D276" s="8">
        <v>12044.882544763048</v>
      </c>
      <c r="E276" s="8">
        <v>1.5759851489605126E-5</v>
      </c>
      <c r="F276" s="8">
        <v>28075.499352394279</v>
      </c>
      <c r="G276" s="8">
        <v>0.48546435705309732</v>
      </c>
      <c r="H276" s="8">
        <v>30.958101533534542</v>
      </c>
      <c r="I276" s="8">
        <v>30.958100537068571</v>
      </c>
      <c r="J276" s="8">
        <v>4.2998656762858564E-2</v>
      </c>
      <c r="K276" s="8">
        <v>30.958085773683052</v>
      </c>
      <c r="L276" s="8">
        <v>30.95806380232262</v>
      </c>
      <c r="M276" s="8">
        <v>14</v>
      </c>
    </row>
    <row r="277" spans="1:13" x14ac:dyDescent="0.3">
      <c r="A277" s="8">
        <v>266</v>
      </c>
      <c r="B277" s="8">
        <v>0.2976585041033275</v>
      </c>
      <c r="C277" s="8">
        <v>8.1521905844539333E-5</v>
      </c>
      <c r="D277" s="8">
        <v>3651.270183390418</v>
      </c>
      <c r="E277" s="8">
        <v>7.0397305044878067E-5</v>
      </c>
      <c r="F277" s="8">
        <v>4228.2656120652791</v>
      </c>
      <c r="G277" s="8">
        <v>0.5666186538514133</v>
      </c>
      <c r="H277" s="8">
        <v>30.958100898469894</v>
      </c>
      <c r="I277" s="8">
        <v>30.958100087141776</v>
      </c>
      <c r="J277" s="8">
        <v>0.2689601497480858</v>
      </c>
      <c r="K277" s="8">
        <v>30.958030501164849</v>
      </c>
      <c r="L277" s="8">
        <v>30.958018565235932</v>
      </c>
      <c r="M277" s="8">
        <v>11</v>
      </c>
    </row>
    <row r="278" spans="1:13" x14ac:dyDescent="0.3">
      <c r="A278" s="8">
        <v>267</v>
      </c>
      <c r="B278" s="8">
        <v>0.33746420657413717</v>
      </c>
      <c r="C278" s="8">
        <v>7.2541945499438043E-5</v>
      </c>
      <c r="D278" s="8">
        <v>4651.9872640685026</v>
      </c>
      <c r="E278" s="8">
        <v>6.1250783488731031E-5</v>
      </c>
      <c r="F278" s="8">
        <v>5509.5492229291094</v>
      </c>
      <c r="G278" s="8">
        <v>0.45221127976154418</v>
      </c>
      <c r="H278" s="8">
        <v>30.958100163398885</v>
      </c>
      <c r="I278" s="8">
        <v>30.958098698471606</v>
      </c>
      <c r="J278" s="8">
        <v>0.11474707318740703</v>
      </c>
      <c r="K278" s="8">
        <v>30.958038912615397</v>
      </c>
      <c r="L278" s="8">
        <v>30.958026156526106</v>
      </c>
      <c r="M278" s="8">
        <v>11</v>
      </c>
    </row>
    <row r="279" spans="1:13" x14ac:dyDescent="0.3">
      <c r="A279" s="8">
        <v>268</v>
      </c>
      <c r="B279" s="8">
        <v>0.44537168126893267</v>
      </c>
      <c r="C279" s="8">
        <v>4.5742699498418915E-5</v>
      </c>
      <c r="D279" s="8">
        <v>9736.453820009614</v>
      </c>
      <c r="E279" s="8">
        <v>2.6819297726632385E-5</v>
      </c>
      <c r="F279" s="8">
        <v>16606.38864628677</v>
      </c>
      <c r="G279" s="8">
        <v>0.52735786578722199</v>
      </c>
      <c r="H279" s="8">
        <v>30.958100811625169</v>
      </c>
      <c r="I279" s="8">
        <v>30.958099801996056</v>
      </c>
      <c r="J279" s="8">
        <v>8.198618451828929E-2</v>
      </c>
      <c r="K279" s="8">
        <v>30.958073992327442</v>
      </c>
      <c r="L279" s="8">
        <v>30.958054059296558</v>
      </c>
      <c r="M279" s="8">
        <v>10</v>
      </c>
    </row>
    <row r="280" spans="1:13" x14ac:dyDescent="0.3">
      <c r="A280" s="8">
        <v>269</v>
      </c>
      <c r="B280" s="8">
        <v>0.7835489891666072</v>
      </c>
      <c r="C280" s="8">
        <v>2.2256001206599763E-4</v>
      </c>
      <c r="D280" s="8">
        <v>3520.618919333338</v>
      </c>
      <c r="E280" s="8">
        <v>2.0592314460543548E-4</v>
      </c>
      <c r="F280" s="8">
        <v>3805.0554767311228</v>
      </c>
      <c r="G280" s="8">
        <v>1.2446748208710965</v>
      </c>
      <c r="H280" s="8">
        <v>30.958101501210901</v>
      </c>
      <c r="I280" s="8">
        <v>30.958100854596765</v>
      </c>
      <c r="J280" s="8">
        <v>0.46112583170448934</v>
      </c>
      <c r="K280" s="8">
        <v>30.957895578066296</v>
      </c>
      <c r="L280" s="8">
        <v>30.957878294584699</v>
      </c>
      <c r="M280" s="8">
        <v>15</v>
      </c>
    </row>
    <row r="281" spans="1:13" x14ac:dyDescent="0.3">
      <c r="A281" s="8">
        <v>270</v>
      </c>
      <c r="B281" s="8">
        <v>0.12060975442534694</v>
      </c>
      <c r="C281" s="8">
        <v>9.6344851129970266E-5</v>
      </c>
      <c r="D281" s="8">
        <v>1251.8546970677555</v>
      </c>
      <c r="E281" s="8">
        <v>8.0174736993399165E-5</v>
      </c>
      <c r="F281" s="8">
        <v>1504.336140638376</v>
      </c>
      <c r="G281" s="8">
        <v>0.71526901626921846</v>
      </c>
      <c r="H281" s="8">
        <v>30.958100726383218</v>
      </c>
      <c r="I281" s="8">
        <v>30.958100066855362</v>
      </c>
      <c r="J281" s="8">
        <v>0.59465926184387152</v>
      </c>
      <c r="K281" s="8">
        <v>30.958020551646225</v>
      </c>
      <c r="L281" s="8">
        <v>30.958003722004232</v>
      </c>
      <c r="M281" s="8">
        <v>11</v>
      </c>
    </row>
    <row r="282" spans="1:13" x14ac:dyDescent="0.3">
      <c r="A282" s="8">
        <v>271</v>
      </c>
      <c r="B282" s="8">
        <v>0.3534591083117079</v>
      </c>
      <c r="C282" s="8">
        <v>6.0267572408179149E-5</v>
      </c>
      <c r="D282" s="8">
        <v>5864.830690670703</v>
      </c>
      <c r="E282" s="8">
        <v>2.7618369720983083E-5</v>
      </c>
      <c r="F282" s="8">
        <v>12797.971490806969</v>
      </c>
      <c r="G282" s="8">
        <v>0.41863229861836815</v>
      </c>
      <c r="H282" s="8">
        <v>30.958100861945866</v>
      </c>
      <c r="I282" s="8">
        <v>30.958099185652028</v>
      </c>
      <c r="J282" s="8">
        <v>6.5173190306660231E-2</v>
      </c>
      <c r="K282" s="8">
        <v>30.958073243576145</v>
      </c>
      <c r="L282" s="8">
        <v>30.95803891807962</v>
      </c>
      <c r="M282" s="8">
        <v>12</v>
      </c>
    </row>
    <row r="283" spans="1:13" x14ac:dyDescent="0.3">
      <c r="A283" s="8">
        <v>272</v>
      </c>
      <c r="B283" s="8">
        <v>0.38785276097549187</v>
      </c>
      <c r="C283" s="8">
        <v>2.152145923162152E-5</v>
      </c>
      <c r="D283" s="8">
        <v>18021.675798154945</v>
      </c>
      <c r="E283" s="8">
        <v>2.430583098345096E-6</v>
      </c>
      <c r="F283" s="8">
        <v>159571.8991214775</v>
      </c>
      <c r="G283" s="8">
        <v>0.4064686075038566</v>
      </c>
      <c r="H283" s="8">
        <v>30.9581015191063</v>
      </c>
      <c r="I283" s="8">
        <v>30.958099737058934</v>
      </c>
      <c r="J283" s="8">
        <v>1.8615846528364736E-2</v>
      </c>
      <c r="K283" s="8">
        <v>30.958099088523202</v>
      </c>
      <c r="L283" s="8">
        <v>30.958078215599702</v>
      </c>
      <c r="M283" s="8">
        <v>10</v>
      </c>
    </row>
    <row r="284" spans="1:13" x14ac:dyDescent="0.3">
      <c r="A284" s="8">
        <v>273</v>
      </c>
      <c r="B284" s="8">
        <v>1.1278625893197816</v>
      </c>
      <c r="C284" s="8">
        <v>8.2346139741673596E-5</v>
      </c>
      <c r="D284" s="8">
        <v>13696.605485794191</v>
      </c>
      <c r="E284" s="8">
        <v>3.8141749769238231E-5</v>
      </c>
      <c r="F284" s="8">
        <v>29570.289673218296</v>
      </c>
      <c r="G284" s="8">
        <v>1.2034067266358619</v>
      </c>
      <c r="H284" s="8">
        <v>30.958101087133528</v>
      </c>
      <c r="I284" s="8">
        <v>30.958099838803733</v>
      </c>
      <c r="J284" s="8">
        <v>7.5544137316080423E-2</v>
      </c>
      <c r="K284" s="8">
        <v>30.958062945383759</v>
      </c>
      <c r="L284" s="8">
        <v>30.958017492663991</v>
      </c>
      <c r="M284" s="8">
        <v>14</v>
      </c>
    </row>
    <row r="285" spans="1:13" x14ac:dyDescent="0.3">
      <c r="A285" s="8">
        <v>274</v>
      </c>
      <c r="B285" s="8">
        <v>0.45323379883333514</v>
      </c>
      <c r="C285" s="8">
        <v>1.9930535011880579E-4</v>
      </c>
      <c r="D285" s="8">
        <v>2274.0673974038468</v>
      </c>
      <c r="E285" s="8">
        <v>1.8876391408895188E-4</v>
      </c>
      <c r="F285" s="8">
        <v>2401.0616701863696</v>
      </c>
      <c r="G285" s="8">
        <v>0.78382590804416219</v>
      </c>
      <c r="H285" s="8">
        <v>30.95810114807308</v>
      </c>
      <c r="I285" s="8">
        <v>30.958100074505026</v>
      </c>
      <c r="J285" s="8">
        <v>0.33059210921082705</v>
      </c>
      <c r="K285" s="8">
        <v>30.957912384158991</v>
      </c>
      <c r="L285" s="8">
        <v>30.957900769154907</v>
      </c>
      <c r="M285" s="8">
        <v>12</v>
      </c>
    </row>
    <row r="286" spans="1:13" x14ac:dyDescent="0.3">
      <c r="A286" s="8">
        <v>275</v>
      </c>
      <c r="B286" s="8">
        <v>0.95700973246313525</v>
      </c>
      <c r="C286" s="8">
        <v>1.0226539851743155E-4</v>
      </c>
      <c r="D286" s="8">
        <v>9358.0990866623288</v>
      </c>
      <c r="E286" s="8">
        <v>6.9088962487029448E-5</v>
      </c>
      <c r="F286" s="8">
        <v>13851.846923346133</v>
      </c>
      <c r="G286" s="8">
        <v>1.1656689838968974</v>
      </c>
      <c r="H286" s="8">
        <v>30.958097200421111</v>
      </c>
      <c r="I286" s="8">
        <v>30.958094601257777</v>
      </c>
      <c r="J286" s="8">
        <v>0.20865925143376218</v>
      </c>
      <c r="K286" s="8">
        <v>30.958028111458624</v>
      </c>
      <c r="L286" s="8">
        <v>30.957992335859259</v>
      </c>
      <c r="M286" s="8">
        <v>11</v>
      </c>
    </row>
    <row r="287" spans="1:13" x14ac:dyDescent="0.3">
      <c r="A287" s="8">
        <v>276</v>
      </c>
      <c r="B287" s="8">
        <v>0.52472794196164774</v>
      </c>
      <c r="C287" s="8">
        <v>5.2438735668403069E-5</v>
      </c>
      <c r="D287" s="8">
        <v>10006.494917798376</v>
      </c>
      <c r="E287" s="8">
        <v>3.7448678085638676E-5</v>
      </c>
      <c r="F287" s="8">
        <v>14011.921616076415</v>
      </c>
      <c r="G287" s="8">
        <v>0.66941116557249003</v>
      </c>
      <c r="H287" s="8">
        <v>30.958101043289428</v>
      </c>
      <c r="I287" s="8">
        <v>30.958099579133286</v>
      </c>
      <c r="J287" s="8">
        <v>0.14468322361084227</v>
      </c>
      <c r="K287" s="8">
        <v>30.958063594611342</v>
      </c>
      <c r="L287" s="8">
        <v>30.958047140397618</v>
      </c>
      <c r="M287" s="8">
        <v>13</v>
      </c>
    </row>
    <row r="288" spans="1:13" x14ac:dyDescent="0.3">
      <c r="A288" s="8">
        <v>277</v>
      </c>
      <c r="B288" s="8">
        <v>0.60050738027141226</v>
      </c>
      <c r="C288" s="8">
        <v>6.8053627060749022E-5</v>
      </c>
      <c r="D288" s="8">
        <v>8824.0319613730644</v>
      </c>
      <c r="E288" s="8">
        <v>1.997295318290071E-5</v>
      </c>
      <c r="F288" s="8">
        <v>30066.028532301374</v>
      </c>
      <c r="G288" s="8">
        <v>0.63377518667776434</v>
      </c>
      <c r="H288" s="8">
        <v>30.958101464416728</v>
      </c>
      <c r="I288" s="8">
        <v>30.958098729135386</v>
      </c>
      <c r="J288" s="8">
        <v>3.3267806406352025E-2</v>
      </c>
      <c r="K288" s="8">
        <v>30.958081491463545</v>
      </c>
      <c r="L288" s="8">
        <v>30.958030675508326</v>
      </c>
      <c r="M288" s="8">
        <v>9</v>
      </c>
    </row>
    <row r="289" spans="1:13" x14ac:dyDescent="0.3">
      <c r="A289" s="8">
        <v>278</v>
      </c>
      <c r="B289" s="8">
        <v>0.9714933559206721</v>
      </c>
      <c r="C289" s="8">
        <v>1.0454029370521312E-4</v>
      </c>
      <c r="D289" s="8">
        <v>9293.0038886262155</v>
      </c>
      <c r="E289" s="8">
        <v>7.4551830344660175E-5</v>
      </c>
      <c r="F289" s="8">
        <v>13031.113406999752</v>
      </c>
      <c r="G289" s="8">
        <v>1.1004513985177458</v>
      </c>
      <c r="H289" s="8">
        <v>30.958101293475917</v>
      </c>
      <c r="I289" s="8">
        <v>30.958100246011767</v>
      </c>
      <c r="J289" s="8">
        <v>0.12895804259707366</v>
      </c>
      <c r="K289" s="8">
        <v>30.958026741645572</v>
      </c>
      <c r="L289" s="8">
        <v>30.957995705718062</v>
      </c>
      <c r="M289" s="8">
        <v>9</v>
      </c>
    </row>
    <row r="290" spans="1:13" x14ac:dyDescent="0.3">
      <c r="A290" s="8">
        <v>279</v>
      </c>
      <c r="B290" s="8">
        <v>0.57097613488548138</v>
      </c>
      <c r="C290" s="8">
        <v>3.5132842207019621E-5</v>
      </c>
      <c r="D290" s="8">
        <v>16251.919828205617</v>
      </c>
      <c r="E290" s="8">
        <v>6.3266724374955174E-6</v>
      </c>
      <c r="F290" s="8">
        <v>90249.043320394907</v>
      </c>
      <c r="G290" s="8">
        <v>0.63703982857438712</v>
      </c>
      <c r="H290" s="8">
        <v>30.958101538535612</v>
      </c>
      <c r="I290" s="8">
        <v>30.958101376125619</v>
      </c>
      <c r="J290" s="8">
        <v>6.6063693688905717E-2</v>
      </c>
      <c r="K290" s="8">
        <v>30.958095211863174</v>
      </c>
      <c r="L290" s="8">
        <v>30.958066243283412</v>
      </c>
      <c r="M290" s="8">
        <v>15</v>
      </c>
    </row>
    <row r="291" spans="1:13" x14ac:dyDescent="0.3">
      <c r="A291" s="8">
        <v>280</v>
      </c>
      <c r="B291" s="8">
        <v>0.37458700039710602</v>
      </c>
      <c r="C291" s="8">
        <v>4.6101666853815004E-5</v>
      </c>
      <c r="D291" s="8">
        <v>8125.2376749173482</v>
      </c>
      <c r="E291" s="8">
        <v>2.9676574811787759E-5</v>
      </c>
      <c r="F291" s="8">
        <v>12622.312472809943</v>
      </c>
      <c r="G291" s="8">
        <v>0.59025924562101995</v>
      </c>
      <c r="H291" s="8">
        <v>30.958100414608534</v>
      </c>
      <c r="I291" s="8">
        <v>30.958098400686229</v>
      </c>
      <c r="J291" s="8">
        <v>0.21567224522391393</v>
      </c>
      <c r="K291" s="8">
        <v>30.958070738033722</v>
      </c>
      <c r="L291" s="8">
        <v>30.958052299019375</v>
      </c>
      <c r="M291" s="8">
        <v>15</v>
      </c>
    </row>
    <row r="292" spans="1:13" x14ac:dyDescent="0.3">
      <c r="A292" s="8">
        <v>281</v>
      </c>
      <c r="B292" s="8">
        <v>0.667155986285494</v>
      </c>
      <c r="C292" s="8">
        <v>3.674746050208455E-5</v>
      </c>
      <c r="D292" s="8">
        <v>18155.158946225649</v>
      </c>
      <c r="E292" s="8">
        <v>1.7873376656041273E-5</v>
      </c>
      <c r="F292" s="8">
        <v>37326.801707610888</v>
      </c>
      <c r="G292" s="8">
        <v>0.87996546965826516</v>
      </c>
      <c r="H292" s="8">
        <v>30.958101532805671</v>
      </c>
      <c r="I292" s="8">
        <v>30.95810109892335</v>
      </c>
      <c r="J292" s="8">
        <v>0.2128094833727712</v>
      </c>
      <c r="K292" s="8">
        <v>30.958083659429015</v>
      </c>
      <c r="L292" s="8">
        <v>30.958064351462848</v>
      </c>
      <c r="M292" s="8">
        <v>11</v>
      </c>
    </row>
    <row r="293" spans="1:13" x14ac:dyDescent="0.3">
      <c r="A293" s="8">
        <v>282</v>
      </c>
      <c r="B293" s="8">
        <v>0.60277013710062821</v>
      </c>
      <c r="C293" s="8">
        <v>4.5632913526105767E-5</v>
      </c>
      <c r="D293" s="8">
        <v>13209.109182910144</v>
      </c>
      <c r="E293" s="8">
        <v>1.7585676225451152E-5</v>
      </c>
      <c r="F293" s="8">
        <v>34276.198957209243</v>
      </c>
      <c r="G293" s="8">
        <v>0.73117437056136059</v>
      </c>
      <c r="H293" s="8">
        <v>30.958101468601598</v>
      </c>
      <c r="I293" s="8">
        <v>30.958099567641781</v>
      </c>
      <c r="J293" s="8">
        <v>0.12840423346073243</v>
      </c>
      <c r="K293" s="8">
        <v>30.958083882925372</v>
      </c>
      <c r="L293" s="8">
        <v>30.958053934728255</v>
      </c>
      <c r="M293" s="8">
        <v>10</v>
      </c>
    </row>
    <row r="294" spans="1:13" x14ac:dyDescent="0.3">
      <c r="A294" s="8">
        <v>283</v>
      </c>
      <c r="B294" s="8">
        <v>0.50056406189844127</v>
      </c>
      <c r="C294" s="8">
        <v>6.9208673600940074E-5</v>
      </c>
      <c r="D294" s="8">
        <v>7232.6781580111374</v>
      </c>
      <c r="E294" s="8">
        <v>5.0435619328936809E-5</v>
      </c>
      <c r="F294" s="8">
        <v>9924.8124353109488</v>
      </c>
      <c r="G294" s="8">
        <v>0.69984404520160437</v>
      </c>
      <c r="H294" s="8">
        <v>30.958101458552616</v>
      </c>
      <c r="I294" s="8">
        <v>30.958099684234568</v>
      </c>
      <c r="J294" s="8">
        <v>0.1992799833031631</v>
      </c>
      <c r="K294" s="8">
        <v>30.958051022933287</v>
      </c>
      <c r="L294" s="8">
        <v>30.958030475560967</v>
      </c>
      <c r="M294" s="8">
        <v>11</v>
      </c>
    </row>
    <row r="295" spans="1:13" x14ac:dyDescent="0.3">
      <c r="A295" s="8">
        <v>284</v>
      </c>
      <c r="B295" s="8">
        <v>0.50124002439795723</v>
      </c>
      <c r="C295" s="8">
        <v>1.5090002882800491E-4</v>
      </c>
      <c r="D295" s="8">
        <v>3321.6695072289754</v>
      </c>
      <c r="E295" s="8">
        <v>1.3459005777249899E-4</v>
      </c>
      <c r="F295" s="8">
        <v>3724.198003133456</v>
      </c>
      <c r="G295" s="8">
        <v>0.68464735152766365</v>
      </c>
      <c r="H295" s="8">
        <v>30.958100900855893</v>
      </c>
      <c r="I295" s="8">
        <v>30.958100280251603</v>
      </c>
      <c r="J295" s="8">
        <v>0.18340732712970642</v>
      </c>
      <c r="K295" s="8">
        <v>30.95796631079812</v>
      </c>
      <c r="L295" s="8">
        <v>30.957949380222775</v>
      </c>
      <c r="M295" s="8">
        <v>10</v>
      </c>
    </row>
    <row r="296" spans="1:13" x14ac:dyDescent="0.3">
      <c r="A296" s="8">
        <v>285</v>
      </c>
      <c r="B296" s="8">
        <v>0.42102687184022675</v>
      </c>
      <c r="C296" s="8">
        <v>6.7024159900341829E-5</v>
      </c>
      <c r="D296" s="8">
        <v>6281.7180023778183</v>
      </c>
      <c r="E296" s="8">
        <v>5.4873112610209773E-5</v>
      </c>
      <c r="F296" s="8">
        <v>7672.7353673370781</v>
      </c>
      <c r="G296" s="8">
        <v>0.65070494543328039</v>
      </c>
      <c r="H296" s="8">
        <v>30.958099652708736</v>
      </c>
      <c r="I296" s="8">
        <v>30.958098935810568</v>
      </c>
      <c r="J296" s="8">
        <v>0.22967807359305364</v>
      </c>
      <c r="K296" s="8">
        <v>30.958044779596126</v>
      </c>
      <c r="L296" s="8">
        <v>30.958031911650668</v>
      </c>
      <c r="M296" s="8">
        <v>9</v>
      </c>
    </row>
    <row r="297" spans="1:13" x14ac:dyDescent="0.3">
      <c r="A297" s="8">
        <v>286</v>
      </c>
      <c r="B297" s="8">
        <v>0.59617754489179031</v>
      </c>
      <c r="C297" s="8">
        <v>1.5872472084765832E-4</v>
      </c>
      <c r="D297" s="8">
        <v>3756.0472099616595</v>
      </c>
      <c r="E297" s="8">
        <v>1.3082188820234819E-4</v>
      </c>
      <c r="F297" s="8">
        <v>4557.1696990770788</v>
      </c>
      <c r="G297" s="8">
        <v>0.83377005262802673</v>
      </c>
      <c r="H297" s="8">
        <v>30.95809966870339</v>
      </c>
      <c r="I297" s="8">
        <v>30.958096443412938</v>
      </c>
      <c r="J297" s="8">
        <v>0.23759250773623644</v>
      </c>
      <c r="K297" s="8">
        <v>30.957968846815188</v>
      </c>
      <c r="L297" s="8">
        <v>30.95793771869209</v>
      </c>
      <c r="M297" s="8">
        <v>15</v>
      </c>
    </row>
    <row r="298" spans="1:13" x14ac:dyDescent="0.3">
      <c r="A298" s="8">
        <v>287</v>
      </c>
      <c r="B298" s="8">
        <v>0.81284483994880408</v>
      </c>
      <c r="C298" s="8">
        <v>4.9910652322182614E-5</v>
      </c>
      <c r="D298" s="8">
        <v>16285.999123027652</v>
      </c>
      <c r="E298" s="8">
        <v>1.2326725972400254E-5</v>
      </c>
      <c r="F298" s="8">
        <v>65941.66543239278</v>
      </c>
      <c r="G298" s="8">
        <v>0.87029983968718927</v>
      </c>
      <c r="H298" s="8">
        <v>30.958101383663308</v>
      </c>
      <c r="I298" s="8">
        <v>30.958099653564059</v>
      </c>
      <c r="J298" s="8">
        <v>5.7454999738385158E-2</v>
      </c>
      <c r="K298" s="8">
        <v>30.958089056937336</v>
      </c>
      <c r="L298" s="8">
        <v>30.958049742911737</v>
      </c>
      <c r="M298" s="8">
        <v>14</v>
      </c>
    </row>
    <row r="299" spans="1:13" x14ac:dyDescent="0.3">
      <c r="A299" s="8">
        <v>288</v>
      </c>
      <c r="B299" s="8">
        <v>0.63824189863374359</v>
      </c>
      <c r="C299" s="8">
        <v>1.578005820483952E-4</v>
      </c>
      <c r="D299" s="8">
        <v>4044.610548001679</v>
      </c>
      <c r="E299" s="8">
        <v>1.4221477933773485E-4</v>
      </c>
      <c r="F299" s="8">
        <v>4487.8732126569794</v>
      </c>
      <c r="G299" s="8">
        <v>1.0010848933116403</v>
      </c>
      <c r="H299" s="8">
        <v>30.958095994357947</v>
      </c>
      <c r="I299" s="8">
        <v>30.958094192435929</v>
      </c>
      <c r="J299" s="8">
        <v>0.36284299467789671</v>
      </c>
      <c r="K299" s="8">
        <v>30.957953779578609</v>
      </c>
      <c r="L299" s="8">
        <v>30.957936391853881</v>
      </c>
      <c r="M299" s="8">
        <v>15</v>
      </c>
    </row>
    <row r="300" spans="1:13" x14ac:dyDescent="0.3">
      <c r="A300" s="8">
        <v>289</v>
      </c>
      <c r="B300" s="8">
        <v>0.39001844513037881</v>
      </c>
      <c r="C300" s="8">
        <v>2.8599758163494471E-5</v>
      </c>
      <c r="D300" s="8">
        <v>13637.123884082672</v>
      </c>
      <c r="E300" s="8">
        <v>8.6381687864900414E-6</v>
      </c>
      <c r="F300" s="8">
        <v>45150.593229940292</v>
      </c>
      <c r="G300" s="8">
        <v>0.47688772807806523</v>
      </c>
      <c r="H300" s="8">
        <v>30.958101319696578</v>
      </c>
      <c r="I300" s="8">
        <v>30.95810045277539</v>
      </c>
      <c r="J300" s="8">
        <v>8.6869282947686408E-2</v>
      </c>
      <c r="K300" s="8">
        <v>30.958092681527791</v>
      </c>
      <c r="L300" s="8">
        <v>30.958071853017227</v>
      </c>
      <c r="M300" s="8">
        <v>14</v>
      </c>
    </row>
    <row r="301" spans="1:13" x14ac:dyDescent="0.3">
      <c r="A301" s="8">
        <v>290</v>
      </c>
      <c r="B301" s="8">
        <v>0.77187832166681614</v>
      </c>
      <c r="C301" s="8">
        <v>8.1377493060585948E-5</v>
      </c>
      <c r="D301" s="8">
        <v>9485.1572914902754</v>
      </c>
      <c r="E301" s="8">
        <v>6.0978842089554064E-5</v>
      </c>
      <c r="F301" s="8">
        <v>12658.133464279772</v>
      </c>
      <c r="G301" s="8">
        <v>0.89295027236901126</v>
      </c>
      <c r="H301" s="8">
        <v>30.958099265024554</v>
      </c>
      <c r="I301" s="8">
        <v>30.95809670661485</v>
      </c>
      <c r="J301" s="8">
        <v>0.12107195070219512</v>
      </c>
      <c r="K301" s="8">
        <v>30.958038286182465</v>
      </c>
      <c r="L301" s="8">
        <v>30.958015329121789</v>
      </c>
      <c r="M301" s="8">
        <v>9</v>
      </c>
    </row>
    <row r="302" spans="1:13" x14ac:dyDescent="0.3">
      <c r="A302" s="8">
        <v>291</v>
      </c>
      <c r="B302" s="8">
        <v>0.47774078971616674</v>
      </c>
      <c r="C302" s="8">
        <v>6.8671255903041128E-5</v>
      </c>
      <c r="D302" s="8">
        <v>6956.9251855638458</v>
      </c>
      <c r="E302" s="8">
        <v>4.5635362738494223E-5</v>
      </c>
      <c r="F302" s="8">
        <v>10468.653277805199</v>
      </c>
      <c r="G302" s="8">
        <v>0.60507814622632072</v>
      </c>
      <c r="H302" s="8">
        <v>30.958097184860385</v>
      </c>
      <c r="I302" s="8">
        <v>30.958093928133124</v>
      </c>
      <c r="J302" s="8">
        <v>0.12733735651015396</v>
      </c>
      <c r="K302" s="8">
        <v>30.958051549497647</v>
      </c>
      <c r="L302" s="8">
        <v>30.958025256877221</v>
      </c>
      <c r="M302" s="8">
        <v>13</v>
      </c>
    </row>
    <row r="303" spans="1:13" x14ac:dyDescent="0.3">
      <c r="A303" s="8">
        <v>292</v>
      </c>
      <c r="B303" s="8">
        <v>0.77927460627905987</v>
      </c>
      <c r="C303" s="8">
        <v>8.3895889254392841E-5</v>
      </c>
      <c r="D303" s="8">
        <v>9288.5910526093685</v>
      </c>
      <c r="E303" s="8">
        <v>5.1357252878858617E-5</v>
      </c>
      <c r="F303" s="8">
        <v>15173.603777390726</v>
      </c>
      <c r="G303" s="8">
        <v>0.94174530605135853</v>
      </c>
      <c r="H303" s="8">
        <v>30.958101387426581</v>
      </c>
      <c r="I303" s="8">
        <v>30.958097856171079</v>
      </c>
      <c r="J303" s="8">
        <v>0.16247069977229861</v>
      </c>
      <c r="K303" s="8">
        <v>30.958050030173702</v>
      </c>
      <c r="L303" s="8">
        <v>30.958013960281825</v>
      </c>
      <c r="M303" s="8">
        <v>13</v>
      </c>
    </row>
    <row r="304" spans="1:13" x14ac:dyDescent="0.3">
      <c r="A304" s="8">
        <v>293</v>
      </c>
      <c r="B304" s="8">
        <v>0.29758989645493877</v>
      </c>
      <c r="C304" s="8">
        <v>1.5171887083909041E-4</v>
      </c>
      <c r="D304" s="8">
        <v>1961.4560457054538</v>
      </c>
      <c r="E304" s="8">
        <v>1.3849436766477652E-4</v>
      </c>
      <c r="F304" s="8">
        <v>2148.7508948757436</v>
      </c>
      <c r="G304" s="8">
        <v>0.65741454680142486</v>
      </c>
      <c r="H304" s="8">
        <v>30.958101480184602</v>
      </c>
      <c r="I304" s="8">
        <v>30.95809955258056</v>
      </c>
      <c r="J304" s="8">
        <v>0.35982465034648609</v>
      </c>
      <c r="K304" s="8">
        <v>30.957962985816938</v>
      </c>
      <c r="L304" s="8">
        <v>30.957947833709721</v>
      </c>
      <c r="M304" s="8">
        <v>10</v>
      </c>
    </row>
    <row r="305" spans="1:13" x14ac:dyDescent="0.3">
      <c r="A305" s="8">
        <v>294</v>
      </c>
      <c r="B305" s="8">
        <v>0.30385837571721225</v>
      </c>
      <c r="C305" s="8">
        <v>1.0524652906340748E-4</v>
      </c>
      <c r="D305" s="8">
        <v>2887.1106574369578</v>
      </c>
      <c r="E305" s="8">
        <v>8.5773202805228266E-5</v>
      </c>
      <c r="F305" s="8">
        <v>3542.5793345645093</v>
      </c>
      <c r="G305" s="8">
        <v>0.52447601435540547</v>
      </c>
      <c r="H305" s="8">
        <v>30.958101464675515</v>
      </c>
      <c r="I305" s="8">
        <v>30.95810040643757</v>
      </c>
      <c r="J305" s="8">
        <v>0.22061763863819323</v>
      </c>
      <c r="K305" s="8">
        <v>30.95801569147271</v>
      </c>
      <c r="L305" s="8">
        <v>30.957995159908506</v>
      </c>
      <c r="M305" s="8">
        <v>10</v>
      </c>
    </row>
    <row r="306" spans="1:13" x14ac:dyDescent="0.3">
      <c r="A306" s="8">
        <v>295</v>
      </c>
      <c r="B306" s="8">
        <v>0.4189119553622096</v>
      </c>
      <c r="C306" s="8">
        <v>2.1008831610558332E-4</v>
      </c>
      <c r="D306" s="8">
        <v>1993.9802609093147</v>
      </c>
      <c r="E306" s="8">
        <v>1.9985013506484961E-4</v>
      </c>
      <c r="F306" s="8">
        <v>2096.1304590876375</v>
      </c>
      <c r="G306" s="8">
        <v>0.69775595506229871</v>
      </c>
      <c r="H306" s="8">
        <v>30.958098794245064</v>
      </c>
      <c r="I306" s="8">
        <v>30.958098552879012</v>
      </c>
      <c r="J306" s="8">
        <v>0.27884399970008911</v>
      </c>
      <c r="K306" s="8">
        <v>30.957898944109999</v>
      </c>
      <c r="L306" s="8">
        <v>30.957888464562906</v>
      </c>
      <c r="M306" s="8">
        <v>10</v>
      </c>
    </row>
    <row r="307" spans="1:13" x14ac:dyDescent="0.3">
      <c r="A307" s="8">
        <v>296</v>
      </c>
      <c r="B307" s="8">
        <v>0.45975821831881197</v>
      </c>
      <c r="C307" s="8">
        <v>3.0235483698959342E-5</v>
      </c>
      <c r="D307" s="8">
        <v>15205.915767593166</v>
      </c>
      <c r="E307" s="8">
        <v>1.438456213520567E-5</v>
      </c>
      <c r="F307" s="8">
        <v>31961.919591112975</v>
      </c>
      <c r="G307" s="8">
        <v>0.50011681682722975</v>
      </c>
      <c r="H307" s="8">
        <v>30.958101294931474</v>
      </c>
      <c r="I307" s="8">
        <v>30.958100565250867</v>
      </c>
      <c r="J307" s="8">
        <v>4.0358598508417776E-2</v>
      </c>
      <c r="K307" s="8">
        <v>30.958086910369339</v>
      </c>
      <c r="L307" s="8">
        <v>30.958070329767168</v>
      </c>
      <c r="M307" s="8">
        <v>9</v>
      </c>
    </row>
    <row r="308" spans="1:13" x14ac:dyDescent="0.3">
      <c r="A308" s="8">
        <v>297</v>
      </c>
      <c r="B308" s="8">
        <v>0.54563897713584086</v>
      </c>
      <c r="C308" s="8">
        <v>9.3713440520559743E-5</v>
      </c>
      <c r="D308" s="8">
        <v>5822.4196455164129</v>
      </c>
      <c r="E308" s="8">
        <v>6.1488417490096481E-5</v>
      </c>
      <c r="F308" s="8">
        <v>8873.8497331423951</v>
      </c>
      <c r="G308" s="8">
        <v>0.69014922417491498</v>
      </c>
      <c r="H308" s="8">
        <v>30.958101170328742</v>
      </c>
      <c r="I308" s="8">
        <v>30.958098365062519</v>
      </c>
      <c r="J308" s="8">
        <v>0.14451024703907414</v>
      </c>
      <c r="K308" s="8">
        <v>30.958039681911252</v>
      </c>
      <c r="L308" s="8">
        <v>30.958004651621998</v>
      </c>
      <c r="M308" s="8">
        <v>10</v>
      </c>
    </row>
    <row r="309" spans="1:13" x14ac:dyDescent="0.3">
      <c r="A309" s="8">
        <v>298</v>
      </c>
      <c r="B309" s="8">
        <v>0.56553011642252304</v>
      </c>
      <c r="C309" s="8">
        <v>5.4193622901266281E-5</v>
      </c>
      <c r="D309" s="8">
        <v>10435.362800026218</v>
      </c>
      <c r="E309" s="8">
        <v>3.4689197374149217E-5</v>
      </c>
      <c r="F309" s="8">
        <v>16302.773175258373</v>
      </c>
      <c r="G309" s="8">
        <v>0.70954916454136496</v>
      </c>
      <c r="H309" s="8">
        <v>30.958099514405937</v>
      </c>
      <c r="I309" s="8">
        <v>30.95809773942922</v>
      </c>
      <c r="J309" s="8">
        <v>0.14401904811884197</v>
      </c>
      <c r="K309" s="8">
        <v>30.958064825208563</v>
      </c>
      <c r="L309" s="8">
        <v>30.958043545806319</v>
      </c>
      <c r="M309" s="8">
        <v>10</v>
      </c>
    </row>
    <row r="310" spans="1:13" x14ac:dyDescent="0.3">
      <c r="A310" s="8">
        <v>299</v>
      </c>
      <c r="B310" s="8">
        <v>0.65847051407370993</v>
      </c>
      <c r="C310" s="8">
        <v>3.6362728028649371E-5</v>
      </c>
      <c r="D310" s="8">
        <v>18108.391470379116</v>
      </c>
      <c r="E310" s="8">
        <v>2.1304500950947158E-5</v>
      </c>
      <c r="F310" s="8">
        <v>30907.577492184137</v>
      </c>
      <c r="G310" s="8">
        <v>0.72760686797650809</v>
      </c>
      <c r="H310" s="8">
        <v>30.958100344411456</v>
      </c>
      <c r="I310" s="8">
        <v>30.958097929522754</v>
      </c>
      <c r="J310" s="8">
        <v>6.9136353902798209E-2</v>
      </c>
      <c r="K310" s="8">
        <v>30.958079039910505</v>
      </c>
      <c r="L310" s="8">
        <v>30.958061566794726</v>
      </c>
      <c r="M310" s="8">
        <v>13</v>
      </c>
    </row>
    <row r="311" spans="1:13" x14ac:dyDescent="0.3">
      <c r="A311" s="8">
        <v>300</v>
      </c>
      <c r="B311" s="8">
        <v>0.38695230806623193</v>
      </c>
      <c r="C311" s="8">
        <v>5.2293192979391279E-5</v>
      </c>
      <c r="D311" s="8">
        <v>7399.6687909022812</v>
      </c>
      <c r="E311" s="8">
        <v>3.4281360274945882E-5</v>
      </c>
      <c r="F311" s="8">
        <v>11287.542412633822</v>
      </c>
      <c r="G311" s="8">
        <v>0.47366302229846846</v>
      </c>
      <c r="H311" s="8">
        <v>30.958100850163483</v>
      </c>
      <c r="I311" s="8">
        <v>30.958099864187655</v>
      </c>
      <c r="J311" s="8">
        <v>8.671071423223653E-2</v>
      </c>
      <c r="K311" s="8">
        <v>30.958066568803208</v>
      </c>
      <c r="L311" s="8">
        <v>30.958047570994676</v>
      </c>
      <c r="M311" s="8">
        <v>15</v>
      </c>
    </row>
    <row r="312" spans="1:13" x14ac:dyDescent="0.3">
      <c r="A312" s="8">
        <v>301</v>
      </c>
      <c r="B312" s="8">
        <v>0.29950848551973486</v>
      </c>
      <c r="C312" s="8">
        <v>1.7296985125270226E-4</v>
      </c>
      <c r="D312" s="8">
        <v>1731.5646822298793</v>
      </c>
      <c r="E312" s="8">
        <v>1.4625258505773786E-4</v>
      </c>
      <c r="F312" s="8">
        <v>2047.885070896315</v>
      </c>
      <c r="G312" s="8">
        <v>0.48757692982858697</v>
      </c>
      <c r="H312" s="8">
        <v>30.958095697261637</v>
      </c>
      <c r="I312" s="8">
        <v>30.958093665479041</v>
      </c>
      <c r="J312" s="8">
        <v>0.18806844430885211</v>
      </c>
      <c r="K312" s="8">
        <v>30.957949444676579</v>
      </c>
      <c r="L312" s="8">
        <v>30.957920695627788</v>
      </c>
      <c r="M312" s="8">
        <v>13</v>
      </c>
    </row>
    <row r="313" spans="1:13" x14ac:dyDescent="0.3">
      <c r="A313" s="8">
        <v>302</v>
      </c>
      <c r="B313" s="8">
        <v>0.50385007463970588</v>
      </c>
      <c r="C313" s="8">
        <v>7.9017199766440172E-5</v>
      </c>
      <c r="D313" s="8">
        <v>6376.4607721988496</v>
      </c>
      <c r="E313" s="8">
        <v>6.2992096601988123E-5</v>
      </c>
      <c r="F313" s="8">
        <v>7998.6236658108573</v>
      </c>
      <c r="G313" s="8">
        <v>0.75700579640881627</v>
      </c>
      <c r="H313" s="8">
        <v>30.958101444318714</v>
      </c>
      <c r="I313" s="8">
        <v>30.958099595785782</v>
      </c>
      <c r="J313" s="8">
        <v>0.25315572176911033</v>
      </c>
      <c r="K313" s="8">
        <v>30.958038452222112</v>
      </c>
      <c r="L313" s="8">
        <v>30.958020578586016</v>
      </c>
      <c r="M313" s="8">
        <v>10</v>
      </c>
    </row>
    <row r="314" spans="1:13" x14ac:dyDescent="0.3">
      <c r="A314" s="8">
        <v>303</v>
      </c>
      <c r="B314" s="8">
        <v>0.43732531704988747</v>
      </c>
      <c r="C314" s="8">
        <v>9.8819283948614611E-5</v>
      </c>
      <c r="D314" s="8">
        <v>4425.505828167039</v>
      </c>
      <c r="E314" s="8">
        <v>7.6727992201597317E-5</v>
      </c>
      <c r="F314" s="8">
        <v>5699.6840983515694</v>
      </c>
      <c r="G314" s="8">
        <v>0.55954235820335252</v>
      </c>
      <c r="H314" s="8">
        <v>30.958093313223909</v>
      </c>
      <c r="I314" s="8">
        <v>30.958090408392579</v>
      </c>
      <c r="J314" s="8">
        <v>0.12221704115346504</v>
      </c>
      <c r="K314" s="8">
        <v>30.958016585231707</v>
      </c>
      <c r="L314" s="8">
        <v>30.95799158910863</v>
      </c>
      <c r="M314" s="8">
        <v>10</v>
      </c>
    </row>
    <row r="315" spans="1:13" x14ac:dyDescent="0.3">
      <c r="A315" s="8">
        <v>304</v>
      </c>
      <c r="B315" s="8">
        <v>0.19562888648807658</v>
      </c>
      <c r="C315" s="8">
        <v>1.2513688262316691E-4</v>
      </c>
      <c r="D315" s="8">
        <v>1563.3191620825889</v>
      </c>
      <c r="E315" s="8">
        <v>1.1242651426712769E-4</v>
      </c>
      <c r="F315" s="8">
        <v>1740.0600540123335</v>
      </c>
      <c r="G315" s="8">
        <v>0.57081259886459701</v>
      </c>
      <c r="H315" s="8">
        <v>30.958095473869346</v>
      </c>
      <c r="I315" s="8">
        <v>30.958093283219156</v>
      </c>
      <c r="J315" s="8">
        <v>0.37518371237652043</v>
      </c>
      <c r="K315" s="8">
        <v>30.957983047355079</v>
      </c>
      <c r="L315" s="8">
        <v>30.957968146336533</v>
      </c>
      <c r="M315" s="8">
        <v>9</v>
      </c>
    </row>
    <row r="316" spans="1:13" x14ac:dyDescent="0.3">
      <c r="A316" s="8">
        <v>305</v>
      </c>
      <c r="B316" s="8">
        <v>0.48050849467359319</v>
      </c>
      <c r="C316" s="8">
        <v>8.8620397782790405E-5</v>
      </c>
      <c r="D316" s="8">
        <v>5422.0981477799833</v>
      </c>
      <c r="E316" s="8">
        <v>6.8989129982099939E-5</v>
      </c>
      <c r="F316" s="8">
        <v>6964.9884669985968</v>
      </c>
      <c r="G316" s="8">
        <v>0.81359590858337461</v>
      </c>
      <c r="H316" s="8">
        <v>30.958099927716006</v>
      </c>
      <c r="I316" s="8">
        <v>30.958097638883537</v>
      </c>
      <c r="J316" s="8">
        <v>0.33308741390978142</v>
      </c>
      <c r="K316" s="8">
        <v>30.958030938586024</v>
      </c>
      <c r="L316" s="8">
        <v>30.958009018485754</v>
      </c>
      <c r="M316" s="8">
        <v>12</v>
      </c>
    </row>
    <row r="317" spans="1:13" x14ac:dyDescent="0.3">
      <c r="A317" s="8">
        <v>306</v>
      </c>
      <c r="B317" s="8">
        <v>0.9024691629221071</v>
      </c>
      <c r="C317" s="8">
        <v>6.3394272718397815E-5</v>
      </c>
      <c r="D317" s="8">
        <v>14235.815385578186</v>
      </c>
      <c r="E317" s="8">
        <v>4.2840688422529638E-5</v>
      </c>
      <c r="F317" s="8">
        <v>21065.701699777179</v>
      </c>
      <c r="G317" s="8">
        <v>1.0059685348602851</v>
      </c>
      <c r="H317" s="8">
        <v>30.958101551454209</v>
      </c>
      <c r="I317" s="8">
        <v>30.95809984520448</v>
      </c>
      <c r="J317" s="8">
        <v>0.10349937193817806</v>
      </c>
      <c r="K317" s="8">
        <v>30.958058710765787</v>
      </c>
      <c r="L317" s="8">
        <v>30.958036450931761</v>
      </c>
      <c r="M317" s="8">
        <v>11</v>
      </c>
    </row>
    <row r="318" spans="1:13" x14ac:dyDescent="0.3">
      <c r="A318" s="8">
        <v>307</v>
      </c>
      <c r="B318" s="8">
        <v>0.5088454774591844</v>
      </c>
      <c r="C318" s="8">
        <v>3.4429864246732222E-5</v>
      </c>
      <c r="D318" s="8">
        <v>14779.189189149345</v>
      </c>
      <c r="E318" s="8">
        <v>6.6087472774256639E-6</v>
      </c>
      <c r="F318" s="8">
        <v>76995.753672910505</v>
      </c>
      <c r="G318" s="8">
        <v>0.54012351302031514</v>
      </c>
      <c r="H318" s="8">
        <v>30.95810154122627</v>
      </c>
      <c r="I318" s="8">
        <v>30.958100701285769</v>
      </c>
      <c r="J318" s="8">
        <v>3.1278035561130735E-2</v>
      </c>
      <c r="K318" s="8">
        <v>30.958094932478993</v>
      </c>
      <c r="L318" s="8">
        <v>30.958066271421522</v>
      </c>
      <c r="M318" s="8">
        <v>9</v>
      </c>
    </row>
    <row r="319" spans="1:13" x14ac:dyDescent="0.3">
      <c r="A319" s="8">
        <v>308</v>
      </c>
      <c r="B319" s="8">
        <v>0.56321225631997573</v>
      </c>
      <c r="C319" s="8">
        <v>2.6043342163717398E-5</v>
      </c>
      <c r="D319" s="8">
        <v>21625.959248218987</v>
      </c>
      <c r="E319" s="8">
        <v>8.7351624742382228E-6</v>
      </c>
      <c r="F319" s="8">
        <v>64476.448833207585</v>
      </c>
      <c r="G319" s="8">
        <v>0.68500201332114452</v>
      </c>
      <c r="H319" s="8">
        <v>30.958101501713621</v>
      </c>
      <c r="I319" s="8">
        <v>30.958100456227172</v>
      </c>
      <c r="J319" s="8">
        <v>0.12178975700116879</v>
      </c>
      <c r="K319" s="8">
        <v>30.958092766551147</v>
      </c>
      <c r="L319" s="8">
        <v>30.958074412885008</v>
      </c>
      <c r="M319" s="8">
        <v>14</v>
      </c>
    </row>
    <row r="320" spans="1:13" x14ac:dyDescent="0.3">
      <c r="A320" s="8">
        <v>309</v>
      </c>
      <c r="B320" s="8">
        <v>0.29149309751269681</v>
      </c>
      <c r="C320" s="8">
        <v>8.426511945813786E-5</v>
      </c>
      <c r="D320" s="8">
        <v>3459.2379312712883</v>
      </c>
      <c r="E320" s="8">
        <v>7.1234235921480149E-5</v>
      </c>
      <c r="F320" s="8">
        <v>4092.036557168984</v>
      </c>
      <c r="G320" s="8">
        <v>0.52422844785437928</v>
      </c>
      <c r="H320" s="8">
        <v>30.958099803044394</v>
      </c>
      <c r="I320" s="8">
        <v>30.958099155031956</v>
      </c>
      <c r="J320" s="8">
        <v>0.2327353503416825</v>
      </c>
      <c r="K320" s="8">
        <v>30.958028568808473</v>
      </c>
      <c r="L320" s="8">
        <v>30.958014889912498</v>
      </c>
      <c r="M320" s="8">
        <v>14</v>
      </c>
    </row>
    <row r="321" spans="1:13" x14ac:dyDescent="0.3">
      <c r="A321" s="8">
        <v>310</v>
      </c>
      <c r="B321" s="8">
        <v>0.59263183492388249</v>
      </c>
      <c r="C321" s="8">
        <v>6.1616753605164831E-5</v>
      </c>
      <c r="D321" s="8">
        <v>9618.030815473001</v>
      </c>
      <c r="E321" s="8">
        <v>2.1516134850685376E-5</v>
      </c>
      <c r="F321" s="8">
        <v>27543.601071314384</v>
      </c>
      <c r="G321" s="8">
        <v>0.72084229752824203</v>
      </c>
      <c r="H321" s="8">
        <v>30.958101372205743</v>
      </c>
      <c r="I321" s="8">
        <v>30.958099415389231</v>
      </c>
      <c r="J321" s="8">
        <v>0.1282104626043595</v>
      </c>
      <c r="K321" s="8">
        <v>30.958079856070892</v>
      </c>
      <c r="L321" s="8">
        <v>30.958037798635626</v>
      </c>
      <c r="M321" s="8">
        <v>15</v>
      </c>
    </row>
    <row r="322" spans="1:13" x14ac:dyDescent="0.3">
      <c r="A322" s="8">
        <v>311</v>
      </c>
      <c r="B322" s="8">
        <v>0.67210044359645382</v>
      </c>
      <c r="C322" s="8">
        <v>4.6257004797212176E-5</v>
      </c>
      <c r="D322" s="8">
        <v>14529.700886231183</v>
      </c>
      <c r="E322" s="8">
        <v>1.5339783875134572E-5</v>
      </c>
      <c r="F322" s="8">
        <v>43814.205536879359</v>
      </c>
      <c r="G322" s="8">
        <v>0.75120066586990109</v>
      </c>
      <c r="H322" s="8">
        <v>30.958101084856391</v>
      </c>
      <c r="I322" s="8">
        <v>30.958097726939041</v>
      </c>
      <c r="J322" s="8">
        <v>7.9100222273447221E-2</v>
      </c>
      <c r="K322" s="8">
        <v>30.958085745072516</v>
      </c>
      <c r="L322" s="8">
        <v>30.958051469934244</v>
      </c>
      <c r="M322" s="8">
        <v>13</v>
      </c>
    </row>
    <row r="323" spans="1:13" x14ac:dyDescent="0.3">
      <c r="A323" s="8">
        <v>312</v>
      </c>
      <c r="B323" s="8">
        <v>0.29950897540542598</v>
      </c>
      <c r="C323" s="8">
        <v>7.4903016408001122E-5</v>
      </c>
      <c r="D323" s="8">
        <v>3998.6236839112462</v>
      </c>
      <c r="E323" s="8">
        <v>5.7699197999028229E-5</v>
      </c>
      <c r="F323" s="8">
        <v>5190.8689512542323</v>
      </c>
      <c r="G323" s="8">
        <v>0.5449320424009273</v>
      </c>
      <c r="H323" s="8">
        <v>30.958101550932227</v>
      </c>
      <c r="I323" s="8">
        <v>30.958099737607704</v>
      </c>
      <c r="J323" s="8">
        <v>0.24542306699550134</v>
      </c>
      <c r="K323" s="8">
        <v>30.958043851734228</v>
      </c>
      <c r="L323" s="8">
        <v>30.958024834591296</v>
      </c>
      <c r="M323" s="8">
        <v>12</v>
      </c>
    </row>
    <row r="324" spans="1:13" x14ac:dyDescent="0.3">
      <c r="A324" s="8">
        <v>313</v>
      </c>
      <c r="B324" s="8">
        <v>0.40718885381641984</v>
      </c>
      <c r="C324" s="8">
        <v>3.5050439535666555E-5</v>
      </c>
      <c r="D324" s="8">
        <v>11617.225324723058</v>
      </c>
      <c r="E324" s="8">
        <v>2.1929522844743587E-5</v>
      </c>
      <c r="F324" s="8">
        <v>18568.067198690613</v>
      </c>
      <c r="G324" s="8">
        <v>0.46104071446584144</v>
      </c>
      <c r="H324" s="8">
        <v>30.958100243549595</v>
      </c>
      <c r="I324" s="8">
        <v>30.958098659113205</v>
      </c>
      <c r="J324" s="8">
        <v>5.3851860649421587E-2</v>
      </c>
      <c r="K324" s="8">
        <v>30.95807831402675</v>
      </c>
      <c r="L324" s="8">
        <v>30.958063608673669</v>
      </c>
      <c r="M324" s="8">
        <v>9</v>
      </c>
    </row>
    <row r="325" spans="1:13" x14ac:dyDescent="0.3">
      <c r="A325" s="8">
        <v>314</v>
      </c>
      <c r="B325" s="8">
        <v>0.71483949479245545</v>
      </c>
      <c r="C325" s="8">
        <v>6.6655813203198022E-5</v>
      </c>
      <c r="D325" s="8">
        <v>10724.338365106898</v>
      </c>
      <c r="E325" s="8">
        <v>4.3470951428759008E-5</v>
      </c>
      <c r="F325" s="8">
        <v>16444.072910710212</v>
      </c>
      <c r="G325" s="8">
        <v>0.813793886096428</v>
      </c>
      <c r="H325" s="8">
        <v>30.958101115074935</v>
      </c>
      <c r="I325" s="8">
        <v>30.958100732334088</v>
      </c>
      <c r="J325" s="8">
        <v>9.8954391303972516E-2</v>
      </c>
      <c r="K325" s="8">
        <v>30.958057644123507</v>
      </c>
      <c r="L325" s="8">
        <v>30.958034076520885</v>
      </c>
      <c r="M325" s="8">
        <v>15</v>
      </c>
    </row>
    <row r="326" spans="1:13" x14ac:dyDescent="0.3">
      <c r="A326" s="8">
        <v>315</v>
      </c>
      <c r="B326" s="8">
        <v>0.49418312438377154</v>
      </c>
      <c r="C326" s="8">
        <v>2.8464192133981214E-5</v>
      </c>
      <c r="D326" s="8">
        <v>17361.572113399427</v>
      </c>
      <c r="E326" s="8">
        <v>1.4275632675975203E-5</v>
      </c>
      <c r="F326" s="8">
        <v>34617.248538164189</v>
      </c>
      <c r="G326" s="8">
        <v>0.57768858456539984</v>
      </c>
      <c r="H326" s="8">
        <v>30.958099843502989</v>
      </c>
      <c r="I326" s="8">
        <v>30.958097879791666</v>
      </c>
      <c r="J326" s="8">
        <v>8.3505460181628272E-2</v>
      </c>
      <c r="K326" s="8">
        <v>30.958085567870313</v>
      </c>
      <c r="L326" s="8">
        <v>30.958069415599532</v>
      </c>
      <c r="M326" s="8">
        <v>10</v>
      </c>
    </row>
    <row r="327" spans="1:13" x14ac:dyDescent="0.3">
      <c r="A327" s="8">
        <v>316</v>
      </c>
      <c r="B327" s="8">
        <v>0.59167956094335317</v>
      </c>
      <c r="C327" s="8">
        <v>3.33843787529986E-5</v>
      </c>
      <c r="D327" s="8">
        <v>17723.246112231704</v>
      </c>
      <c r="E327" s="8">
        <v>9.9222270293353176E-6</v>
      </c>
      <c r="F327" s="8">
        <v>59631.729771354498</v>
      </c>
      <c r="G327" s="8">
        <v>0.64348415052724728</v>
      </c>
      <c r="H327" s="8">
        <v>30.958101357657036</v>
      </c>
      <c r="I327" s="8">
        <v>30.958100666061171</v>
      </c>
      <c r="J327" s="8">
        <v>5.1804589583894167E-2</v>
      </c>
      <c r="K327" s="8">
        <v>30.958091435430006</v>
      </c>
      <c r="L327" s="8">
        <v>30.958067281682418</v>
      </c>
      <c r="M327" s="8">
        <v>15</v>
      </c>
    </row>
    <row r="328" spans="1:13" x14ac:dyDescent="0.3">
      <c r="A328" s="8">
        <v>317</v>
      </c>
      <c r="B328" s="8">
        <v>0.6289974459249702</v>
      </c>
      <c r="C328" s="8">
        <v>6.1907057414600786E-5</v>
      </c>
      <c r="D328" s="8">
        <v>10160.351213472813</v>
      </c>
      <c r="E328" s="8">
        <v>4.3137754495603531E-5</v>
      </c>
      <c r="F328" s="8">
        <v>14581.135556999743</v>
      </c>
      <c r="G328" s="8">
        <v>0.82990507553633908</v>
      </c>
      <c r="H328" s="8">
        <v>30.958100448666332</v>
      </c>
      <c r="I328" s="8">
        <v>30.958099676821242</v>
      </c>
      <c r="J328" s="8">
        <v>0.20090762961136885</v>
      </c>
      <c r="K328" s="8">
        <v>30.958057310911837</v>
      </c>
      <c r="L328" s="8">
        <v>30.958037769763827</v>
      </c>
      <c r="M328" s="8">
        <v>11</v>
      </c>
    </row>
    <row r="329" spans="1:13" x14ac:dyDescent="0.3">
      <c r="A329" s="8">
        <v>318</v>
      </c>
      <c r="B329" s="8">
        <v>0.87382982915653373</v>
      </c>
      <c r="C329" s="8">
        <v>7.2182855888058839E-5</v>
      </c>
      <c r="D329" s="8">
        <v>12105.780775862746</v>
      </c>
      <c r="E329" s="8">
        <v>4.3556915777287486E-5</v>
      </c>
      <c r="F329" s="8">
        <v>20061.793025579362</v>
      </c>
      <c r="G329" s="8">
        <v>1.0023892326795105</v>
      </c>
      <c r="H329" s="8">
        <v>30.958101070079479</v>
      </c>
      <c r="I329" s="8">
        <v>30.95809999189802</v>
      </c>
      <c r="J329" s="8">
        <v>0.12855940352297682</v>
      </c>
      <c r="K329" s="8">
        <v>30.958057513163702</v>
      </c>
      <c r="L329" s="8">
        <v>30.958027809042132</v>
      </c>
      <c r="M329" s="8">
        <v>14</v>
      </c>
    </row>
    <row r="330" spans="1:13" x14ac:dyDescent="0.3">
      <c r="A330" s="8">
        <v>319</v>
      </c>
      <c r="B330" s="8">
        <v>0.5395959735453526</v>
      </c>
      <c r="C330" s="8">
        <v>2.7094766497981482E-5</v>
      </c>
      <c r="D330" s="8">
        <v>19915.136511161727</v>
      </c>
      <c r="E330" s="8">
        <v>2.6009559412898398E-6</v>
      </c>
      <c r="F330" s="8">
        <v>207460.63590672036</v>
      </c>
      <c r="G330" s="8">
        <v>0.55096366244452144</v>
      </c>
      <c r="H330" s="8">
        <v>30.958101505349145</v>
      </c>
      <c r="I330" s="8">
        <v>30.958100584564075</v>
      </c>
      <c r="J330" s="8">
        <v>1.1367688899168843E-2</v>
      </c>
      <c r="K330" s="8">
        <v>30.958098904393204</v>
      </c>
      <c r="L330" s="8">
        <v>30.958073489797577</v>
      </c>
      <c r="M330" s="8">
        <v>14</v>
      </c>
    </row>
    <row r="331" spans="1:13" x14ac:dyDescent="0.3">
      <c r="A331" s="8">
        <v>320</v>
      </c>
      <c r="B331" s="8">
        <v>0.52295386656219778</v>
      </c>
      <c r="C331" s="8">
        <v>4.9100910256782981E-5</v>
      </c>
      <c r="D331" s="8">
        <v>10650.5941300743</v>
      </c>
      <c r="E331" s="8">
        <v>2.5718654839579358E-5</v>
      </c>
      <c r="F331" s="8">
        <v>20333.639913289921</v>
      </c>
      <c r="G331" s="8">
        <v>0.5584870954521175</v>
      </c>
      <c r="H331" s="8">
        <v>30.958101532274444</v>
      </c>
      <c r="I331" s="8">
        <v>30.958100857096486</v>
      </c>
      <c r="J331" s="8">
        <v>3.5533228889919756E-2</v>
      </c>
      <c r="K331" s="8">
        <v>30.958075813619605</v>
      </c>
      <c r="L331" s="8">
        <v>30.958051756186229</v>
      </c>
      <c r="M331" s="8">
        <v>10</v>
      </c>
    </row>
    <row r="332" spans="1:13" x14ac:dyDescent="0.3">
      <c r="A332" s="8">
        <v>321</v>
      </c>
      <c r="B332" s="8">
        <v>0.37563837242264481</v>
      </c>
      <c r="C332" s="8">
        <v>1.1101080481523695E-4</v>
      </c>
      <c r="D332" s="8">
        <v>3383.8000998897901</v>
      </c>
      <c r="E332" s="8">
        <v>8.4379551104518669E-5</v>
      </c>
      <c r="F332" s="8">
        <v>4451.7702157167405</v>
      </c>
      <c r="G332" s="8">
        <v>0.77715948941328672</v>
      </c>
      <c r="H332" s="8">
        <v>30.958100092586577</v>
      </c>
      <c r="I332" s="8">
        <v>30.958097284871158</v>
      </c>
      <c r="J332" s="8">
        <v>0.40152111699064191</v>
      </c>
      <c r="K332" s="8">
        <v>30.958015713035472</v>
      </c>
      <c r="L332" s="8">
        <v>30.957986274066343</v>
      </c>
      <c r="M332" s="8">
        <v>11</v>
      </c>
    </row>
    <row r="333" spans="1:13" x14ac:dyDescent="0.3">
      <c r="A333" s="8">
        <v>322</v>
      </c>
      <c r="B333" s="8">
        <v>0.43727707910736013</v>
      </c>
      <c r="C333" s="8">
        <v>6.8984636367730445E-5</v>
      </c>
      <c r="D333" s="8">
        <v>6338.7603694307372</v>
      </c>
      <c r="E333" s="8">
        <v>5.4958860740583759E-5</v>
      </c>
      <c r="F333" s="8">
        <v>7956.4436601295438</v>
      </c>
      <c r="G333" s="8">
        <v>0.57703687565515871</v>
      </c>
      <c r="H333" s="8">
        <v>30.958101551454217</v>
      </c>
      <c r="I333" s="8">
        <v>30.958101302667284</v>
      </c>
      <c r="J333" s="8">
        <v>0.13975979654779858</v>
      </c>
      <c r="K333" s="8">
        <v>30.958046592593476</v>
      </c>
      <c r="L333" s="8">
        <v>30.958032318030916</v>
      </c>
      <c r="M333" s="8">
        <v>10</v>
      </c>
    </row>
    <row r="334" spans="1:13" x14ac:dyDescent="0.3">
      <c r="A334" s="8">
        <v>323</v>
      </c>
      <c r="B334" s="8">
        <v>0.10752162423131773</v>
      </c>
      <c r="C334" s="8">
        <v>5.2257340648509398E-5</v>
      </c>
      <c r="D334" s="8">
        <v>2057.5410630733022</v>
      </c>
      <c r="E334" s="8">
        <v>3.3624786688335462E-5</v>
      </c>
      <c r="F334" s="8">
        <v>3197.689407755181</v>
      </c>
      <c r="G334" s="8">
        <v>0.73274566223674364</v>
      </c>
      <c r="H334" s="8">
        <v>30.958101171353718</v>
      </c>
      <c r="I334" s="8">
        <v>30.958100666893472</v>
      </c>
      <c r="J334" s="8">
        <v>0.62522403800542592</v>
      </c>
      <c r="K334" s="8">
        <v>30.95806754656703</v>
      </c>
      <c r="L334" s="8">
        <v>30.958048409552823</v>
      </c>
      <c r="M334" s="8">
        <v>13</v>
      </c>
    </row>
    <row r="335" spans="1:13" x14ac:dyDescent="0.3">
      <c r="A335" s="8">
        <v>324</v>
      </c>
      <c r="B335" s="8">
        <v>0.41168656751636068</v>
      </c>
      <c r="C335" s="8">
        <v>6.4778356446026919E-5</v>
      </c>
      <c r="D335" s="8">
        <v>6355.31047873029</v>
      </c>
      <c r="E335" s="8">
        <v>4.5376378409400786E-5</v>
      </c>
      <c r="F335" s="8">
        <v>9072.7065920066925</v>
      </c>
      <c r="G335" s="8">
        <v>0.48519638870644399</v>
      </c>
      <c r="H335" s="8">
        <v>30.95810149758567</v>
      </c>
      <c r="I335" s="8">
        <v>30.958100463129675</v>
      </c>
      <c r="J335" s="8">
        <v>7.3509821190083327E-2</v>
      </c>
      <c r="K335" s="8">
        <v>30.95805612120726</v>
      </c>
      <c r="L335" s="8">
        <v>30.958035684773229</v>
      </c>
      <c r="M335" s="8">
        <v>15</v>
      </c>
    </row>
    <row r="336" spans="1:13" x14ac:dyDescent="0.3">
      <c r="A336" s="8">
        <v>325</v>
      </c>
      <c r="B336" s="8">
        <v>0.33174307169500017</v>
      </c>
      <c r="C336" s="8">
        <v>6.5731697024062896E-5</v>
      </c>
      <c r="D336" s="8">
        <v>5046.9269274085</v>
      </c>
      <c r="E336" s="8">
        <v>4.0746673441560688E-5</v>
      </c>
      <c r="F336" s="8">
        <v>8141.5989006020236</v>
      </c>
      <c r="G336" s="8">
        <v>0.90779534869540657</v>
      </c>
      <c r="H336" s="8">
        <v>30.958101492272288</v>
      </c>
      <c r="I336" s="8">
        <v>30.958099829106381</v>
      </c>
      <c r="J336" s="8">
        <v>0.5760522770004064</v>
      </c>
      <c r="K336" s="8">
        <v>30.958060745598846</v>
      </c>
      <c r="L336" s="8">
        <v>30.958034097409357</v>
      </c>
      <c r="M336" s="8">
        <v>12</v>
      </c>
    </row>
    <row r="337" spans="1:13" x14ac:dyDescent="0.3">
      <c r="A337" s="8">
        <v>326</v>
      </c>
      <c r="B337" s="8">
        <v>0.63477511525770092</v>
      </c>
      <c r="C337" s="8">
        <v>5.6092085156222993E-5</v>
      </c>
      <c r="D337" s="8">
        <v>11316.661049233207</v>
      </c>
      <c r="E337" s="8">
        <v>3.6831333748210682E-5</v>
      </c>
      <c r="F337" s="8">
        <v>17234.649160337267</v>
      </c>
      <c r="G337" s="8">
        <v>0.71324527377225111</v>
      </c>
      <c r="H337" s="8">
        <v>30.958097982957838</v>
      </c>
      <c r="I337" s="8">
        <v>30.958095995837112</v>
      </c>
      <c r="J337" s="8">
        <v>7.847015851455022E-2</v>
      </c>
      <c r="K337" s="8">
        <v>30.95806115162409</v>
      </c>
      <c r="L337" s="8">
        <v>30.958039903751956</v>
      </c>
      <c r="M337" s="8">
        <v>15</v>
      </c>
    </row>
    <row r="338" spans="1:13" x14ac:dyDescent="0.3">
      <c r="A338" s="8">
        <v>327</v>
      </c>
      <c r="B338" s="8">
        <v>0.61814356118539193</v>
      </c>
      <c r="C338" s="8">
        <v>6.2865032848691271E-5</v>
      </c>
      <c r="D338" s="8">
        <v>9832.8678626986584</v>
      </c>
      <c r="E338" s="8">
        <v>3.4070084478088347E-5</v>
      </c>
      <c r="F338" s="8">
        <v>18143.294055608858</v>
      </c>
      <c r="G338" s="8">
        <v>0.67681539796035173</v>
      </c>
      <c r="H338" s="8">
        <v>30.958101440518433</v>
      </c>
      <c r="I338" s="8">
        <v>30.958101250064413</v>
      </c>
      <c r="J338" s="8">
        <v>5.8671836774959796E-2</v>
      </c>
      <c r="K338" s="8">
        <v>30.958067370433955</v>
      </c>
      <c r="L338" s="8">
        <v>30.958038385031564</v>
      </c>
      <c r="M338" s="8">
        <v>9</v>
      </c>
    </row>
    <row r="339" spans="1:13" x14ac:dyDescent="0.3">
      <c r="A339" s="8">
        <v>328</v>
      </c>
      <c r="B339" s="8">
        <v>0.64825559504921881</v>
      </c>
      <c r="C339" s="8">
        <v>1.2936037086319629E-4</v>
      </c>
      <c r="D339" s="8">
        <v>5011.2379140809262</v>
      </c>
      <c r="E339" s="8">
        <v>8.9839172169092762E-5</v>
      </c>
      <c r="F339" s="8">
        <v>7215.7342882578032</v>
      </c>
      <c r="G339" s="8">
        <v>0.8160225340236531</v>
      </c>
      <c r="H339" s="8">
        <v>30.958101497895004</v>
      </c>
      <c r="I339" s="8">
        <v>30.958101089003797</v>
      </c>
      <c r="J339" s="8">
        <v>0.16776693897443423</v>
      </c>
      <c r="K339" s="8">
        <v>30.958011658722835</v>
      </c>
      <c r="L339" s="8">
        <v>30.957971728632934</v>
      </c>
      <c r="M339" s="8">
        <v>15</v>
      </c>
    </row>
    <row r="340" spans="1:13" x14ac:dyDescent="0.3">
      <c r="A340" s="8">
        <v>329</v>
      </c>
      <c r="B340" s="8">
        <v>0.53015465033407994</v>
      </c>
      <c r="C340" s="8">
        <v>6.465886906781293E-5</v>
      </c>
      <c r="D340" s="8">
        <v>8199.2564667047354</v>
      </c>
      <c r="E340" s="8">
        <v>4.2133784535991481E-5</v>
      </c>
      <c r="F340" s="8">
        <v>12582.649675848885</v>
      </c>
      <c r="G340" s="8">
        <v>0.67496887140598671</v>
      </c>
      <c r="H340" s="8">
        <v>30.958101157590463</v>
      </c>
      <c r="I340" s="8">
        <v>30.958100764861396</v>
      </c>
      <c r="J340" s="8">
        <v>0.14481422107190672</v>
      </c>
      <c r="K340" s="8">
        <v>30.958059023805927</v>
      </c>
      <c r="L340" s="8">
        <v>30.958036105992328</v>
      </c>
      <c r="M340" s="8">
        <v>15</v>
      </c>
    </row>
    <row r="341" spans="1:13" x14ac:dyDescent="0.3">
      <c r="A341" s="8">
        <v>330</v>
      </c>
      <c r="B341" s="8">
        <v>0.64772305336203484</v>
      </c>
      <c r="C341" s="8">
        <v>3.9437604037573237E-5</v>
      </c>
      <c r="D341" s="8">
        <v>16423.996060839094</v>
      </c>
      <c r="E341" s="8">
        <v>1.3856266235734438E-5</v>
      </c>
      <c r="F341" s="8">
        <v>46745.857963640876</v>
      </c>
      <c r="G341" s="8">
        <v>0.71794065861023304</v>
      </c>
      <c r="H341" s="8">
        <v>30.95810117522797</v>
      </c>
      <c r="I341" s="8">
        <v>30.958098916364133</v>
      </c>
      <c r="J341" s="8">
        <v>7.0217605248198214E-2</v>
      </c>
      <c r="K341" s="8">
        <v>30.958087318961734</v>
      </c>
      <c r="L341" s="8">
        <v>30.958059478760095</v>
      </c>
      <c r="M341" s="8">
        <v>12</v>
      </c>
    </row>
    <row r="342" spans="1:13" x14ac:dyDescent="0.3">
      <c r="A342" s="8">
        <v>331</v>
      </c>
      <c r="B342" s="8">
        <v>0.72194171479411506</v>
      </c>
      <c r="C342" s="8">
        <v>5.0566884358005382E-5</v>
      </c>
      <c r="D342" s="8">
        <v>14276.966515929362</v>
      </c>
      <c r="E342" s="8">
        <v>1.9336779065071141E-5</v>
      </c>
      <c r="F342" s="8">
        <v>37335.158682046975</v>
      </c>
      <c r="G342" s="8">
        <v>0.75778011205212104</v>
      </c>
      <c r="H342" s="8">
        <v>30.958101194679955</v>
      </c>
      <c r="I342" s="8">
        <v>30.958100475521437</v>
      </c>
      <c r="J342" s="8">
        <v>3.5838397258005951E-2</v>
      </c>
      <c r="K342" s="8">
        <v>30.95808185790089</v>
      </c>
      <c r="L342" s="8">
        <v>30.958049908637079</v>
      </c>
      <c r="M342" s="8">
        <v>15</v>
      </c>
    </row>
    <row r="343" spans="1:13" x14ac:dyDescent="0.3">
      <c r="A343" s="8">
        <v>332</v>
      </c>
      <c r="B343" s="8">
        <v>0.64979428219865953</v>
      </c>
      <c r="C343" s="8">
        <v>5.338165842161402E-5</v>
      </c>
      <c r="D343" s="8">
        <v>12172.61324229598</v>
      </c>
      <c r="E343" s="8">
        <v>3.0657609769946248E-5</v>
      </c>
      <c r="F343" s="8">
        <v>21195.20364029341</v>
      </c>
      <c r="G343" s="8">
        <v>0.73388102821018686</v>
      </c>
      <c r="H343" s="8">
        <v>30.958101432213152</v>
      </c>
      <c r="I343" s="8">
        <v>30.958099694388235</v>
      </c>
      <c r="J343" s="8">
        <v>8.4086746011527311E-2</v>
      </c>
      <c r="K343" s="8">
        <v>30.958070774603382</v>
      </c>
      <c r="L343" s="8">
        <v>30.958046312729813</v>
      </c>
      <c r="M343" s="8">
        <v>12</v>
      </c>
    </row>
    <row r="344" spans="1:13" x14ac:dyDescent="0.3">
      <c r="A344" s="8">
        <v>333</v>
      </c>
      <c r="B344" s="8">
        <v>0.93950767123837475</v>
      </c>
      <c r="C344" s="8">
        <v>6.0049764993408417E-5</v>
      </c>
      <c r="D344" s="8">
        <v>15645.484563370119</v>
      </c>
      <c r="E344" s="8">
        <v>3.4056022148121201E-5</v>
      </c>
      <c r="F344" s="8">
        <v>27587.122980838365</v>
      </c>
      <c r="G344" s="8">
        <v>1.0154789690951951</v>
      </c>
      <c r="H344" s="8">
        <v>30.958101550479025</v>
      </c>
      <c r="I344" s="8">
        <v>30.958098862420563</v>
      </c>
      <c r="J344" s="8">
        <v>7.5971297856820288E-2</v>
      </c>
      <c r="K344" s="8">
        <v>30.958067494456877</v>
      </c>
      <c r="L344" s="8">
        <v>30.95803881265557</v>
      </c>
      <c r="M344" s="8">
        <v>12</v>
      </c>
    </row>
    <row r="345" spans="1:13" x14ac:dyDescent="0.3">
      <c r="A345" s="8">
        <v>334</v>
      </c>
      <c r="B345" s="8">
        <v>0.55021596016738927</v>
      </c>
      <c r="C345" s="8">
        <v>1.0398027293234691E-4</v>
      </c>
      <c r="D345" s="8">
        <v>5291.5417958690923</v>
      </c>
      <c r="E345" s="8">
        <v>7.9984857979553681E-5</v>
      </c>
      <c r="F345" s="8">
        <v>6879.0015268644911</v>
      </c>
      <c r="G345" s="8">
        <v>0.8919878680927964</v>
      </c>
      <c r="H345" s="8">
        <v>30.958076403911861</v>
      </c>
      <c r="I345" s="8">
        <v>30.958065117847212</v>
      </c>
      <c r="J345" s="8">
        <v>0.34177190792540707</v>
      </c>
      <c r="K345" s="8">
        <v>30.957996419053881</v>
      </c>
      <c r="L345" s="8">
        <v>30.95796113757428</v>
      </c>
      <c r="M345" s="8">
        <v>12</v>
      </c>
    </row>
    <row r="346" spans="1:13" x14ac:dyDescent="0.3">
      <c r="A346" s="8">
        <v>335</v>
      </c>
      <c r="B346" s="8">
        <v>0.30907167384972767</v>
      </c>
      <c r="C346" s="8">
        <v>2.9608290642357815E-5</v>
      </c>
      <c r="D346" s="8">
        <v>10438.686838866939</v>
      </c>
      <c r="E346" s="8">
        <v>1.5177646620401219E-5</v>
      </c>
      <c r="F346" s="8">
        <v>20363.609825668573</v>
      </c>
      <c r="G346" s="8">
        <v>0.47604317234061877</v>
      </c>
      <c r="H346" s="8">
        <v>30.958101469520265</v>
      </c>
      <c r="I346" s="8">
        <v>30.958100484919232</v>
      </c>
      <c r="J346" s="8">
        <v>0.16697149849089113</v>
      </c>
      <c r="K346" s="8">
        <v>30.958086291873645</v>
      </c>
      <c r="L346" s="8">
        <v>30.958070876628589</v>
      </c>
      <c r="M346" s="8">
        <v>15</v>
      </c>
    </row>
    <row r="347" spans="1:13" x14ac:dyDescent="0.3">
      <c r="A347" s="8">
        <v>336</v>
      </c>
      <c r="B347" s="8">
        <v>0.84740469425100595</v>
      </c>
      <c r="C347" s="8">
        <v>5.2506756592407555E-5</v>
      </c>
      <c r="D347" s="8">
        <v>16138.964758938093</v>
      </c>
      <c r="E347" s="8">
        <v>3.3108723172858845E-5</v>
      </c>
      <c r="F347" s="8">
        <v>25594.605078146687</v>
      </c>
      <c r="G347" s="8">
        <v>0.91760667476780688</v>
      </c>
      <c r="H347" s="8">
        <v>30.958101153309627</v>
      </c>
      <c r="I347" s="8">
        <v>30.958100715555631</v>
      </c>
      <c r="J347" s="8">
        <v>7.0201980516800933E-2</v>
      </c>
      <c r="K347" s="8">
        <v>30.958068044586454</v>
      </c>
      <c r="L347" s="8">
        <v>30.958048208799038</v>
      </c>
      <c r="M347" s="8">
        <v>12</v>
      </c>
    </row>
    <row r="348" spans="1:13" x14ac:dyDescent="0.3">
      <c r="A348" s="8">
        <v>337</v>
      </c>
      <c r="B348" s="8">
        <v>0.36498272111050523</v>
      </c>
      <c r="C348" s="8">
        <v>4.3308009864517771E-5</v>
      </c>
      <c r="D348" s="8">
        <v>8427.6031674578371</v>
      </c>
      <c r="E348" s="8">
        <v>3.734041666803023E-5</v>
      </c>
      <c r="F348" s="8">
        <v>9774.4683557051121</v>
      </c>
      <c r="G348" s="8">
        <v>0.4456019370880368</v>
      </c>
      <c r="H348" s="8">
        <v>30.958096133945837</v>
      </c>
      <c r="I348" s="8">
        <v>30.958094583050418</v>
      </c>
      <c r="J348" s="8">
        <v>8.061921597753155E-2</v>
      </c>
      <c r="K348" s="8">
        <v>30.958058793529169</v>
      </c>
      <c r="L348" s="8">
        <v>30.958051275040553</v>
      </c>
      <c r="M348" s="8">
        <v>9</v>
      </c>
    </row>
    <row r="349" spans="1:13" x14ac:dyDescent="0.3">
      <c r="A349" s="8">
        <v>338</v>
      </c>
      <c r="B349" s="8">
        <v>0.75788257823021798</v>
      </c>
      <c r="C349" s="8">
        <v>3.4180036958986193E-5</v>
      </c>
      <c r="D349" s="8">
        <v>22173.252157088871</v>
      </c>
      <c r="E349" s="8">
        <v>6.3918364574533371E-6</v>
      </c>
      <c r="F349" s="8">
        <v>118570.39573446421</v>
      </c>
      <c r="G349" s="8">
        <v>0.79032025343708212</v>
      </c>
      <c r="H349" s="8">
        <v>30.958101551063116</v>
      </c>
      <c r="I349" s="8">
        <v>30.958100198309133</v>
      </c>
      <c r="J349" s="8">
        <v>3.2437675206864178E-2</v>
      </c>
      <c r="K349" s="8">
        <v>30.958095159226659</v>
      </c>
      <c r="L349" s="8">
        <v>30.958066018272174</v>
      </c>
      <c r="M349" s="8">
        <v>11</v>
      </c>
    </row>
    <row r="350" spans="1:13" x14ac:dyDescent="0.3">
      <c r="A350" s="8">
        <v>339</v>
      </c>
      <c r="B350" s="8">
        <v>0.90073607910198261</v>
      </c>
      <c r="C350" s="8">
        <v>3.0696377461225666E-5</v>
      </c>
      <c r="D350" s="8">
        <v>29343.399892699177</v>
      </c>
      <c r="E350" s="8">
        <v>1.2635882704614687E-5</v>
      </c>
      <c r="F350" s="8">
        <v>71283.985468860774</v>
      </c>
      <c r="G350" s="8">
        <v>0.96524055239328899</v>
      </c>
      <c r="H350" s="8">
        <v>30.958101391273726</v>
      </c>
      <c r="I350" s="8">
        <v>30.958100441410249</v>
      </c>
      <c r="J350" s="8">
        <v>6.4504473291306402E-2</v>
      </c>
      <c r="K350" s="8">
        <v>30.958088755391021</v>
      </c>
      <c r="L350" s="8">
        <v>30.958069745032788</v>
      </c>
      <c r="M350" s="8">
        <v>12</v>
      </c>
    </row>
    <row r="351" spans="1:13" x14ac:dyDescent="0.3">
      <c r="A351" s="8">
        <v>340</v>
      </c>
      <c r="B351" s="8">
        <v>0.34802481674827074</v>
      </c>
      <c r="C351" s="8">
        <v>8.7141778447374918E-5</v>
      </c>
      <c r="D351" s="8">
        <v>3993.7768421658225</v>
      </c>
      <c r="E351" s="8">
        <v>6.2823862702288125E-5</v>
      </c>
      <c r="F351" s="8">
        <v>5539.6914767482967</v>
      </c>
      <c r="G351" s="8">
        <v>0.49715860926890532</v>
      </c>
      <c r="H351" s="8">
        <v>30.958097332617104</v>
      </c>
      <c r="I351" s="8">
        <v>30.958094082144004</v>
      </c>
      <c r="J351" s="8">
        <v>0.14913379252063458</v>
      </c>
      <c r="K351" s="8">
        <v>30.958034508754402</v>
      </c>
      <c r="L351" s="8">
        <v>30.958006940365557</v>
      </c>
      <c r="M351" s="8">
        <v>11</v>
      </c>
    </row>
    <row r="352" spans="1:13" x14ac:dyDescent="0.3">
      <c r="A352" s="8">
        <v>341</v>
      </c>
      <c r="B352" s="8">
        <v>0.57949712084766025</v>
      </c>
      <c r="C352" s="8">
        <v>1.4212879434438719E-4</v>
      </c>
      <c r="D352" s="8">
        <v>4077.2675482175805</v>
      </c>
      <c r="E352" s="8">
        <v>1.2392908476854814E-4</v>
      </c>
      <c r="F352" s="8">
        <v>4676.0380900894897</v>
      </c>
      <c r="G352" s="8">
        <v>0.75096278013908102</v>
      </c>
      <c r="H352" s="8">
        <v>30.958101001419291</v>
      </c>
      <c r="I352" s="8">
        <v>30.958098779583512</v>
      </c>
      <c r="J352" s="8">
        <v>0.1714656592914208</v>
      </c>
      <c r="K352" s="8">
        <v>30.957977072334522</v>
      </c>
      <c r="L352" s="8">
        <v>30.957956650789168</v>
      </c>
      <c r="M352" s="8">
        <v>11</v>
      </c>
    </row>
    <row r="353" spans="1:13" x14ac:dyDescent="0.3">
      <c r="A353" s="8">
        <v>342</v>
      </c>
      <c r="B353" s="8">
        <v>0.7376754317290859</v>
      </c>
      <c r="C353" s="8">
        <v>3.8901225302367948E-5</v>
      </c>
      <c r="D353" s="8">
        <v>18962.781403293819</v>
      </c>
      <c r="E353" s="8">
        <v>9.5470420085064234E-6</v>
      </c>
      <c r="F353" s="8">
        <v>77267.433313042551</v>
      </c>
      <c r="G353" s="8">
        <v>0.75359862585024917</v>
      </c>
      <c r="H353" s="8">
        <v>30.958101481698822</v>
      </c>
      <c r="I353" s="8">
        <v>30.958100149840959</v>
      </c>
      <c r="J353" s="8">
        <v>1.592319412116322E-2</v>
      </c>
      <c r="K353" s="8">
        <v>30.958091934656814</v>
      </c>
      <c r="L353" s="8">
        <v>30.958061248615657</v>
      </c>
      <c r="M353" s="8">
        <v>10</v>
      </c>
    </row>
    <row r="354" spans="1:13" x14ac:dyDescent="0.3">
      <c r="A354" s="8">
        <v>343</v>
      </c>
      <c r="B354" s="8">
        <v>0.76675324227747832</v>
      </c>
      <c r="C354" s="8">
        <v>7.4589404277958238E-5</v>
      </c>
      <c r="D354" s="8">
        <v>10279.653654561496</v>
      </c>
      <c r="E354" s="8">
        <v>4.2016365856767379E-5</v>
      </c>
      <c r="F354" s="8">
        <v>18248.918644970836</v>
      </c>
      <c r="G354" s="8">
        <v>0.92362644539559646</v>
      </c>
      <c r="H354" s="8">
        <v>30.958101001187924</v>
      </c>
      <c r="I354" s="8">
        <v>30.958099897168999</v>
      </c>
      <c r="J354" s="8">
        <v>0.15687320311811817</v>
      </c>
      <c r="K354" s="8">
        <v>30.958058984822067</v>
      </c>
      <c r="L354" s="8">
        <v>30.958025307764721</v>
      </c>
      <c r="M354" s="8">
        <v>13</v>
      </c>
    </row>
    <row r="355" spans="1:13" x14ac:dyDescent="0.3">
      <c r="A355" s="8">
        <v>344</v>
      </c>
      <c r="B355" s="8">
        <v>0.54259627094852669</v>
      </c>
      <c r="C355" s="8">
        <v>6.3169794380257827E-5</v>
      </c>
      <c r="D355" s="8">
        <v>8589.4892689108055</v>
      </c>
      <c r="E355" s="8">
        <v>3.3868562614003395E-5</v>
      </c>
      <c r="F355" s="8">
        <v>16020.646554518475</v>
      </c>
      <c r="G355" s="8">
        <v>0.75151874547897846</v>
      </c>
      <c r="H355" s="8">
        <v>30.958101517979831</v>
      </c>
      <c r="I355" s="8">
        <v>30.958098801528429</v>
      </c>
      <c r="J355" s="8">
        <v>0.20892247453045176</v>
      </c>
      <c r="K355" s="8">
        <v>30.958067649417217</v>
      </c>
      <c r="L355" s="8">
        <v>30.958035631734049</v>
      </c>
      <c r="M355" s="8">
        <v>15</v>
      </c>
    </row>
    <row r="356" spans="1:13" x14ac:dyDescent="0.3">
      <c r="A356" s="8">
        <v>345</v>
      </c>
      <c r="B356" s="8">
        <v>0.68783220676043666</v>
      </c>
      <c r="C356" s="8">
        <v>3.7780850796309551E-5</v>
      </c>
      <c r="D356" s="8">
        <v>18205.8421730308</v>
      </c>
      <c r="E356" s="8">
        <v>7.0183784046662367E-6</v>
      </c>
      <c r="F356" s="8">
        <v>98004.434514833905</v>
      </c>
      <c r="G356" s="8">
        <v>0.72063639971113602</v>
      </c>
      <c r="H356" s="8">
        <v>30.958101480567581</v>
      </c>
      <c r="I356" s="8">
        <v>30.958100783815578</v>
      </c>
      <c r="J356" s="8">
        <v>3.2804192950699348E-2</v>
      </c>
      <c r="K356" s="8">
        <v>30.958094462189177</v>
      </c>
      <c r="L356" s="8">
        <v>30.958063002964781</v>
      </c>
      <c r="M356" s="8">
        <v>13</v>
      </c>
    </row>
    <row r="357" spans="1:13" x14ac:dyDescent="0.3">
      <c r="A357" s="8">
        <v>346</v>
      </c>
      <c r="B357" s="8">
        <v>0.36726075281453946</v>
      </c>
      <c r="C357" s="8">
        <v>1.8364956727268122E-4</v>
      </c>
      <c r="D357" s="8">
        <v>1999.7910056016303</v>
      </c>
      <c r="E357" s="8">
        <v>1.7430286901642944E-4</v>
      </c>
      <c r="F357" s="8">
        <v>2107.0264355770428</v>
      </c>
      <c r="G357" s="8">
        <v>0.52744298859008154</v>
      </c>
      <c r="H357" s="8">
        <v>30.95808999238788</v>
      </c>
      <c r="I357" s="8">
        <v>30.958087618414332</v>
      </c>
      <c r="J357" s="8">
        <v>0.16018223577554208</v>
      </c>
      <c r="K357" s="8">
        <v>30.957915689518863</v>
      </c>
      <c r="L357" s="8">
        <v>30.957903968847059</v>
      </c>
      <c r="M357" s="8">
        <v>10</v>
      </c>
    </row>
    <row r="358" spans="1:13" x14ac:dyDescent="0.3">
      <c r="A358" s="8">
        <v>347</v>
      </c>
      <c r="B358" s="8">
        <v>0.30449926378899367</v>
      </c>
      <c r="C358" s="8">
        <v>2.9918091097869137E-5</v>
      </c>
      <c r="D358" s="8">
        <v>10177.76377486467</v>
      </c>
      <c r="E358" s="8">
        <v>1.8229453370821602E-5</v>
      </c>
      <c r="F358" s="8">
        <v>16703.696901651521</v>
      </c>
      <c r="G358" s="8">
        <v>0.39024551112853856</v>
      </c>
      <c r="H358" s="8">
        <v>30.958101073257531</v>
      </c>
      <c r="I358" s="8">
        <v>30.958100219358467</v>
      </c>
      <c r="J358" s="8">
        <v>8.5746247339544876E-2</v>
      </c>
      <c r="K358" s="8">
        <v>30.95808284380416</v>
      </c>
      <c r="L358" s="8">
        <v>30.958070301267369</v>
      </c>
      <c r="M358" s="8">
        <v>10</v>
      </c>
    </row>
    <row r="359" spans="1:13" x14ac:dyDescent="0.3">
      <c r="A359" s="8">
        <v>348</v>
      </c>
      <c r="B359" s="8">
        <v>0.83961078148915891</v>
      </c>
      <c r="C359" s="8">
        <v>6.6497517767771797E-5</v>
      </c>
      <c r="D359" s="8">
        <v>12626.197332978925</v>
      </c>
      <c r="E359" s="8">
        <v>4.0760410200846309E-5</v>
      </c>
      <c r="F359" s="8">
        <v>20598.683314323614</v>
      </c>
      <c r="G359" s="8">
        <v>0.89800780054376661</v>
      </c>
      <c r="H359" s="8">
        <v>30.958100346821677</v>
      </c>
      <c r="I359" s="8">
        <v>30.958099108041175</v>
      </c>
      <c r="J359" s="8">
        <v>5.8397019054607743E-2</v>
      </c>
      <c r="K359" s="8">
        <v>30.958059586411476</v>
      </c>
      <c r="L359" s="8">
        <v>30.958032610523407</v>
      </c>
      <c r="M359" s="8">
        <v>9</v>
      </c>
    </row>
    <row r="360" spans="1:13" x14ac:dyDescent="0.3">
      <c r="A360" s="8">
        <v>349</v>
      </c>
      <c r="B360" s="8">
        <v>0.49907127174564314</v>
      </c>
      <c r="C360" s="8">
        <v>6.5612893966005004E-5</v>
      </c>
      <c r="D360" s="8">
        <v>7606.2987254337422</v>
      </c>
      <c r="E360" s="8">
        <v>3.8756456174127152E-5</v>
      </c>
      <c r="F360" s="8">
        <v>12877.113157699148</v>
      </c>
      <c r="G360" s="8">
        <v>0.59712148955702971</v>
      </c>
      <c r="H360" s="8">
        <v>30.958101090592621</v>
      </c>
      <c r="I360" s="8">
        <v>30.958100160606818</v>
      </c>
      <c r="J360" s="8">
        <v>9.805021781138655E-2</v>
      </c>
      <c r="K360" s="8">
        <v>30.958062334136446</v>
      </c>
      <c r="L360" s="8">
        <v>30.958034547712852</v>
      </c>
      <c r="M360" s="8">
        <v>14</v>
      </c>
    </row>
    <row r="361" spans="1:13" x14ac:dyDescent="0.3">
      <c r="A361" s="8">
        <v>350</v>
      </c>
      <c r="B361" s="8">
        <v>0.39517639261994458</v>
      </c>
      <c r="C361" s="8">
        <v>1.574228424594537E-4</v>
      </c>
      <c r="D361" s="8">
        <v>2510.2862230538581</v>
      </c>
      <c r="E361" s="8">
        <v>1.4065850384525902E-4</v>
      </c>
      <c r="F361" s="8">
        <v>2809.4738804749786</v>
      </c>
      <c r="G361" s="8">
        <v>0.75627585452673252</v>
      </c>
      <c r="H361" s="8">
        <v>30.958100404558557</v>
      </c>
      <c r="I361" s="8">
        <v>30.958099834994037</v>
      </c>
      <c r="J361" s="8">
        <v>0.36109946190678793</v>
      </c>
      <c r="K361" s="8">
        <v>30.957959746054712</v>
      </c>
      <c r="L361" s="8">
        <v>30.957942412151578</v>
      </c>
      <c r="M361" s="8">
        <v>12</v>
      </c>
    </row>
    <row r="362" spans="1:13" x14ac:dyDescent="0.3">
      <c r="A362" s="8">
        <v>351</v>
      </c>
      <c r="B362" s="8">
        <v>0.74423305329219458</v>
      </c>
      <c r="C362" s="8">
        <v>4.0349779503401351E-5</v>
      </c>
      <c r="D362" s="8">
        <v>18444.538296162391</v>
      </c>
      <c r="E362" s="8">
        <v>2.5916546945836672E-5</v>
      </c>
      <c r="F362" s="8">
        <v>28716.520563004666</v>
      </c>
      <c r="G362" s="8">
        <v>0.85041644142424833</v>
      </c>
      <c r="H362" s="8">
        <v>30.958101364034455</v>
      </c>
      <c r="I362" s="8">
        <v>30.958101023373324</v>
      </c>
      <c r="J362" s="8">
        <v>0.1061833881320537</v>
      </c>
      <c r="K362" s="8">
        <v>30.958075447487509</v>
      </c>
      <c r="L362" s="8">
        <v>30.95806067359382</v>
      </c>
      <c r="M362" s="8">
        <v>11</v>
      </c>
    </row>
    <row r="363" spans="1:13" x14ac:dyDescent="0.3">
      <c r="A363" s="8">
        <v>352</v>
      </c>
      <c r="B363" s="8">
        <v>0.56407960520502876</v>
      </c>
      <c r="C363" s="8">
        <v>1.3539926493422172E-4</v>
      </c>
      <c r="D363" s="8">
        <v>4166.0462889445089</v>
      </c>
      <c r="E363" s="8">
        <v>1.2098551122718959E-4</v>
      </c>
      <c r="F363" s="8">
        <v>4662.3732005875154</v>
      </c>
      <c r="G363" s="8">
        <v>0.70655990588155926</v>
      </c>
      <c r="H363" s="8">
        <v>30.958101551448031</v>
      </c>
      <c r="I363" s="8">
        <v>30.958100240547122</v>
      </c>
      <c r="J363" s="8">
        <v>0.14248030067653056</v>
      </c>
      <c r="K363" s="8">
        <v>30.957980565936804</v>
      </c>
      <c r="L363" s="8">
        <v>30.957964841282188</v>
      </c>
      <c r="M363" s="8">
        <v>9</v>
      </c>
    </row>
    <row r="364" spans="1:13" x14ac:dyDescent="0.3">
      <c r="A364" s="8">
        <v>353</v>
      </c>
      <c r="B364" s="8">
        <v>0.57131104449945491</v>
      </c>
      <c r="C364" s="8">
        <v>3.1265201251073904E-5</v>
      </c>
      <c r="D364" s="8">
        <v>18273.064673774694</v>
      </c>
      <c r="E364" s="8">
        <v>9.7938401957264887E-6</v>
      </c>
      <c r="F364" s="8">
        <v>58333.711096158651</v>
      </c>
      <c r="G364" s="8">
        <v>0.60603902788795583</v>
      </c>
      <c r="H364" s="8">
        <v>30.958101441890538</v>
      </c>
      <c r="I364" s="8">
        <v>30.958100356859759</v>
      </c>
      <c r="J364" s="8">
        <v>3.4727983388500916E-2</v>
      </c>
      <c r="K364" s="8">
        <v>30.958091648050342</v>
      </c>
      <c r="L364" s="8">
        <v>30.958069091658508</v>
      </c>
      <c r="M364" s="8">
        <v>11</v>
      </c>
    </row>
    <row r="365" spans="1:13" x14ac:dyDescent="0.3">
      <c r="A365" s="8">
        <v>354</v>
      </c>
      <c r="B365" s="8">
        <v>0.50312317123451233</v>
      </c>
      <c r="C365" s="8">
        <v>4.3717616666327785E-5</v>
      </c>
      <c r="D365" s="8">
        <v>11508.476664557706</v>
      </c>
      <c r="E365" s="8">
        <v>2.1881623869290934E-5</v>
      </c>
      <c r="F365" s="8">
        <v>22992.954007431072</v>
      </c>
      <c r="G365" s="8">
        <v>0.63917498042268606</v>
      </c>
      <c r="H365" s="8">
        <v>30.958101229715737</v>
      </c>
      <c r="I365" s="8">
        <v>30.958099472764449</v>
      </c>
      <c r="J365" s="8">
        <v>0.13605180918817367</v>
      </c>
      <c r="K365" s="8">
        <v>30.958079348091868</v>
      </c>
      <c r="L365" s="8">
        <v>30.958055755147782</v>
      </c>
      <c r="M365" s="8">
        <v>11</v>
      </c>
    </row>
    <row r="366" spans="1:13" x14ac:dyDescent="0.3">
      <c r="A366" s="8">
        <v>355</v>
      </c>
      <c r="B366" s="8">
        <v>0.34076119840143992</v>
      </c>
      <c r="C366" s="8">
        <v>2.2618955831177345E-4</v>
      </c>
      <c r="D366" s="8">
        <v>1506.5293064136235</v>
      </c>
      <c r="E366" s="8">
        <v>2.0600516584678985E-4</v>
      </c>
      <c r="F366" s="8">
        <v>1654.1390940403446</v>
      </c>
      <c r="G366" s="8">
        <v>0.55564088000265222</v>
      </c>
      <c r="H366" s="8">
        <v>30.958095990374588</v>
      </c>
      <c r="I366" s="8">
        <v>30.958094912627679</v>
      </c>
      <c r="J366" s="8">
        <v>0.21487968160121229</v>
      </c>
      <c r="K366" s="8">
        <v>30.957889985208741</v>
      </c>
      <c r="L366" s="8">
        <v>30.957868723069367</v>
      </c>
      <c r="M366" s="8">
        <v>14</v>
      </c>
    </row>
    <row r="367" spans="1:13" x14ac:dyDescent="0.3">
      <c r="A367" s="8">
        <v>356</v>
      </c>
      <c r="B367" s="8">
        <v>0.6311768468862281</v>
      </c>
      <c r="C367" s="8">
        <v>6.0200249688335816E-5</v>
      </c>
      <c r="D367" s="8">
        <v>10484.621744160684</v>
      </c>
      <c r="E367" s="8">
        <v>3.9906699353053909E-5</v>
      </c>
      <c r="F367" s="8">
        <v>15816.312977984397</v>
      </c>
      <c r="G367" s="8">
        <v>0.73734900961911831</v>
      </c>
      <c r="H367" s="8">
        <v>30.958101499108253</v>
      </c>
      <c r="I367" s="8">
        <v>30.958100292926648</v>
      </c>
      <c r="J367" s="8">
        <v>0.10617216273289018</v>
      </c>
      <c r="K367" s="8">
        <v>30.9580615924089</v>
      </c>
      <c r="L367" s="8">
        <v>30.95804009267696</v>
      </c>
      <c r="M367" s="8">
        <v>14</v>
      </c>
    </row>
    <row r="368" spans="1:13" x14ac:dyDescent="0.3">
      <c r="A368" s="8">
        <v>357</v>
      </c>
      <c r="B368" s="8">
        <v>0.39474723910614173</v>
      </c>
      <c r="C368" s="8">
        <v>5.0813229009349925E-5</v>
      </c>
      <c r="D368" s="8">
        <v>7768.5918962856304</v>
      </c>
      <c r="E368" s="8">
        <v>4.1454068064439298E-5</v>
      </c>
      <c r="F368" s="8">
        <v>9522.5211309181323</v>
      </c>
      <c r="G368" s="8">
        <v>0.55884903105891826</v>
      </c>
      <c r="H368" s="8">
        <v>30.958100092169524</v>
      </c>
      <c r="I368" s="8">
        <v>30.958099722911808</v>
      </c>
      <c r="J368" s="8">
        <v>0.16410179195277655</v>
      </c>
      <c r="K368" s="8">
        <v>30.958058638101459</v>
      </c>
      <c r="L368" s="8">
        <v>30.958048909682798</v>
      </c>
      <c r="M368" s="8">
        <v>11</v>
      </c>
    </row>
    <row r="369" spans="1:13" x14ac:dyDescent="0.3">
      <c r="A369" s="8">
        <v>358</v>
      </c>
      <c r="B369" s="8">
        <v>0.35143067121518246</v>
      </c>
      <c r="C369" s="8">
        <v>6.2574100763157503E-5</v>
      </c>
      <c r="D369" s="8">
        <v>5616.2320661282038</v>
      </c>
      <c r="E369" s="8">
        <v>4.9469301064419824E-5</v>
      </c>
      <c r="F369" s="8">
        <v>7104.0152913731899</v>
      </c>
      <c r="G369" s="8">
        <v>0.53471054600056223</v>
      </c>
      <c r="H369" s="8">
        <v>30.958100903248948</v>
      </c>
      <c r="I369" s="8">
        <v>30.958100251727007</v>
      </c>
      <c r="J369" s="8">
        <v>0.18327987478537977</v>
      </c>
      <c r="K369" s="8">
        <v>30.958051433947883</v>
      </c>
      <c r="L369" s="8">
        <v>30.958037677626244</v>
      </c>
      <c r="M369" s="8">
        <v>14</v>
      </c>
    </row>
    <row r="370" spans="1:13" x14ac:dyDescent="0.3">
      <c r="A370" s="8">
        <v>359</v>
      </c>
      <c r="B370" s="8">
        <v>0.56695476834962122</v>
      </c>
      <c r="C370" s="8">
        <v>5.1294851449057433E-5</v>
      </c>
      <c r="D370" s="8">
        <v>11052.859153178018</v>
      </c>
      <c r="E370" s="8">
        <v>3.0243779711724983E-5</v>
      </c>
      <c r="F370" s="8">
        <v>18746.161152927019</v>
      </c>
      <c r="G370" s="8">
        <v>0.63757245752753855</v>
      </c>
      <c r="H370" s="8">
        <v>30.958101523612278</v>
      </c>
      <c r="I370" s="8">
        <v>30.958100801574634</v>
      </c>
      <c r="J370" s="8">
        <v>7.0617689177917387E-2</v>
      </c>
      <c r="K370" s="8">
        <v>30.958071279832566</v>
      </c>
      <c r="L370" s="8">
        <v>30.958049506723185</v>
      </c>
      <c r="M370" s="8">
        <v>13</v>
      </c>
    </row>
    <row r="371" spans="1:13" x14ac:dyDescent="0.3">
      <c r="A371" s="8">
        <v>360</v>
      </c>
      <c r="B371" s="8">
        <v>0.76605890117523345</v>
      </c>
      <c r="C371" s="8">
        <v>4.1558409559883103E-5</v>
      </c>
      <c r="D371" s="8">
        <v>18433.306502535663</v>
      </c>
      <c r="E371" s="8">
        <v>2.3617974939327269E-5</v>
      </c>
      <c r="F371" s="8">
        <v>32435.418495581391</v>
      </c>
      <c r="G371" s="8">
        <v>0.86093508464622404</v>
      </c>
      <c r="H371" s="8">
        <v>30.958101549312026</v>
      </c>
      <c r="I371" s="8">
        <v>30.958100168632335</v>
      </c>
      <c r="J371" s="8">
        <v>9.4876183470990527E-2</v>
      </c>
      <c r="K371" s="8">
        <v>30.958077931337087</v>
      </c>
      <c r="L371" s="8">
        <v>30.958058610222775</v>
      </c>
      <c r="M371" s="8">
        <v>15</v>
      </c>
    </row>
    <row r="372" spans="1:13" x14ac:dyDescent="0.3">
      <c r="A372" s="8">
        <v>361</v>
      </c>
      <c r="B372" s="8">
        <v>0.55215575161249886</v>
      </c>
      <c r="C372" s="8">
        <v>4.2081511114844261E-5</v>
      </c>
      <c r="D372" s="8">
        <v>13121.100858417743</v>
      </c>
      <c r="E372" s="8">
        <v>2.0475038940759305E-5</v>
      </c>
      <c r="F372" s="8">
        <v>26967.262587878744</v>
      </c>
      <c r="G372" s="8">
        <v>0.6883245958292955</v>
      </c>
      <c r="H372" s="8">
        <v>30.958100375575921</v>
      </c>
      <c r="I372" s="8">
        <v>30.958098821107292</v>
      </c>
      <c r="J372" s="8">
        <v>0.13616884421679668</v>
      </c>
      <c r="K372" s="8">
        <v>30.95807990053698</v>
      </c>
      <c r="L372" s="8">
        <v>30.958056739596177</v>
      </c>
      <c r="M372" s="8">
        <v>12</v>
      </c>
    </row>
    <row r="373" spans="1:13" x14ac:dyDescent="0.3">
      <c r="A373" s="8">
        <v>362</v>
      </c>
      <c r="B373" s="8">
        <v>0.54646331893675149</v>
      </c>
      <c r="C373" s="8">
        <v>5.6790112605398235E-5</v>
      </c>
      <c r="D373" s="8">
        <v>9622.5081068919535</v>
      </c>
      <c r="E373" s="8">
        <v>2.8249344516950714E-5</v>
      </c>
      <c r="F373" s="8">
        <v>19344.283142883265</v>
      </c>
      <c r="G373" s="8">
        <v>0.60878501835507493</v>
      </c>
      <c r="H373" s="8">
        <v>30.958101309038003</v>
      </c>
      <c r="I373" s="8">
        <v>30.958100688632317</v>
      </c>
      <c r="J373" s="8">
        <v>6.2321699418323426E-2</v>
      </c>
      <c r="K373" s="8">
        <v>30.958073059693486</v>
      </c>
      <c r="L373" s="8">
        <v>30.958043898519712</v>
      </c>
      <c r="M373" s="8">
        <v>10</v>
      </c>
    </row>
    <row r="374" spans="1:13" x14ac:dyDescent="0.3">
      <c r="A374" s="8">
        <v>363</v>
      </c>
      <c r="B374" s="8">
        <v>0.70696766006552125</v>
      </c>
      <c r="C374" s="8">
        <v>4.6341977348873797E-5</v>
      </c>
      <c r="D374" s="8">
        <v>15255.448742363644</v>
      </c>
      <c r="E374" s="8">
        <v>2.0385913138909473E-5</v>
      </c>
      <c r="F374" s="8">
        <v>34679.22458259527</v>
      </c>
      <c r="G374" s="8">
        <v>0.79261275092678329</v>
      </c>
      <c r="H374" s="8">
        <v>30.958101432254637</v>
      </c>
      <c r="I374" s="8">
        <v>30.958100331463964</v>
      </c>
      <c r="J374" s="8">
        <v>8.5645090861262083E-2</v>
      </c>
      <c r="K374" s="8">
        <v>30.958081046341498</v>
      </c>
      <c r="L374" s="8">
        <v>30.958053989486615</v>
      </c>
      <c r="M374" s="8">
        <v>9</v>
      </c>
    </row>
    <row r="375" spans="1:13" x14ac:dyDescent="0.3">
      <c r="A375" s="8">
        <v>364</v>
      </c>
      <c r="B375" s="8">
        <v>0.26452773420894116</v>
      </c>
      <c r="C375" s="8">
        <v>3.7580937917169877E-5</v>
      </c>
      <c r="D375" s="8">
        <v>7038.8805833418128</v>
      </c>
      <c r="E375" s="8">
        <v>1.8194339165944484E-5</v>
      </c>
      <c r="F375" s="8">
        <v>14539.013030166809</v>
      </c>
      <c r="G375" s="8">
        <v>0.29709878754245583</v>
      </c>
      <c r="H375" s="8">
        <v>30.9581001094522</v>
      </c>
      <c r="I375" s="8">
        <v>30.958096836263415</v>
      </c>
      <c r="J375" s="8">
        <v>3.2571053333514656E-2</v>
      </c>
      <c r="K375" s="8">
        <v>30.958081915113034</v>
      </c>
      <c r="L375" s="8">
        <v>30.958059255325498</v>
      </c>
      <c r="M375" s="8">
        <v>15</v>
      </c>
    </row>
    <row r="376" spans="1:13" x14ac:dyDescent="0.3">
      <c r="A376" s="8">
        <v>365</v>
      </c>
      <c r="B376" s="8">
        <v>0.25239744824709864</v>
      </c>
      <c r="C376" s="8">
        <v>8.5725042993090028E-5</v>
      </c>
      <c r="D376" s="8">
        <v>2944.267385989453</v>
      </c>
      <c r="E376" s="8">
        <v>7.1029349658857655E-5</v>
      </c>
      <c r="F376" s="8">
        <v>3553.4247386372294</v>
      </c>
      <c r="G376" s="8">
        <v>0.42250842609451528</v>
      </c>
      <c r="H376" s="8">
        <v>30.958100863742285</v>
      </c>
      <c r="I376" s="8">
        <v>30.958100625176215</v>
      </c>
      <c r="J376" s="8">
        <v>0.17011097784741663</v>
      </c>
      <c r="K376" s="8">
        <v>30.958029834392626</v>
      </c>
      <c r="L376" s="8">
        <v>30.958014900133222</v>
      </c>
      <c r="M376" s="8">
        <v>13</v>
      </c>
    </row>
    <row r="377" spans="1:13" x14ac:dyDescent="0.3">
      <c r="A377" s="8">
        <v>366</v>
      </c>
      <c r="B377" s="8">
        <v>0.63823713905087087</v>
      </c>
      <c r="C377" s="8">
        <v>8.9804871215903859E-5</v>
      </c>
      <c r="D377" s="8">
        <v>7106.9322900809775</v>
      </c>
      <c r="E377" s="8">
        <v>5.7794342360750761E-5</v>
      </c>
      <c r="F377" s="8">
        <v>11043.245981881955</v>
      </c>
      <c r="G377" s="8">
        <v>1.0945482304091623</v>
      </c>
      <c r="H377" s="8">
        <v>30.958077886089555</v>
      </c>
      <c r="I377" s="8">
        <v>30.958063636653744</v>
      </c>
      <c r="J377" s="8">
        <v>0.4563110913582914</v>
      </c>
      <c r="K377" s="8">
        <v>30.958020091747194</v>
      </c>
      <c r="L377" s="8">
        <v>30.957973831782528</v>
      </c>
      <c r="M377" s="8">
        <v>9</v>
      </c>
    </row>
    <row r="378" spans="1:13" x14ac:dyDescent="0.3">
      <c r="A378" s="8">
        <v>367</v>
      </c>
      <c r="B378" s="8">
        <v>0.30434953754036365</v>
      </c>
      <c r="C378" s="8">
        <v>8.1930156337506332E-5</v>
      </c>
      <c r="D378" s="8">
        <v>3714.7437664663316</v>
      </c>
      <c r="E378" s="8">
        <v>7.4441396332503018E-5</v>
      </c>
      <c r="F378" s="8">
        <v>4088.4447704465861</v>
      </c>
      <c r="G378" s="8">
        <v>0.43938588714334265</v>
      </c>
      <c r="H378" s="8">
        <v>30.958101503780206</v>
      </c>
      <c r="I378" s="8">
        <v>30.958101031203583</v>
      </c>
      <c r="J378" s="8">
        <v>0.13503634960297897</v>
      </c>
      <c r="K378" s="8">
        <v>30.958027062383874</v>
      </c>
      <c r="L378" s="8">
        <v>30.958019101047245</v>
      </c>
      <c r="M378" s="8">
        <v>11</v>
      </c>
    </row>
    <row r="379" spans="1:13" x14ac:dyDescent="0.3">
      <c r="A379" s="8">
        <v>368</v>
      </c>
      <c r="B379" s="8">
        <v>0.62350656385501624</v>
      </c>
      <c r="C379" s="8">
        <v>7.278677239952458E-5</v>
      </c>
      <c r="D379" s="8">
        <v>8566.2070634566116</v>
      </c>
      <c r="E379" s="8">
        <v>4.8844995085062237E-5</v>
      </c>
      <c r="F379" s="8">
        <v>12765.004127223197</v>
      </c>
      <c r="G379" s="8">
        <v>0.71905909049740147</v>
      </c>
      <c r="H379" s="8">
        <v>30.958094103350085</v>
      </c>
      <c r="I379" s="8">
        <v>30.958088535545478</v>
      </c>
      <c r="J379" s="8">
        <v>9.5552526642385269E-2</v>
      </c>
      <c r="K379" s="8">
        <v>30.958045258355</v>
      </c>
      <c r="L379" s="8">
        <v>30.958015748773079</v>
      </c>
      <c r="M379" s="8">
        <v>12</v>
      </c>
    </row>
    <row r="380" spans="1:13" x14ac:dyDescent="0.3">
      <c r="A380" s="8">
        <v>369</v>
      </c>
      <c r="B380" s="8">
        <v>0.33418909593936114</v>
      </c>
      <c r="C380" s="8">
        <v>1.1311952237491596E-4</v>
      </c>
      <c r="D380" s="8">
        <v>2954.3008043452182</v>
      </c>
      <c r="E380" s="8">
        <v>9.8746278244021823E-5</v>
      </c>
      <c r="F380" s="8">
        <v>3384.3209271494056</v>
      </c>
      <c r="G380" s="8">
        <v>0.68468401075783136</v>
      </c>
      <c r="H380" s="8">
        <v>30.958101448690957</v>
      </c>
      <c r="I380" s="8">
        <v>30.958100805775306</v>
      </c>
      <c r="J380" s="8">
        <v>0.35049491481847023</v>
      </c>
      <c r="K380" s="8">
        <v>30.958002702412713</v>
      </c>
      <c r="L380" s="8">
        <v>30.957987686252931</v>
      </c>
      <c r="M380" s="8">
        <v>10</v>
      </c>
    </row>
    <row r="381" spans="1:13" x14ac:dyDescent="0.3">
      <c r="A381" s="8">
        <v>370</v>
      </c>
      <c r="B381" s="8">
        <v>0.50111679579689594</v>
      </c>
      <c r="C381" s="8">
        <v>5.9623676584408258E-5</v>
      </c>
      <c r="D381" s="8">
        <v>8404.6611095421649</v>
      </c>
      <c r="E381" s="8">
        <v>3.5316598417267642E-5</v>
      </c>
      <c r="F381" s="8">
        <v>14189.27128474187</v>
      </c>
      <c r="G381" s="8">
        <v>0.72156309599655222</v>
      </c>
      <c r="H381" s="8">
        <v>30.958101543503751</v>
      </c>
      <c r="I381" s="8">
        <v>30.958101034090539</v>
      </c>
      <c r="J381" s="8">
        <v>0.2204463001996563</v>
      </c>
      <c r="K381" s="8">
        <v>30.958066226905334</v>
      </c>
      <c r="L381" s="8">
        <v>30.958041410413955</v>
      </c>
      <c r="M381" s="8">
        <v>14</v>
      </c>
    </row>
    <row r="382" spans="1:13" x14ac:dyDescent="0.3">
      <c r="A382" s="8">
        <v>371</v>
      </c>
      <c r="B382" s="8">
        <v>0.40316009905082761</v>
      </c>
      <c r="C382" s="8">
        <v>7.2603665611126189E-5</v>
      </c>
      <c r="D382" s="8">
        <v>5552.8890402063271</v>
      </c>
      <c r="E382" s="8">
        <v>5.6133131018043514E-5</v>
      </c>
      <c r="F382" s="8">
        <v>7182.2129237942427</v>
      </c>
      <c r="G382" s="8">
        <v>0.45985291069269729</v>
      </c>
      <c r="H382" s="8">
        <v>30.958101461592562</v>
      </c>
      <c r="I382" s="8">
        <v>30.958101309759488</v>
      </c>
      <c r="J382" s="8">
        <v>5.6692811641869678E-2</v>
      </c>
      <c r="K382" s="8">
        <v>30.958045328461544</v>
      </c>
      <c r="L382" s="8">
        <v>30.958028706093877</v>
      </c>
      <c r="M382" s="8">
        <v>14</v>
      </c>
    </row>
    <row r="383" spans="1:13" x14ac:dyDescent="0.3">
      <c r="A383" s="8">
        <v>372</v>
      </c>
      <c r="B383" s="8">
        <v>0.33194710374648889</v>
      </c>
      <c r="C383" s="8">
        <v>3.466305671651071E-5</v>
      </c>
      <c r="D383" s="8">
        <v>9576.3944438395647</v>
      </c>
      <c r="E383" s="8">
        <v>2.1262349324757679E-5</v>
      </c>
      <c r="F383" s="8">
        <v>15611.967364301216</v>
      </c>
      <c r="G383" s="8">
        <v>0.38001038089209632</v>
      </c>
      <c r="H383" s="8">
        <v>30.95810143810457</v>
      </c>
      <c r="I383" s="8">
        <v>30.958100813498984</v>
      </c>
      <c r="J383" s="8">
        <v>4.8063277145607423E-2</v>
      </c>
      <c r="K383" s="8">
        <v>30.958080175755246</v>
      </c>
      <c r="L383" s="8">
        <v>30.958066150442267</v>
      </c>
      <c r="M383" s="8">
        <v>10</v>
      </c>
    </row>
    <row r="384" spans="1:13" x14ac:dyDescent="0.3">
      <c r="A384" s="8">
        <v>373</v>
      </c>
      <c r="B384" s="8">
        <v>0.49602927460105684</v>
      </c>
      <c r="C384" s="8">
        <v>9.2661680909600364E-5</v>
      </c>
      <c r="D384" s="8">
        <v>5353.1219133071536</v>
      </c>
      <c r="E384" s="8">
        <v>7.3651333206470326E-5</v>
      </c>
      <c r="F384" s="8">
        <v>6734.8308985869153</v>
      </c>
      <c r="G384" s="8">
        <v>0.74188670273744917</v>
      </c>
      <c r="H384" s="8">
        <v>30.958100133180224</v>
      </c>
      <c r="I384" s="8">
        <v>30.958097920714728</v>
      </c>
      <c r="J384" s="8">
        <v>0.24585742813639233</v>
      </c>
      <c r="K384" s="8">
        <v>30.958026481847018</v>
      </c>
      <c r="L384" s="8">
        <v>30.958005259033818</v>
      </c>
      <c r="M384" s="8">
        <v>11</v>
      </c>
    </row>
    <row r="385" spans="1:13" x14ac:dyDescent="0.3">
      <c r="A385" s="8">
        <v>374</v>
      </c>
      <c r="B385" s="8">
        <v>0.80715968213453992</v>
      </c>
      <c r="C385" s="8">
        <v>3.1064291796667476E-5</v>
      </c>
      <c r="D385" s="8">
        <v>25983.521125085834</v>
      </c>
      <c r="E385" s="8">
        <v>4.6669938846832792E-6</v>
      </c>
      <c r="F385" s="8">
        <v>172950.66204898551</v>
      </c>
      <c r="G385" s="8">
        <v>0.86042623546932639</v>
      </c>
      <c r="H385" s="8">
        <v>30.958101548303794</v>
      </c>
      <c r="I385" s="8">
        <v>30.958101341387536</v>
      </c>
      <c r="J385" s="8">
        <v>5.3266553334786498E-2</v>
      </c>
      <c r="K385" s="8">
        <v>30.95809688130991</v>
      </c>
      <c r="L385" s="8">
        <v>30.958070277095739</v>
      </c>
      <c r="M385" s="8">
        <v>9</v>
      </c>
    </row>
    <row r="386" spans="1:13" x14ac:dyDescent="0.3">
      <c r="A386" s="8">
        <v>375</v>
      </c>
      <c r="B386" s="8">
        <v>0.326438506824964</v>
      </c>
      <c r="C386" s="8">
        <v>8.8296143804456051E-5</v>
      </c>
      <c r="D386" s="8">
        <v>3697.0867895194488</v>
      </c>
      <c r="E386" s="8">
        <v>7.369967390502552E-5</v>
      </c>
      <c r="F386" s="8">
        <v>4429.3073432812625</v>
      </c>
      <c r="G386" s="8">
        <v>0.51830295073192512</v>
      </c>
      <c r="H386" s="8">
        <v>30.958088767237374</v>
      </c>
      <c r="I386" s="8">
        <v>30.958085461624652</v>
      </c>
      <c r="J386" s="8">
        <v>0.19186444390696114</v>
      </c>
      <c r="K386" s="8">
        <v>30.958015067563469</v>
      </c>
      <c r="L386" s="8">
        <v>30.957997165480847</v>
      </c>
      <c r="M386" s="8">
        <v>13</v>
      </c>
    </row>
    <row r="387" spans="1:13" x14ac:dyDescent="0.3">
      <c r="A387" s="8">
        <v>376</v>
      </c>
      <c r="B387" s="8">
        <v>0.3925603469948003</v>
      </c>
      <c r="C387" s="8">
        <v>2.5905293078665181E-5</v>
      </c>
      <c r="D387" s="8">
        <v>15153.673259080058</v>
      </c>
      <c r="E387" s="8">
        <v>8.5414676433970271E-6</v>
      </c>
      <c r="F387" s="8">
        <v>45959.355392309968</v>
      </c>
      <c r="G387" s="8">
        <v>0.42271752040441835</v>
      </c>
      <c r="H387" s="8">
        <v>30.958100410379107</v>
      </c>
      <c r="I387" s="8">
        <v>30.958097614521837</v>
      </c>
      <c r="J387" s="8">
        <v>3.0157173409618047E-2</v>
      </c>
      <c r="K387" s="8">
        <v>30.958091868911463</v>
      </c>
      <c r="L387" s="8">
        <v>30.958071709228758</v>
      </c>
      <c r="M387" s="8">
        <v>10</v>
      </c>
    </row>
    <row r="388" spans="1:13" x14ac:dyDescent="0.3">
      <c r="A388" s="8">
        <v>377</v>
      </c>
      <c r="B388" s="8">
        <v>0.58337378373074555</v>
      </c>
      <c r="C388" s="8">
        <v>5.2190844993305063E-5</v>
      </c>
      <c r="D388" s="8">
        <v>11177.70336551515</v>
      </c>
      <c r="E388" s="8">
        <v>1.7216222410354476E-5</v>
      </c>
      <c r="F388" s="8">
        <v>33885.121243547765</v>
      </c>
      <c r="G388" s="8">
        <v>0.7807708178760685</v>
      </c>
      <c r="H388" s="8">
        <v>30.958101550246891</v>
      </c>
      <c r="I388" s="8">
        <v>30.958100509863765</v>
      </c>
      <c r="J388" s="8">
        <v>0.19739703414532292</v>
      </c>
      <c r="K388" s="8">
        <v>30.95808433402448</v>
      </c>
      <c r="L388" s="8">
        <v>30.958048319018772</v>
      </c>
      <c r="M388" s="8">
        <v>12</v>
      </c>
    </row>
    <row r="389" spans="1:13" x14ac:dyDescent="0.3">
      <c r="A389" s="8">
        <v>378</v>
      </c>
      <c r="B389" s="8">
        <v>0.46000240825455302</v>
      </c>
      <c r="C389" s="8">
        <v>6.005840667100415E-5</v>
      </c>
      <c r="D389" s="8">
        <v>7659.2509484045222</v>
      </c>
      <c r="E389" s="8">
        <v>3.6132547599265763E-5</v>
      </c>
      <c r="F389" s="8">
        <v>12730.970795535617</v>
      </c>
      <c r="G389" s="8">
        <v>0.63798494237253589</v>
      </c>
      <c r="H389" s="8">
        <v>30.958101467928156</v>
      </c>
      <c r="I389" s="8">
        <v>30.958101264835715</v>
      </c>
      <c r="J389" s="8">
        <v>0.17798253411798287</v>
      </c>
      <c r="K389" s="8">
        <v>30.958065335380557</v>
      </c>
      <c r="L389" s="8">
        <v>30.958041206429044</v>
      </c>
      <c r="M389" s="8">
        <v>12</v>
      </c>
    </row>
    <row r="390" spans="1:13" x14ac:dyDescent="0.3">
      <c r="A390" s="8">
        <v>379</v>
      </c>
      <c r="B390" s="8">
        <v>1.1130994885807968</v>
      </c>
      <c r="C390" s="8">
        <v>5.9924515440457071E-5</v>
      </c>
      <c r="D390" s="8">
        <v>18575.026938462412</v>
      </c>
      <c r="E390" s="8">
        <v>1.3793750031965146E-5</v>
      </c>
      <c r="F390" s="8">
        <v>80695.930113373048</v>
      </c>
      <c r="G390" s="8">
        <v>1.1513660377257127</v>
      </c>
      <c r="H390" s="8">
        <v>30.958101484834327</v>
      </c>
      <c r="I390" s="8">
        <v>30.958100116500553</v>
      </c>
      <c r="J390" s="8">
        <v>3.8266549144915882E-2</v>
      </c>
      <c r="K390" s="8">
        <v>30.958087691084295</v>
      </c>
      <c r="L390" s="8">
        <v>30.958040191985113</v>
      </c>
      <c r="M390" s="8">
        <v>9</v>
      </c>
    </row>
    <row r="391" spans="1:13" x14ac:dyDescent="0.3">
      <c r="A391" s="8">
        <v>380</v>
      </c>
      <c r="B391" s="8">
        <v>0.51414405833257015</v>
      </c>
      <c r="C391" s="8">
        <v>4.2468294051190014E-5</v>
      </c>
      <c r="D391" s="8">
        <v>12106.539003258202</v>
      </c>
      <c r="E391" s="8">
        <v>8.7476659871299489E-6</v>
      </c>
      <c r="F391" s="8">
        <v>58774.998849865486</v>
      </c>
      <c r="G391" s="8">
        <v>0.53845230739000183</v>
      </c>
      <c r="H391" s="8">
        <v>30.958101547017829</v>
      </c>
      <c r="I391" s="8">
        <v>30.958100224012501</v>
      </c>
      <c r="J391" s="8">
        <v>2.4308249057431695E-2</v>
      </c>
      <c r="K391" s="8">
        <v>30.958092799351842</v>
      </c>
      <c r="L391" s="8">
        <v>30.95805775571845</v>
      </c>
      <c r="M391" s="8">
        <v>10</v>
      </c>
    </row>
    <row r="392" spans="1:13" x14ac:dyDescent="0.3">
      <c r="A392" s="8">
        <v>381</v>
      </c>
      <c r="B392" s="8">
        <v>0.57345755193707881</v>
      </c>
      <c r="C392" s="8">
        <v>4.9305629438833876E-5</v>
      </c>
      <c r="D392" s="8">
        <v>11630.67094901368</v>
      </c>
      <c r="E392" s="8">
        <v>1.7962975917384938E-5</v>
      </c>
      <c r="F392" s="8">
        <v>31924.418012611975</v>
      </c>
      <c r="G392" s="8">
        <v>0.64908602913082569</v>
      </c>
      <c r="H392" s="8">
        <v>30.958101245715774</v>
      </c>
      <c r="I392" s="8">
        <v>30.958100675639873</v>
      </c>
      <c r="J392" s="8">
        <v>7.5628477193746907E-2</v>
      </c>
      <c r="K392" s="8">
        <v>30.958083282739857</v>
      </c>
      <c r="L392" s="8">
        <v>30.958051370010434</v>
      </c>
      <c r="M392" s="8">
        <v>14</v>
      </c>
    </row>
    <row r="393" spans="1:13" x14ac:dyDescent="0.3">
      <c r="A393" s="8">
        <v>382</v>
      </c>
      <c r="B393" s="8">
        <v>0.42556634480077915</v>
      </c>
      <c r="C393" s="8">
        <v>7.1499694499266297E-5</v>
      </c>
      <c r="D393" s="8">
        <v>5952.0022817041008</v>
      </c>
      <c r="E393" s="8">
        <v>4.5747440871934941E-5</v>
      </c>
      <c r="F393" s="8">
        <v>9302.5169646561553</v>
      </c>
      <c r="G393" s="8">
        <v>0.48531905490726623</v>
      </c>
      <c r="H393" s="8">
        <v>30.958098341401023</v>
      </c>
      <c r="I393" s="8">
        <v>30.958096271619844</v>
      </c>
      <c r="J393" s="8">
        <v>5.9752710106487084E-2</v>
      </c>
      <c r="K393" s="8">
        <v>30.958052593960151</v>
      </c>
      <c r="L393" s="8">
        <v>30.958024771925345</v>
      </c>
      <c r="M393" s="8">
        <v>10</v>
      </c>
    </row>
    <row r="394" spans="1:13" x14ac:dyDescent="0.3">
      <c r="A394" s="8">
        <v>383</v>
      </c>
      <c r="B394" s="8">
        <v>0.40113895900268415</v>
      </c>
      <c r="C394" s="8">
        <v>6.3567710022027768E-5</v>
      </c>
      <c r="D394" s="8">
        <v>6310.420162432777</v>
      </c>
      <c r="E394" s="8">
        <v>4.1366790860308811E-5</v>
      </c>
      <c r="F394" s="8">
        <v>9697.1254153431219</v>
      </c>
      <c r="G394" s="8">
        <v>0.46402407808057278</v>
      </c>
      <c r="H394" s="8">
        <v>30.958100130848862</v>
      </c>
      <c r="I394" s="8">
        <v>30.958098935040645</v>
      </c>
      <c r="J394" s="8">
        <v>6.2885119077888602E-2</v>
      </c>
      <c r="K394" s="8">
        <v>30.958058764058002</v>
      </c>
      <c r="L394" s="8">
        <v>30.958035367330623</v>
      </c>
      <c r="M394" s="8">
        <v>14</v>
      </c>
    </row>
    <row r="395" spans="1:13" x14ac:dyDescent="0.3">
      <c r="A395" s="8">
        <v>384</v>
      </c>
      <c r="B395" s="8">
        <v>0.81068532996633658</v>
      </c>
      <c r="C395" s="8">
        <v>1.3591373792820605E-4</v>
      </c>
      <c r="D395" s="8">
        <v>5964.704836493911</v>
      </c>
      <c r="E395" s="8">
        <v>1.1029283711394555E-4</v>
      </c>
      <c r="F395" s="8">
        <v>7350.2989965595198</v>
      </c>
      <c r="G395" s="8">
        <v>1.0427233852930775</v>
      </c>
      <c r="H395" s="8">
        <v>30.958094919515819</v>
      </c>
      <c r="I395" s="8">
        <v>30.958091649576595</v>
      </c>
      <c r="J395" s="8">
        <v>0.23203805532674093</v>
      </c>
      <c r="K395" s="8">
        <v>30.957984626678705</v>
      </c>
      <c r="L395" s="8">
        <v>30.957955735838667</v>
      </c>
      <c r="M395" s="8">
        <v>14</v>
      </c>
    </row>
    <row r="396" spans="1:13" x14ac:dyDescent="0.3">
      <c r="A396" s="8">
        <v>385</v>
      </c>
      <c r="B396" s="8">
        <v>0.55901498043442244</v>
      </c>
      <c r="C396" s="8">
        <v>2.8252365780190303E-5</v>
      </c>
      <c r="D396" s="8">
        <v>19786.483892488279</v>
      </c>
      <c r="E396" s="8">
        <v>7.6163709046284112E-6</v>
      </c>
      <c r="F396" s="8">
        <v>73396.501750553303</v>
      </c>
      <c r="G396" s="8">
        <v>0.59495703564527214</v>
      </c>
      <c r="H396" s="8">
        <v>30.958101241216728</v>
      </c>
      <c r="I396" s="8">
        <v>30.958099746431397</v>
      </c>
      <c r="J396" s="8">
        <v>3.5942055210849658E-2</v>
      </c>
      <c r="K396" s="8">
        <v>30.958093624845823</v>
      </c>
      <c r="L396" s="8">
        <v>30.958071494065617</v>
      </c>
      <c r="M396" s="8">
        <v>15</v>
      </c>
    </row>
    <row r="397" spans="1:13" x14ac:dyDescent="0.3">
      <c r="A397" s="8">
        <v>386</v>
      </c>
      <c r="B397" s="8">
        <v>0.53457354679463354</v>
      </c>
      <c r="C397" s="8">
        <v>7.7220981221870488E-5</v>
      </c>
      <c r="D397" s="8">
        <v>6922.6463887929967</v>
      </c>
      <c r="E397" s="8">
        <v>5.1865427554531607E-5</v>
      </c>
      <c r="F397" s="8">
        <v>10306.934156333327</v>
      </c>
      <c r="G397" s="8">
        <v>0.64569714577995252</v>
      </c>
      <c r="H397" s="8">
        <v>30.958099657599149</v>
      </c>
      <c r="I397" s="8">
        <v>30.958098688859113</v>
      </c>
      <c r="J397" s="8">
        <v>0.11112359898531902</v>
      </c>
      <c r="K397" s="8">
        <v>30.958047792171595</v>
      </c>
      <c r="L397" s="8">
        <v>30.958021467877892</v>
      </c>
      <c r="M397" s="8">
        <v>12</v>
      </c>
    </row>
    <row r="398" spans="1:13" x14ac:dyDescent="0.3">
      <c r="A398" s="8">
        <v>387</v>
      </c>
      <c r="B398" s="8">
        <v>0.42858777199982434</v>
      </c>
      <c r="C398" s="8">
        <v>1.3137667465557001E-4</v>
      </c>
      <c r="D398" s="8">
        <v>3262.2820841176876</v>
      </c>
      <c r="E398" s="8">
        <v>1.1592431852491814E-4</v>
      </c>
      <c r="F398" s="8">
        <v>3697.134280825629</v>
      </c>
      <c r="G398" s="8">
        <v>1.2164915501858078</v>
      </c>
      <c r="H398" s="8">
        <v>30.958101486881628</v>
      </c>
      <c r="I398" s="8">
        <v>30.958101265702023</v>
      </c>
      <c r="J398" s="8">
        <v>0.78790377818598345</v>
      </c>
      <c r="K398" s="8">
        <v>30.957985562563103</v>
      </c>
      <c r="L398" s="8">
        <v>30.957969889027368</v>
      </c>
      <c r="M398" s="8">
        <v>10</v>
      </c>
    </row>
    <row r="399" spans="1:13" x14ac:dyDescent="0.3">
      <c r="A399" s="8">
        <v>388</v>
      </c>
      <c r="B399" s="8">
        <v>0.26965402603453797</v>
      </c>
      <c r="C399" s="8">
        <v>3.0400386467732687E-5</v>
      </c>
      <c r="D399" s="8">
        <v>8870.0854616026609</v>
      </c>
      <c r="E399" s="8">
        <v>1.4056891803448934E-5</v>
      </c>
      <c r="F399" s="8">
        <v>19183.047703929606</v>
      </c>
      <c r="G399" s="8">
        <v>0.33470900207629217</v>
      </c>
      <c r="H399" s="8">
        <v>30.958100918006128</v>
      </c>
      <c r="I399" s="8">
        <v>30.9580999804441</v>
      </c>
      <c r="J399" s="8">
        <v>6.5054976041754198E-2</v>
      </c>
      <c r="K399" s="8">
        <v>30.958086861114325</v>
      </c>
      <c r="L399" s="8">
        <v>30.958069580057632</v>
      </c>
      <c r="M399" s="8">
        <v>10</v>
      </c>
    </row>
    <row r="400" spans="1:13" x14ac:dyDescent="0.3">
      <c r="A400" s="8">
        <v>389</v>
      </c>
      <c r="B400" s="8">
        <v>0.75080675934229046</v>
      </c>
      <c r="C400" s="8">
        <v>7.0917614074517132E-5</v>
      </c>
      <c r="D400" s="8">
        <v>10587.027907529087</v>
      </c>
      <c r="E400" s="8">
        <v>4.3055817375403649E-5</v>
      </c>
      <c r="F400" s="8">
        <v>17437.986435050268</v>
      </c>
      <c r="G400" s="8">
        <v>0.87968235165323905</v>
      </c>
      <c r="H400" s="8">
        <v>30.958101335018846</v>
      </c>
      <c r="I400" s="8">
        <v>30.958099083269975</v>
      </c>
      <c r="J400" s="8">
        <v>0.12887559231094861</v>
      </c>
      <c r="K400" s="8">
        <v>30.95805827920147</v>
      </c>
      <c r="L400" s="8">
        <v>30.9580281656559</v>
      </c>
      <c r="M400" s="8">
        <v>11</v>
      </c>
    </row>
    <row r="401" spans="1:13" x14ac:dyDescent="0.3">
      <c r="A401" s="8">
        <v>390</v>
      </c>
      <c r="B401" s="8">
        <v>0.13038937315897781</v>
      </c>
      <c r="C401" s="8">
        <v>9.46342204741768E-5</v>
      </c>
      <c r="D401" s="8">
        <v>1377.8247710568678</v>
      </c>
      <c r="E401" s="8">
        <v>7.8115170609294182E-5</v>
      </c>
      <c r="F401" s="8">
        <v>1669.1939880812859</v>
      </c>
      <c r="G401" s="8">
        <v>0.78484003723024842</v>
      </c>
      <c r="H401" s="8">
        <v>30.958101041468918</v>
      </c>
      <c r="I401" s="8">
        <v>30.958099945262152</v>
      </c>
      <c r="J401" s="8">
        <v>0.65445066407127062</v>
      </c>
      <c r="K401" s="8">
        <v>30.958022926298309</v>
      </c>
      <c r="L401" s="8">
        <v>30.958005311041678</v>
      </c>
      <c r="M401" s="8">
        <v>12</v>
      </c>
    </row>
    <row r="402" spans="1:13" x14ac:dyDescent="0.3">
      <c r="A402" s="8">
        <v>391</v>
      </c>
      <c r="B402" s="8">
        <v>0.44293593400373998</v>
      </c>
      <c r="C402" s="8">
        <v>7.8169641405168022E-5</v>
      </c>
      <c r="D402" s="8">
        <v>5666.3421507579824</v>
      </c>
      <c r="E402" s="8">
        <v>5.3765315005449565E-5</v>
      </c>
      <c r="F402" s="8">
        <v>8238.3211919960795</v>
      </c>
      <c r="G402" s="8">
        <v>0.57721881381790774</v>
      </c>
      <c r="H402" s="8">
        <v>30.958099704352041</v>
      </c>
      <c r="I402" s="8">
        <v>30.95809853460737</v>
      </c>
      <c r="J402" s="8">
        <v>0.13428287981416775</v>
      </c>
      <c r="K402" s="8">
        <v>30.958045939037035</v>
      </c>
      <c r="L402" s="8">
        <v>30.958020364965964</v>
      </c>
      <c r="M402" s="8">
        <v>9</v>
      </c>
    </row>
    <row r="403" spans="1:13" x14ac:dyDescent="0.3">
      <c r="A403" s="8">
        <v>392</v>
      </c>
      <c r="B403" s="8">
        <v>0.39093779266072293</v>
      </c>
      <c r="C403" s="8">
        <v>4.823307082446604E-5</v>
      </c>
      <c r="D403" s="8">
        <v>8105.1814860276581</v>
      </c>
      <c r="E403" s="8">
        <v>3.1973237032190127E-5</v>
      </c>
      <c r="F403" s="8">
        <v>12227.032010150653</v>
      </c>
      <c r="G403" s="8">
        <v>0.44920951218792915</v>
      </c>
      <c r="H403" s="8">
        <v>30.958099266761526</v>
      </c>
      <c r="I403" s="8">
        <v>30.958096951895644</v>
      </c>
      <c r="J403" s="8">
        <v>5.8271719527206209E-2</v>
      </c>
      <c r="K403" s="8">
        <v>30.958067293524493</v>
      </c>
      <c r="L403" s="8">
        <v>30.95804871882482</v>
      </c>
      <c r="M403" s="8">
        <v>11</v>
      </c>
    </row>
    <row r="404" spans="1:13" x14ac:dyDescent="0.3">
      <c r="A404" s="8">
        <v>393</v>
      </c>
      <c r="B404" s="8">
        <v>0.73834990348000618</v>
      </c>
      <c r="C404" s="8">
        <v>6.1653547607676273E-5</v>
      </c>
      <c r="D404" s="8">
        <v>11975.78942542597</v>
      </c>
      <c r="E404" s="8">
        <v>2.8127569418501253E-5</v>
      </c>
      <c r="F404" s="8">
        <v>26250.042884770111</v>
      </c>
      <c r="G404" s="8">
        <v>0.90349045897726921</v>
      </c>
      <c r="H404" s="8">
        <v>30.958101028739733</v>
      </c>
      <c r="I404" s="8">
        <v>30.958100326396892</v>
      </c>
      <c r="J404" s="8">
        <v>0.16514055549726303</v>
      </c>
      <c r="K404" s="8">
        <v>30.958072901170315</v>
      </c>
      <c r="L404" s="8">
        <v>30.958038672849284</v>
      </c>
      <c r="M404" s="8">
        <v>13</v>
      </c>
    </row>
    <row r="405" spans="1:13" x14ac:dyDescent="0.3">
      <c r="A405" s="8">
        <v>394</v>
      </c>
      <c r="B405" s="8">
        <v>0.68769544722554743</v>
      </c>
      <c r="C405" s="8">
        <v>3.9901708536405067E-5</v>
      </c>
      <c r="D405" s="8">
        <v>17234.736868425462</v>
      </c>
      <c r="E405" s="8">
        <v>2.1396084203928467E-5</v>
      </c>
      <c r="F405" s="8">
        <v>32141.182501949672</v>
      </c>
      <c r="G405" s="8">
        <v>0.72646675512788117</v>
      </c>
      <c r="H405" s="8">
        <v>30.958100708525905</v>
      </c>
      <c r="I405" s="8">
        <v>30.95809963687903</v>
      </c>
      <c r="J405" s="8">
        <v>3.8771307902333685E-2</v>
      </c>
      <c r="K405" s="8">
        <v>30.958079312441701</v>
      </c>
      <c r="L405" s="8">
        <v>30.958059735170494</v>
      </c>
      <c r="M405" s="8">
        <v>13</v>
      </c>
    </row>
    <row r="406" spans="1:13" x14ac:dyDescent="0.3">
      <c r="A406" s="8">
        <v>395</v>
      </c>
      <c r="B406" s="8">
        <v>0.79932623285300464</v>
      </c>
      <c r="C406" s="8">
        <v>1.9166148046068088E-4</v>
      </c>
      <c r="D406" s="8">
        <v>4170.5105842432722</v>
      </c>
      <c r="E406" s="8">
        <v>1.5239305025716021E-4</v>
      </c>
      <c r="F406" s="8">
        <v>5245.1619775584104</v>
      </c>
      <c r="G406" s="8">
        <v>0.9976134312747722</v>
      </c>
      <c r="H406" s="8">
        <v>30.958100953157679</v>
      </c>
      <c r="I406" s="8">
        <v>30.958100184741799</v>
      </c>
      <c r="J406" s="8">
        <v>0.19828719842176754</v>
      </c>
      <c r="K406" s="8">
        <v>30.957948560107422</v>
      </c>
      <c r="L406" s="8">
        <v>30.957908523261338</v>
      </c>
      <c r="M406" s="8">
        <v>10</v>
      </c>
    </row>
    <row r="407" spans="1:13" x14ac:dyDescent="0.3">
      <c r="A407" s="8">
        <v>396</v>
      </c>
      <c r="B407" s="8">
        <v>0.31861254660036675</v>
      </c>
      <c r="C407" s="8">
        <v>5.7316050519062856E-5</v>
      </c>
      <c r="D407" s="8">
        <v>5558.8712710482168</v>
      </c>
      <c r="E407" s="8">
        <v>4.8436374530780313E-5</v>
      </c>
      <c r="F407" s="8">
        <v>6577.9602558382039</v>
      </c>
      <c r="G407" s="8">
        <v>0.51430649232159875</v>
      </c>
      <c r="H407" s="8">
        <v>30.958101478937692</v>
      </c>
      <c r="I407" s="8">
        <v>30.958100722795486</v>
      </c>
      <c r="J407" s="8">
        <v>0.19569394572123203</v>
      </c>
      <c r="K407" s="8">
        <v>30.958053042563161</v>
      </c>
      <c r="L407" s="8">
        <v>30.958043406744967</v>
      </c>
      <c r="M407" s="8">
        <v>13</v>
      </c>
    </row>
    <row r="408" spans="1:13" x14ac:dyDescent="0.3">
      <c r="A408" s="8">
        <v>397</v>
      </c>
      <c r="B408" s="8">
        <v>0.62631099952947389</v>
      </c>
      <c r="C408" s="8">
        <v>8.2043994048319746E-5</v>
      </c>
      <c r="D408" s="8">
        <v>7633.8433640932753</v>
      </c>
      <c r="E408" s="8">
        <v>3.9537799040090249E-5</v>
      </c>
      <c r="F408" s="8">
        <v>15840.815997228668</v>
      </c>
      <c r="G408" s="8">
        <v>0.78461780662592329</v>
      </c>
      <c r="H408" s="8">
        <v>30.958100820321889</v>
      </c>
      <c r="I408" s="8">
        <v>30.958099077759574</v>
      </c>
      <c r="J408" s="8">
        <v>0.15830680709644943</v>
      </c>
      <c r="K408" s="8">
        <v>30.958061282522849</v>
      </c>
      <c r="L408" s="8">
        <v>30.958017033765525</v>
      </c>
      <c r="M408" s="8">
        <v>10</v>
      </c>
    </row>
    <row r="409" spans="1:13" x14ac:dyDescent="0.3">
      <c r="A409" s="8">
        <v>398</v>
      </c>
      <c r="B409" s="8">
        <v>0.64325583405171993</v>
      </c>
      <c r="C409" s="8">
        <v>3.9000471453221053E-5</v>
      </c>
      <c r="D409" s="8">
        <v>16493.539951773924</v>
      </c>
      <c r="E409" s="8">
        <v>1.4629096309448641E-5</v>
      </c>
      <c r="F409" s="8">
        <v>43970.989078543003</v>
      </c>
      <c r="G409" s="8">
        <v>0.67018136520928273</v>
      </c>
      <c r="H409" s="8">
        <v>30.958101543984302</v>
      </c>
      <c r="I409" s="8">
        <v>30.958101116699613</v>
      </c>
      <c r="J409" s="8">
        <v>2.6925531157562781E-2</v>
      </c>
      <c r="K409" s="8">
        <v>30.958086914887993</v>
      </c>
      <c r="L409" s="8">
        <v>30.95806211622816</v>
      </c>
      <c r="M409" s="8">
        <v>11</v>
      </c>
    </row>
    <row r="410" spans="1:13" x14ac:dyDescent="0.3">
      <c r="A410" s="8">
        <v>399</v>
      </c>
      <c r="B410" s="8">
        <v>0.92965990741880289</v>
      </c>
      <c r="C410" s="8">
        <v>5.6973871146226429E-5</v>
      </c>
      <c r="D410" s="8">
        <v>16317.30280417109</v>
      </c>
      <c r="E410" s="8">
        <v>3.063271768866116E-5</v>
      </c>
      <c r="F410" s="8">
        <v>30348.59384229303</v>
      </c>
      <c r="G410" s="8">
        <v>1.0414723845693055</v>
      </c>
      <c r="H410" s="8">
        <v>30.958100247883682</v>
      </c>
      <c r="I410" s="8">
        <v>30.958099117584844</v>
      </c>
      <c r="J410" s="8">
        <v>0.11181247715050259</v>
      </c>
      <c r="K410" s="8">
        <v>30.958069615165993</v>
      </c>
      <c r="L410" s="8">
        <v>30.958042143713698</v>
      </c>
      <c r="M410" s="8">
        <v>13</v>
      </c>
    </row>
    <row r="411" spans="1:13" x14ac:dyDescent="0.3">
      <c r="A411" s="8">
        <v>400</v>
      </c>
      <c r="B411" s="8">
        <v>0.79741439864817643</v>
      </c>
      <c r="C411" s="8">
        <v>5.2551269487111085E-5</v>
      </c>
      <c r="D411" s="8">
        <v>15174.02731524408</v>
      </c>
      <c r="E411" s="8">
        <v>2.035806383560157E-5</v>
      </c>
      <c r="F411" s="8">
        <v>39169.461550350483</v>
      </c>
      <c r="G411" s="8">
        <v>0.91079796848748351</v>
      </c>
      <c r="H411" s="8">
        <v>30.958100608877402</v>
      </c>
      <c r="I411" s="8">
        <v>30.958096294891451</v>
      </c>
      <c r="J411" s="8">
        <v>0.11338356983930707</v>
      </c>
      <c r="K411" s="8">
        <v>30.958080250813566</v>
      </c>
      <c r="L411" s="8">
        <v>30.958043743621964</v>
      </c>
      <c r="M411" s="8">
        <v>10</v>
      </c>
    </row>
    <row r="412" spans="1:13" x14ac:dyDescent="0.3">
      <c r="A412" s="8">
        <v>401</v>
      </c>
      <c r="B412" s="8">
        <v>0.48095100280852077</v>
      </c>
      <c r="C412" s="8">
        <v>3.1263185285013151E-5</v>
      </c>
      <c r="D412" s="8">
        <v>15383.941157111638</v>
      </c>
      <c r="E412" s="8">
        <v>1.5768966129314776E-5</v>
      </c>
      <c r="F412" s="8">
        <v>30499.843735121267</v>
      </c>
      <c r="G412" s="8">
        <v>0.50167153555924182</v>
      </c>
      <c r="H412" s="8">
        <v>30.958101255535727</v>
      </c>
      <c r="I412" s="8">
        <v>30.958099679264546</v>
      </c>
      <c r="J412" s="8">
        <v>2.0720532750721044E-2</v>
      </c>
      <c r="K412" s="8">
        <v>30.958085486569598</v>
      </c>
      <c r="L412" s="8">
        <v>30.958068416079261</v>
      </c>
      <c r="M412" s="8">
        <v>10</v>
      </c>
    </row>
    <row r="413" spans="1:13" x14ac:dyDescent="0.3">
      <c r="A413" s="8">
        <v>402</v>
      </c>
      <c r="B413" s="8">
        <v>7.5731783768165806E-2</v>
      </c>
      <c r="C413" s="8">
        <v>5.4901932514894725E-5</v>
      </c>
      <c r="D413" s="8">
        <v>1379.4010574695164</v>
      </c>
      <c r="E413" s="8">
        <v>4.1772732604528073E-5</v>
      </c>
      <c r="F413" s="8">
        <v>1812.9478022215058</v>
      </c>
      <c r="G413" s="8">
        <v>0.43273148253074362</v>
      </c>
      <c r="H413" s="8">
        <v>30.958101340356034</v>
      </c>
      <c r="I413" s="8">
        <v>30.958100769278101</v>
      </c>
      <c r="J413" s="8">
        <v>0.35699969876257781</v>
      </c>
      <c r="K413" s="8">
        <v>30.95805956762343</v>
      </c>
      <c r="L413" s="8">
        <v>30.958045867345586</v>
      </c>
      <c r="M413" s="8">
        <v>10</v>
      </c>
    </row>
    <row r="414" spans="1:13" x14ac:dyDescent="0.3">
      <c r="A414" s="8">
        <v>403</v>
      </c>
      <c r="B414" s="8">
        <v>0.46386564973879735</v>
      </c>
      <c r="C414" s="8">
        <v>6.8438141838100819E-5</v>
      </c>
      <c r="D414" s="8">
        <v>6777.8820008896628</v>
      </c>
      <c r="E414" s="8">
        <v>4.9554923823080799E-5</v>
      </c>
      <c r="F414" s="8">
        <v>9360.6369246953891</v>
      </c>
      <c r="G414" s="8">
        <v>0.59429450264711958</v>
      </c>
      <c r="H414" s="8">
        <v>30.958099440666579</v>
      </c>
      <c r="I414" s="8">
        <v>30.958098473897639</v>
      </c>
      <c r="J414" s="8">
        <v>0.13042885290832223</v>
      </c>
      <c r="K414" s="8">
        <v>30.958049885742756</v>
      </c>
      <c r="L414" s="8">
        <v>30.958030035755801</v>
      </c>
      <c r="M414" s="8">
        <v>15</v>
      </c>
    </row>
    <row r="415" spans="1:13" x14ac:dyDescent="0.3">
      <c r="A415" s="8">
        <v>404</v>
      </c>
      <c r="B415" s="8">
        <v>0.40357541039424716</v>
      </c>
      <c r="C415" s="8">
        <v>4.1190966104664994E-5</v>
      </c>
      <c r="D415" s="8">
        <v>9797.6679976083669</v>
      </c>
      <c r="E415" s="8">
        <v>7.6825963191140545E-6</v>
      </c>
      <c r="F415" s="8">
        <v>52531.122765121007</v>
      </c>
      <c r="G415" s="8">
        <v>0.43375461989504072</v>
      </c>
      <c r="H415" s="8">
        <v>30.958101547805047</v>
      </c>
      <c r="I415" s="8">
        <v>30.958100190935347</v>
      </c>
      <c r="J415" s="8">
        <v>3.0179209500793565E-2</v>
      </c>
      <c r="K415" s="8">
        <v>30.958093865208728</v>
      </c>
      <c r="L415" s="8">
        <v>30.958058999969243</v>
      </c>
      <c r="M415" s="8">
        <v>14</v>
      </c>
    </row>
    <row r="416" spans="1:13" x14ac:dyDescent="0.3">
      <c r="A416" s="8">
        <v>405</v>
      </c>
      <c r="B416" s="8">
        <v>0.47105803548792413</v>
      </c>
      <c r="C416" s="8">
        <v>1.3025215617545882E-4</v>
      </c>
      <c r="D416" s="8">
        <v>3616.5085425025577</v>
      </c>
      <c r="E416" s="8">
        <v>1.0545029832442765E-4</v>
      </c>
      <c r="F416" s="8">
        <v>4467.1095575156205</v>
      </c>
      <c r="G416" s="8">
        <v>0.62369880123848387</v>
      </c>
      <c r="H416" s="8">
        <v>30.958098115358094</v>
      </c>
      <c r="I416" s="8">
        <v>30.958094417889836</v>
      </c>
      <c r="J416" s="8">
        <v>0.15264076575055976</v>
      </c>
      <c r="K416" s="8">
        <v>30.95799266505977</v>
      </c>
      <c r="L416" s="8">
        <v>30.95796416573366</v>
      </c>
      <c r="M416" s="8">
        <v>10</v>
      </c>
    </row>
    <row r="417" spans="1:13" x14ac:dyDescent="0.3">
      <c r="A417" s="8">
        <v>406</v>
      </c>
      <c r="B417" s="8">
        <v>0.21362619471893965</v>
      </c>
      <c r="C417" s="8">
        <v>7.1249262266093183E-5</v>
      </c>
      <c r="D417" s="8">
        <v>2998.2934268303607</v>
      </c>
      <c r="E417" s="8">
        <v>6.1240692009079112E-5</v>
      </c>
      <c r="F417" s="8">
        <v>3488.3047155520212</v>
      </c>
      <c r="G417" s="8">
        <v>0.43960580140485256</v>
      </c>
      <c r="H417" s="8">
        <v>30.958101431644888</v>
      </c>
      <c r="I417" s="8">
        <v>30.958101284390477</v>
      </c>
      <c r="J417" s="8">
        <v>0.22597960668591291</v>
      </c>
      <c r="K417" s="8">
        <v>30.958040190952879</v>
      </c>
      <c r="L417" s="8">
        <v>30.95803003512821</v>
      </c>
      <c r="M417" s="8">
        <v>15</v>
      </c>
    </row>
    <row r="418" spans="1:13" x14ac:dyDescent="0.3">
      <c r="A418" s="8">
        <v>407</v>
      </c>
      <c r="B418" s="8">
        <v>0.56756120780381025</v>
      </c>
      <c r="C418" s="8">
        <v>3.4436048835573274E-5</v>
      </c>
      <c r="D418" s="8">
        <v>16481.600735143162</v>
      </c>
      <c r="E418" s="8">
        <v>1.1483798449063443E-5</v>
      </c>
      <c r="F418" s="8">
        <v>49422.776820860832</v>
      </c>
      <c r="G418" s="8">
        <v>0.63422679494552914</v>
      </c>
      <c r="H418" s="8">
        <v>30.958100745617703</v>
      </c>
      <c r="I418" s="8">
        <v>30.9580984534777</v>
      </c>
      <c r="J418" s="8">
        <v>6.6665587141718899E-2</v>
      </c>
      <c r="K418" s="8">
        <v>30.958089261819254</v>
      </c>
      <c r="L418" s="8">
        <v>30.958064017428864</v>
      </c>
      <c r="M418" s="8">
        <v>15</v>
      </c>
    </row>
    <row r="419" spans="1:13" x14ac:dyDescent="0.3">
      <c r="A419" s="8">
        <v>408</v>
      </c>
      <c r="B419" s="8">
        <v>0.58558698346222271</v>
      </c>
      <c r="C419" s="8">
        <v>9.3499839088906356E-5</v>
      </c>
      <c r="D419" s="8">
        <v>6262.9731683859327</v>
      </c>
      <c r="E419" s="8">
        <v>7.6109658429857063E-5</v>
      </c>
      <c r="F419" s="8">
        <v>7693.9904283225997</v>
      </c>
      <c r="G419" s="8">
        <v>0.68694108151114586</v>
      </c>
      <c r="H419" s="8">
        <v>30.958101394040838</v>
      </c>
      <c r="I419" s="8">
        <v>30.958101248761093</v>
      </c>
      <c r="J419" s="8">
        <v>0.10135409804892312</v>
      </c>
      <c r="K419" s="8">
        <v>30.958025284382408</v>
      </c>
      <c r="L419" s="8">
        <v>30.958007748922004</v>
      </c>
      <c r="M419" s="8">
        <v>10</v>
      </c>
    </row>
    <row r="420" spans="1:13" x14ac:dyDescent="0.3">
      <c r="A420" s="8">
        <v>409</v>
      </c>
      <c r="B420" s="8">
        <v>0.25926880059932023</v>
      </c>
      <c r="C420" s="8">
        <v>9.8159340229386771E-5</v>
      </c>
      <c r="D420" s="8">
        <v>2641.3054528834414</v>
      </c>
      <c r="E420" s="8">
        <v>6.8034304398167933E-5</v>
      </c>
      <c r="F420" s="8">
        <v>3810.8539933319576</v>
      </c>
      <c r="G420" s="8">
        <v>0.35842749338793112</v>
      </c>
      <c r="H420" s="8">
        <v>30.958098053329614</v>
      </c>
      <c r="I420" s="8">
        <v>30.958093032169725</v>
      </c>
      <c r="J420" s="8">
        <v>9.9158692788610864E-2</v>
      </c>
      <c r="K420" s="8">
        <v>30.958030019025216</v>
      </c>
      <c r="L420" s="8">
        <v>30.957994872829495</v>
      </c>
      <c r="M420" s="8">
        <v>10</v>
      </c>
    </row>
    <row r="421" spans="1:13" x14ac:dyDescent="0.3">
      <c r="A421" s="8">
        <v>410</v>
      </c>
      <c r="B421" s="8">
        <v>0.66878971062107839</v>
      </c>
      <c r="C421" s="8">
        <v>5.4409130850530119E-5</v>
      </c>
      <c r="D421" s="8">
        <v>12291.865357275088</v>
      </c>
      <c r="E421" s="8">
        <v>1.2751544979039409E-5</v>
      </c>
      <c r="F421" s="8">
        <v>52447.739604919559</v>
      </c>
      <c r="G421" s="8">
        <v>0.79757361882667244</v>
      </c>
      <c r="H421" s="8">
        <v>30.958101495020546</v>
      </c>
      <c r="I421" s="8">
        <v>30.958099477857949</v>
      </c>
      <c r="J421" s="8">
        <v>0.12878390820559407</v>
      </c>
      <c r="K421" s="8">
        <v>30.958088743475567</v>
      </c>
      <c r="L421" s="8">
        <v>30.958045068727099</v>
      </c>
      <c r="M421" s="8">
        <v>9</v>
      </c>
    </row>
    <row r="422" spans="1:13" x14ac:dyDescent="0.3">
      <c r="A422" s="8">
        <v>411</v>
      </c>
      <c r="B422" s="8">
        <v>0.82535687338278307</v>
      </c>
      <c r="C422" s="8">
        <v>6.7811094901060187E-5</v>
      </c>
      <c r="D422" s="8">
        <v>12171.413462458031</v>
      </c>
      <c r="E422" s="8">
        <v>1.92027615923962E-5</v>
      </c>
      <c r="F422" s="8">
        <v>42981.15504957387</v>
      </c>
      <c r="G422" s="8">
        <v>0.86696641463499058</v>
      </c>
      <c r="H422" s="8">
        <v>30.95810137859641</v>
      </c>
      <c r="I422" s="8">
        <v>30.958100704601051</v>
      </c>
      <c r="J422" s="8">
        <v>4.1609541252207546E-2</v>
      </c>
      <c r="K422" s="8">
        <v>30.958082175834818</v>
      </c>
      <c r="L422" s="8">
        <v>30.95803289350615</v>
      </c>
      <c r="M422" s="8">
        <v>11</v>
      </c>
    </row>
    <row r="423" spans="1:13" x14ac:dyDescent="0.3">
      <c r="A423" s="8">
        <v>412</v>
      </c>
      <c r="B423" s="8">
        <v>0.44899056430037276</v>
      </c>
      <c r="C423" s="8">
        <v>2.6782969619887353E-5</v>
      </c>
      <c r="D423" s="8">
        <v>16764.032169419352</v>
      </c>
      <c r="E423" s="8">
        <v>6.3751747241269641E-6</v>
      </c>
      <c r="F423" s="8">
        <v>70427.962170379396</v>
      </c>
      <c r="G423" s="8">
        <v>0.47636480220725663</v>
      </c>
      <c r="H423" s="8">
        <v>30.958101344762841</v>
      </c>
      <c r="I423" s="8">
        <v>30.958099784221901</v>
      </c>
      <c r="J423" s="8">
        <v>2.7374237906883883E-2</v>
      </c>
      <c r="K423" s="8">
        <v>30.958094969588117</v>
      </c>
      <c r="L423" s="8">
        <v>30.958073001252281</v>
      </c>
      <c r="M423" s="8">
        <v>11</v>
      </c>
    </row>
    <row r="424" spans="1:13" x14ac:dyDescent="0.3">
      <c r="A424" s="8">
        <v>413</v>
      </c>
      <c r="B424" s="8">
        <v>0.95267602655251371</v>
      </c>
      <c r="C424" s="8">
        <v>5.330682505899631E-5</v>
      </c>
      <c r="D424" s="8">
        <v>17871.55820100255</v>
      </c>
      <c r="E424" s="8">
        <v>2.0186749427608675E-5</v>
      </c>
      <c r="F424" s="8">
        <v>47193.136763741357</v>
      </c>
      <c r="G424" s="8">
        <v>1.0013277078149461</v>
      </c>
      <c r="H424" s="8">
        <v>30.958101489599397</v>
      </c>
      <c r="I424" s="8">
        <v>30.958101182466169</v>
      </c>
      <c r="J424" s="8">
        <v>4.8651681262432377E-2</v>
      </c>
      <c r="K424" s="8">
        <v>30.958081302849969</v>
      </c>
      <c r="L424" s="8">
        <v>30.95804787564111</v>
      </c>
      <c r="M424" s="8">
        <v>14</v>
      </c>
    </row>
    <row r="425" spans="1:13" x14ac:dyDescent="0.3">
      <c r="A425" s="8">
        <v>414</v>
      </c>
      <c r="B425" s="8">
        <v>0.42900219262594197</v>
      </c>
      <c r="C425" s="8">
        <v>7.4775643589930496E-5</v>
      </c>
      <c r="D425" s="8">
        <v>5737.1915777627974</v>
      </c>
      <c r="E425" s="8">
        <v>5.4169244034341091E-5</v>
      </c>
      <c r="F425" s="8">
        <v>7919.6636444468759</v>
      </c>
      <c r="G425" s="8">
        <v>0.50300392992816334</v>
      </c>
      <c r="H425" s="8">
        <v>30.958100598848134</v>
      </c>
      <c r="I425" s="8">
        <v>30.958100078643103</v>
      </c>
      <c r="J425" s="8">
        <v>7.4001737302221357E-2</v>
      </c>
      <c r="K425" s="8">
        <v>30.958046429604099</v>
      </c>
      <c r="L425" s="8">
        <v>30.958025302999513</v>
      </c>
      <c r="M425" s="8">
        <v>11</v>
      </c>
    </row>
    <row r="426" spans="1:13" x14ac:dyDescent="0.3">
      <c r="A426" s="8">
        <v>415</v>
      </c>
      <c r="B426" s="8">
        <v>0.78434265784494206</v>
      </c>
      <c r="C426" s="8">
        <v>7.5070239592633925E-5</v>
      </c>
      <c r="D426" s="8">
        <v>10448.117151365848</v>
      </c>
      <c r="E426" s="8">
        <v>3.5633371119558888E-5</v>
      </c>
      <c r="F426" s="8">
        <v>22011.463782454823</v>
      </c>
      <c r="G426" s="8">
        <v>0.87536841135307664</v>
      </c>
      <c r="H426" s="8">
        <v>30.958100979057178</v>
      </c>
      <c r="I426" s="8">
        <v>30.958099411619663</v>
      </c>
      <c r="J426" s="8">
        <v>9.1025753508134563E-2</v>
      </c>
      <c r="K426" s="8">
        <v>30.958065345686059</v>
      </c>
      <c r="L426" s="8">
        <v>30.958024341380071</v>
      </c>
      <c r="M426" s="8">
        <v>14</v>
      </c>
    </row>
    <row r="427" spans="1:13" x14ac:dyDescent="0.3">
      <c r="A427" s="8">
        <v>416</v>
      </c>
      <c r="B427" s="8">
        <v>0.52748775390332048</v>
      </c>
      <c r="C427" s="8">
        <v>2.9609870502156355E-5</v>
      </c>
      <c r="D427" s="8">
        <v>17814.59172085558</v>
      </c>
      <c r="E427" s="8">
        <v>1.4112180991787682E-5</v>
      </c>
      <c r="F427" s="8">
        <v>37378.187978901493</v>
      </c>
      <c r="G427" s="8">
        <v>0.62749295831684582</v>
      </c>
      <c r="H427" s="8">
        <v>30.958101505355152</v>
      </c>
      <c r="I427" s="8">
        <v>30.958100373264116</v>
      </c>
      <c r="J427" s="8">
        <v>0.10000520441352534</v>
      </c>
      <c r="K427" s="8">
        <v>30.958087393174161</v>
      </c>
      <c r="L427" s="8">
        <v>30.958070763393614</v>
      </c>
      <c r="M427" s="8">
        <v>14</v>
      </c>
    </row>
    <row r="428" spans="1:13" x14ac:dyDescent="0.3">
      <c r="A428" s="8">
        <v>417</v>
      </c>
      <c r="B428" s="8">
        <v>0.47463597971622429</v>
      </c>
      <c r="C428" s="8">
        <v>4.0690361821305032E-5</v>
      </c>
      <c r="D428" s="8">
        <v>11664.579975981193</v>
      </c>
      <c r="E428" s="8">
        <v>1.0142188891393289E-5</v>
      </c>
      <c r="F428" s="8">
        <v>46798.179840547309</v>
      </c>
      <c r="G428" s="8">
        <v>0.51481741064891096</v>
      </c>
      <c r="H428" s="8">
        <v>30.958101421469191</v>
      </c>
      <c r="I428" s="8">
        <v>30.958100477213058</v>
      </c>
      <c r="J428" s="8">
        <v>4.0181430932686654E-2</v>
      </c>
      <c r="K428" s="8">
        <v>30.9580912792803</v>
      </c>
      <c r="L428" s="8">
        <v>30.958059786851237</v>
      </c>
      <c r="M428" s="8">
        <v>9</v>
      </c>
    </row>
    <row r="429" spans="1:13" x14ac:dyDescent="0.3">
      <c r="A429" s="8">
        <v>418</v>
      </c>
      <c r="B429" s="8">
        <v>0.5760679961386761</v>
      </c>
      <c r="C429" s="8">
        <v>5.7590983967514831E-5</v>
      </c>
      <c r="D429" s="8">
        <v>10002.74620179466</v>
      </c>
      <c r="E429" s="8">
        <v>4.3852767184660024E-5</v>
      </c>
      <c r="F429" s="8">
        <v>13136.411522513643</v>
      </c>
      <c r="G429" s="8">
        <v>0.74236785106955538</v>
      </c>
      <c r="H429" s="8">
        <v>30.958100426190121</v>
      </c>
      <c r="I429" s="8">
        <v>30.95809947733289</v>
      </c>
      <c r="J429" s="8">
        <v>0.16629985493087926</v>
      </c>
      <c r="K429" s="8">
        <v>30.958056573422937</v>
      </c>
      <c r="L429" s="8">
        <v>30.958041886348923</v>
      </c>
      <c r="M429" s="8">
        <v>12</v>
      </c>
    </row>
    <row r="430" spans="1:13" x14ac:dyDescent="0.3">
      <c r="A430" s="8">
        <v>419</v>
      </c>
      <c r="B430" s="8">
        <v>0.81400458840344536</v>
      </c>
      <c r="C430" s="8">
        <v>6.0362642880562589E-5</v>
      </c>
      <c r="D430" s="8">
        <v>13485.237715884761</v>
      </c>
      <c r="E430" s="8">
        <v>3.0302294607764679E-5</v>
      </c>
      <c r="F430" s="8">
        <v>26862.803590948664</v>
      </c>
      <c r="G430" s="8">
        <v>0.96135541987121387</v>
      </c>
      <c r="H430" s="8">
        <v>30.958101159950665</v>
      </c>
      <c r="I430" s="8">
        <v>30.958099568652688</v>
      </c>
      <c r="J430" s="8">
        <v>0.14735083146776851</v>
      </c>
      <c r="K430" s="8">
        <v>30.958070857656057</v>
      </c>
      <c r="L430" s="8">
        <v>30.958039206009808</v>
      </c>
      <c r="M430" s="8">
        <v>9</v>
      </c>
    </row>
    <row r="431" spans="1:13" x14ac:dyDescent="0.3">
      <c r="A431" s="8">
        <v>420</v>
      </c>
      <c r="B431" s="8">
        <v>0.44597671127848737</v>
      </c>
      <c r="C431" s="8">
        <v>5.8248231859181487E-5</v>
      </c>
      <c r="D431" s="8">
        <v>7656.4849617523532</v>
      </c>
      <c r="E431" s="8">
        <v>4.1655455838451871E-5</v>
      </c>
      <c r="F431" s="8">
        <v>10706.321712288389</v>
      </c>
      <c r="G431" s="8">
        <v>0.55479391122628796</v>
      </c>
      <c r="H431" s="8">
        <v>30.958101366720403</v>
      </c>
      <c r="I431" s="8">
        <v>30.958100343751738</v>
      </c>
      <c r="J431" s="8">
        <v>0.10881719994780062</v>
      </c>
      <c r="K431" s="8">
        <v>30.958059711264564</v>
      </c>
      <c r="L431" s="8">
        <v>30.958042095519879</v>
      </c>
      <c r="M431" s="8">
        <v>15</v>
      </c>
    </row>
    <row r="432" spans="1:13" x14ac:dyDescent="0.3">
      <c r="A432" s="8">
        <v>421</v>
      </c>
      <c r="B432" s="8">
        <v>0.63377256229335277</v>
      </c>
      <c r="C432" s="8">
        <v>6.7069692242682777E-5</v>
      </c>
      <c r="D432" s="8">
        <v>9449.4628065405595</v>
      </c>
      <c r="E432" s="8">
        <v>3.4268571411644189E-5</v>
      </c>
      <c r="F432" s="8">
        <v>18494.280216128354</v>
      </c>
      <c r="G432" s="8">
        <v>0.7120886467022709</v>
      </c>
      <c r="H432" s="8">
        <v>30.958101070656333</v>
      </c>
      <c r="I432" s="8">
        <v>30.958097675551969</v>
      </c>
      <c r="J432" s="8">
        <v>7.8316084408918102E-2</v>
      </c>
      <c r="K432" s="8">
        <v>30.958066802084922</v>
      </c>
      <c r="L432" s="8">
        <v>30.958030605859726</v>
      </c>
      <c r="M432" s="8">
        <v>10</v>
      </c>
    </row>
    <row r="433" spans="1:13" x14ac:dyDescent="0.3">
      <c r="A433" s="8">
        <v>422</v>
      </c>
      <c r="B433" s="8">
        <v>0.5657794030944141</v>
      </c>
      <c r="C433" s="8">
        <v>8.206275789746087E-5</v>
      </c>
      <c r="D433" s="8">
        <v>6894.4722014018498</v>
      </c>
      <c r="E433" s="8">
        <v>6.1517020789381149E-5</v>
      </c>
      <c r="F433" s="8">
        <v>9197.1196887362421</v>
      </c>
      <c r="G433" s="8">
        <v>0.64632465479740153</v>
      </c>
      <c r="H433" s="8">
        <v>30.958101531494293</v>
      </c>
      <c r="I433" s="8">
        <v>30.958100805428732</v>
      </c>
      <c r="J433" s="8">
        <v>8.0545251702987417E-2</v>
      </c>
      <c r="K433" s="8">
        <v>30.958040014473504</v>
      </c>
      <c r="L433" s="8">
        <v>30.958018742670834</v>
      </c>
      <c r="M433" s="8">
        <v>15</v>
      </c>
    </row>
    <row r="434" spans="1:13" x14ac:dyDescent="0.3">
      <c r="A434" s="8">
        <v>423</v>
      </c>
      <c r="B434" s="8">
        <v>0.47812923092772364</v>
      </c>
      <c r="C434" s="8">
        <v>4.5931523175113398E-5</v>
      </c>
      <c r="D434" s="8">
        <v>10409.609738062931</v>
      </c>
      <c r="E434" s="8">
        <v>3.1396051024756844E-5</v>
      </c>
      <c r="F434" s="8">
        <v>15228.960819012003</v>
      </c>
      <c r="G434" s="8">
        <v>0.58479337956976751</v>
      </c>
      <c r="H434" s="8">
        <v>30.958100799029751</v>
      </c>
      <c r="I434" s="8">
        <v>30.958099592904698</v>
      </c>
      <c r="J434" s="8">
        <v>0.1066641486420439</v>
      </c>
      <c r="K434" s="8">
        <v>30.958069402978726</v>
      </c>
      <c r="L434" s="8">
        <v>30.958053661381523</v>
      </c>
      <c r="M434" s="8">
        <v>9</v>
      </c>
    </row>
    <row r="435" spans="1:13" x14ac:dyDescent="0.3">
      <c r="A435" s="8">
        <v>424</v>
      </c>
      <c r="B435" s="8">
        <v>0.42338485321373648</v>
      </c>
      <c r="C435" s="8">
        <v>6.5360963780847214E-5</v>
      </c>
      <c r="D435" s="8">
        <v>6477.6409147412442</v>
      </c>
      <c r="E435" s="8">
        <v>4.7039791628122885E-5</v>
      </c>
      <c r="F435" s="8">
        <v>9000.5682117140695</v>
      </c>
      <c r="G435" s="8">
        <v>0.50407172239986453</v>
      </c>
      <c r="H435" s="8">
        <v>30.958098847574341</v>
      </c>
      <c r="I435" s="8">
        <v>30.958096179155241</v>
      </c>
      <c r="J435" s="8">
        <v>8.0686869186128052E-2</v>
      </c>
      <c r="K435" s="8">
        <v>30.958051807782713</v>
      </c>
      <c r="L435" s="8">
        <v>30.95803081819146</v>
      </c>
      <c r="M435" s="8">
        <v>12</v>
      </c>
    </row>
    <row r="436" spans="1:13" x14ac:dyDescent="0.3">
      <c r="A436" s="8">
        <v>425</v>
      </c>
      <c r="B436" s="8">
        <v>0.7476192790387306</v>
      </c>
      <c r="C436" s="8">
        <v>5.7006020668382007E-5</v>
      </c>
      <c r="D436" s="8">
        <v>13114.742447781353</v>
      </c>
      <c r="E436" s="8">
        <v>3.5105131257040512E-5</v>
      </c>
      <c r="F436" s="8">
        <v>21296.58121955581</v>
      </c>
      <c r="G436" s="8">
        <v>0.82036623075369886</v>
      </c>
      <c r="H436" s="8">
        <v>30.958101061480818</v>
      </c>
      <c r="I436" s="8">
        <v>30.958098967125416</v>
      </c>
      <c r="J436" s="8">
        <v>7.2746951714968283E-2</v>
      </c>
      <c r="K436" s="8">
        <v>30.958065956349561</v>
      </c>
      <c r="L436" s="8">
        <v>30.958041961104747</v>
      </c>
      <c r="M436" s="8">
        <v>15</v>
      </c>
    </row>
    <row r="437" spans="1:13" x14ac:dyDescent="0.3">
      <c r="A437" s="8">
        <v>426</v>
      </c>
      <c r="B437" s="8">
        <v>0.55964489255301131</v>
      </c>
      <c r="C437" s="8">
        <v>6.2714004002373258E-5</v>
      </c>
      <c r="D437" s="8">
        <v>8923.7627457470735</v>
      </c>
      <c r="E437" s="8">
        <v>2.8842507639126325E-5</v>
      </c>
      <c r="F437" s="8">
        <v>19403.475576923298</v>
      </c>
      <c r="G437" s="8">
        <v>0.64265510229808731</v>
      </c>
      <c r="H437" s="8">
        <v>30.958100666170171</v>
      </c>
      <c r="I437" s="8">
        <v>30.958097377987635</v>
      </c>
      <c r="J437" s="8">
        <v>8.3010209745076044E-2</v>
      </c>
      <c r="K437" s="8">
        <v>30.958071823662532</v>
      </c>
      <c r="L437" s="8">
        <v>30.958034663983632</v>
      </c>
      <c r="M437" s="8">
        <v>15</v>
      </c>
    </row>
    <row r="438" spans="1:13" x14ac:dyDescent="0.3">
      <c r="A438" s="8">
        <v>427</v>
      </c>
      <c r="B438" s="8">
        <v>0.27176876801443339</v>
      </c>
      <c r="C438" s="8">
        <v>1.0107820520488531E-4</v>
      </c>
      <c r="D438" s="8">
        <v>2688.6979983821307</v>
      </c>
      <c r="E438" s="8">
        <v>9.2396128255956E-5</v>
      </c>
      <c r="F438" s="8">
        <v>2941.3436812155032</v>
      </c>
      <c r="G438" s="8">
        <v>0.43886764410730361</v>
      </c>
      <c r="H438" s="8">
        <v>30.958100359118156</v>
      </c>
      <c r="I438" s="8">
        <v>30.958100135765978</v>
      </c>
      <c r="J438" s="8">
        <v>0.16709887609287022</v>
      </c>
      <c r="K438" s="8">
        <v>30.9580079629899</v>
      </c>
      <c r="L438" s="8">
        <v>30.957999057560773</v>
      </c>
      <c r="M438" s="8">
        <v>14</v>
      </c>
    </row>
    <row r="439" spans="1:13" x14ac:dyDescent="0.3">
      <c r="A439" s="8">
        <v>428</v>
      </c>
      <c r="B439" s="8">
        <v>0.66769182169731034</v>
      </c>
      <c r="C439" s="8">
        <v>6.7229331214946342E-5</v>
      </c>
      <c r="D439" s="8">
        <v>9931.5553141910459</v>
      </c>
      <c r="E439" s="8">
        <v>4.6251011038833667E-5</v>
      </c>
      <c r="F439" s="8">
        <v>14436.264347533879</v>
      </c>
      <c r="G439" s="8">
        <v>0.76201841405228987</v>
      </c>
      <c r="H439" s="8">
        <v>30.958098848477604</v>
      </c>
      <c r="I439" s="8">
        <v>30.958097479501433</v>
      </c>
      <c r="J439" s="8">
        <v>9.432659235497956E-2</v>
      </c>
      <c r="K439" s="8">
        <v>30.958052597466565</v>
      </c>
      <c r="L439" s="8">
        <v>30.958030250170218</v>
      </c>
      <c r="M439" s="8">
        <v>12</v>
      </c>
    </row>
    <row r="440" spans="1:13" x14ac:dyDescent="0.3">
      <c r="A440" s="8">
        <v>429</v>
      </c>
      <c r="B440" s="8">
        <v>0.25332541756123866</v>
      </c>
      <c r="C440" s="8">
        <v>1.3209545224768249E-4</v>
      </c>
      <c r="D440" s="8">
        <v>1917.7451854000753</v>
      </c>
      <c r="E440" s="8">
        <v>1.2653869754686298E-4</v>
      </c>
      <c r="F440" s="8">
        <v>2001.9600523185475</v>
      </c>
      <c r="G440" s="8">
        <v>0.49429992489356844</v>
      </c>
      <c r="H440" s="8">
        <v>30.958099767987623</v>
      </c>
      <c r="I440" s="8">
        <v>30.958099013838787</v>
      </c>
      <c r="J440" s="8">
        <v>0.24097450733232978</v>
      </c>
      <c r="K440" s="8">
        <v>30.957973229290076</v>
      </c>
      <c r="L440" s="8">
        <v>30.957966918386539</v>
      </c>
      <c r="M440" s="8">
        <v>10</v>
      </c>
    </row>
    <row r="441" spans="1:13" x14ac:dyDescent="0.3">
      <c r="A441" s="8">
        <v>430</v>
      </c>
      <c r="B441" s="8">
        <v>0.73583632190691795</v>
      </c>
      <c r="C441" s="8">
        <v>1.4433714811801224E-4</v>
      </c>
      <c r="D441" s="8">
        <v>5098.0383879088913</v>
      </c>
      <c r="E441" s="8">
        <v>1.1252946472950498E-4</v>
      </c>
      <c r="F441" s="8">
        <v>6539.0546704874114</v>
      </c>
      <c r="G441" s="8">
        <v>0.87063113483388266</v>
      </c>
      <c r="H441" s="8">
        <v>30.95809363568662</v>
      </c>
      <c r="I441" s="8">
        <v>30.958089483421745</v>
      </c>
      <c r="J441" s="8">
        <v>0.13479481292696474</v>
      </c>
      <c r="K441" s="8">
        <v>30.95798110622189</v>
      </c>
      <c r="L441" s="8">
        <v>30.957945146273627</v>
      </c>
      <c r="M441" s="8">
        <v>15</v>
      </c>
    </row>
    <row r="442" spans="1:13" x14ac:dyDescent="0.3">
      <c r="A442" s="8">
        <v>431</v>
      </c>
      <c r="B442" s="8">
        <v>0.4206820310639629</v>
      </c>
      <c r="C442" s="8">
        <v>8.8074970179263801E-5</v>
      </c>
      <c r="D442" s="8">
        <v>4776.4084416687938</v>
      </c>
      <c r="E442" s="8">
        <v>7.1703734153771848E-5</v>
      </c>
      <c r="F442" s="8">
        <v>5866.9473219036481</v>
      </c>
      <c r="G442" s="8">
        <v>0.80259290297512553</v>
      </c>
      <c r="H442" s="8">
        <v>30.958100806718608</v>
      </c>
      <c r="I442" s="8">
        <v>30.958100600443739</v>
      </c>
      <c r="J442" s="8">
        <v>0.38191087191116263</v>
      </c>
      <c r="K442" s="8">
        <v>30.958029102984455</v>
      </c>
      <c r="L442" s="8">
        <v>30.95801252547356</v>
      </c>
      <c r="M442" s="8">
        <v>11</v>
      </c>
    </row>
    <row r="443" spans="1:13" x14ac:dyDescent="0.3">
      <c r="A443" s="8">
        <v>432</v>
      </c>
      <c r="B443" s="8">
        <v>0.33393897763342684</v>
      </c>
      <c r="C443" s="8">
        <v>1.2046569987234079E-4</v>
      </c>
      <c r="D443" s="8">
        <v>2772.0668869836536</v>
      </c>
      <c r="E443" s="8">
        <v>1.0093413218825731E-4</v>
      </c>
      <c r="F443" s="8">
        <v>3308.4841608444258</v>
      </c>
      <c r="G443" s="8">
        <v>0.68871506659969195</v>
      </c>
      <c r="H443" s="8">
        <v>30.958101403510327</v>
      </c>
      <c r="I443" s="8">
        <v>30.958100150871601</v>
      </c>
      <c r="J443" s="8">
        <v>0.35477608896626511</v>
      </c>
      <c r="K443" s="8">
        <v>30.958000469378138</v>
      </c>
      <c r="L443" s="8">
        <v>30.957979685171729</v>
      </c>
      <c r="M443" s="8">
        <v>12</v>
      </c>
    </row>
    <row r="444" spans="1:13" x14ac:dyDescent="0.3">
      <c r="A444" s="8">
        <v>433</v>
      </c>
      <c r="B444" s="8">
        <v>0.63321022953346273</v>
      </c>
      <c r="C444" s="8">
        <v>5.3125793371577856E-5</v>
      </c>
      <c r="D444" s="8">
        <v>11919.073379377114</v>
      </c>
      <c r="E444" s="8">
        <v>2.8321598254166247E-5</v>
      </c>
      <c r="F444" s="8">
        <v>22357.856497039829</v>
      </c>
      <c r="G444" s="8">
        <v>0.72108682008935099</v>
      </c>
      <c r="H444" s="8">
        <v>30.958101380312712</v>
      </c>
      <c r="I444" s="8">
        <v>30.958099743938149</v>
      </c>
      <c r="J444" s="8">
        <v>8.7876590555888201E-2</v>
      </c>
      <c r="K444" s="8">
        <v>30.958073058714458</v>
      </c>
      <c r="L444" s="8">
        <v>30.958046618144778</v>
      </c>
      <c r="M444" s="8">
        <v>9</v>
      </c>
    </row>
    <row r="445" spans="1:13" x14ac:dyDescent="0.3">
      <c r="A445" s="8">
        <v>434</v>
      </c>
      <c r="B445" s="8">
        <v>0.5903684353776657</v>
      </c>
      <c r="C445" s="8">
        <v>7.5274418236404017E-5</v>
      </c>
      <c r="D445" s="8">
        <v>7842.8827377127873</v>
      </c>
      <c r="E445" s="8">
        <v>5.4574066016499501E-5</v>
      </c>
      <c r="F445" s="8">
        <v>10817.74693494852</v>
      </c>
      <c r="G445" s="8">
        <v>0.734315567798563</v>
      </c>
      <c r="H445" s="8">
        <v>30.958101109706146</v>
      </c>
      <c r="I445" s="8">
        <v>30.958100759405394</v>
      </c>
      <c r="J445" s="8">
        <v>0.14394713242089727</v>
      </c>
      <c r="K445" s="8">
        <v>30.958046535640129</v>
      </c>
      <c r="L445" s="8">
        <v>30.958025484987157</v>
      </c>
      <c r="M445" s="8">
        <v>9</v>
      </c>
    </row>
    <row r="446" spans="1:13" x14ac:dyDescent="0.3">
      <c r="A446" s="8">
        <v>435</v>
      </c>
      <c r="B446" s="8">
        <v>0.24200067060484109</v>
      </c>
      <c r="C446" s="8">
        <v>1.5453944774179718E-4</v>
      </c>
      <c r="D446" s="8">
        <v>1565.9475566987478</v>
      </c>
      <c r="E446" s="8">
        <v>1.393264864262278E-4</v>
      </c>
      <c r="F446" s="8">
        <v>1736.9322719049433</v>
      </c>
      <c r="G446" s="8">
        <v>0.45832939142435125</v>
      </c>
      <c r="H446" s="8">
        <v>30.958098518927272</v>
      </c>
      <c r="I446" s="8">
        <v>30.958096720019348</v>
      </c>
      <c r="J446" s="8">
        <v>0.21632872081951016</v>
      </c>
      <c r="K446" s="8">
        <v>30.957959192440846</v>
      </c>
      <c r="L446" s="8">
        <v>30.957942180571607</v>
      </c>
      <c r="M446" s="8">
        <v>15</v>
      </c>
    </row>
    <row r="447" spans="1:13" x14ac:dyDescent="0.3">
      <c r="A447" s="8">
        <v>436</v>
      </c>
      <c r="B447" s="8">
        <v>0.73360252461434106</v>
      </c>
      <c r="C447" s="8">
        <v>7.3689909605434423E-5</v>
      </c>
      <c r="D447" s="8">
        <v>9955.2642762400665</v>
      </c>
      <c r="E447" s="8">
        <v>4.2738836690148219E-5</v>
      </c>
      <c r="F447" s="8">
        <v>17164.775212130298</v>
      </c>
      <c r="G447" s="8">
        <v>0.81888128926681414</v>
      </c>
      <c r="H447" s="8">
        <v>30.958101548816515</v>
      </c>
      <c r="I447" s="8">
        <v>30.958100267905927</v>
      </c>
      <c r="J447" s="8">
        <v>8.5278764652473082E-2</v>
      </c>
      <c r="K447" s="8">
        <v>30.958058809979825</v>
      </c>
      <c r="L447" s="8">
        <v>30.958026577996321</v>
      </c>
      <c r="M447" s="8">
        <v>13</v>
      </c>
    </row>
    <row r="448" spans="1:13" x14ac:dyDescent="0.3">
      <c r="A448" s="8">
        <v>437</v>
      </c>
      <c r="B448" s="8">
        <v>0.48549673861542125</v>
      </c>
      <c r="C448" s="8">
        <v>1.283780311531757E-4</v>
      </c>
      <c r="D448" s="8">
        <v>3781.7742977857743</v>
      </c>
      <c r="E448" s="8">
        <v>8.889247835952574E-5</v>
      </c>
      <c r="F448" s="8">
        <v>5461.6177608619382</v>
      </c>
      <c r="G448" s="8">
        <v>0.58493812833060466</v>
      </c>
      <c r="H448" s="8">
        <v>30.95810155000197</v>
      </c>
      <c r="I448" s="8">
        <v>30.958101494393951</v>
      </c>
      <c r="J448" s="8">
        <v>9.9441389715183404E-2</v>
      </c>
      <c r="K448" s="8">
        <v>30.958012657523611</v>
      </c>
      <c r="L448" s="8">
        <v>30.957973116362798</v>
      </c>
      <c r="M448" s="8">
        <v>14</v>
      </c>
    </row>
    <row r="449" spans="1:13" x14ac:dyDescent="0.3">
      <c r="A449" s="8">
        <v>438</v>
      </c>
      <c r="B449" s="8">
        <v>0.29545677286334432</v>
      </c>
      <c r="C449" s="8">
        <v>1.0306919451252838E-4</v>
      </c>
      <c r="D449" s="8">
        <v>2866.5866097113103</v>
      </c>
      <c r="E449" s="8">
        <v>8.4663153121056212E-5</v>
      </c>
      <c r="F449" s="8">
        <v>3489.7917449505258</v>
      </c>
      <c r="G449" s="8">
        <v>0.47767027135752643</v>
      </c>
      <c r="H449" s="8">
        <v>30.958095146719355</v>
      </c>
      <c r="I449" s="8">
        <v>30.958093335531103</v>
      </c>
      <c r="J449" s="8">
        <v>0.18221349849418211</v>
      </c>
      <c r="K449" s="8">
        <v>30.958010483566234</v>
      </c>
      <c r="L449" s="8">
        <v>30.957990266336591</v>
      </c>
      <c r="M449" s="8">
        <v>9</v>
      </c>
    </row>
    <row r="450" spans="1:13" x14ac:dyDescent="0.3">
      <c r="A450" s="8">
        <v>439</v>
      </c>
      <c r="B450" s="8">
        <v>0.19421579507377057</v>
      </c>
      <c r="C450" s="8">
        <v>9.7208054505415475E-5</v>
      </c>
      <c r="D450" s="8">
        <v>1997.9393277843121</v>
      </c>
      <c r="E450" s="8">
        <v>8.4013160737583803E-5</v>
      </c>
      <c r="F450" s="8">
        <v>2311.730607070077</v>
      </c>
      <c r="G450" s="8">
        <v>0.69248664274501381</v>
      </c>
      <c r="H450" s="8">
        <v>30.958094752149567</v>
      </c>
      <c r="I450" s="8">
        <v>30.958093482328845</v>
      </c>
      <c r="J450" s="8">
        <v>0.49827084767124324</v>
      </c>
      <c r="K450" s="8">
        <v>30.958010738988829</v>
      </c>
      <c r="L450" s="8">
        <v>30.95799627427434</v>
      </c>
      <c r="M450" s="8">
        <v>11</v>
      </c>
    </row>
    <row r="451" spans="1:13" x14ac:dyDescent="0.3">
      <c r="A451" s="8">
        <v>440</v>
      </c>
      <c r="B451" s="8">
        <v>0.27818335501748076</v>
      </c>
      <c r="C451" s="8">
        <v>7.4698625287084042E-5</v>
      </c>
      <c r="D451" s="8">
        <v>3724.075964562373</v>
      </c>
      <c r="E451" s="8">
        <v>6.7991231169628463E-5</v>
      </c>
      <c r="F451" s="8">
        <v>4091.4592989712573</v>
      </c>
      <c r="G451" s="8">
        <v>0.58889120915548809</v>
      </c>
      <c r="H451" s="8">
        <v>30.958088244675256</v>
      </c>
      <c r="I451" s="8">
        <v>30.958086516929505</v>
      </c>
      <c r="J451" s="8">
        <v>0.31070785413800733</v>
      </c>
      <c r="K451" s="8">
        <v>30.958020253444086</v>
      </c>
      <c r="L451" s="8">
        <v>30.958011818304218</v>
      </c>
      <c r="M451" s="8">
        <v>12</v>
      </c>
    </row>
    <row r="452" spans="1:13" x14ac:dyDescent="0.3">
      <c r="A452" s="8">
        <v>441</v>
      </c>
      <c r="B452" s="8">
        <v>0.50751341586343834</v>
      </c>
      <c r="C452" s="8">
        <v>4.5399008694602117E-5</v>
      </c>
      <c r="D452" s="8">
        <v>11178.953692083172</v>
      </c>
      <c r="E452" s="8">
        <v>2.8935357835990771E-5</v>
      </c>
      <c r="F452" s="8">
        <v>17539.55899699212</v>
      </c>
      <c r="G452" s="8">
        <v>0.53582410472771258</v>
      </c>
      <c r="H452" s="8">
        <v>30.958101423116133</v>
      </c>
      <c r="I452" s="8">
        <v>30.958099666837544</v>
      </c>
      <c r="J452" s="8">
        <v>2.8310688864274278E-2</v>
      </c>
      <c r="K452" s="8">
        <v>30.958072487758297</v>
      </c>
      <c r="L452" s="8">
        <v>30.95805426782885</v>
      </c>
      <c r="M452" s="8">
        <v>10</v>
      </c>
    </row>
    <row r="453" spans="1:13" x14ac:dyDescent="0.3">
      <c r="A453" s="8">
        <v>442</v>
      </c>
      <c r="B453" s="8">
        <v>0.51190326715970447</v>
      </c>
      <c r="C453" s="8">
        <v>6.4866258977502866E-5</v>
      </c>
      <c r="D453" s="8">
        <v>7891.672423058103</v>
      </c>
      <c r="E453" s="8">
        <v>4.3593650435269637E-5</v>
      </c>
      <c r="F453" s="8">
        <v>11742.610725380933</v>
      </c>
      <c r="G453" s="8">
        <v>0.65167356999669979</v>
      </c>
      <c r="H453" s="8">
        <v>30.958100580277854</v>
      </c>
      <c r="I453" s="8">
        <v>30.958099002448851</v>
      </c>
      <c r="J453" s="8">
        <v>0.13977030283699532</v>
      </c>
      <c r="K453" s="8">
        <v>30.958056986627419</v>
      </c>
      <c r="L453" s="8">
        <v>30.958034136189873</v>
      </c>
      <c r="M453" s="8">
        <v>12</v>
      </c>
    </row>
    <row r="454" spans="1:13" x14ac:dyDescent="0.3">
      <c r="A454" s="8">
        <v>443</v>
      </c>
      <c r="B454" s="8">
        <v>0.34618092713969784</v>
      </c>
      <c r="C454" s="8">
        <v>1.7112990624212898E-4</v>
      </c>
      <c r="D454" s="8">
        <v>2022.913088317199</v>
      </c>
      <c r="E454" s="8">
        <v>1.61984341886523E-4</v>
      </c>
      <c r="F454" s="8">
        <v>2137.1258672780391</v>
      </c>
      <c r="G454" s="8">
        <v>0.73985006221553273</v>
      </c>
      <c r="H454" s="8">
        <v>30.958092475272995</v>
      </c>
      <c r="I454" s="8">
        <v>30.958090975462706</v>
      </c>
      <c r="J454" s="8">
        <v>0.3936691350758349</v>
      </c>
      <c r="K454" s="8">
        <v>30.957930490931108</v>
      </c>
      <c r="L454" s="8">
        <v>30.957919845556464</v>
      </c>
      <c r="M454" s="8">
        <v>14</v>
      </c>
    </row>
    <row r="455" spans="1:13" x14ac:dyDescent="0.3">
      <c r="A455" s="8">
        <v>444</v>
      </c>
      <c r="B455" s="8">
        <v>0.83118869168394538</v>
      </c>
      <c r="C455" s="8">
        <v>1.3849670757792865E-4</v>
      </c>
      <c r="D455" s="8">
        <v>6001.5050626113707</v>
      </c>
      <c r="E455" s="8">
        <v>1.030897179390422E-4</v>
      </c>
      <c r="F455" s="8">
        <v>8062.7700637946655</v>
      </c>
      <c r="G455" s="8">
        <v>1.2591204593429284</v>
      </c>
      <c r="H455" s="8">
        <v>30.958099929237328</v>
      </c>
      <c r="I455" s="8">
        <v>30.958097218829739</v>
      </c>
      <c r="J455" s="8">
        <v>0.427931767658983</v>
      </c>
      <c r="K455" s="8">
        <v>30.957996839519389</v>
      </c>
      <c r="L455" s="8">
        <v>30.957958722122161</v>
      </c>
      <c r="M455" s="8">
        <v>13</v>
      </c>
    </row>
    <row r="456" spans="1:13" x14ac:dyDescent="0.3">
      <c r="A456" s="8">
        <v>445</v>
      </c>
      <c r="B456" s="8">
        <v>0.51471414896456436</v>
      </c>
      <c r="C456" s="8">
        <v>3.3371251610958552E-5</v>
      </c>
      <c r="D456" s="8">
        <v>15423.879061088046</v>
      </c>
      <c r="E456" s="8">
        <v>1.0797865591882783E-5</v>
      </c>
      <c r="F456" s="8">
        <v>47668.138169037498</v>
      </c>
      <c r="G456" s="8">
        <v>0.54758540092344321</v>
      </c>
      <c r="H456" s="8">
        <v>30.958101550902285</v>
      </c>
      <c r="I456" s="8">
        <v>30.958100169167707</v>
      </c>
      <c r="J456" s="8">
        <v>3.28712519588788E-2</v>
      </c>
      <c r="K456" s="8">
        <v>30.958090753036693</v>
      </c>
      <c r="L456" s="8">
        <v>30.958066797916096</v>
      </c>
      <c r="M456" s="8">
        <v>11</v>
      </c>
    </row>
    <row r="457" spans="1:13" x14ac:dyDescent="0.3">
      <c r="A457" s="8">
        <v>446</v>
      </c>
      <c r="B457" s="8">
        <v>0.78024642570038139</v>
      </c>
      <c r="C457" s="8">
        <v>4.0004508964130991E-5</v>
      </c>
      <c r="D457" s="8">
        <v>19503.962075874228</v>
      </c>
      <c r="E457" s="8">
        <v>1.080760345928411E-5</v>
      </c>
      <c r="F457" s="8">
        <v>72194.212957556505</v>
      </c>
      <c r="G457" s="8">
        <v>0.8690056823440554</v>
      </c>
      <c r="H457" s="8">
        <v>30.958100437320827</v>
      </c>
      <c r="I457" s="8">
        <v>30.958096508183647</v>
      </c>
      <c r="J457" s="8">
        <v>8.8759256643674039E-2</v>
      </c>
      <c r="K457" s="8">
        <v>30.958089629717367</v>
      </c>
      <c r="L457" s="8">
        <v>30.958056503674683</v>
      </c>
      <c r="M457" s="8">
        <v>11</v>
      </c>
    </row>
    <row r="458" spans="1:13" x14ac:dyDescent="0.3">
      <c r="A458" s="8">
        <v>447</v>
      </c>
      <c r="B458" s="8">
        <v>0.23590786094416777</v>
      </c>
      <c r="C458" s="8">
        <v>4.3206469293011196E-5</v>
      </c>
      <c r="D458" s="8">
        <v>5460.012465825962</v>
      </c>
      <c r="E458" s="8">
        <v>2.5686902056065719E-5</v>
      </c>
      <c r="F458" s="8">
        <v>9183.9747910924252</v>
      </c>
      <c r="G458" s="8">
        <v>0.25993844297943647</v>
      </c>
      <c r="H458" s="8">
        <v>30.958101307876959</v>
      </c>
      <c r="I458" s="8">
        <v>30.958100676251348</v>
      </c>
      <c r="J458" s="8">
        <v>2.4030582035268699E-2</v>
      </c>
      <c r="K458" s="8">
        <v>30.958075620974903</v>
      </c>
      <c r="L458" s="8">
        <v>30.958057469782055</v>
      </c>
      <c r="M458" s="8">
        <v>15</v>
      </c>
    </row>
    <row r="459" spans="1:13" x14ac:dyDescent="0.3">
      <c r="A459" s="8">
        <v>448</v>
      </c>
      <c r="B459" s="8">
        <v>0.27255931828468061</v>
      </c>
      <c r="C459" s="8">
        <v>8.4660725981677842E-5</v>
      </c>
      <c r="D459" s="8">
        <v>3219.4304398437066</v>
      </c>
      <c r="E459" s="8">
        <v>6.4635426699766185E-5</v>
      </c>
      <c r="F459" s="8">
        <v>4216.8719570883031</v>
      </c>
      <c r="G459" s="8">
        <v>0.46914939134444689</v>
      </c>
      <c r="H459" s="8">
        <v>30.958101517823362</v>
      </c>
      <c r="I459" s="8">
        <v>30.958100337542309</v>
      </c>
      <c r="J459" s="8">
        <v>0.19659007305976628</v>
      </c>
      <c r="K459" s="8">
        <v>30.958036882396662</v>
      </c>
      <c r="L459" s="8">
        <v>30.958015676816327</v>
      </c>
      <c r="M459" s="8">
        <v>12</v>
      </c>
    </row>
    <row r="460" spans="1:13" x14ac:dyDescent="0.3">
      <c r="A460" s="8">
        <v>449</v>
      </c>
      <c r="B460" s="8">
        <v>0.45804337410806523</v>
      </c>
      <c r="C460" s="8">
        <v>9.6856954627355663E-5</v>
      </c>
      <c r="D460" s="8">
        <v>4729.0705749558883</v>
      </c>
      <c r="E460" s="8">
        <v>7.7547195154181736E-5</v>
      </c>
      <c r="F460" s="8">
        <v>5906.6401202180068</v>
      </c>
      <c r="G460" s="8">
        <v>0.665396021678474</v>
      </c>
      <c r="H460" s="8">
        <v>30.958099414265824</v>
      </c>
      <c r="I460" s="8">
        <v>30.958097296232705</v>
      </c>
      <c r="J460" s="8">
        <v>0.20735264757040878</v>
      </c>
      <c r="K460" s="8">
        <v>30.95802186707067</v>
      </c>
      <c r="L460" s="8">
        <v>30.958000439278077</v>
      </c>
      <c r="M460" s="8">
        <v>12</v>
      </c>
    </row>
    <row r="461" spans="1:13" x14ac:dyDescent="0.3">
      <c r="A461" s="8">
        <v>450</v>
      </c>
      <c r="B461" s="8">
        <v>0.56485117451561606</v>
      </c>
      <c r="C461" s="8">
        <v>4.5024346281508087E-5</v>
      </c>
      <c r="D461" s="8">
        <v>12545.460870968951</v>
      </c>
      <c r="E461" s="8">
        <v>2.2946741605522902E-5</v>
      </c>
      <c r="F461" s="8">
        <v>24615.746506670286</v>
      </c>
      <c r="G461" s="8">
        <v>0.5900502960043168</v>
      </c>
      <c r="H461" s="8">
        <v>30.958101205415474</v>
      </c>
      <c r="I461" s="8">
        <v>30.9580996020958</v>
      </c>
      <c r="J461" s="8">
        <v>2.5199121488700741E-2</v>
      </c>
      <c r="K461" s="8">
        <v>30.958078258673869</v>
      </c>
      <c r="L461" s="8">
        <v>30.958054577749518</v>
      </c>
      <c r="M461" s="8">
        <v>9</v>
      </c>
    </row>
    <row r="462" spans="1:13" x14ac:dyDescent="0.3">
      <c r="A462" s="8">
        <v>451</v>
      </c>
      <c r="B462" s="8">
        <v>0.41552216340247478</v>
      </c>
      <c r="C462" s="8">
        <v>7.3002779522823857E-5</v>
      </c>
      <c r="D462" s="8">
        <v>5691.8677085790196</v>
      </c>
      <c r="E462" s="8">
        <v>5.2159573616705757E-5</v>
      </c>
      <c r="F462" s="8">
        <v>7966.3642662406783</v>
      </c>
      <c r="G462" s="8">
        <v>0.53967876735435394</v>
      </c>
      <c r="H462" s="8">
        <v>30.958101387969446</v>
      </c>
      <c r="I462" s="8">
        <v>30.958100436794918</v>
      </c>
      <c r="J462" s="8">
        <v>0.12415660395187916</v>
      </c>
      <c r="K462" s="8">
        <v>30.958049228395829</v>
      </c>
      <c r="L462" s="8">
        <v>30.958027434015396</v>
      </c>
      <c r="M462" s="8">
        <v>14</v>
      </c>
    </row>
    <row r="463" spans="1:13" x14ac:dyDescent="0.3">
      <c r="A463" s="8">
        <v>452</v>
      </c>
      <c r="B463" s="8">
        <v>0.22296330457500874</v>
      </c>
      <c r="C463" s="8">
        <v>4.911915479155482E-5</v>
      </c>
      <c r="D463" s="8">
        <v>4539.233330076424</v>
      </c>
      <c r="E463" s="8">
        <v>3.6795230034414317E-5</v>
      </c>
      <c r="F463" s="8">
        <v>6059.5708836844542</v>
      </c>
      <c r="G463" s="8">
        <v>0.38064353725874089</v>
      </c>
      <c r="H463" s="8">
        <v>30.958101537980525</v>
      </c>
      <c r="I463" s="8">
        <v>30.958101430083481</v>
      </c>
      <c r="J463" s="8">
        <v>0.15768023268373216</v>
      </c>
      <c r="K463" s="8">
        <v>30.958064742750491</v>
      </c>
      <c r="L463" s="8">
        <v>30.958052310928689</v>
      </c>
      <c r="M463" s="8">
        <v>13</v>
      </c>
    </row>
    <row r="464" spans="1:13" x14ac:dyDescent="0.3">
      <c r="A464" s="8">
        <v>453</v>
      </c>
      <c r="B464" s="8">
        <v>0.54783767967930097</v>
      </c>
      <c r="C464" s="8">
        <v>1.1268667507025043E-4</v>
      </c>
      <c r="D464" s="8">
        <v>4861.6012437830059</v>
      </c>
      <c r="E464" s="8">
        <v>8.7467845698796509E-5</v>
      </c>
      <c r="F464" s="8">
        <v>6263.3036780833718</v>
      </c>
      <c r="G464" s="8">
        <v>0.9715506258749308</v>
      </c>
      <c r="H464" s="8">
        <v>30.95809856992307</v>
      </c>
      <c r="I464" s="8">
        <v>30.958094837190981</v>
      </c>
      <c r="J464" s="8">
        <v>0.42371294619562982</v>
      </c>
      <c r="K464" s="8">
        <v>30.958011102077371</v>
      </c>
      <c r="L464" s="8">
        <v>30.95798215051591</v>
      </c>
      <c r="M464" s="8">
        <v>12</v>
      </c>
    </row>
    <row r="465" spans="1:13" x14ac:dyDescent="0.3">
      <c r="A465" s="8">
        <v>454</v>
      </c>
      <c r="B465" s="8">
        <v>0.60002321494329269</v>
      </c>
      <c r="C465" s="8">
        <v>4.188228556500917E-5</v>
      </c>
      <c r="D465" s="8">
        <v>14326.420032926428</v>
      </c>
      <c r="E465" s="8">
        <v>1.3895260750018679E-5</v>
      </c>
      <c r="F465" s="8">
        <v>43181.860760870295</v>
      </c>
      <c r="G465" s="8">
        <v>0.67415991121656316</v>
      </c>
      <c r="H465" s="8">
        <v>30.958101542843089</v>
      </c>
      <c r="I465" s="8">
        <v>30.958100707277282</v>
      </c>
      <c r="J465" s="8">
        <v>7.4136696273270464E-2</v>
      </c>
      <c r="K465" s="8">
        <v>30.958087647582339</v>
      </c>
      <c r="L465" s="8">
        <v>30.958058824991717</v>
      </c>
      <c r="M465" s="8">
        <v>13</v>
      </c>
    </row>
    <row r="466" spans="1:13" x14ac:dyDescent="0.3">
      <c r="A466" s="8">
        <v>455</v>
      </c>
      <c r="B466" s="8">
        <v>0.60369537874530466</v>
      </c>
      <c r="C466" s="8">
        <v>2.7020814886924427E-5</v>
      </c>
      <c r="D466" s="8">
        <v>22341.864272843872</v>
      </c>
      <c r="E466" s="8">
        <v>1.2498307963682009E-5</v>
      </c>
      <c r="F466" s="8">
        <v>48302.168621507997</v>
      </c>
      <c r="G466" s="8">
        <v>0.61894970747998379</v>
      </c>
      <c r="H466" s="8">
        <v>30.958101483381409</v>
      </c>
      <c r="I466" s="8">
        <v>30.958099751247584</v>
      </c>
      <c r="J466" s="8">
        <v>1.52543287346791E-2</v>
      </c>
      <c r="K466" s="8">
        <v>30.958088985073445</v>
      </c>
      <c r="L466" s="8">
        <v>30.958072730432697</v>
      </c>
      <c r="M466" s="8">
        <v>14</v>
      </c>
    </row>
    <row r="467" spans="1:13" x14ac:dyDescent="0.3">
      <c r="A467" s="8">
        <v>456</v>
      </c>
      <c r="B467" s="8">
        <v>0.59670289380132868</v>
      </c>
      <c r="C467" s="8">
        <v>3.4129161395668461E-5</v>
      </c>
      <c r="D467" s="8">
        <v>17483.667028427481</v>
      </c>
      <c r="E467" s="8">
        <v>9.0717510516924449E-6</v>
      </c>
      <c r="F467" s="8">
        <v>65775.933488607639</v>
      </c>
      <c r="G467" s="8">
        <v>0.62378877676456002</v>
      </c>
      <c r="H467" s="8">
        <v>30.958101529625395</v>
      </c>
      <c r="I467" s="8">
        <v>30.958101447259889</v>
      </c>
      <c r="J467" s="8">
        <v>2.7085882963231299E-2</v>
      </c>
      <c r="K467" s="8">
        <v>30.958092457874343</v>
      </c>
      <c r="L467" s="8">
        <v>30.958067318098493</v>
      </c>
      <c r="M467" s="8">
        <v>9</v>
      </c>
    </row>
    <row r="468" spans="1:13" x14ac:dyDescent="0.3">
      <c r="A468" s="8">
        <v>457</v>
      </c>
      <c r="B468" s="8">
        <v>0.38729775301659486</v>
      </c>
      <c r="C468" s="8">
        <v>2.6702349387619506E-5</v>
      </c>
      <c r="D468" s="8">
        <v>14504.25756155242</v>
      </c>
      <c r="E468" s="8">
        <v>3.3866239874669191E-6</v>
      </c>
      <c r="F468" s="8">
        <v>114361.01393301728</v>
      </c>
      <c r="G468" s="8">
        <v>0.39946447049537476</v>
      </c>
      <c r="H468" s="8">
        <v>30.958101551454217</v>
      </c>
      <c r="I468" s="8">
        <v>30.958100207475301</v>
      </c>
      <c r="J468" s="8">
        <v>1.2166717478779903E-2</v>
      </c>
      <c r="K468" s="8">
        <v>30.958098164830229</v>
      </c>
      <c r="L468" s="8">
        <v>30.958073505125913</v>
      </c>
      <c r="M468" s="8">
        <v>10</v>
      </c>
    </row>
    <row r="469" spans="1:13" x14ac:dyDescent="0.3">
      <c r="A469" s="8">
        <v>458</v>
      </c>
      <c r="B469" s="8">
        <v>0.92896480153270511</v>
      </c>
      <c r="C469" s="8">
        <v>5.7875558908904168E-5</v>
      </c>
      <c r="D469" s="8">
        <v>16051.072664281151</v>
      </c>
      <c r="E469" s="8">
        <v>2.4606157278839191E-5</v>
      </c>
      <c r="F469" s="8">
        <v>37753.347302693073</v>
      </c>
      <c r="G469" s="8">
        <v>0.99469622382012668</v>
      </c>
      <c r="H469" s="8">
        <v>30.958101508249165</v>
      </c>
      <c r="I469" s="8">
        <v>30.958101431202511</v>
      </c>
      <c r="J469" s="8">
        <v>6.5731422287421584E-2</v>
      </c>
      <c r="K469" s="8">
        <v>30.958076902091886</v>
      </c>
      <c r="L469" s="8">
        <v>30.958043555643602</v>
      </c>
      <c r="M469" s="8">
        <v>12</v>
      </c>
    </row>
    <row r="470" spans="1:13" x14ac:dyDescent="0.3">
      <c r="A470" s="8">
        <v>459</v>
      </c>
      <c r="B470" s="8">
        <v>0.50122791698681513</v>
      </c>
      <c r="C470" s="8">
        <v>5.7171194647764878E-5</v>
      </c>
      <c r="D470" s="8">
        <v>8767.1408665659346</v>
      </c>
      <c r="E470" s="8">
        <v>3.4410516139615765E-5</v>
      </c>
      <c r="F470" s="8">
        <v>14566.126092185141</v>
      </c>
      <c r="G470" s="8">
        <v>0.5457729024050646</v>
      </c>
      <c r="H470" s="8">
        <v>30.958100460765355</v>
      </c>
      <c r="I470" s="8">
        <v>30.958098432285158</v>
      </c>
      <c r="J470" s="8">
        <v>4.454498541824943E-2</v>
      </c>
      <c r="K470" s="8">
        <v>30.958066050249215</v>
      </c>
      <c r="L470" s="8">
        <v>30.958041261090511</v>
      </c>
      <c r="M470" s="8">
        <v>10</v>
      </c>
    </row>
    <row r="471" spans="1:13" x14ac:dyDescent="0.3">
      <c r="A471" s="8">
        <v>460</v>
      </c>
      <c r="B471" s="8">
        <v>0.56045970950715052</v>
      </c>
      <c r="C471" s="8">
        <v>3.125315895147196E-5</v>
      </c>
      <c r="D471" s="8">
        <v>17932.897931290685</v>
      </c>
      <c r="E471" s="8">
        <v>1.2911259528181063E-5</v>
      </c>
      <c r="F471" s="8">
        <v>43408.600708850288</v>
      </c>
      <c r="G471" s="8">
        <v>0.62652737242185697</v>
      </c>
      <c r="H471" s="8">
        <v>30.958101540811107</v>
      </c>
      <c r="I471" s="8">
        <v>30.958100669047091</v>
      </c>
      <c r="J471" s="8">
        <v>6.6067662914706476E-2</v>
      </c>
      <c r="K471" s="8">
        <v>30.958088629551579</v>
      </c>
      <c r="L471" s="8">
        <v>30.95806941588814</v>
      </c>
      <c r="M471" s="8">
        <v>14</v>
      </c>
    </row>
    <row r="472" spans="1:13" x14ac:dyDescent="0.3">
      <c r="A472" s="8">
        <v>461</v>
      </c>
      <c r="B472" s="8">
        <v>0.7719491622414939</v>
      </c>
      <c r="C472" s="8">
        <v>5.1106921457488852E-5</v>
      </c>
      <c r="D472" s="8">
        <v>15104.591320054515</v>
      </c>
      <c r="E472" s="8">
        <v>3.4401637414305242E-6</v>
      </c>
      <c r="F472" s="8">
        <v>224393.14528688512</v>
      </c>
      <c r="G472" s="8">
        <v>0.82012597245722318</v>
      </c>
      <c r="H472" s="8">
        <v>30.958101543893083</v>
      </c>
      <c r="I472" s="8">
        <v>30.958100320595488</v>
      </c>
      <c r="J472" s="8">
        <v>4.8176810215729268E-2</v>
      </c>
      <c r="K472" s="8">
        <v>30.958098103729341</v>
      </c>
      <c r="L472" s="8">
        <v>30.95804921367403</v>
      </c>
      <c r="M472" s="8">
        <v>14</v>
      </c>
    </row>
    <row r="473" spans="1:13" x14ac:dyDescent="0.3">
      <c r="A473" s="8">
        <v>462</v>
      </c>
      <c r="B473" s="8">
        <v>0.29268506318389353</v>
      </c>
      <c r="C473" s="8">
        <v>1.656196057702175E-4</v>
      </c>
      <c r="D473" s="8">
        <v>1767.212654702053</v>
      </c>
      <c r="E473" s="8">
        <v>1.5622577284446493E-4</v>
      </c>
      <c r="F473" s="8">
        <v>1873.47489376983</v>
      </c>
      <c r="G473" s="8">
        <v>0.70919805345800269</v>
      </c>
      <c r="H473" s="8">
        <v>30.958100881060165</v>
      </c>
      <c r="I473" s="8">
        <v>30.95809923765319</v>
      </c>
      <c r="J473" s="8">
        <v>0.41651299027410915</v>
      </c>
      <c r="K473" s="8">
        <v>30.957944655287321</v>
      </c>
      <c r="L473" s="8">
        <v>30.95793361804742</v>
      </c>
      <c r="M473" s="8">
        <v>11</v>
      </c>
    </row>
    <row r="474" spans="1:13" x14ac:dyDescent="0.3">
      <c r="A474" s="8">
        <v>463</v>
      </c>
      <c r="B474" s="8">
        <v>0.39944459907239271</v>
      </c>
      <c r="C474" s="8">
        <v>1.5133096820107994E-4</v>
      </c>
      <c r="D474" s="8">
        <v>2639.5430084186969</v>
      </c>
      <c r="E474" s="8">
        <v>1.352248738299977E-4</v>
      </c>
      <c r="F474" s="8">
        <v>2953.9284286895863</v>
      </c>
      <c r="G474" s="8">
        <v>0.71337962792958387</v>
      </c>
      <c r="H474" s="8">
        <v>30.95810146616115</v>
      </c>
      <c r="I474" s="8">
        <v>30.958100705289908</v>
      </c>
      <c r="J474" s="8">
        <v>0.31393502885719116</v>
      </c>
      <c r="K474" s="8">
        <v>30.95796624128732</v>
      </c>
      <c r="L474" s="8">
        <v>30.957949374321707</v>
      </c>
      <c r="M474" s="8">
        <v>11</v>
      </c>
    </row>
    <row r="475" spans="1:13" x14ac:dyDescent="0.3">
      <c r="A475" s="8">
        <v>464</v>
      </c>
      <c r="B475" s="8">
        <v>0.5379289649792679</v>
      </c>
      <c r="C475" s="8">
        <v>5.5066087313093703E-5</v>
      </c>
      <c r="D475" s="8">
        <v>9768.7885816314083</v>
      </c>
      <c r="E475" s="8">
        <v>3.1725544129557193E-5</v>
      </c>
      <c r="F475" s="8">
        <v>16955.704929205764</v>
      </c>
      <c r="G475" s="8">
        <v>0.71973429043494075</v>
      </c>
      <c r="H475" s="8">
        <v>30.958101551454217</v>
      </c>
      <c r="I475" s="8">
        <v>30.958101278209682</v>
      </c>
      <c r="J475" s="8">
        <v>0.18180532545567288</v>
      </c>
      <c r="K475" s="8">
        <v>30.958069825910087</v>
      </c>
      <c r="L475" s="8">
        <v>30.958046212122369</v>
      </c>
      <c r="M475" s="8">
        <v>13</v>
      </c>
    </row>
    <row r="476" spans="1:13" x14ac:dyDescent="0.3">
      <c r="A476" s="8">
        <v>465</v>
      </c>
      <c r="B476" s="8">
        <v>0.64374671403595196</v>
      </c>
      <c r="C476" s="8">
        <v>4.8390153921218371E-5</v>
      </c>
      <c r="D476" s="8">
        <v>13303.258243071603</v>
      </c>
      <c r="E476" s="8">
        <v>3.1467724202371983E-5</v>
      </c>
      <c r="F476" s="8">
        <v>20457.364819138318</v>
      </c>
      <c r="G476" s="8">
        <v>0.74917018251489131</v>
      </c>
      <c r="H476" s="8">
        <v>30.958101548142114</v>
      </c>
      <c r="I476" s="8">
        <v>30.958100216043075</v>
      </c>
      <c r="J476" s="8">
        <v>0.10542346847893939</v>
      </c>
      <c r="K476" s="8">
        <v>30.958070080417912</v>
      </c>
      <c r="L476" s="8">
        <v>30.958051825889154</v>
      </c>
      <c r="M476" s="8">
        <v>11</v>
      </c>
    </row>
    <row r="477" spans="1:13" x14ac:dyDescent="0.3">
      <c r="A477" s="8">
        <v>466</v>
      </c>
      <c r="B477" s="8">
        <v>0.43949960886085754</v>
      </c>
      <c r="C477" s="8">
        <v>5.9278012109587053E-5</v>
      </c>
      <c r="D477" s="8">
        <v>7414.2096406397059</v>
      </c>
      <c r="E477" s="8">
        <v>2.6191058967839353E-5</v>
      </c>
      <c r="F477" s="8">
        <v>16780.520764759069</v>
      </c>
      <c r="G477" s="8">
        <v>0.47396317388302478</v>
      </c>
      <c r="H477" s="8">
        <v>30.958099793523139</v>
      </c>
      <c r="I477" s="8">
        <v>30.958094516711466</v>
      </c>
      <c r="J477" s="8">
        <v>3.4463565022167235E-2</v>
      </c>
      <c r="K477" s="8">
        <v>30.958073602464172</v>
      </c>
      <c r="L477" s="8">
        <v>30.958035238699356</v>
      </c>
      <c r="M477" s="8">
        <v>9</v>
      </c>
    </row>
    <row r="478" spans="1:13" x14ac:dyDescent="0.3">
      <c r="A478" s="8">
        <v>467</v>
      </c>
      <c r="B478" s="8">
        <v>0.51001704786895241</v>
      </c>
      <c r="C478" s="8">
        <v>9.3053003624277153E-5</v>
      </c>
      <c r="D478" s="8">
        <v>5480.9305235139236</v>
      </c>
      <c r="E478" s="8">
        <v>7.2399436970016495E-5</v>
      </c>
      <c r="F478" s="8">
        <v>7044.4891454082835</v>
      </c>
      <c r="G478" s="8">
        <v>0.6387654263743181</v>
      </c>
      <c r="H478" s="8">
        <v>30.958094764832847</v>
      </c>
      <c r="I478" s="8">
        <v>30.958091899377724</v>
      </c>
      <c r="J478" s="8">
        <v>0.12874837850536569</v>
      </c>
      <c r="K478" s="8">
        <v>30.958022365395877</v>
      </c>
      <c r="L478" s="8">
        <v>30.9579988463741</v>
      </c>
      <c r="M478" s="8">
        <v>14</v>
      </c>
    </row>
    <row r="479" spans="1:13" x14ac:dyDescent="0.3">
      <c r="A479" s="8">
        <v>468</v>
      </c>
      <c r="B479" s="8">
        <v>0.47360874226071115</v>
      </c>
      <c r="C479" s="8">
        <v>6.5030049398728806E-5</v>
      </c>
      <c r="D479" s="8">
        <v>7282.9214592288026</v>
      </c>
      <c r="E479" s="8">
        <v>4.3958130021337638E-5</v>
      </c>
      <c r="F479" s="8">
        <v>10774.08756994025</v>
      </c>
      <c r="G479" s="8">
        <v>0.54728962297893791</v>
      </c>
      <c r="H479" s="8">
        <v>30.958101391225</v>
      </c>
      <c r="I479" s="8">
        <v>30.958100407064958</v>
      </c>
      <c r="J479" s="8">
        <v>7.3680880718226732E-2</v>
      </c>
      <c r="K479" s="8">
        <v>30.958057433094979</v>
      </c>
      <c r="L479" s="8">
        <v>30.958035377015559</v>
      </c>
      <c r="M479" s="8">
        <v>9</v>
      </c>
    </row>
    <row r="480" spans="1:13" x14ac:dyDescent="0.3">
      <c r="A480" s="8">
        <v>469</v>
      </c>
      <c r="B480" s="8">
        <v>0.21658236320617233</v>
      </c>
      <c r="C480" s="8">
        <v>8.4490436094597499E-5</v>
      </c>
      <c r="D480" s="8">
        <v>2563.3950209900868</v>
      </c>
      <c r="E480" s="8">
        <v>6.9058533480159667E-5</v>
      </c>
      <c r="F480" s="8">
        <v>3136.2143429876896</v>
      </c>
      <c r="G480" s="8">
        <v>0.41434959368243152</v>
      </c>
      <c r="H480" s="8">
        <v>30.958101507300917</v>
      </c>
      <c r="I480" s="8">
        <v>30.958099870320943</v>
      </c>
      <c r="J480" s="8">
        <v>0.19776723047625919</v>
      </c>
      <c r="K480" s="8">
        <v>30.958032448767437</v>
      </c>
      <c r="L480" s="8">
        <v>30.958015379884849</v>
      </c>
      <c r="M480" s="8">
        <v>9</v>
      </c>
    </row>
    <row r="481" spans="1:13" x14ac:dyDescent="0.3">
      <c r="A481" s="8">
        <v>470</v>
      </c>
      <c r="B481" s="8">
        <v>0.27752067638202271</v>
      </c>
      <c r="C481" s="8">
        <v>1.4635659953299296E-4</v>
      </c>
      <c r="D481" s="8">
        <v>1896.195164875101</v>
      </c>
      <c r="E481" s="8">
        <v>1.392756825531194E-4</v>
      </c>
      <c r="F481" s="8">
        <v>1992.5996505253315</v>
      </c>
      <c r="G481" s="8">
        <v>0.63057690805689715</v>
      </c>
      <c r="H481" s="8">
        <v>30.958101469721267</v>
      </c>
      <c r="I481" s="8">
        <v>30.958100906771808</v>
      </c>
      <c r="J481" s="8">
        <v>0.35305623167487443</v>
      </c>
      <c r="K481" s="8">
        <v>30.957962194038714</v>
      </c>
      <c r="L481" s="8">
        <v>30.957954550172275</v>
      </c>
      <c r="M481" s="8">
        <v>11</v>
      </c>
    </row>
    <row r="482" spans="1:13" x14ac:dyDescent="0.3">
      <c r="A482" s="8">
        <v>471</v>
      </c>
      <c r="B482" s="8">
        <v>0.69827593012931322</v>
      </c>
      <c r="C482" s="8">
        <v>2.6142056672284752E-5</v>
      </c>
      <c r="D482" s="8">
        <v>26710.826117579738</v>
      </c>
      <c r="E482" s="8">
        <v>3.5841723864393771E-6</v>
      </c>
      <c r="F482" s="8">
        <v>194822.08299221937</v>
      </c>
      <c r="G482" s="8">
        <v>0.7246684321603617</v>
      </c>
      <c r="H482" s="8">
        <v>30.958101537018297</v>
      </c>
      <c r="I482" s="8">
        <v>30.958099960096337</v>
      </c>
      <c r="J482" s="8">
        <v>2.6392502031048433E-2</v>
      </c>
      <c r="K482" s="8">
        <v>30.958097952845911</v>
      </c>
      <c r="L482" s="8">
        <v>30.958073818039665</v>
      </c>
      <c r="M482" s="8">
        <v>9</v>
      </c>
    </row>
    <row r="483" spans="1:13" x14ac:dyDescent="0.3">
      <c r="A483" s="8">
        <v>472</v>
      </c>
      <c r="B483" s="8">
        <v>0.59849576290696715</v>
      </c>
      <c r="C483" s="8">
        <v>6.4124436516266314E-5</v>
      </c>
      <c r="D483" s="8">
        <v>9333.3492724750558</v>
      </c>
      <c r="E483" s="8">
        <v>5.329169248824428E-5</v>
      </c>
      <c r="F483" s="8">
        <v>11230.563995297964</v>
      </c>
      <c r="G483" s="8">
        <v>0.72223113549813389</v>
      </c>
      <c r="H483" s="8">
        <v>30.958101232515375</v>
      </c>
      <c r="I483" s="8">
        <v>30.958099971949629</v>
      </c>
      <c r="J483" s="8">
        <v>0.12373537259116671</v>
      </c>
      <c r="K483" s="8">
        <v>30.958047940822887</v>
      </c>
      <c r="L483" s="8">
        <v>30.958035847513113</v>
      </c>
      <c r="M483" s="8">
        <v>15</v>
      </c>
    </row>
    <row r="484" spans="1:13" x14ac:dyDescent="0.3">
      <c r="A484" s="8">
        <v>473</v>
      </c>
      <c r="B484" s="8">
        <v>0.6328013853488843</v>
      </c>
      <c r="C484" s="8">
        <v>2.9777151169696481E-5</v>
      </c>
      <c r="D484" s="8">
        <v>21251.239977344496</v>
      </c>
      <c r="E484" s="8">
        <v>1.1104582565479859E-5</v>
      </c>
      <c r="F484" s="8">
        <v>56985.607663995899</v>
      </c>
      <c r="G484" s="8">
        <v>0.66505535404698934</v>
      </c>
      <c r="H484" s="8">
        <v>30.958101513598518</v>
      </c>
      <c r="I484" s="8">
        <v>30.958101408959163</v>
      </c>
      <c r="J484" s="8">
        <v>3.2253968698105054E-2</v>
      </c>
      <c r="K484" s="8">
        <v>30.958090409015952</v>
      </c>
      <c r="L484" s="8">
        <v>30.958071631807993</v>
      </c>
      <c r="M484" s="8">
        <v>10</v>
      </c>
    </row>
    <row r="485" spans="1:13" x14ac:dyDescent="0.3">
      <c r="A485" s="8">
        <v>474</v>
      </c>
      <c r="B485" s="8">
        <v>0.57881294137345263</v>
      </c>
      <c r="C485" s="8">
        <v>1.7693365322202226E-5</v>
      </c>
      <c r="D485" s="8">
        <v>32713.558491167241</v>
      </c>
      <c r="E485" s="8">
        <v>1.8839874265097478E-6</v>
      </c>
      <c r="F485" s="8">
        <v>307227.60312989692</v>
      </c>
      <c r="G485" s="8">
        <v>0.60833703698674813</v>
      </c>
      <c r="H485" s="8">
        <v>30.958101550582295</v>
      </c>
      <c r="I485" s="8">
        <v>30.95810061808071</v>
      </c>
      <c r="J485" s="8">
        <v>2.9524095613295442E-2</v>
      </c>
      <c r="K485" s="8">
        <v>30.958099666594869</v>
      </c>
      <c r="L485" s="8">
        <v>30.958082924715388</v>
      </c>
      <c r="M485" s="8">
        <v>14</v>
      </c>
    </row>
    <row r="486" spans="1:13" x14ac:dyDescent="0.3">
      <c r="A486" s="8">
        <v>475</v>
      </c>
      <c r="B486" s="8">
        <v>0.49230394707413822</v>
      </c>
      <c r="C486" s="8">
        <v>6.2157182728839189E-5</v>
      </c>
      <c r="D486" s="8">
        <v>7920.3066397300372</v>
      </c>
      <c r="E486" s="8">
        <v>3.3892509026856033E-5</v>
      </c>
      <c r="F486" s="8">
        <v>14525.450053994004</v>
      </c>
      <c r="G486" s="8">
        <v>0.72581080318670133</v>
      </c>
      <c r="H486" s="8">
        <v>30.958100674826746</v>
      </c>
      <c r="I486" s="8">
        <v>30.958099783154044</v>
      </c>
      <c r="J486" s="8">
        <v>0.23350685611256311</v>
      </c>
      <c r="K486" s="8">
        <v>30.958066782317719</v>
      </c>
      <c r="L486" s="8">
        <v>30.958037625971315</v>
      </c>
      <c r="M486" s="8">
        <v>15</v>
      </c>
    </row>
    <row r="487" spans="1:13" x14ac:dyDescent="0.3">
      <c r="A487" s="8">
        <v>476</v>
      </c>
      <c r="B487" s="8">
        <v>0.85730783848041259</v>
      </c>
      <c r="C487" s="8">
        <v>1.9058838968888381E-4</v>
      </c>
      <c r="D487" s="8">
        <v>4498.2164961878352</v>
      </c>
      <c r="E487" s="8">
        <v>1.4628469048716397E-4</v>
      </c>
      <c r="F487" s="8">
        <v>5860.5438178483801</v>
      </c>
      <c r="G487" s="8">
        <v>1.206999364419534</v>
      </c>
      <c r="H487" s="8">
        <v>30.958098829366666</v>
      </c>
      <c r="I487" s="8">
        <v>30.958097946718837</v>
      </c>
      <c r="J487" s="8">
        <v>0.34969152593912145</v>
      </c>
      <c r="K487" s="8">
        <v>30.957952544676179</v>
      </c>
      <c r="L487" s="8">
        <v>30.957907358329148</v>
      </c>
      <c r="M487" s="8">
        <v>9</v>
      </c>
    </row>
    <row r="488" spans="1:13" x14ac:dyDescent="0.3">
      <c r="A488" s="8">
        <v>477</v>
      </c>
      <c r="B488" s="8">
        <v>0.48294208563322061</v>
      </c>
      <c r="C488" s="8">
        <v>7.5563266779710148E-5</v>
      </c>
      <c r="D488" s="8">
        <v>6391.2282543466963</v>
      </c>
      <c r="E488" s="8">
        <v>5.8025193819588594E-5</v>
      </c>
      <c r="F488" s="8">
        <v>8322.9723822169344</v>
      </c>
      <c r="G488" s="8">
        <v>0.71515197553324483</v>
      </c>
      <c r="H488" s="8">
        <v>30.958101408243788</v>
      </c>
      <c r="I488" s="8">
        <v>30.958101339580644</v>
      </c>
      <c r="J488" s="8">
        <v>0.23220988990002425</v>
      </c>
      <c r="K488" s="8">
        <v>30.958043383049969</v>
      </c>
      <c r="L488" s="8">
        <v>30.958025776313864</v>
      </c>
      <c r="M488" s="8">
        <v>9</v>
      </c>
    </row>
    <row r="489" spans="1:13" x14ac:dyDescent="0.3">
      <c r="A489" s="8">
        <v>478</v>
      </c>
      <c r="B489" s="8">
        <v>0.59939287452299761</v>
      </c>
      <c r="C489" s="8">
        <v>4.9934139635610109E-5</v>
      </c>
      <c r="D489" s="8">
        <v>12003.668810497451</v>
      </c>
      <c r="E489" s="8">
        <v>2.4934414739163913E-5</v>
      </c>
      <c r="F489" s="8">
        <v>24038.778563410393</v>
      </c>
      <c r="G489" s="8">
        <v>0.66911595050148942</v>
      </c>
      <c r="H489" s="8">
        <v>30.95810098413379</v>
      </c>
      <c r="I489" s="8">
        <v>30.958099082931582</v>
      </c>
      <c r="J489" s="8">
        <v>6.9723075978491769E-2</v>
      </c>
      <c r="K489" s="8">
        <v>30.95807604971905</v>
      </c>
      <c r="L489" s="8">
        <v>30.958049148791947</v>
      </c>
      <c r="M489" s="8">
        <v>11</v>
      </c>
    </row>
    <row r="490" spans="1:13" x14ac:dyDescent="0.3">
      <c r="A490" s="8">
        <v>479</v>
      </c>
      <c r="B490" s="8">
        <v>0.72883610645837071</v>
      </c>
      <c r="C490" s="8">
        <v>1.141765730494626E-4</v>
      </c>
      <c r="D490" s="8">
        <v>6383.4119994355633</v>
      </c>
      <c r="E490" s="8">
        <v>6.4404254324301746E-5</v>
      </c>
      <c r="F490" s="8">
        <v>11316.583261540192</v>
      </c>
      <c r="G490" s="8">
        <v>0.82526929926354042</v>
      </c>
      <c r="H490" s="8">
        <v>30.958100428999039</v>
      </c>
      <c r="I490" s="8">
        <v>30.958098600438543</v>
      </c>
      <c r="J490" s="8">
        <v>9.6433192805169737E-2</v>
      </c>
      <c r="K490" s="8">
        <v>30.958036024744715</v>
      </c>
      <c r="L490" s="8">
        <v>30.957984423865494</v>
      </c>
      <c r="M490" s="8">
        <v>10</v>
      </c>
    </row>
    <row r="491" spans="1:13" x14ac:dyDescent="0.3">
      <c r="A491" s="8">
        <v>480</v>
      </c>
      <c r="B491" s="8">
        <v>0.57737390552853329</v>
      </c>
      <c r="C491" s="8">
        <v>2.8986851532408764E-5</v>
      </c>
      <c r="D491" s="8">
        <v>19918.475964283327</v>
      </c>
      <c r="E491" s="8">
        <v>5.3976721190451826E-6</v>
      </c>
      <c r="F491" s="8">
        <v>106967.20600929488</v>
      </c>
      <c r="G491" s="8">
        <v>0.58719236221554794</v>
      </c>
      <c r="H491" s="8">
        <v>30.958101529754959</v>
      </c>
      <c r="I491" s="8">
        <v>30.95810012519636</v>
      </c>
      <c r="J491" s="8">
        <v>9.8184566870146827E-3</v>
      </c>
      <c r="K491" s="8">
        <v>30.95809613208284</v>
      </c>
      <c r="L491" s="8">
        <v>30.958071138344827</v>
      </c>
      <c r="M491" s="8">
        <v>14</v>
      </c>
    </row>
    <row r="492" spans="1:13" x14ac:dyDescent="0.3">
      <c r="A492" s="8">
        <v>481</v>
      </c>
      <c r="B492" s="8">
        <v>0.54893218156543688</v>
      </c>
      <c r="C492" s="8">
        <v>7.6121307934329252E-5</v>
      </c>
      <c r="D492" s="8">
        <v>7211.2815249970108</v>
      </c>
      <c r="E492" s="8">
        <v>4.0323924302754222E-5</v>
      </c>
      <c r="F492" s="8">
        <v>13613.06447864608</v>
      </c>
      <c r="G492" s="8">
        <v>0.71397362331742786</v>
      </c>
      <c r="H492" s="8">
        <v>30.958101522865526</v>
      </c>
      <c r="I492" s="8">
        <v>30.95809807972816</v>
      </c>
      <c r="J492" s="8">
        <v>0.16504144175199098</v>
      </c>
      <c r="K492" s="8">
        <v>30.958061198941223</v>
      </c>
      <c r="L492" s="8">
        <v>30.958021958420225</v>
      </c>
      <c r="M492" s="8">
        <v>15</v>
      </c>
    </row>
    <row r="493" spans="1:13" x14ac:dyDescent="0.3">
      <c r="A493" s="8">
        <v>482</v>
      </c>
      <c r="B493" s="8">
        <v>0.31540283507651962</v>
      </c>
      <c r="C493" s="8">
        <v>3.5187486517429534E-5</v>
      </c>
      <c r="D493" s="8">
        <v>8963.4943069971796</v>
      </c>
      <c r="E493" s="8">
        <v>2.7210981997427552E-5</v>
      </c>
      <c r="F493" s="8">
        <v>11591.012595809181</v>
      </c>
      <c r="G493" s="8">
        <v>0.35232796878115713</v>
      </c>
      <c r="H493" s="8">
        <v>30.958096631524253</v>
      </c>
      <c r="I493" s="8">
        <v>30.958094972421531</v>
      </c>
      <c r="J493" s="8">
        <v>3.6925133704637493E-2</v>
      </c>
      <c r="K493" s="8">
        <v>30.958069420542255</v>
      </c>
      <c r="L493" s="8">
        <v>30.958059784935013</v>
      </c>
      <c r="M493" s="8">
        <v>9</v>
      </c>
    </row>
    <row r="494" spans="1:13" x14ac:dyDescent="0.3">
      <c r="A494" s="8">
        <v>483</v>
      </c>
      <c r="B494" s="8">
        <v>0.50108907292406912</v>
      </c>
      <c r="C494" s="8">
        <v>6.4802688985565737E-5</v>
      </c>
      <c r="D494" s="8">
        <v>7732.5351890209768</v>
      </c>
      <c r="E494" s="8">
        <v>4.3758620293488093E-5</v>
      </c>
      <c r="F494" s="8">
        <v>11451.208231961517</v>
      </c>
      <c r="G494" s="8">
        <v>0.53769891212286891</v>
      </c>
      <c r="H494" s="8">
        <v>30.958101525878455</v>
      </c>
      <c r="I494" s="8">
        <v>30.958100047309379</v>
      </c>
      <c r="J494" s="8">
        <v>3.6609839198799801E-2</v>
      </c>
      <c r="K494" s="8">
        <v>30.958057767258161</v>
      </c>
      <c r="L494" s="8">
        <v>30.958035244620394</v>
      </c>
      <c r="M494" s="8">
        <v>14</v>
      </c>
    </row>
    <row r="495" spans="1:13" x14ac:dyDescent="0.3">
      <c r="A495" s="8">
        <v>484</v>
      </c>
      <c r="B495" s="8">
        <v>0.16472733520038552</v>
      </c>
      <c r="C495" s="8">
        <v>1.0583940206387865E-4</v>
      </c>
      <c r="D495" s="8">
        <v>1556.3895107888598</v>
      </c>
      <c r="E495" s="8">
        <v>8.724894507494696E-5</v>
      </c>
      <c r="F495" s="8">
        <v>1888.0152081940305</v>
      </c>
      <c r="G495" s="8">
        <v>0.75206716766559811</v>
      </c>
      <c r="H495" s="8">
        <v>30.958099549147629</v>
      </c>
      <c r="I495" s="8">
        <v>30.958098625135413</v>
      </c>
      <c r="J495" s="8">
        <v>0.5873398324652126</v>
      </c>
      <c r="K495" s="8">
        <v>30.958012300202554</v>
      </c>
      <c r="L495" s="8">
        <v>30.957992785733349</v>
      </c>
      <c r="M495" s="8">
        <v>11</v>
      </c>
    </row>
    <row r="496" spans="1:13" x14ac:dyDescent="0.3">
      <c r="A496" s="8">
        <v>485</v>
      </c>
      <c r="B496" s="8">
        <v>0.52085452736487592</v>
      </c>
      <c r="C496" s="8">
        <v>1.4214043953941768E-4</v>
      </c>
      <c r="D496" s="8">
        <v>3664.3655320935964</v>
      </c>
      <c r="E496" s="8">
        <v>1.151970102277744E-4</v>
      </c>
      <c r="F496" s="8">
        <v>4521.4240051457173</v>
      </c>
      <c r="G496" s="8">
        <v>0.74527603103138751</v>
      </c>
      <c r="H496" s="8">
        <v>30.958101487921912</v>
      </c>
      <c r="I496" s="8">
        <v>30.958099758392382</v>
      </c>
      <c r="J496" s="8">
        <v>0.22442150366651153</v>
      </c>
      <c r="K496" s="8">
        <v>30.957986290911684</v>
      </c>
      <c r="L496" s="8">
        <v>30.957957617952843</v>
      </c>
      <c r="M496" s="8">
        <v>12</v>
      </c>
    </row>
    <row r="497" spans="1:13" x14ac:dyDescent="0.3">
      <c r="A497" s="8">
        <v>486</v>
      </c>
      <c r="B497" s="8">
        <v>0.48151364120353712</v>
      </c>
      <c r="C497" s="8">
        <v>7.8816026565675656E-5</v>
      </c>
      <c r="D497" s="8">
        <v>6109.3366690123921</v>
      </c>
      <c r="E497" s="8">
        <v>5.3989544198884687E-5</v>
      </c>
      <c r="F497" s="8">
        <v>8918.6461628524776</v>
      </c>
      <c r="G497" s="8">
        <v>0.59242877723512677</v>
      </c>
      <c r="H497" s="8">
        <v>30.958097831646562</v>
      </c>
      <c r="I497" s="8">
        <v>30.958094245610528</v>
      </c>
      <c r="J497" s="8">
        <v>0.11091513603158966</v>
      </c>
      <c r="K497" s="8">
        <v>30.958043842102363</v>
      </c>
      <c r="L497" s="8">
        <v>30.958015429583963</v>
      </c>
      <c r="M497" s="8">
        <v>12</v>
      </c>
    </row>
    <row r="498" spans="1:13" x14ac:dyDescent="0.3">
      <c r="A498" s="8">
        <v>487</v>
      </c>
      <c r="B498" s="8">
        <v>0.3117451289237449</v>
      </c>
      <c r="C498" s="8">
        <v>3.9930178417080242E-5</v>
      </c>
      <c r="D498" s="8">
        <v>7807.2560975684264</v>
      </c>
      <c r="E498" s="8">
        <v>2.1533782550875458E-5</v>
      </c>
      <c r="F498" s="8">
        <v>14477.025956179299</v>
      </c>
      <c r="G498" s="8">
        <v>0.35932783528175166</v>
      </c>
      <c r="H498" s="8">
        <v>30.958101386201598</v>
      </c>
      <c r="I498" s="8">
        <v>30.958100509429276</v>
      </c>
      <c r="J498" s="8">
        <v>4.7582706358006752E-2</v>
      </c>
      <c r="K498" s="8">
        <v>30.958079852419047</v>
      </c>
      <c r="L498" s="8">
        <v>30.958060579250859</v>
      </c>
      <c r="M498" s="8">
        <v>14</v>
      </c>
    </row>
    <row r="499" spans="1:13" x14ac:dyDescent="0.3">
      <c r="A499" s="8">
        <v>488</v>
      </c>
      <c r="B499" s="8">
        <v>0.33483128102358645</v>
      </c>
      <c r="C499" s="8">
        <v>7.5280424610468799E-5</v>
      </c>
      <c r="D499" s="8">
        <v>4447.7868284635506</v>
      </c>
      <c r="E499" s="8">
        <v>4.0891472249171557E-5</v>
      </c>
      <c r="F499" s="8">
        <v>8188.2911670016965</v>
      </c>
      <c r="G499" s="8">
        <v>0.42530208715274842</v>
      </c>
      <c r="H499" s="8">
        <v>30.958101069232285</v>
      </c>
      <c r="I499" s="8">
        <v>30.958100632912863</v>
      </c>
      <c r="J499" s="8">
        <v>9.047080612916196E-2</v>
      </c>
      <c r="K499" s="8">
        <v>30.958060177760036</v>
      </c>
      <c r="L499" s="8">
        <v>30.958025352488253</v>
      </c>
      <c r="M499" s="8">
        <v>14</v>
      </c>
    </row>
    <row r="500" spans="1:13" x14ac:dyDescent="0.3">
      <c r="A500" s="8">
        <v>489</v>
      </c>
      <c r="B500" s="8">
        <v>0.38504950493394574</v>
      </c>
      <c r="C500" s="8">
        <v>2.0418520738019197E-4</v>
      </c>
      <c r="D500" s="8">
        <v>1885.7855075514126</v>
      </c>
      <c r="E500" s="8">
        <v>1.9686438511357096E-4</v>
      </c>
      <c r="F500" s="8">
        <v>1955.912465892756</v>
      </c>
      <c r="G500" s="8">
        <v>0.54711339565239869</v>
      </c>
      <c r="H500" s="8">
        <v>30.958101024424707</v>
      </c>
      <c r="I500" s="8">
        <v>30.958100570639687</v>
      </c>
      <c r="J500" s="8">
        <v>0.16206389071845295</v>
      </c>
      <c r="K500" s="8">
        <v>30.957904160039593</v>
      </c>
      <c r="L500" s="8">
        <v>30.957896385432306</v>
      </c>
      <c r="M500" s="8">
        <v>9</v>
      </c>
    </row>
    <row r="501" spans="1:13" x14ac:dyDescent="0.3">
      <c r="A501" s="8">
        <v>490</v>
      </c>
      <c r="B501" s="8">
        <v>0.40419194453557872</v>
      </c>
      <c r="C501" s="8">
        <v>3.795309133991509E-5</v>
      </c>
      <c r="D501" s="8">
        <v>10649.776612807609</v>
      </c>
      <c r="E501" s="8">
        <v>1.2604210755995382E-5</v>
      </c>
      <c r="F501" s="8">
        <v>32068.009045573817</v>
      </c>
      <c r="G501" s="8">
        <v>0.47623772708835921</v>
      </c>
      <c r="H501" s="8">
        <v>30.9581006552106</v>
      </c>
      <c r="I501" s="8">
        <v>30.958097607086909</v>
      </c>
      <c r="J501" s="8">
        <v>7.2045782552780491E-2</v>
      </c>
      <c r="K501" s="8">
        <v>30.958088050999844</v>
      </c>
      <c r="L501" s="8">
        <v>30.958059653995569</v>
      </c>
      <c r="M501" s="8">
        <v>13</v>
      </c>
    </row>
    <row r="502" spans="1:13" x14ac:dyDescent="0.3">
      <c r="A502" s="8">
        <v>491</v>
      </c>
      <c r="B502" s="8">
        <v>0.48077841101944274</v>
      </c>
      <c r="C502" s="8">
        <v>2.7640516400140314E-5</v>
      </c>
      <c r="D502" s="8">
        <v>17393.973544466851</v>
      </c>
      <c r="E502" s="8">
        <v>7.2687109593516652E-6</v>
      </c>
      <c r="F502" s="8">
        <v>66143.558838433426</v>
      </c>
      <c r="G502" s="8">
        <v>0.49884406411034765</v>
      </c>
      <c r="H502" s="8">
        <v>30.958101551189863</v>
      </c>
      <c r="I502" s="8">
        <v>30.958100266715721</v>
      </c>
      <c r="J502" s="8">
        <v>1.8065653090904889E-2</v>
      </c>
      <c r="K502" s="8">
        <v>30.958094282478903</v>
      </c>
      <c r="L502" s="8">
        <v>30.958072626199321</v>
      </c>
      <c r="M502" s="8">
        <v>14</v>
      </c>
    </row>
    <row r="503" spans="1:13" x14ac:dyDescent="0.3">
      <c r="A503" s="8">
        <v>492</v>
      </c>
      <c r="B503" s="8">
        <v>0.23765159943658942</v>
      </c>
      <c r="C503" s="8">
        <v>1.7313437772159546E-4</v>
      </c>
      <c r="D503" s="8">
        <v>1372.6424674523007</v>
      </c>
      <c r="E503" s="8">
        <v>1.6640984213012189E-4</v>
      </c>
      <c r="F503" s="8">
        <v>1428.1102391213196</v>
      </c>
      <c r="G503" s="8">
        <v>0.56980053566218869</v>
      </c>
      <c r="H503" s="8">
        <v>30.958100423426039</v>
      </c>
      <c r="I503" s="8">
        <v>30.958100306512407</v>
      </c>
      <c r="J503" s="8">
        <v>0.33214893622559927</v>
      </c>
      <c r="K503" s="8">
        <v>30.957934013583909</v>
      </c>
      <c r="L503" s="8">
        <v>30.957927172134685</v>
      </c>
      <c r="M503" s="8">
        <v>10</v>
      </c>
    </row>
    <row r="504" spans="1:13" x14ac:dyDescent="0.3">
      <c r="A504" s="8">
        <v>493</v>
      </c>
      <c r="B504" s="8">
        <v>0.35980893939360087</v>
      </c>
      <c r="C504" s="8">
        <v>2.4318878349305351E-5</v>
      </c>
      <c r="D504" s="8">
        <v>14795.457842482218</v>
      </c>
      <c r="E504" s="8">
        <v>4.7438322781090392E-6</v>
      </c>
      <c r="F504" s="8">
        <v>75847.736239322941</v>
      </c>
      <c r="G504" s="8">
        <v>0.38522509013879647</v>
      </c>
      <c r="H504" s="8">
        <v>30.958101393101707</v>
      </c>
      <c r="I504" s="8">
        <v>30.958100326283599</v>
      </c>
      <c r="J504" s="8">
        <v>2.5416150745195595E-2</v>
      </c>
      <c r="K504" s="8">
        <v>30.958096649269429</v>
      </c>
      <c r="L504" s="8">
        <v>30.95807600740525</v>
      </c>
      <c r="M504" s="8">
        <v>12</v>
      </c>
    </row>
    <row r="505" spans="1:13" x14ac:dyDescent="0.3">
      <c r="A505" s="8">
        <v>494</v>
      </c>
      <c r="B505" s="8">
        <v>0.77198936041945931</v>
      </c>
      <c r="C505" s="8">
        <v>3.2106731175929326E-5</v>
      </c>
      <c r="D505" s="8">
        <v>24044.470805493456</v>
      </c>
      <c r="E505" s="8">
        <v>1.4418530792426054E-5</v>
      </c>
      <c r="F505" s="8">
        <v>53541.471841567902</v>
      </c>
      <c r="G505" s="8">
        <v>0.84557373549438286</v>
      </c>
      <c r="H505" s="8">
        <v>30.958101548673866</v>
      </c>
      <c r="I505" s="8">
        <v>30.958100072669382</v>
      </c>
      <c r="J505" s="8">
        <v>7.3584375074923575E-2</v>
      </c>
      <c r="K505" s="8">
        <v>30.958087130143074</v>
      </c>
      <c r="L505" s="8">
        <v>30.958067965938206</v>
      </c>
      <c r="M505" s="8">
        <v>14</v>
      </c>
    </row>
    <row r="506" spans="1:13" x14ac:dyDescent="0.3">
      <c r="A506" s="8">
        <v>495</v>
      </c>
      <c r="B506" s="8">
        <v>0.88047524922450904</v>
      </c>
      <c r="C506" s="8">
        <v>9.9779307650038618E-5</v>
      </c>
      <c r="D506" s="8">
        <v>8824.2268859255637</v>
      </c>
      <c r="E506" s="8">
        <v>6.3476936240647319E-5</v>
      </c>
      <c r="F506" s="8">
        <v>13870.789949384774</v>
      </c>
      <c r="G506" s="8">
        <v>1.0010980087666494</v>
      </c>
      <c r="H506" s="8">
        <v>30.958101547983659</v>
      </c>
      <c r="I506" s="8">
        <v>30.958098053709083</v>
      </c>
      <c r="J506" s="8">
        <v>0.12062275954214045</v>
      </c>
      <c r="K506" s="8">
        <v>30.958038071047419</v>
      </c>
      <c r="L506" s="8">
        <v>30.957998274401433</v>
      </c>
      <c r="M506" s="8">
        <v>10</v>
      </c>
    </row>
    <row r="507" spans="1:13" x14ac:dyDescent="0.3">
      <c r="A507" s="8">
        <v>496</v>
      </c>
      <c r="B507" s="8">
        <v>0.57629050813610261</v>
      </c>
      <c r="C507" s="8">
        <v>1.0973412294390528E-4</v>
      </c>
      <c r="D507" s="8">
        <v>5251.6983111141753</v>
      </c>
      <c r="E507" s="8">
        <v>7.8477381428854187E-5</v>
      </c>
      <c r="F507" s="8">
        <v>7343.3962454335269</v>
      </c>
      <c r="G507" s="8">
        <v>0.7469578136607975</v>
      </c>
      <c r="H507" s="8">
        <v>30.958097877923887</v>
      </c>
      <c r="I507" s="8">
        <v>30.958094221982464</v>
      </c>
      <c r="J507" s="8">
        <v>0.17066730552469492</v>
      </c>
      <c r="K507" s="8">
        <v>30.958019400542458</v>
      </c>
      <c r="L507" s="8">
        <v>30.95798448785952</v>
      </c>
      <c r="M507" s="8">
        <v>13</v>
      </c>
    </row>
    <row r="508" spans="1:13" x14ac:dyDescent="0.3">
      <c r="A508" s="8">
        <v>497</v>
      </c>
      <c r="B508" s="8">
        <v>0.32495134173814127</v>
      </c>
      <c r="C508" s="8">
        <v>3.6635474245372279E-5</v>
      </c>
      <c r="D508" s="8">
        <v>8869.8549269957512</v>
      </c>
      <c r="E508" s="8">
        <v>1.627905366063942E-5</v>
      </c>
      <c r="F508" s="8">
        <v>19961.316456854631</v>
      </c>
      <c r="G508" s="8">
        <v>0.39408642008962813</v>
      </c>
      <c r="H508" s="8">
        <v>30.958101514590499</v>
      </c>
      <c r="I508" s="8">
        <v>30.958100866468246</v>
      </c>
      <c r="J508" s="8">
        <v>6.913507835148687E-2</v>
      </c>
      <c r="K508" s="8">
        <v>30.958085235536839</v>
      </c>
      <c r="L508" s="8">
        <v>30.958064230994001</v>
      </c>
      <c r="M508" s="8">
        <v>15</v>
      </c>
    </row>
    <row r="509" spans="1:13" x14ac:dyDescent="0.3">
      <c r="A509" s="8">
        <v>498</v>
      </c>
      <c r="B509" s="8">
        <v>0.16111678791529416</v>
      </c>
      <c r="C509" s="8">
        <v>1.1263695152052833E-4</v>
      </c>
      <c r="D509" s="8">
        <v>1430.4079233352677</v>
      </c>
      <c r="E509" s="8">
        <v>8.767117958186077E-5</v>
      </c>
      <c r="F509" s="8">
        <v>1837.7394793103631</v>
      </c>
      <c r="G509" s="8">
        <v>0.70249926470004664</v>
      </c>
      <c r="H509" s="8">
        <v>30.958100366054229</v>
      </c>
      <c r="I509" s="8">
        <v>30.958098832787197</v>
      </c>
      <c r="J509" s="8">
        <v>0.54138247678475249</v>
      </c>
      <c r="K509" s="8">
        <v>30.958012694874647</v>
      </c>
      <c r="L509" s="8">
        <v>30.957986195835677</v>
      </c>
      <c r="M509" s="8">
        <v>10</v>
      </c>
    </row>
    <row r="510" spans="1:13" x14ac:dyDescent="0.3">
      <c r="A510" s="8">
        <v>499</v>
      </c>
      <c r="B510" s="8">
        <v>0.58679685221105271</v>
      </c>
      <c r="C510" s="8">
        <v>7.8256328418291332E-5</v>
      </c>
      <c r="D510" s="8">
        <v>7498.3948783610076</v>
      </c>
      <c r="E510" s="8">
        <v>4.7505532926095384E-5</v>
      </c>
      <c r="F510" s="8">
        <v>12352.17912667006</v>
      </c>
      <c r="G510" s="8">
        <v>0.74938299660047969</v>
      </c>
      <c r="H510" s="8">
        <v>30.958101423666168</v>
      </c>
      <c r="I510" s="8">
        <v>30.95810090226172</v>
      </c>
      <c r="J510" s="8">
        <v>0.16258614438942695</v>
      </c>
      <c r="K510" s="8">
        <v>30.958053918133242</v>
      </c>
      <c r="L510" s="8">
        <v>30.958022645933301</v>
      </c>
      <c r="M510" s="8">
        <v>10</v>
      </c>
    </row>
    <row r="511" spans="1:13" x14ac:dyDescent="0.3">
      <c r="A511" s="8">
        <v>500</v>
      </c>
      <c r="B511" s="8">
        <v>0.12613634374433369</v>
      </c>
      <c r="C511" s="8">
        <v>1.0155589846050361E-4</v>
      </c>
      <c r="D511" s="8">
        <v>1242.0385783243278</v>
      </c>
      <c r="E511" s="8">
        <v>7.8156060425271789E-5</v>
      </c>
      <c r="F511" s="8">
        <v>1613.9035547337728</v>
      </c>
      <c r="G511" s="8">
        <v>1.143656198676773</v>
      </c>
      <c r="H511" s="8">
        <v>30.958099250664162</v>
      </c>
      <c r="I511" s="8">
        <v>30.95809601874058</v>
      </c>
      <c r="J511" s="8">
        <v>1.0175198549324393</v>
      </c>
      <c r="K511" s="8">
        <v>30.958021094603737</v>
      </c>
      <c r="L511" s="8">
        <v>30.95799446284212</v>
      </c>
      <c r="M511" s="8">
        <v>15</v>
      </c>
    </row>
    <row r="512" spans="1:13" x14ac:dyDescent="0.3">
      <c r="A512" s="8">
        <v>501</v>
      </c>
      <c r="B512" s="8">
        <v>0.55017587813127644</v>
      </c>
      <c r="C512" s="8">
        <v>7.3518245500281409E-5</v>
      </c>
      <c r="D512" s="8">
        <v>7483.5284001598011</v>
      </c>
      <c r="E512" s="8">
        <v>4.0309794556492307E-5</v>
      </c>
      <c r="F512" s="8">
        <v>13648.689708905127</v>
      </c>
      <c r="G512" s="8">
        <v>0.64858622342520056</v>
      </c>
      <c r="H512" s="8">
        <v>30.958100538468237</v>
      </c>
      <c r="I512" s="8">
        <v>30.958098583796659</v>
      </c>
      <c r="J512" s="8">
        <v>9.8410345293924117E-2</v>
      </c>
      <c r="K512" s="8">
        <v>30.958060228673681</v>
      </c>
      <c r="L512" s="8">
        <v>30.958025065551158</v>
      </c>
      <c r="M512" s="8">
        <v>12</v>
      </c>
    </row>
    <row r="513" spans="1:13" x14ac:dyDescent="0.3">
      <c r="A513" s="8">
        <v>502</v>
      </c>
      <c r="B513" s="8">
        <v>0.48812963803095838</v>
      </c>
      <c r="C513" s="8">
        <v>3.9899642498397725E-5</v>
      </c>
      <c r="D513" s="8">
        <v>12233.935129883947</v>
      </c>
      <c r="E513" s="8">
        <v>2.4023608759193849E-5</v>
      </c>
      <c r="F513" s="8">
        <v>20318.747400685625</v>
      </c>
      <c r="G513" s="8">
        <v>0.60141981991814619</v>
      </c>
      <c r="H513" s="8">
        <v>30.958101428919168</v>
      </c>
      <c r="I513" s="8">
        <v>30.958100199719123</v>
      </c>
      <c r="J513" s="8">
        <v>0.11329018188718781</v>
      </c>
      <c r="K513" s="8">
        <v>30.958077405310409</v>
      </c>
      <c r="L513" s="8">
        <v>30.958060300076625</v>
      </c>
      <c r="M513" s="8">
        <v>12</v>
      </c>
    </row>
    <row r="514" spans="1:13" x14ac:dyDescent="0.3">
      <c r="A514" s="8">
        <v>503</v>
      </c>
      <c r="B514" s="8">
        <v>0.32862850949133615</v>
      </c>
      <c r="C514" s="8">
        <v>1.539349728929551E-5</v>
      </c>
      <c r="D514" s="8">
        <v>21348.528103477904</v>
      </c>
      <c r="E514" s="8">
        <v>7.6285808248144349E-7</v>
      </c>
      <c r="F514" s="8">
        <v>430785.90505637071</v>
      </c>
      <c r="G514" s="8">
        <v>0.33512555930266874</v>
      </c>
      <c r="H514" s="8">
        <v>30.958101229755489</v>
      </c>
      <c r="I514" s="8">
        <v>30.958093792843076</v>
      </c>
      <c r="J514" s="8">
        <v>6.4970498113326065E-3</v>
      </c>
      <c r="K514" s="8">
        <v>30.958100466897406</v>
      </c>
      <c r="L514" s="8">
        <v>30.958078399345787</v>
      </c>
      <c r="M514" s="8">
        <v>12</v>
      </c>
    </row>
    <row r="515" spans="1:13" x14ac:dyDescent="0.3">
      <c r="A515" s="8">
        <v>504</v>
      </c>
      <c r="B515" s="8">
        <v>0.58318008745966188</v>
      </c>
      <c r="C515" s="8">
        <v>4.1437914635622519E-5</v>
      </c>
      <c r="D515" s="8">
        <v>14073.586776452434</v>
      </c>
      <c r="E515" s="8">
        <v>1.3488396742644682E-5</v>
      </c>
      <c r="F515" s="8">
        <v>43235.686092765187</v>
      </c>
      <c r="G515" s="8">
        <v>0.61402958713583433</v>
      </c>
      <c r="H515" s="8">
        <v>30.958100498850939</v>
      </c>
      <c r="I515" s="8">
        <v>30.958096819243423</v>
      </c>
      <c r="J515" s="8">
        <v>3.0849499676172485E-2</v>
      </c>
      <c r="K515" s="8">
        <v>30.958087010454197</v>
      </c>
      <c r="L515" s="8">
        <v>30.958055381328787</v>
      </c>
      <c r="M515" s="8">
        <v>9</v>
      </c>
    </row>
    <row r="516" spans="1:13" x14ac:dyDescent="0.3">
      <c r="A516" s="8">
        <v>505</v>
      </c>
      <c r="B516" s="8">
        <v>0.73681175342100258</v>
      </c>
      <c r="C516" s="8">
        <v>5.8179143053394E-5</v>
      </c>
      <c r="D516" s="8">
        <v>12664.534311631101</v>
      </c>
      <c r="E516" s="8">
        <v>2.5116938239477804E-5</v>
      </c>
      <c r="F516" s="8">
        <v>29335.253620320298</v>
      </c>
      <c r="G516" s="8">
        <v>0.81648577154085367</v>
      </c>
      <c r="H516" s="8">
        <v>30.958100849458585</v>
      </c>
      <c r="I516" s="8">
        <v>30.958098300440462</v>
      </c>
      <c r="J516" s="8">
        <v>7.9674018119851128E-2</v>
      </c>
      <c r="K516" s="8">
        <v>30.958075732520346</v>
      </c>
      <c r="L516" s="8">
        <v>30.958040121297408</v>
      </c>
      <c r="M516" s="8">
        <v>13</v>
      </c>
    </row>
    <row r="517" spans="1:13" x14ac:dyDescent="0.3">
      <c r="A517" s="8">
        <v>506</v>
      </c>
      <c r="B517" s="8">
        <v>0.43344516399984123</v>
      </c>
      <c r="C517" s="8">
        <v>5.0899200619625162E-5</v>
      </c>
      <c r="D517" s="8">
        <v>8515.755821766641</v>
      </c>
      <c r="E517" s="8">
        <v>1.9362857880622641E-5</v>
      </c>
      <c r="F517" s="8">
        <v>22385.392005258222</v>
      </c>
      <c r="G517" s="8">
        <v>0.47470371430388952</v>
      </c>
      <c r="H517" s="8">
        <v>30.958101499755401</v>
      </c>
      <c r="I517" s="8">
        <v>30.958099179575541</v>
      </c>
      <c r="J517" s="8">
        <v>4.1258550304048305E-2</v>
      </c>
      <c r="K517" s="8">
        <v>30.95808213689752</v>
      </c>
      <c r="L517" s="8">
        <v>30.958048280374921</v>
      </c>
      <c r="M517" s="8">
        <v>11</v>
      </c>
    </row>
    <row r="518" spans="1:13" x14ac:dyDescent="0.3">
      <c r="A518" s="8">
        <v>507</v>
      </c>
      <c r="B518" s="8">
        <v>0.52166778079262499</v>
      </c>
      <c r="C518" s="8">
        <v>5.0521468097031175E-5</v>
      </c>
      <c r="D518" s="8">
        <v>10325.665512940232</v>
      </c>
      <c r="E518" s="8">
        <v>2.3108735490495746E-5</v>
      </c>
      <c r="F518" s="8">
        <v>22574.484052023468</v>
      </c>
      <c r="G518" s="8">
        <v>0.58461105937402236</v>
      </c>
      <c r="H518" s="8">
        <v>30.958101397440618</v>
      </c>
      <c r="I518" s="8">
        <v>30.95810055092311</v>
      </c>
      <c r="J518" s="8">
        <v>6.2943278581397338E-2</v>
      </c>
      <c r="K518" s="8">
        <v>30.958078288705128</v>
      </c>
      <c r="L518" s="8">
        <v>30.958050029455013</v>
      </c>
      <c r="M518" s="8">
        <v>9</v>
      </c>
    </row>
    <row r="519" spans="1:13" x14ac:dyDescent="0.3">
      <c r="A519" s="8">
        <v>508</v>
      </c>
      <c r="B519" s="8">
        <v>0.50624798278630512</v>
      </c>
      <c r="C519" s="8">
        <v>2.4240674463982259E-4</v>
      </c>
      <c r="D519" s="8">
        <v>2088.4236679903775</v>
      </c>
      <c r="E519" s="8">
        <v>2.2961590069314752E-4</v>
      </c>
      <c r="F519" s="8">
        <v>2204.7601287980542</v>
      </c>
      <c r="G519" s="8">
        <v>1.1056235673465653</v>
      </c>
      <c r="H519" s="8">
        <v>30.958100925260361</v>
      </c>
      <c r="I519" s="8">
        <v>30.958099877355629</v>
      </c>
      <c r="J519" s="8">
        <v>0.59937558456026019</v>
      </c>
      <c r="K519" s="8">
        <v>30.957871309359668</v>
      </c>
      <c r="L519" s="8">
        <v>30.957857470610989</v>
      </c>
      <c r="M519" s="8">
        <v>11</v>
      </c>
    </row>
    <row r="520" spans="1:13" x14ac:dyDescent="0.3">
      <c r="A520" s="8">
        <v>509</v>
      </c>
      <c r="B520" s="8">
        <v>0.60038130797598566</v>
      </c>
      <c r="C520" s="8">
        <v>1.4790283828247652E-4</v>
      </c>
      <c r="D520" s="8">
        <v>4059.2953789658181</v>
      </c>
      <c r="E520" s="8">
        <v>1.3089731780269176E-4</v>
      </c>
      <c r="F520" s="8">
        <v>4586.6585966335169</v>
      </c>
      <c r="G520" s="8">
        <v>0.88904270270681029</v>
      </c>
      <c r="H520" s="8">
        <v>30.958100909434414</v>
      </c>
      <c r="I520" s="8">
        <v>30.958099802418385</v>
      </c>
      <c r="J520" s="8">
        <v>0.28866139473082469</v>
      </c>
      <c r="K520" s="8">
        <v>30.957970012116611</v>
      </c>
      <c r="L520" s="8">
        <v>30.957951899580102</v>
      </c>
      <c r="M520" s="8">
        <v>13</v>
      </c>
    </row>
    <row r="521" spans="1:13" x14ac:dyDescent="0.3">
      <c r="A521" s="8">
        <v>510</v>
      </c>
      <c r="B521" s="8">
        <v>0.60840828561802573</v>
      </c>
      <c r="C521" s="8">
        <v>8.0957306948903351E-5</v>
      </c>
      <c r="D521" s="8">
        <v>7515.174461052984</v>
      </c>
      <c r="E521" s="8">
        <v>6.4396883601602894E-5</v>
      </c>
      <c r="F521" s="8">
        <v>9447.7908182948449</v>
      </c>
      <c r="G521" s="8">
        <v>0.74100605317532631</v>
      </c>
      <c r="H521" s="8">
        <v>30.958086842459426</v>
      </c>
      <c r="I521" s="8">
        <v>30.958082397965214</v>
      </c>
      <c r="J521" s="8">
        <v>0.13259776755730054</v>
      </c>
      <c r="K521" s="8">
        <v>30.958022445575825</v>
      </c>
      <c r="L521" s="8">
        <v>30.958001440658265</v>
      </c>
      <c r="M521" s="8">
        <v>10</v>
      </c>
    </row>
    <row r="522" spans="1:13" x14ac:dyDescent="0.3">
      <c r="A522" s="8">
        <v>511</v>
      </c>
      <c r="B522" s="8">
        <v>0.51556370763479675</v>
      </c>
      <c r="C522" s="8">
        <v>4.2414503543142246E-5</v>
      </c>
      <c r="D522" s="8">
        <v>12155.363485756401</v>
      </c>
      <c r="E522" s="8">
        <v>2.0551883832098383E-5</v>
      </c>
      <c r="F522" s="8">
        <v>25085.958632637754</v>
      </c>
      <c r="G522" s="8">
        <v>0.58299250237999045</v>
      </c>
      <c r="H522" s="8">
        <v>30.958101430382044</v>
      </c>
      <c r="I522" s="8">
        <v>30.958100155712035</v>
      </c>
      <c r="J522" s="8">
        <v>6.7428794745193754E-2</v>
      </c>
      <c r="K522" s="8">
        <v>30.958080878498212</v>
      </c>
      <c r="L522" s="8">
        <v>30.958057741208492</v>
      </c>
      <c r="M522" s="8">
        <v>9</v>
      </c>
    </row>
    <row r="523" spans="1:13" x14ac:dyDescent="0.3">
      <c r="A523" s="8">
        <v>512</v>
      </c>
      <c r="B523" s="8">
        <v>0.42207898766817498</v>
      </c>
      <c r="C523" s="8">
        <v>8.7984507914029564E-5</v>
      </c>
      <c r="D523" s="8">
        <v>4797.1966619463519</v>
      </c>
      <c r="E523" s="8">
        <v>6.3102600147857402E-5</v>
      </c>
      <c r="F523" s="8">
        <v>6688.7733101201902</v>
      </c>
      <c r="G523" s="8">
        <v>0.56681121021901693</v>
      </c>
      <c r="H523" s="8">
        <v>30.958101299995135</v>
      </c>
      <c r="I523" s="8">
        <v>30.95809936198529</v>
      </c>
      <c r="J523" s="8">
        <v>0.14473222255084195</v>
      </c>
      <c r="K523" s="8">
        <v>30.958038197394988</v>
      </c>
      <c r="L523" s="8">
        <v>30.958011377477376</v>
      </c>
      <c r="M523" s="8">
        <v>14</v>
      </c>
    </row>
    <row r="524" spans="1:13" x14ac:dyDescent="0.3">
      <c r="A524" s="8">
        <v>513</v>
      </c>
      <c r="B524" s="8">
        <v>0.48857440708104316</v>
      </c>
      <c r="C524" s="8">
        <v>5.4871985362581199E-5</v>
      </c>
      <c r="D524" s="8">
        <v>8903.8951999396086</v>
      </c>
      <c r="E524" s="8">
        <v>3.8787796622585802E-5</v>
      </c>
      <c r="F524" s="8">
        <v>12596.085615148102</v>
      </c>
      <c r="G524" s="8">
        <v>0.58422712596835813</v>
      </c>
      <c r="H524" s="8">
        <v>30.958101420004802</v>
      </c>
      <c r="I524" s="8">
        <v>30.958101306830361</v>
      </c>
      <c r="J524" s="8">
        <v>9.5652718887314997E-2</v>
      </c>
      <c r="K524" s="8">
        <v>30.958062632208179</v>
      </c>
      <c r="L524" s="8">
        <v>30.958046434844999</v>
      </c>
      <c r="M524" s="8">
        <v>10</v>
      </c>
    </row>
    <row r="525" spans="1:13" x14ac:dyDescent="0.3">
      <c r="A525" s="8">
        <v>514</v>
      </c>
      <c r="B525" s="8">
        <v>0.27284104631846517</v>
      </c>
      <c r="C525" s="8">
        <v>5.7884446697187286E-5</v>
      </c>
      <c r="D525" s="8">
        <v>4713.5467623243785</v>
      </c>
      <c r="E525" s="8">
        <v>4.1994557559377199E-5</v>
      </c>
      <c r="F525" s="8">
        <v>6497.0572896901722</v>
      </c>
      <c r="G525" s="8">
        <v>0.49574901954512107</v>
      </c>
      <c r="H525" s="8">
        <v>30.958100871034564</v>
      </c>
      <c r="I525" s="8">
        <v>30.958099378153737</v>
      </c>
      <c r="J525" s="8">
        <v>0.2229079732266559</v>
      </c>
      <c r="K525" s="8">
        <v>30.958058876477004</v>
      </c>
      <c r="L525" s="8">
        <v>30.958041493707039</v>
      </c>
      <c r="M525" s="8">
        <v>13</v>
      </c>
    </row>
    <row r="526" spans="1:13" x14ac:dyDescent="0.3">
      <c r="A526" s="8">
        <v>515</v>
      </c>
      <c r="B526" s="8">
        <v>0.46858357945297258</v>
      </c>
      <c r="C526" s="8">
        <v>2.61074338823164E-5</v>
      </c>
      <c r="D526" s="8">
        <v>17948.281763929423</v>
      </c>
      <c r="E526" s="8">
        <v>1.1266131501486143E-5</v>
      </c>
      <c r="F526" s="8">
        <v>41592.234156965111</v>
      </c>
      <c r="G526" s="8">
        <v>0.50501842807748776</v>
      </c>
      <c r="H526" s="8">
        <v>30.95810154732791</v>
      </c>
      <c r="I526" s="8">
        <v>30.95810140777613</v>
      </c>
      <c r="J526" s="8">
        <v>3.6434848624515202E-2</v>
      </c>
      <c r="K526" s="8">
        <v>30.958090281196409</v>
      </c>
      <c r="L526" s="8">
        <v>30.958075300342248</v>
      </c>
      <c r="M526" s="8">
        <v>12</v>
      </c>
    </row>
    <row r="527" spans="1:13" x14ac:dyDescent="0.3">
      <c r="A527" s="8">
        <v>516</v>
      </c>
      <c r="B527" s="8">
        <v>0.34452162687297511</v>
      </c>
      <c r="C527" s="8">
        <v>1.8997886659377627E-5</v>
      </c>
      <c r="D527" s="8">
        <v>18134.734302297478</v>
      </c>
      <c r="E527" s="8">
        <v>1.1744514957001684E-5</v>
      </c>
      <c r="F527" s="8">
        <v>29334.683308277701</v>
      </c>
      <c r="G527" s="8">
        <v>0.39589469639529062</v>
      </c>
      <c r="H527" s="8">
        <v>30.958101233966907</v>
      </c>
      <c r="I527" s="8">
        <v>30.958100748325116</v>
      </c>
      <c r="J527" s="8">
        <v>5.1373069522315504E-2</v>
      </c>
      <c r="K527" s="8">
        <v>30.95808948945195</v>
      </c>
      <c r="L527" s="8">
        <v>30.958081750438456</v>
      </c>
      <c r="M527" s="8">
        <v>12</v>
      </c>
    </row>
    <row r="528" spans="1:13" x14ac:dyDescent="0.3">
      <c r="A528" s="8">
        <v>517</v>
      </c>
      <c r="B528" s="8">
        <v>0.48654977638340674</v>
      </c>
      <c r="C528" s="8">
        <v>4.9994358665372829E-5</v>
      </c>
      <c r="D528" s="8">
        <v>9732.0935675968904</v>
      </c>
      <c r="E528" s="8">
        <v>2.2030993068966609E-5</v>
      </c>
      <c r="F528" s="8">
        <v>22084.786412500514</v>
      </c>
      <c r="G528" s="8">
        <v>0.55456025974733825</v>
      </c>
      <c r="H528" s="8">
        <v>30.958101114162965</v>
      </c>
      <c r="I528" s="8">
        <v>30.958100098254373</v>
      </c>
      <c r="J528" s="8">
        <v>6.8010483363931507E-2</v>
      </c>
      <c r="K528" s="8">
        <v>30.958079083169896</v>
      </c>
      <c r="L528" s="8">
        <v>30.958050103895708</v>
      </c>
      <c r="M528" s="8">
        <v>14</v>
      </c>
    </row>
    <row r="529" spans="1:13" x14ac:dyDescent="0.3">
      <c r="A529" s="8">
        <v>518</v>
      </c>
      <c r="B529" s="8">
        <v>0.47884280756989167</v>
      </c>
      <c r="C529" s="8">
        <v>2.5585345181156072E-5</v>
      </c>
      <c r="D529" s="8">
        <v>18715.510937197181</v>
      </c>
      <c r="E529" s="8">
        <v>3.7630711950953355E-6</v>
      </c>
      <c r="F529" s="8">
        <v>127247.87354382234</v>
      </c>
      <c r="G529" s="8">
        <v>0.49981183184597799</v>
      </c>
      <c r="H529" s="8">
        <v>30.958101419221368</v>
      </c>
      <c r="I529" s="8">
        <v>30.958100041133232</v>
      </c>
      <c r="J529" s="8">
        <v>2.0969024276086313E-2</v>
      </c>
      <c r="K529" s="8">
        <v>30.958097656150173</v>
      </c>
      <c r="L529" s="8">
        <v>30.958074455788051</v>
      </c>
      <c r="M529" s="8">
        <v>14</v>
      </c>
    </row>
    <row r="530" spans="1:13" x14ac:dyDescent="0.3">
      <c r="A530" s="8">
        <v>519</v>
      </c>
      <c r="B530" s="8">
        <v>0.7220332530368575</v>
      </c>
      <c r="C530" s="8">
        <v>8.6603348186997664E-5</v>
      </c>
      <c r="D530" s="8">
        <v>8337.2440922008282</v>
      </c>
      <c r="E530" s="8">
        <v>6.546374410376643E-5</v>
      </c>
      <c r="F530" s="8">
        <v>11029.513556272679</v>
      </c>
      <c r="G530" s="8">
        <v>0.84633530908009658</v>
      </c>
      <c r="H530" s="8">
        <v>30.958100816154936</v>
      </c>
      <c r="I530" s="8">
        <v>30.958098986360611</v>
      </c>
      <c r="J530" s="8">
        <v>0.12430205604323907</v>
      </c>
      <c r="K530" s="8">
        <v>30.958035352410832</v>
      </c>
      <c r="L530" s="8">
        <v>30.958012383012424</v>
      </c>
      <c r="M530" s="8">
        <v>13</v>
      </c>
    </row>
    <row r="531" spans="1:13" x14ac:dyDescent="0.3">
      <c r="A531" s="8">
        <v>520</v>
      </c>
      <c r="B531" s="8">
        <v>0.47393175683817745</v>
      </c>
      <c r="C531" s="8">
        <v>6.3391400146883825E-5</v>
      </c>
      <c r="D531" s="8">
        <v>7476.2784185241699</v>
      </c>
      <c r="E531" s="8">
        <v>2.1599688803775052E-5</v>
      </c>
      <c r="F531" s="8">
        <v>21941.60115655679</v>
      </c>
      <c r="G531" s="8">
        <v>0.54312879971942662</v>
      </c>
      <c r="H531" s="8">
        <v>30.958101519143419</v>
      </c>
      <c r="I531" s="8">
        <v>30.958101401214961</v>
      </c>
      <c r="J531" s="8">
        <v>6.9197042881249199E-2</v>
      </c>
      <c r="K531" s="8">
        <v>30.958079919454615</v>
      </c>
      <c r="L531" s="8">
        <v>30.958038009814814</v>
      </c>
      <c r="M531" s="8">
        <v>15</v>
      </c>
    </row>
    <row r="532" spans="1:13" x14ac:dyDescent="0.3">
      <c r="A532" s="8">
        <v>521</v>
      </c>
      <c r="B532" s="8">
        <v>0.91137879193221283</v>
      </c>
      <c r="C532" s="8">
        <v>6.9196472129107178E-5</v>
      </c>
      <c r="D532" s="8">
        <v>13170.885218422076</v>
      </c>
      <c r="E532" s="8">
        <v>4.0477752527579014E-5</v>
      </c>
      <c r="F532" s="8">
        <v>22515.548295604018</v>
      </c>
      <c r="G532" s="8">
        <v>1.0301080512589533</v>
      </c>
      <c r="H532" s="8">
        <v>30.95810153975459</v>
      </c>
      <c r="I532" s="8">
        <v>30.958099404864935</v>
      </c>
      <c r="J532" s="8">
        <v>0.1187292593267405</v>
      </c>
      <c r="K532" s="8">
        <v>30.958061062002063</v>
      </c>
      <c r="L532" s="8">
        <v>30.958030208392806</v>
      </c>
      <c r="M532" s="8">
        <v>10</v>
      </c>
    </row>
    <row r="533" spans="1:13" x14ac:dyDescent="0.3">
      <c r="A533" s="8">
        <v>522</v>
      </c>
      <c r="B533" s="8">
        <v>0.46922106728273094</v>
      </c>
      <c r="C533" s="8">
        <v>3.9101557931076059E-5</v>
      </c>
      <c r="D533" s="8">
        <v>12000.06066535309</v>
      </c>
      <c r="E533" s="8">
        <v>1.1733619153631025E-5</v>
      </c>
      <c r="F533" s="8">
        <v>39989.457740114922</v>
      </c>
      <c r="G533" s="8">
        <v>0.52623976047559273</v>
      </c>
      <c r="H533" s="8">
        <v>30.958101542113734</v>
      </c>
      <c r="I533" s="8">
        <v>30.958099660852561</v>
      </c>
      <c r="J533" s="8">
        <v>5.7018693192861805E-2</v>
      </c>
      <c r="K533" s="8">
        <v>30.958089808494581</v>
      </c>
      <c r="L533" s="8">
        <v>30.95806055929463</v>
      </c>
      <c r="M533" s="8">
        <v>15</v>
      </c>
    </row>
    <row r="534" spans="1:13" x14ac:dyDescent="0.3">
      <c r="A534" s="8">
        <v>523</v>
      </c>
      <c r="B534" s="8">
        <v>0.26421201056954619</v>
      </c>
      <c r="C534" s="8">
        <v>2.9195337162946089E-5</v>
      </c>
      <c r="D534" s="8">
        <v>9049.8016547956413</v>
      </c>
      <c r="E534" s="8">
        <v>2.183898608265622E-5</v>
      </c>
      <c r="F534" s="8">
        <v>12098.181187054943</v>
      </c>
      <c r="G534" s="8">
        <v>0.30696783488845714</v>
      </c>
      <c r="H534" s="8">
        <v>30.958100620461789</v>
      </c>
      <c r="I534" s="8">
        <v>30.958099820227449</v>
      </c>
      <c r="J534" s="8">
        <v>4.2755824318910951E-2</v>
      </c>
      <c r="K534" s="8">
        <v>30.958078781475706</v>
      </c>
      <c r="L534" s="8">
        <v>30.958070624890286</v>
      </c>
      <c r="M534" s="8">
        <v>14</v>
      </c>
    </row>
    <row r="535" spans="1:13" x14ac:dyDescent="0.3">
      <c r="A535" s="8">
        <v>524</v>
      </c>
      <c r="B535" s="8">
        <v>0.35024078142399423</v>
      </c>
      <c r="C535" s="8">
        <v>1.3170284452712622E-4</v>
      </c>
      <c r="D535" s="8">
        <v>2659.3258686364725</v>
      </c>
      <c r="E535" s="8">
        <v>1.1401759900309116E-4</v>
      </c>
      <c r="F535" s="8">
        <v>3071.8133383469926</v>
      </c>
      <c r="G535" s="8">
        <v>0.60690827468976705</v>
      </c>
      <c r="H535" s="8">
        <v>30.9581015513807</v>
      </c>
      <c r="I535" s="8">
        <v>30.958101199381332</v>
      </c>
      <c r="J535" s="8">
        <v>0.25666749326577282</v>
      </c>
      <c r="K535" s="8">
        <v>30.957987533781697</v>
      </c>
      <c r="L535" s="8">
        <v>30.957969496536805</v>
      </c>
      <c r="M535" s="8">
        <v>15</v>
      </c>
    </row>
    <row r="536" spans="1:13" x14ac:dyDescent="0.3">
      <c r="A536" s="8">
        <v>525</v>
      </c>
      <c r="B536" s="8">
        <v>0.84048810986163691</v>
      </c>
      <c r="C536" s="8">
        <v>7.0205849446836055E-5</v>
      </c>
      <c r="D536" s="8">
        <v>11971.767544784188</v>
      </c>
      <c r="E536" s="8">
        <v>3.7106961212174383E-5</v>
      </c>
      <c r="F536" s="8">
        <v>22650.416051473439</v>
      </c>
      <c r="G536" s="8">
        <v>0.95724924523293908</v>
      </c>
      <c r="H536" s="8">
        <v>30.958101046229984</v>
      </c>
      <c r="I536" s="8">
        <v>30.958099081251849</v>
      </c>
      <c r="J536" s="8">
        <v>0.11676113537130213</v>
      </c>
      <c r="K536" s="8">
        <v>30.958063939268772</v>
      </c>
      <c r="L536" s="8">
        <v>30.958028875402402</v>
      </c>
      <c r="M536" s="8">
        <v>12</v>
      </c>
    </row>
    <row r="537" spans="1:13" x14ac:dyDescent="0.3">
      <c r="A537" s="8">
        <v>526</v>
      </c>
      <c r="B537" s="8">
        <v>0.5690026689594484</v>
      </c>
      <c r="C537" s="8">
        <v>2.165338452542187E-5</v>
      </c>
      <c r="D537" s="8">
        <v>26277.77049317248</v>
      </c>
      <c r="E537" s="8">
        <v>3.9067704271644743E-6</v>
      </c>
      <c r="F537" s="8">
        <v>145645.2790271655</v>
      </c>
      <c r="G537" s="8">
        <v>0.59085526247553366</v>
      </c>
      <c r="H537" s="8">
        <v>30.958100846350906</v>
      </c>
      <c r="I537" s="8">
        <v>30.958096488730593</v>
      </c>
      <c r="J537" s="8">
        <v>2.1852593516085303E-2</v>
      </c>
      <c r="K537" s="8">
        <v>30.958096939580479</v>
      </c>
      <c r="L537" s="8">
        <v>30.958074835346068</v>
      </c>
      <c r="M537" s="8">
        <v>12</v>
      </c>
    </row>
    <row r="538" spans="1:13" x14ac:dyDescent="0.3">
      <c r="A538" s="8">
        <v>527</v>
      </c>
      <c r="B538" s="8">
        <v>0.44782217302602267</v>
      </c>
      <c r="C538" s="8">
        <v>4.7357070929621159E-5</v>
      </c>
      <c r="D538" s="8">
        <v>9456.2895093648294</v>
      </c>
      <c r="E538" s="8">
        <v>3.637356449814888E-5</v>
      </c>
      <c r="F538" s="8">
        <v>12311.748359136294</v>
      </c>
      <c r="G538" s="8">
        <v>0.64391163524009487</v>
      </c>
      <c r="H538" s="8">
        <v>30.958099851859039</v>
      </c>
      <c r="I538" s="8">
        <v>30.958098854906378</v>
      </c>
      <c r="J538" s="8">
        <v>0.1960894622140722</v>
      </c>
      <c r="K538" s="8">
        <v>30.958063478294541</v>
      </c>
      <c r="L538" s="8">
        <v>30.958051497835449</v>
      </c>
      <c r="M538" s="8">
        <v>9</v>
      </c>
    </row>
    <row r="539" spans="1:13" x14ac:dyDescent="0.3">
      <c r="A539" s="8">
        <v>528</v>
      </c>
      <c r="B539" s="8">
        <v>0.94090864671625285</v>
      </c>
      <c r="C539" s="8">
        <v>5.4385768752496233E-5</v>
      </c>
      <c r="D539" s="8">
        <v>17300.640742952932</v>
      </c>
      <c r="E539" s="8">
        <v>2.7544472644080997E-5</v>
      </c>
      <c r="F539" s="8">
        <v>34159.617389459941</v>
      </c>
      <c r="G539" s="8">
        <v>1.0613587238441073</v>
      </c>
      <c r="H539" s="8">
        <v>30.958099297560352</v>
      </c>
      <c r="I539" s="8">
        <v>30.958096079216752</v>
      </c>
      <c r="J539" s="8">
        <v>0.12045007712785452</v>
      </c>
      <c r="K539" s="8">
        <v>30.958071753087708</v>
      </c>
      <c r="L539" s="8">
        <v>30.958041693447999</v>
      </c>
      <c r="M539" s="8">
        <v>13</v>
      </c>
    </row>
    <row r="540" spans="1:13" x14ac:dyDescent="0.3">
      <c r="A540" s="8">
        <v>529</v>
      </c>
      <c r="B540" s="8">
        <v>0.43313263229621191</v>
      </c>
      <c r="C540" s="8">
        <v>7.8858725064634427E-5</v>
      </c>
      <c r="D540" s="8">
        <v>5492.5137572438107</v>
      </c>
      <c r="E540" s="8">
        <v>6.4565440489161574E-5</v>
      </c>
      <c r="F540" s="8">
        <v>6708.4283637609615</v>
      </c>
      <c r="G540" s="8">
        <v>0.61528554593319429</v>
      </c>
      <c r="H540" s="8">
        <v>30.958097384347596</v>
      </c>
      <c r="I540" s="8">
        <v>30.958094934824146</v>
      </c>
      <c r="J540" s="8">
        <v>0.18215291363698236</v>
      </c>
      <c r="K540" s="8">
        <v>30.958032818907107</v>
      </c>
      <c r="L540" s="8">
        <v>30.958016076099081</v>
      </c>
      <c r="M540" s="8">
        <v>13</v>
      </c>
    </row>
    <row r="541" spans="1:13" x14ac:dyDescent="0.3">
      <c r="A541" s="8">
        <v>530</v>
      </c>
      <c r="B541" s="8">
        <v>0.49078004922007046</v>
      </c>
      <c r="C541" s="8">
        <v>5.9146061449411036E-5</v>
      </c>
      <c r="D541" s="8">
        <v>8297.7638272642344</v>
      </c>
      <c r="E541" s="8">
        <v>3.3877799516801588E-5</v>
      </c>
      <c r="F541" s="8">
        <v>14486.774708512861</v>
      </c>
      <c r="G541" s="8">
        <v>0.62687222078953475</v>
      </c>
      <c r="H541" s="8">
        <v>30.958099808879162</v>
      </c>
      <c r="I541" s="8">
        <v>30.958096447840539</v>
      </c>
      <c r="J541" s="8">
        <v>0.13609217156946429</v>
      </c>
      <c r="K541" s="8">
        <v>30.958065931079645</v>
      </c>
      <c r="L541" s="8">
        <v>30.95803730177909</v>
      </c>
      <c r="M541" s="8">
        <v>14</v>
      </c>
    </row>
    <row r="542" spans="1:13" x14ac:dyDescent="0.3">
      <c r="A542" s="8">
        <v>531</v>
      </c>
      <c r="B542" s="8">
        <v>0.56138552543597531</v>
      </c>
      <c r="C542" s="8">
        <v>5.766215495839333E-5</v>
      </c>
      <c r="D542" s="8">
        <v>9735.7708160759576</v>
      </c>
      <c r="E542" s="8">
        <v>2.6289539363233416E-5</v>
      </c>
      <c r="F542" s="8">
        <v>21353.950621937754</v>
      </c>
      <c r="G542" s="8">
        <v>0.59341255138117188</v>
      </c>
      <c r="H542" s="8">
        <v>30.958101462148221</v>
      </c>
      <c r="I542" s="8">
        <v>30.958099883118233</v>
      </c>
      <c r="J542" s="8">
        <v>3.2027025945196561E-2</v>
      </c>
      <c r="K542" s="8">
        <v>30.958075172608858</v>
      </c>
      <c r="L542" s="8">
        <v>30.958042220963275</v>
      </c>
      <c r="M542" s="8">
        <v>15</v>
      </c>
    </row>
    <row r="543" spans="1:13" x14ac:dyDescent="0.3">
      <c r="A543" s="8">
        <v>532</v>
      </c>
      <c r="B543" s="8">
        <v>0.27731684683804114</v>
      </c>
      <c r="C543" s="8">
        <v>6.008623009989833E-5</v>
      </c>
      <c r="D543" s="8">
        <v>4615.3144635131703</v>
      </c>
      <c r="E543" s="8">
        <v>3.8514949963541767E-5</v>
      </c>
      <c r="F543" s="8">
        <v>7200.239052641874</v>
      </c>
      <c r="G543" s="8">
        <v>0.38310684402214829</v>
      </c>
      <c r="H543" s="8">
        <v>30.958101490034853</v>
      </c>
      <c r="I543" s="8">
        <v>30.958100615313828</v>
      </c>
      <c r="J543" s="8">
        <v>0.10578999718410714</v>
      </c>
      <c r="K543" s="8">
        <v>30.958062975084889</v>
      </c>
      <c r="L543" s="8">
        <v>30.958040529083728</v>
      </c>
      <c r="M543" s="8">
        <v>10</v>
      </c>
    </row>
    <row r="544" spans="1:13" x14ac:dyDescent="0.3">
      <c r="A544" s="8">
        <v>533</v>
      </c>
      <c r="B544" s="8">
        <v>0.54435043144519524</v>
      </c>
      <c r="C544" s="8">
        <v>5.7539782726934163E-5</v>
      </c>
      <c r="D544" s="8">
        <v>9460.4186120846571</v>
      </c>
      <c r="E544" s="8">
        <v>3.3946324890621327E-5</v>
      </c>
      <c r="F544" s="8">
        <v>16035.621917811435</v>
      </c>
      <c r="G544" s="8">
        <v>0.71547369149712792</v>
      </c>
      <c r="H544" s="8">
        <v>30.958101099906546</v>
      </c>
      <c r="I544" s="8">
        <v>30.958100185625387</v>
      </c>
      <c r="J544" s="8">
        <v>0.17112326005193271</v>
      </c>
      <c r="K544" s="8">
        <v>30.958067153581656</v>
      </c>
      <c r="L544" s="8">
        <v>30.95804264584266</v>
      </c>
      <c r="M544" s="8">
        <v>13</v>
      </c>
    </row>
    <row r="545" spans="1:13" x14ac:dyDescent="0.3">
      <c r="A545" s="8">
        <v>534</v>
      </c>
      <c r="B545" s="8">
        <v>0.6382899376711566</v>
      </c>
      <c r="C545" s="8">
        <v>3.7191134371283852E-5</v>
      </c>
      <c r="D545" s="8">
        <v>17162.421863743828</v>
      </c>
      <c r="E545" s="8">
        <v>1.9885584563894554E-5</v>
      </c>
      <c r="F545" s="8">
        <v>32098.122920161655</v>
      </c>
      <c r="G545" s="8">
        <v>0.7234266684692916</v>
      </c>
      <c r="H545" s="8">
        <v>30.958101471587636</v>
      </c>
      <c r="I545" s="8">
        <v>30.958100929215338</v>
      </c>
      <c r="J545" s="8">
        <v>8.5136730798134969E-2</v>
      </c>
      <c r="K545" s="8">
        <v>30.958081586003072</v>
      </c>
      <c r="L545" s="8">
        <v>30.958063738080966</v>
      </c>
      <c r="M545" s="8">
        <v>10</v>
      </c>
    </row>
    <row r="546" spans="1:13" x14ac:dyDescent="0.3">
      <c r="A546" s="8">
        <v>535</v>
      </c>
      <c r="B546" s="8">
        <v>0.5000368328290814</v>
      </c>
      <c r="C546" s="8">
        <v>2.7518307891938321E-5</v>
      </c>
      <c r="D546" s="8">
        <v>18171.060328006966</v>
      </c>
      <c r="E546" s="8">
        <v>6.7996839483441818E-6</v>
      </c>
      <c r="F546" s="8">
        <v>73538.246281409505</v>
      </c>
      <c r="G546" s="8">
        <v>0.53569621094154518</v>
      </c>
      <c r="H546" s="8">
        <v>30.958100921846736</v>
      </c>
      <c r="I546" s="8">
        <v>30.958098509825938</v>
      </c>
      <c r="J546" s="8">
        <v>3.5659378112463835E-2</v>
      </c>
      <c r="K546" s="8">
        <v>30.958094122162787</v>
      </c>
      <c r="L546" s="8">
        <v>30.958070991518046</v>
      </c>
      <c r="M546" s="8">
        <v>14</v>
      </c>
    </row>
    <row r="547" spans="1:13" x14ac:dyDescent="0.3">
      <c r="A547" s="8">
        <v>536</v>
      </c>
      <c r="B547" s="8">
        <v>0.77050430996332586</v>
      </c>
      <c r="C547" s="8">
        <v>7.9649913978130371E-5</v>
      </c>
      <c r="D547" s="8">
        <v>9673.6364357516413</v>
      </c>
      <c r="E547" s="8">
        <v>4.4518341159260899E-5</v>
      </c>
      <c r="F547" s="8">
        <v>17307.570091322737</v>
      </c>
      <c r="G547" s="8">
        <v>0.86209608759483769</v>
      </c>
      <c r="H547" s="8">
        <v>30.958100917595573</v>
      </c>
      <c r="I547" s="8">
        <v>30.958098982073167</v>
      </c>
      <c r="J547" s="8">
        <v>9.1591777631511814E-2</v>
      </c>
      <c r="K547" s="8">
        <v>30.958056399254414</v>
      </c>
      <c r="L547" s="8">
        <v>30.958019332159189</v>
      </c>
      <c r="M547" s="8">
        <v>10</v>
      </c>
    </row>
    <row r="548" spans="1:13" x14ac:dyDescent="0.3">
      <c r="A548" s="8">
        <v>537</v>
      </c>
      <c r="B548" s="8">
        <v>0.56971873664711969</v>
      </c>
      <c r="C548" s="8">
        <v>4.120469856161435E-5</v>
      </c>
      <c r="D548" s="8">
        <v>13826.547858254708</v>
      </c>
      <c r="E548" s="8">
        <v>2.3112652769441411E-5</v>
      </c>
      <c r="F548" s="8">
        <v>24649.647201050764</v>
      </c>
      <c r="G548" s="8">
        <v>0.62651736523609969</v>
      </c>
      <c r="H548" s="8">
        <v>30.958101417159394</v>
      </c>
      <c r="I548" s="8">
        <v>30.958100051580043</v>
      </c>
      <c r="J548" s="8">
        <v>5.6798628588980021E-2</v>
      </c>
      <c r="K548" s="8">
        <v>30.958078304506625</v>
      </c>
      <c r="L548" s="8">
        <v>30.958058846881482</v>
      </c>
      <c r="M548" s="8">
        <v>12</v>
      </c>
    </row>
    <row r="549" spans="1:13" x14ac:dyDescent="0.3">
      <c r="A549" s="8">
        <v>538</v>
      </c>
      <c r="B549" s="8">
        <v>0.6223611522603657</v>
      </c>
      <c r="C549" s="8">
        <v>3.8961063062004087E-5</v>
      </c>
      <c r="D549" s="8">
        <v>15973.926360015304</v>
      </c>
      <c r="E549" s="8">
        <v>1.0802367498286003E-5</v>
      </c>
      <c r="F549" s="8">
        <v>57613.403021061349</v>
      </c>
      <c r="G549" s="8">
        <v>0.6690590992022295</v>
      </c>
      <c r="H549" s="8">
        <v>30.958101370312754</v>
      </c>
      <c r="I549" s="8">
        <v>30.958100739044966</v>
      </c>
      <c r="J549" s="8">
        <v>4.6697946941863785E-2</v>
      </c>
      <c r="K549" s="8">
        <v>30.958090567945256</v>
      </c>
      <c r="L549" s="8">
        <v>30.958061777981904</v>
      </c>
      <c r="M549" s="8">
        <v>15</v>
      </c>
    </row>
    <row r="550" spans="1:13" x14ac:dyDescent="0.3">
      <c r="A550" s="8">
        <v>539</v>
      </c>
      <c r="B550" s="8">
        <v>0.83520460409108743</v>
      </c>
      <c r="C550" s="8">
        <v>1.0017885326973897E-4</v>
      </c>
      <c r="D550" s="8">
        <v>8337.1348027136755</v>
      </c>
      <c r="E550" s="8">
        <v>6.5649960625080439E-5</v>
      </c>
      <c r="F550" s="8">
        <v>12722.088423797346</v>
      </c>
      <c r="G550" s="8">
        <v>0.9738982523118882</v>
      </c>
      <c r="H550" s="8">
        <v>30.958100583534129</v>
      </c>
      <c r="I550" s="8">
        <v>30.958097743396944</v>
      </c>
      <c r="J550" s="8">
        <v>0.1386936482208008</v>
      </c>
      <c r="K550" s="8">
        <v>30.958034933573504</v>
      </c>
      <c r="L550" s="8">
        <v>30.957997564543675</v>
      </c>
      <c r="M550" s="8">
        <v>11</v>
      </c>
    </row>
    <row r="551" spans="1:13" x14ac:dyDescent="0.3">
      <c r="A551" s="8">
        <v>540</v>
      </c>
      <c r="B551" s="8">
        <v>0.57812513499099516</v>
      </c>
      <c r="C551" s="8">
        <v>5.6834401952698954E-5</v>
      </c>
      <c r="D551" s="8">
        <v>10172.098502455363</v>
      </c>
      <c r="E551" s="8">
        <v>2.3392501105945485E-5</v>
      </c>
      <c r="F551" s="8">
        <v>24714.122375057097</v>
      </c>
      <c r="G551" s="8">
        <v>0.63953530007871273</v>
      </c>
      <c r="H551" s="8">
        <v>30.95810064144603</v>
      </c>
      <c r="I551" s="8">
        <v>30.95809750807738</v>
      </c>
      <c r="J551" s="8">
        <v>6.1410165087717544E-2</v>
      </c>
      <c r="K551" s="8">
        <v>30.958077248944925</v>
      </c>
      <c r="L551" s="8">
        <v>30.958040673675427</v>
      </c>
      <c r="M551" s="8">
        <v>10</v>
      </c>
    </row>
    <row r="552" spans="1:13" x14ac:dyDescent="0.3">
      <c r="A552" s="8">
        <v>541</v>
      </c>
      <c r="B552" s="8">
        <v>0.6061842475456295</v>
      </c>
      <c r="C552" s="8">
        <v>5.4950706037004693E-5</v>
      </c>
      <c r="D552" s="8">
        <v>11031.418725310194</v>
      </c>
      <c r="E552" s="8">
        <v>2.128161873926615E-5</v>
      </c>
      <c r="F552" s="8">
        <v>28483.935126005006</v>
      </c>
      <c r="G552" s="8">
        <v>0.66206679996884588</v>
      </c>
      <c r="H552" s="8">
        <v>30.958101505954478</v>
      </c>
      <c r="I552" s="8">
        <v>30.958100881008082</v>
      </c>
      <c r="J552" s="8">
        <v>5.5882552423216353E-2</v>
      </c>
      <c r="K552" s="8">
        <v>30.958080224335738</v>
      </c>
      <c r="L552" s="8">
        <v>30.958045930302045</v>
      </c>
      <c r="M552" s="8">
        <v>9</v>
      </c>
    </row>
    <row r="553" spans="1:13" x14ac:dyDescent="0.3">
      <c r="A553" s="8">
        <v>542</v>
      </c>
      <c r="B553" s="8">
        <v>0.47502160390881143</v>
      </c>
      <c r="C553" s="8">
        <v>2.188994479368489E-5</v>
      </c>
      <c r="D553" s="8">
        <v>21700.447780290982</v>
      </c>
      <c r="E553" s="8">
        <v>1.1406845853656478E-5</v>
      </c>
      <c r="F553" s="8">
        <v>41643.554230772977</v>
      </c>
      <c r="G553" s="8">
        <v>0.51979916344966981</v>
      </c>
      <c r="H553" s="8">
        <v>30.958101521408175</v>
      </c>
      <c r="I553" s="8">
        <v>30.958100781326596</v>
      </c>
      <c r="J553" s="8">
        <v>4.477755954085838E-2</v>
      </c>
      <c r="K553" s="8">
        <v>30.958090114562321</v>
      </c>
      <c r="L553" s="8">
        <v>30.958078891381803</v>
      </c>
      <c r="M553" s="8">
        <v>10</v>
      </c>
    </row>
    <row r="554" spans="1:13" x14ac:dyDescent="0.3">
      <c r="A554" s="8">
        <v>543</v>
      </c>
      <c r="B554" s="8">
        <v>0.31727200663084959</v>
      </c>
      <c r="C554" s="8">
        <v>1.8011271805562501E-5</v>
      </c>
      <c r="D554" s="8">
        <v>17615.191756356988</v>
      </c>
      <c r="E554" s="8">
        <v>7.2746532957523868E-6</v>
      </c>
      <c r="F554" s="8">
        <v>43613.350868020367</v>
      </c>
      <c r="G554" s="8">
        <v>0.33822803644214861</v>
      </c>
      <c r="H554" s="8">
        <v>30.958101472773546</v>
      </c>
      <c r="I554" s="8">
        <v>30.958100788121325</v>
      </c>
      <c r="J554" s="8">
        <v>2.0956029811299001E-2</v>
      </c>
      <c r="K554" s="8">
        <v>30.95809419812025</v>
      </c>
      <c r="L554" s="8">
        <v>30.958082776849519</v>
      </c>
      <c r="M554" s="8">
        <v>12</v>
      </c>
    </row>
    <row r="555" spans="1:13" x14ac:dyDescent="0.3">
      <c r="A555" s="8">
        <v>544</v>
      </c>
      <c r="B555" s="8">
        <v>0.70412325399013254</v>
      </c>
      <c r="C555" s="8">
        <v>4.787363719671589E-5</v>
      </c>
      <c r="D555" s="8">
        <v>14707.954006018892</v>
      </c>
      <c r="E555" s="8">
        <v>2.4393176747850021E-5</v>
      </c>
      <c r="F555" s="8">
        <v>28865.582423666609</v>
      </c>
      <c r="G555" s="8">
        <v>0.84541938888013335</v>
      </c>
      <c r="H555" s="8">
        <v>30.958100912748368</v>
      </c>
      <c r="I555" s="8">
        <v>30.958099369777045</v>
      </c>
      <c r="J555" s="8">
        <v>0.14129613489000076</v>
      </c>
      <c r="K555" s="8">
        <v>30.95807651957162</v>
      </c>
      <c r="L555" s="8">
        <v>30.958051496139849</v>
      </c>
      <c r="M555" s="8">
        <v>9</v>
      </c>
    </row>
    <row r="556" spans="1:13" x14ac:dyDescent="0.3">
      <c r="A556" s="8">
        <v>545</v>
      </c>
      <c r="B556" s="8">
        <v>0.5399916076258191</v>
      </c>
      <c r="C556" s="8">
        <v>4.335747682659985E-5</v>
      </c>
      <c r="D556" s="8">
        <v>12454.405725347324</v>
      </c>
      <c r="E556" s="8">
        <v>1.5145650785086673E-5</v>
      </c>
      <c r="F556" s="8">
        <v>35653.245627287775</v>
      </c>
      <c r="G556" s="8">
        <v>0.58730910302157158</v>
      </c>
      <c r="H556" s="8">
        <v>30.958101153253292</v>
      </c>
      <c r="I556" s="8">
        <v>30.958098843381077</v>
      </c>
      <c r="J556" s="8">
        <v>4.7317495395752446E-2</v>
      </c>
      <c r="K556" s="8">
        <v>30.958086007602507</v>
      </c>
      <c r="L556" s="8">
        <v>30.95805548590425</v>
      </c>
      <c r="M556" s="8">
        <v>14</v>
      </c>
    </row>
    <row r="557" spans="1:13" x14ac:dyDescent="0.3">
      <c r="A557" s="8">
        <v>546</v>
      </c>
      <c r="B557" s="8">
        <v>0.52119306301064006</v>
      </c>
      <c r="C557" s="8">
        <v>8.3353421072018818E-5</v>
      </c>
      <c r="D557" s="8">
        <v>6252.809498488612</v>
      </c>
      <c r="E557" s="8">
        <v>5.797497827941811E-5</v>
      </c>
      <c r="F557" s="8">
        <v>8989.9656451561023</v>
      </c>
      <c r="G557" s="8">
        <v>0.68273611798715139</v>
      </c>
      <c r="H557" s="8">
        <v>30.958100847489387</v>
      </c>
      <c r="I557" s="8">
        <v>30.958098497248042</v>
      </c>
      <c r="J557" s="8">
        <v>0.16154305497651131</v>
      </c>
      <c r="K557" s="8">
        <v>30.958042872511108</v>
      </c>
      <c r="L557" s="8">
        <v>30.95801514382697</v>
      </c>
      <c r="M557" s="8">
        <v>13</v>
      </c>
    </row>
    <row r="558" spans="1:13" x14ac:dyDescent="0.3">
      <c r="A558" s="8">
        <v>547</v>
      </c>
      <c r="B558" s="8">
        <v>0.49768233328367839</v>
      </c>
      <c r="C558" s="8">
        <v>5.7899695899976678E-5</v>
      </c>
      <c r="D558" s="8">
        <v>8595.5949430794662</v>
      </c>
      <c r="E558" s="8">
        <v>3.2933743632668211E-5</v>
      </c>
      <c r="F558" s="8">
        <v>15111.623471496532</v>
      </c>
      <c r="G558" s="8">
        <v>0.5633274908167949</v>
      </c>
      <c r="H558" s="8">
        <v>30.958099797883019</v>
      </c>
      <c r="I558" s="8">
        <v>30.958098445817292</v>
      </c>
      <c r="J558" s="8">
        <v>6.5645157533116519E-2</v>
      </c>
      <c r="K558" s="8">
        <v>30.958066864139386</v>
      </c>
      <c r="L558" s="8">
        <v>30.958040546121392</v>
      </c>
      <c r="M558" s="8">
        <v>11</v>
      </c>
    </row>
    <row r="559" spans="1:13" x14ac:dyDescent="0.3">
      <c r="A559" s="8">
        <v>548</v>
      </c>
      <c r="B559" s="8">
        <v>0.35422799498707602</v>
      </c>
      <c r="C559" s="8">
        <v>1.7384752065652265E-4</v>
      </c>
      <c r="D559" s="8">
        <v>2037.5786416128312</v>
      </c>
      <c r="E559" s="8">
        <v>1.4840383315828376E-4</v>
      </c>
      <c r="F559" s="8">
        <v>2386.9194443870292</v>
      </c>
      <c r="G559" s="8">
        <v>0.65492655355997886</v>
      </c>
      <c r="H559" s="8">
        <v>30.958093607495719</v>
      </c>
      <c r="I559" s="8">
        <v>30.95809054938583</v>
      </c>
      <c r="J559" s="8">
        <v>0.30069855857290284</v>
      </c>
      <c r="K559" s="8">
        <v>30.957945203662561</v>
      </c>
      <c r="L559" s="8">
        <v>30.957916701865173</v>
      </c>
      <c r="M559" s="8">
        <v>14</v>
      </c>
    </row>
    <row r="560" spans="1:13" x14ac:dyDescent="0.3">
      <c r="A560" s="8">
        <v>549</v>
      </c>
      <c r="B560" s="8">
        <v>0.42344531724841511</v>
      </c>
      <c r="C560" s="8">
        <v>6.3112273053889112E-5</v>
      </c>
      <c r="D560" s="8">
        <v>6709.3973447423077</v>
      </c>
      <c r="E560" s="8">
        <v>2.2803304045027062E-5</v>
      </c>
      <c r="F560" s="8">
        <v>18569.472055991813</v>
      </c>
      <c r="G560" s="8">
        <v>0.50934098970500985</v>
      </c>
      <c r="H560" s="8">
        <v>30.958101548960354</v>
      </c>
      <c r="I560" s="8">
        <v>30.958100270494533</v>
      </c>
      <c r="J560" s="8">
        <v>8.5895672456594727E-2</v>
      </c>
      <c r="K560" s="8">
        <v>30.958078745656309</v>
      </c>
      <c r="L560" s="8">
        <v>30.95803715822148</v>
      </c>
      <c r="M560" s="8">
        <v>11</v>
      </c>
    </row>
    <row r="561" spans="1:13" x14ac:dyDescent="0.3">
      <c r="A561" s="8">
        <v>550</v>
      </c>
      <c r="B561" s="8">
        <v>0.4239619860656359</v>
      </c>
      <c r="C561" s="8">
        <v>2.3968696954312918E-5</v>
      </c>
      <c r="D561" s="8">
        <v>17688.153297350957</v>
      </c>
      <c r="E561" s="8">
        <v>7.1159707069057276E-6</v>
      </c>
      <c r="F561" s="8">
        <v>59578.939195772684</v>
      </c>
      <c r="G561" s="8">
        <v>0.44341496052751539</v>
      </c>
      <c r="H561" s="8">
        <v>30.958101480906613</v>
      </c>
      <c r="I561" s="8">
        <v>30.958100333206033</v>
      </c>
      <c r="J561" s="8">
        <v>1.9452974461879491E-2</v>
      </c>
      <c r="K561" s="8">
        <v>30.958094364935906</v>
      </c>
      <c r="L561" s="8">
        <v>30.958076364509079</v>
      </c>
      <c r="M561" s="8">
        <v>13</v>
      </c>
    </row>
    <row r="562" spans="1:13" x14ac:dyDescent="0.3">
      <c r="A562" s="8">
        <v>551</v>
      </c>
      <c r="B562" s="8">
        <v>0.58268102289206236</v>
      </c>
      <c r="C562" s="8">
        <v>4.7729997561418713E-5</v>
      </c>
      <c r="D562" s="8">
        <v>12207.857797232682</v>
      </c>
      <c r="E562" s="8">
        <v>2.5750156325443641E-5</v>
      </c>
      <c r="F562" s="8">
        <v>22628.251864875758</v>
      </c>
      <c r="G562" s="8">
        <v>0.64853444087304979</v>
      </c>
      <c r="H562" s="8">
        <v>30.95810150851965</v>
      </c>
      <c r="I562" s="8">
        <v>30.958100180977333</v>
      </c>
      <c r="J562" s="8">
        <v>6.5853417980987469E-2</v>
      </c>
      <c r="K562" s="8">
        <v>30.958075758363325</v>
      </c>
      <c r="L562" s="8">
        <v>30.958052450979771</v>
      </c>
      <c r="M562" s="8">
        <v>9</v>
      </c>
    </row>
    <row r="563" spans="1:13" x14ac:dyDescent="0.3">
      <c r="A563" s="8">
        <v>552</v>
      </c>
      <c r="B563" s="8">
        <v>0.54776641513312585</v>
      </c>
      <c r="C563" s="8">
        <v>6.8088745670991102E-5</v>
      </c>
      <c r="D563" s="8">
        <v>8044.8892065065493</v>
      </c>
      <c r="E563" s="8">
        <v>2.6540574697975217E-5</v>
      </c>
      <c r="F563" s="8">
        <v>20638.830220014603</v>
      </c>
      <c r="G563" s="8">
        <v>0.60169247260370418</v>
      </c>
      <c r="H563" s="8">
        <v>30.958101535585858</v>
      </c>
      <c r="I563" s="8">
        <v>30.958100924675016</v>
      </c>
      <c r="J563" s="8">
        <v>5.3926057470578298E-2</v>
      </c>
      <c r="K563" s="8">
        <v>30.95807499501116</v>
      </c>
      <c r="L563" s="8">
        <v>30.958032835929345</v>
      </c>
      <c r="M563" s="8">
        <v>9</v>
      </c>
    </row>
    <row r="564" spans="1:13" x14ac:dyDescent="0.3">
      <c r="A564" s="8">
        <v>553</v>
      </c>
      <c r="B564" s="8">
        <v>0.33775989285274699</v>
      </c>
      <c r="C564" s="8">
        <v>4.0208688147913563E-5</v>
      </c>
      <c r="D564" s="8">
        <v>8400.1719133498627</v>
      </c>
      <c r="E564" s="8">
        <v>2.4282358396021664E-5</v>
      </c>
      <c r="F564" s="8">
        <v>13909.682385220225</v>
      </c>
      <c r="G564" s="8">
        <v>0.45442501587415962</v>
      </c>
      <c r="H564" s="8">
        <v>30.958101448698049</v>
      </c>
      <c r="I564" s="8">
        <v>30.958101153654749</v>
      </c>
      <c r="J564" s="8">
        <v>0.11666512302141266</v>
      </c>
      <c r="K564" s="8">
        <v>30.958077166339653</v>
      </c>
      <c r="L564" s="8">
        <v>30.958060944966601</v>
      </c>
      <c r="M564" s="8">
        <v>10</v>
      </c>
    </row>
    <row r="565" spans="1:13" x14ac:dyDescent="0.3">
      <c r="A565" s="8">
        <v>554</v>
      </c>
      <c r="B565" s="8">
        <v>0.35077234594895851</v>
      </c>
      <c r="C565" s="8">
        <v>1.6635506582929338E-5</v>
      </c>
      <c r="D565" s="8">
        <v>21085.762805017697</v>
      </c>
      <c r="E565" s="8">
        <v>5.6188456838413003E-6</v>
      </c>
      <c r="F565" s="8">
        <v>62427.830498657589</v>
      </c>
      <c r="G565" s="8">
        <v>0.36479389961269737</v>
      </c>
      <c r="H565" s="8">
        <v>30.958101520542357</v>
      </c>
      <c r="I565" s="8">
        <v>30.958100774110658</v>
      </c>
      <c r="J565" s="8">
        <v>1.4021553663738882E-2</v>
      </c>
      <c r="K565" s="8">
        <v>30.958095901696673</v>
      </c>
      <c r="L565" s="8">
        <v>30.958084138604075</v>
      </c>
      <c r="M565" s="8">
        <v>13</v>
      </c>
    </row>
    <row r="566" spans="1:13" x14ac:dyDescent="0.3">
      <c r="A566" s="8">
        <v>555</v>
      </c>
      <c r="B566" s="8">
        <v>0.45640810108199759</v>
      </c>
      <c r="C566" s="8">
        <v>5.2299470553407446E-5</v>
      </c>
      <c r="D566" s="8">
        <v>8726.8206781542922</v>
      </c>
      <c r="E566" s="8">
        <v>2.6763731803214341E-5</v>
      </c>
      <c r="F566" s="8">
        <v>17053.231008210249</v>
      </c>
      <c r="G566" s="8">
        <v>0.49989420252988881</v>
      </c>
      <c r="H566" s="8">
        <v>30.958092388410126</v>
      </c>
      <c r="I566" s="8">
        <v>30.958082665516795</v>
      </c>
      <c r="J566" s="8">
        <v>4.3486101447891237E-2</v>
      </c>
      <c r="K566" s="8">
        <v>30.958065624678323</v>
      </c>
      <c r="L566" s="8">
        <v>30.958030366046241</v>
      </c>
      <c r="M566" s="8">
        <v>11</v>
      </c>
    </row>
    <row r="567" spans="1:13" x14ac:dyDescent="0.3">
      <c r="A567" s="8">
        <v>556</v>
      </c>
      <c r="B567" s="8">
        <v>0.33659906915734972</v>
      </c>
      <c r="C567" s="8">
        <v>5.3313503478591429E-5</v>
      </c>
      <c r="D567" s="8">
        <v>6313.5799974675165</v>
      </c>
      <c r="E567" s="8">
        <v>4.1806158407098337E-5</v>
      </c>
      <c r="F567" s="8">
        <v>8051.4230912974299</v>
      </c>
      <c r="G567" s="8">
        <v>0.42523482483590591</v>
      </c>
      <c r="H567" s="8">
        <v>30.958099541356876</v>
      </c>
      <c r="I567" s="8">
        <v>30.958098492663428</v>
      </c>
      <c r="J567" s="8">
        <v>8.863575567855618E-2</v>
      </c>
      <c r="K567" s="8">
        <v>30.958057735198469</v>
      </c>
      <c r="L567" s="8">
        <v>30.958045179159949</v>
      </c>
      <c r="M567" s="8">
        <v>12</v>
      </c>
    </row>
    <row r="568" spans="1:13" x14ac:dyDescent="0.3">
      <c r="A568" s="8">
        <v>557</v>
      </c>
      <c r="B568" s="8">
        <v>0.73932372400307578</v>
      </c>
      <c r="C568" s="8">
        <v>5.4542291547221566E-5</v>
      </c>
      <c r="D568" s="8">
        <v>13555.054307958162</v>
      </c>
      <c r="E568" s="8">
        <v>3.5085276053337111E-5</v>
      </c>
      <c r="F568" s="8">
        <v>21072.193443173877</v>
      </c>
      <c r="G568" s="8">
        <v>0.85532635634762255</v>
      </c>
      <c r="H568" s="8">
        <v>30.958100844101843</v>
      </c>
      <c r="I568" s="8">
        <v>30.958099607274299</v>
      </c>
      <c r="J568" s="8">
        <v>0.11600263234454673</v>
      </c>
      <c r="K568" s="8">
        <v>30.958065758825789</v>
      </c>
      <c r="L568" s="8">
        <v>30.958045064982752</v>
      </c>
      <c r="M568" s="8">
        <v>10</v>
      </c>
    </row>
    <row r="569" spans="1:13" x14ac:dyDescent="0.3">
      <c r="A569" s="8">
        <v>558</v>
      </c>
      <c r="B569" s="8">
        <v>0.78991126719697369</v>
      </c>
      <c r="C569" s="8">
        <v>8.4900062912396379E-5</v>
      </c>
      <c r="D569" s="8">
        <v>9304.0127427471853</v>
      </c>
      <c r="E569" s="8">
        <v>2.0897969047695142E-5</v>
      </c>
      <c r="F569" s="8">
        <v>37798.470530517596</v>
      </c>
      <c r="G569" s="8">
        <v>0.86012413345539052</v>
      </c>
      <c r="H569" s="8">
        <v>30.958101420137641</v>
      </c>
      <c r="I569" s="8">
        <v>30.958100992916091</v>
      </c>
      <c r="J569" s="8">
        <v>7.021286625841687E-2</v>
      </c>
      <c r="K569" s="8">
        <v>30.958080522168594</v>
      </c>
      <c r="L569" s="8">
        <v>30.958016092853178</v>
      </c>
      <c r="M569" s="8">
        <v>14</v>
      </c>
    </row>
    <row r="570" spans="1:13" x14ac:dyDescent="0.3">
      <c r="A570" s="8">
        <v>559</v>
      </c>
      <c r="B570" s="8">
        <v>0.40448880818047389</v>
      </c>
      <c r="C570" s="8">
        <v>2.6322971457659605E-5</v>
      </c>
      <c r="D570" s="8">
        <v>15366.380988981145</v>
      </c>
      <c r="E570" s="8">
        <v>1.047060441194958E-5</v>
      </c>
      <c r="F570" s="8">
        <v>38630.893907027079</v>
      </c>
      <c r="G570" s="8">
        <v>0.43166224650916818</v>
      </c>
      <c r="H570" s="8">
        <v>30.958101518893454</v>
      </c>
      <c r="I570" s="8">
        <v>30.958100851868625</v>
      </c>
      <c r="J570" s="8">
        <v>2.7173438328694274E-2</v>
      </c>
      <c r="K570" s="8">
        <v>30.958091048289042</v>
      </c>
      <c r="L570" s="8">
        <v>30.958074528897168</v>
      </c>
      <c r="M570" s="8">
        <v>10</v>
      </c>
    </row>
    <row r="571" spans="1:13" x14ac:dyDescent="0.3">
      <c r="A571" s="8">
        <v>560</v>
      </c>
      <c r="B571" s="8">
        <v>0.6271369077244946</v>
      </c>
      <c r="C571" s="8">
        <v>1.0149613184040618E-4</v>
      </c>
      <c r="D571" s="8">
        <v>6178.9242245272235</v>
      </c>
      <c r="E571" s="8">
        <v>7.0321529626937718E-5</v>
      </c>
      <c r="F571" s="8">
        <v>8918.1351863577838</v>
      </c>
      <c r="G571" s="8">
        <v>0.8710144549044383</v>
      </c>
      <c r="H571" s="8">
        <v>30.958100962669867</v>
      </c>
      <c r="I571" s="8">
        <v>30.958097876517854</v>
      </c>
      <c r="J571" s="8">
        <v>0.24387754717994375</v>
      </c>
      <c r="K571" s="8">
        <v>30.95803064114024</v>
      </c>
      <c r="L571" s="8">
        <v>30.957996380386014</v>
      </c>
      <c r="M571" s="8">
        <v>13</v>
      </c>
    </row>
    <row r="572" spans="1:13" x14ac:dyDescent="0.3">
      <c r="A572" s="8">
        <v>561</v>
      </c>
      <c r="B572" s="8">
        <v>0.48722855809730342</v>
      </c>
      <c r="C572" s="8">
        <v>8.0411383610368148E-5</v>
      </c>
      <c r="D572" s="8">
        <v>6059.1987878004966</v>
      </c>
      <c r="E572" s="8">
        <v>5.6382762998907765E-5</v>
      </c>
      <c r="F572" s="8">
        <v>8641.4452251433995</v>
      </c>
      <c r="G572" s="8">
        <v>0.62267604536033672</v>
      </c>
      <c r="H572" s="8">
        <v>30.958101309448256</v>
      </c>
      <c r="I572" s="8">
        <v>30.958100227882845</v>
      </c>
      <c r="J572" s="8">
        <v>0.13544748726303329</v>
      </c>
      <c r="K572" s="8">
        <v>30.958044926685258</v>
      </c>
      <c r="L572" s="8">
        <v>30.958019816499235</v>
      </c>
      <c r="M572" s="8">
        <v>10</v>
      </c>
    </row>
    <row r="573" spans="1:13" x14ac:dyDescent="0.3">
      <c r="A573" s="8">
        <v>562</v>
      </c>
      <c r="B573" s="8">
        <v>0.47754650703653678</v>
      </c>
      <c r="C573" s="8">
        <v>8.6334389273190482E-5</v>
      </c>
      <c r="D573" s="8">
        <v>5531.3590685795225</v>
      </c>
      <c r="E573" s="8">
        <v>6.4619136843191427E-5</v>
      </c>
      <c r="F573" s="8">
        <v>7390.171555453906</v>
      </c>
      <c r="G573" s="8">
        <v>0.65970344067964837</v>
      </c>
      <c r="H573" s="8">
        <v>30.958101220855376</v>
      </c>
      <c r="I573" s="8">
        <v>30.958100953034105</v>
      </c>
      <c r="J573" s="8">
        <v>0.18215693364311158</v>
      </c>
      <c r="K573" s="8">
        <v>30.958036601718533</v>
      </c>
      <c r="L573" s="8">
        <v>30.958014618644832</v>
      </c>
      <c r="M573" s="8">
        <v>11</v>
      </c>
    </row>
    <row r="574" spans="1:13" x14ac:dyDescent="0.3">
      <c r="A574" s="8">
        <v>563</v>
      </c>
      <c r="B574" s="8">
        <v>0.81813555449330688</v>
      </c>
      <c r="C574" s="8">
        <v>7.3026213698312858E-5</v>
      </c>
      <c r="D574" s="8">
        <v>11203.313345440618</v>
      </c>
      <c r="E574" s="8">
        <v>4.8890711553895017E-5</v>
      </c>
      <c r="F574" s="8">
        <v>16733.967015215752</v>
      </c>
      <c r="G574" s="8">
        <v>0.98907524737911445</v>
      </c>
      <c r="H574" s="8">
        <v>30.958101477372168</v>
      </c>
      <c r="I574" s="8">
        <v>30.958100677950942</v>
      </c>
      <c r="J574" s="8">
        <v>0.17093969288580757</v>
      </c>
      <c r="K574" s="8">
        <v>30.958052586660614</v>
      </c>
      <c r="L574" s="8">
        <v>30.958027651737243</v>
      </c>
      <c r="M574" s="8">
        <v>11</v>
      </c>
    </row>
    <row r="575" spans="1:13" x14ac:dyDescent="0.3">
      <c r="A575" s="8">
        <v>564</v>
      </c>
      <c r="B575" s="8">
        <v>1.0194678665399619</v>
      </c>
      <c r="C575" s="8">
        <v>8.8028336840295651E-5</v>
      </c>
      <c r="D575" s="8">
        <v>11581.132884397432</v>
      </c>
      <c r="E575" s="8">
        <v>3.9886253645704528E-5</v>
      </c>
      <c r="F575" s="8">
        <v>25559.378817462632</v>
      </c>
      <c r="G575" s="8">
        <v>1.1105532723992648</v>
      </c>
      <c r="H575" s="8">
        <v>30.958101516182982</v>
      </c>
      <c r="I575" s="8">
        <v>30.958101130757324</v>
      </c>
      <c r="J575" s="8">
        <v>9.1085405859302887E-2</v>
      </c>
      <c r="K575" s="8">
        <v>30.958061629929336</v>
      </c>
      <c r="L575" s="8">
        <v>30.958013102420484</v>
      </c>
      <c r="M575" s="8">
        <v>10</v>
      </c>
    </row>
    <row r="576" spans="1:13" x14ac:dyDescent="0.3">
      <c r="A576" s="8">
        <v>565</v>
      </c>
      <c r="B576" s="8">
        <v>0.95656524652988162</v>
      </c>
      <c r="C576" s="8">
        <v>6.0520205977354635E-5</v>
      </c>
      <c r="D576" s="8">
        <v>15805.716968111574</v>
      </c>
      <c r="E576" s="8">
        <v>2.7207549791796737E-5</v>
      </c>
      <c r="F576" s="8">
        <v>35158.081262366839</v>
      </c>
      <c r="G576" s="8">
        <v>1.0648785757926698</v>
      </c>
      <c r="H576" s="8">
        <v>30.958101395237787</v>
      </c>
      <c r="I576" s="8">
        <v>30.958099607827165</v>
      </c>
      <c r="J576" s="8">
        <v>0.10831332926278811</v>
      </c>
      <c r="K576" s="8">
        <v>30.958074187687995</v>
      </c>
      <c r="L576" s="8">
        <v>30.958039087621188</v>
      </c>
      <c r="M576" s="8">
        <v>9</v>
      </c>
    </row>
    <row r="577" spans="1:13" x14ac:dyDescent="0.3">
      <c r="A577" s="8">
        <v>566</v>
      </c>
      <c r="B577" s="8">
        <v>0.3281065419009877</v>
      </c>
      <c r="C577" s="8">
        <v>5.7796587320524395E-5</v>
      </c>
      <c r="D577" s="8">
        <v>5676.9189516570705</v>
      </c>
      <c r="E577" s="8">
        <v>4.1995877715805818E-5</v>
      </c>
      <c r="F577" s="8">
        <v>7812.8273475160531</v>
      </c>
      <c r="G577" s="8">
        <v>0.38255433113027504</v>
      </c>
      <c r="H577" s="8">
        <v>30.958101351149967</v>
      </c>
      <c r="I577" s="8">
        <v>30.958101094000028</v>
      </c>
      <c r="J577" s="8">
        <v>5.4447789229287336E-2</v>
      </c>
      <c r="K577" s="8">
        <v>30.958059355272251</v>
      </c>
      <c r="L577" s="8">
        <v>30.958043297412708</v>
      </c>
      <c r="M577" s="8">
        <v>10</v>
      </c>
    </row>
    <row r="578" spans="1:13" x14ac:dyDescent="0.3">
      <c r="A578" s="8">
        <v>567</v>
      </c>
      <c r="B578" s="8">
        <v>0.786093768753656</v>
      </c>
      <c r="C578" s="8">
        <v>7.7733727049889012E-5</v>
      </c>
      <c r="D578" s="8">
        <v>10112.647348674611</v>
      </c>
      <c r="E578" s="8">
        <v>4.4892035642618566E-5</v>
      </c>
      <c r="F578" s="8">
        <v>17510.762376909734</v>
      </c>
      <c r="G578" s="8">
        <v>0.87449527884097988</v>
      </c>
      <c r="H578" s="8">
        <v>30.958100105417774</v>
      </c>
      <c r="I578" s="8">
        <v>30.95809595215756</v>
      </c>
      <c r="J578" s="8">
        <v>8.8401510087323887E-2</v>
      </c>
      <c r="K578" s="8">
        <v>30.958055213382131</v>
      </c>
      <c r="L578" s="8">
        <v>30.95801821843051</v>
      </c>
      <c r="M578" s="8">
        <v>12</v>
      </c>
    </row>
    <row r="579" spans="1:13" x14ac:dyDescent="0.3">
      <c r="A579" s="8">
        <v>568</v>
      </c>
      <c r="B579" s="8">
        <v>0.69848471796241196</v>
      </c>
      <c r="C579" s="8">
        <v>1.426280736076535E-4</v>
      </c>
      <c r="D579" s="8">
        <v>4897.2456844914641</v>
      </c>
      <c r="E579" s="8">
        <v>1.2499867497339778E-4</v>
      </c>
      <c r="F579" s="8">
        <v>5587.9369770204639</v>
      </c>
      <c r="G579" s="8">
        <v>0.86375107839781162</v>
      </c>
      <c r="H579" s="8">
        <v>30.95809833074075</v>
      </c>
      <c r="I579" s="8">
        <v>30.958095741027989</v>
      </c>
      <c r="J579" s="8">
        <v>0.16526636043539963</v>
      </c>
      <c r="K579" s="8">
        <v>30.957973332065777</v>
      </c>
      <c r="L579" s="8">
        <v>30.957953112954382</v>
      </c>
      <c r="M579" s="8">
        <v>9</v>
      </c>
    </row>
    <row r="580" spans="1:13" x14ac:dyDescent="0.3">
      <c r="A580" s="8">
        <v>569</v>
      </c>
      <c r="B580" s="8">
        <v>0.66553774840297653</v>
      </c>
      <c r="C580" s="8">
        <v>4.3590353634215262E-5</v>
      </c>
      <c r="D580" s="8">
        <v>15268.005256111934</v>
      </c>
      <c r="E580" s="8">
        <v>1.3592666864070679E-5</v>
      </c>
      <c r="F580" s="8">
        <v>48963.000054256008</v>
      </c>
      <c r="G580" s="8">
        <v>0.75591734023222701</v>
      </c>
      <c r="H580" s="8">
        <v>30.958100827578559</v>
      </c>
      <c r="I580" s="8">
        <v>30.958098522701775</v>
      </c>
      <c r="J580" s="8">
        <v>9.0379591829250538E-2</v>
      </c>
      <c r="K580" s="8">
        <v>30.958087234911694</v>
      </c>
      <c r="L580" s="8">
        <v>30.958054932348141</v>
      </c>
      <c r="M580" s="8">
        <v>11</v>
      </c>
    </row>
    <row r="581" spans="1:13" x14ac:dyDescent="0.3">
      <c r="A581" s="8">
        <v>570</v>
      </c>
      <c r="B581" s="8">
        <v>0.40055673066679526</v>
      </c>
      <c r="C581" s="8">
        <v>1.8269094443468248E-4</v>
      </c>
      <c r="D581" s="8">
        <v>2192.5374128765661</v>
      </c>
      <c r="E581" s="8">
        <v>1.7366525794670906E-4</v>
      </c>
      <c r="F581" s="8">
        <v>2306.4874080324698</v>
      </c>
      <c r="G581" s="8">
        <v>0.75792889063815094</v>
      </c>
      <c r="H581" s="8">
        <v>30.958091135885095</v>
      </c>
      <c r="I581" s="8">
        <v>30.958088825776716</v>
      </c>
      <c r="J581" s="8">
        <v>0.35737215997135569</v>
      </c>
      <c r="K581" s="8">
        <v>30.957917470627148</v>
      </c>
      <c r="L581" s="8">
        <v>30.957906134832282</v>
      </c>
      <c r="M581" s="8">
        <v>15</v>
      </c>
    </row>
    <row r="582" spans="1:13" x14ac:dyDescent="0.3">
      <c r="A582" s="8">
        <v>571</v>
      </c>
      <c r="B582" s="8">
        <v>0.12452138425798265</v>
      </c>
      <c r="C582" s="8">
        <v>6.3993723564692573E-5</v>
      </c>
      <c r="D582" s="8">
        <v>1945.8374559514641</v>
      </c>
      <c r="E582" s="8">
        <v>5.0580175688708096E-5</v>
      </c>
      <c r="F582" s="8">
        <v>2461.861442007244</v>
      </c>
      <c r="G582" s="8">
        <v>0.35801499365723866</v>
      </c>
      <c r="H582" s="8">
        <v>30.95809984889155</v>
      </c>
      <c r="I582" s="8">
        <v>30.958098445411942</v>
      </c>
      <c r="J582" s="8">
        <v>0.23349360939925601</v>
      </c>
      <c r="K582" s="8">
        <v>30.958049268715861</v>
      </c>
      <c r="L582" s="8">
        <v>30.958034451688377</v>
      </c>
      <c r="M582" s="8">
        <v>15</v>
      </c>
    </row>
    <row r="583" spans="1:13" x14ac:dyDescent="0.3">
      <c r="A583" s="8">
        <v>572</v>
      </c>
      <c r="B583" s="8">
        <v>0.72254971934781986</v>
      </c>
      <c r="C583" s="8">
        <v>4.4156321308719271E-5</v>
      </c>
      <c r="D583" s="8">
        <v>16363.449171775605</v>
      </c>
      <c r="E583" s="8">
        <v>1.8818823836141974E-5</v>
      </c>
      <c r="F583" s="8">
        <v>38395.051977698356</v>
      </c>
      <c r="G583" s="8">
        <v>0.78643561998557465</v>
      </c>
      <c r="H583" s="8">
        <v>30.958101177377578</v>
      </c>
      <c r="I583" s="8">
        <v>30.958098620555624</v>
      </c>
      <c r="J583" s="8">
        <v>6.3885900637754844E-2</v>
      </c>
      <c r="K583" s="8">
        <v>30.958082358553742</v>
      </c>
      <c r="L583" s="8">
        <v>30.958054464234316</v>
      </c>
      <c r="M583" s="8">
        <v>13</v>
      </c>
    </row>
    <row r="584" spans="1:13" x14ac:dyDescent="0.3">
      <c r="A584" s="8">
        <v>573</v>
      </c>
      <c r="B584" s="8">
        <v>0.34946436598559416</v>
      </c>
      <c r="C584" s="8">
        <v>5.3382506663979257E-5</v>
      </c>
      <c r="D584" s="8">
        <v>6546.4210623402796</v>
      </c>
      <c r="E584" s="8">
        <v>3.8518512070595534E-5</v>
      </c>
      <c r="F584" s="8">
        <v>9072.6340972129638</v>
      </c>
      <c r="G584" s="8">
        <v>0.50811004380948599</v>
      </c>
      <c r="H584" s="8">
        <v>30.958100193277293</v>
      </c>
      <c r="I584" s="8">
        <v>30.958098719110851</v>
      </c>
      <c r="J584" s="8">
        <v>0.1586456778238918</v>
      </c>
      <c r="K584" s="8">
        <v>30.958061674765222</v>
      </c>
      <c r="L584" s="8">
        <v>30.958045336604187</v>
      </c>
      <c r="M584" s="8">
        <v>9</v>
      </c>
    </row>
    <row r="585" spans="1:13" x14ac:dyDescent="0.3">
      <c r="A585" s="8">
        <v>574</v>
      </c>
      <c r="B585" s="8">
        <v>0.71829521645031624</v>
      </c>
      <c r="C585" s="8">
        <v>1.5076759827437058E-4</v>
      </c>
      <c r="D585" s="8">
        <v>4764.2545525142941</v>
      </c>
      <c r="E585" s="8">
        <v>1.2866635625741196E-4</v>
      </c>
      <c r="F585" s="8">
        <v>5582.618777307126</v>
      </c>
      <c r="G585" s="8">
        <v>0.84777891868321675</v>
      </c>
      <c r="H585" s="8">
        <v>30.958101262921272</v>
      </c>
      <c r="I585" s="8">
        <v>30.958099014849129</v>
      </c>
      <c r="J585" s="8">
        <v>0.12948370223290057</v>
      </c>
      <c r="K585" s="8">
        <v>30.957972596565014</v>
      </c>
      <c r="L585" s="8">
        <v>30.957948247250854</v>
      </c>
      <c r="M585" s="8">
        <v>12</v>
      </c>
    </row>
    <row r="586" spans="1:13" x14ac:dyDescent="0.3">
      <c r="A586" s="8">
        <v>575</v>
      </c>
      <c r="B586" s="8">
        <v>0.41803107718936156</v>
      </c>
      <c r="C586" s="8">
        <v>3.2666239452083801E-5</v>
      </c>
      <c r="D586" s="8">
        <v>12797.03706949638</v>
      </c>
      <c r="E586" s="8">
        <v>1.4865918366524511E-5</v>
      </c>
      <c r="F586" s="8">
        <v>28120.097721691756</v>
      </c>
      <c r="G586" s="8">
        <v>0.46310492206138221</v>
      </c>
      <c r="H586" s="8">
        <v>30.958101543583258</v>
      </c>
      <c r="I586" s="8">
        <v>30.958100299976305</v>
      </c>
      <c r="J586" s="8">
        <v>4.5073844872020652E-2</v>
      </c>
      <c r="K586" s="8">
        <v>30.958086677664891</v>
      </c>
      <c r="L586" s="8">
        <v>30.958067633736853</v>
      </c>
      <c r="M586" s="8">
        <v>13</v>
      </c>
    </row>
    <row r="587" spans="1:13" x14ac:dyDescent="0.3">
      <c r="A587" s="8">
        <v>576</v>
      </c>
      <c r="B587" s="8">
        <v>0.58339801128517088</v>
      </c>
      <c r="C587" s="8">
        <v>8.1918534281300026E-5</v>
      </c>
      <c r="D587" s="8">
        <v>7121.6851766639356</v>
      </c>
      <c r="E587" s="8">
        <v>5.6720690736256074E-5</v>
      </c>
      <c r="F587" s="8">
        <v>10285.453221962629</v>
      </c>
      <c r="G587" s="8">
        <v>0.78335037351437664</v>
      </c>
      <c r="H587" s="8">
        <v>30.95809924726273</v>
      </c>
      <c r="I587" s="8">
        <v>30.958096838082923</v>
      </c>
      <c r="J587" s="8">
        <v>0.19995236222920576</v>
      </c>
      <c r="K587" s="8">
        <v>30.958042526571994</v>
      </c>
      <c r="L587" s="8">
        <v>30.958014919548642</v>
      </c>
      <c r="M587" s="8">
        <v>13</v>
      </c>
    </row>
    <row r="588" spans="1:13" x14ac:dyDescent="0.3">
      <c r="A588" s="8">
        <v>577</v>
      </c>
      <c r="B588" s="8">
        <v>0.7723984635531872</v>
      </c>
      <c r="C588" s="8">
        <v>4.6523096944639519E-5</v>
      </c>
      <c r="D588" s="8">
        <v>16602.473057034618</v>
      </c>
      <c r="E588" s="8">
        <v>2.6794231832383275E-5</v>
      </c>
      <c r="F588" s="8">
        <v>28827.042640560911</v>
      </c>
      <c r="G588" s="8">
        <v>0.8316727190933042</v>
      </c>
      <c r="H588" s="8">
        <v>30.958100761520154</v>
      </c>
      <c r="I588" s="8">
        <v>30.958098617090727</v>
      </c>
      <c r="J588" s="8">
        <v>5.9274255540117053E-2</v>
      </c>
      <c r="K588" s="8">
        <v>30.958073967288321</v>
      </c>
      <c r="L588" s="8">
        <v>30.958052093993782</v>
      </c>
      <c r="M588" s="8">
        <v>10</v>
      </c>
    </row>
    <row r="589" spans="1:13" x14ac:dyDescent="0.3">
      <c r="A589" s="8">
        <v>578</v>
      </c>
      <c r="B589" s="8">
        <v>0.5380644056883217</v>
      </c>
      <c r="C589" s="8">
        <v>9.7907732115487534E-5</v>
      </c>
      <c r="D589" s="8">
        <v>5495.6273019749378</v>
      </c>
      <c r="E589" s="8">
        <v>7.3530565888546562E-5</v>
      </c>
      <c r="F589" s="8">
        <v>7317.5610603063906</v>
      </c>
      <c r="G589" s="8">
        <v>0.60767033019757699</v>
      </c>
      <c r="H589" s="8">
        <v>30.958101549576849</v>
      </c>
      <c r="I589" s="8">
        <v>30.958101234438434</v>
      </c>
      <c r="J589" s="8">
        <v>6.9605924509255318E-2</v>
      </c>
      <c r="K589" s="8">
        <v>30.95802801901096</v>
      </c>
      <c r="L589" s="8">
        <v>30.958003326706319</v>
      </c>
      <c r="M589" s="8">
        <v>14</v>
      </c>
    </row>
    <row r="590" spans="1:13" x14ac:dyDescent="0.3">
      <c r="A590" s="8">
        <v>579</v>
      </c>
      <c r="B590" s="8">
        <v>0.51179377215239108</v>
      </c>
      <c r="C590" s="8">
        <v>7.5221740594599851E-5</v>
      </c>
      <c r="D590" s="8">
        <v>6803.8012429232813</v>
      </c>
      <c r="E590" s="8">
        <v>5.3306740323222357E-5</v>
      </c>
      <c r="F590" s="8">
        <v>9600.9204286204513</v>
      </c>
      <c r="G590" s="8">
        <v>0.63457795990326404</v>
      </c>
      <c r="H590" s="8">
        <v>30.958101007258438</v>
      </c>
      <c r="I590" s="8">
        <v>30.958100652682596</v>
      </c>
      <c r="J590" s="8">
        <v>0.12278418775087296</v>
      </c>
      <c r="K590" s="8">
        <v>30.958047700518115</v>
      </c>
      <c r="L590" s="8">
        <v>30.958025430942001</v>
      </c>
      <c r="M590" s="8">
        <v>9</v>
      </c>
    </row>
    <row r="591" spans="1:13" x14ac:dyDescent="0.3">
      <c r="A591" s="8">
        <v>580</v>
      </c>
      <c r="B591" s="8">
        <v>0.46446923533560802</v>
      </c>
      <c r="C591" s="8">
        <v>6.0212916636714908E-5</v>
      </c>
      <c r="D591" s="8">
        <v>7713.7807181457356</v>
      </c>
      <c r="E591" s="8">
        <v>4.3710078852399192E-5</v>
      </c>
      <c r="F591" s="8">
        <v>10626.13583709227</v>
      </c>
      <c r="G591" s="8">
        <v>0.54675492666092895</v>
      </c>
      <c r="H591" s="8">
        <v>30.958100556279128</v>
      </c>
      <c r="I591" s="8">
        <v>30.958098965589372</v>
      </c>
      <c r="J591" s="8">
        <v>8.2285691325320931E-2</v>
      </c>
      <c r="K591" s="8">
        <v>30.958056846200275</v>
      </c>
      <c r="L591" s="8">
        <v>30.958038752672735</v>
      </c>
      <c r="M591" s="8">
        <v>14</v>
      </c>
    </row>
    <row r="592" spans="1:13" x14ac:dyDescent="0.3">
      <c r="A592" s="8">
        <v>581</v>
      </c>
      <c r="B592" s="8">
        <v>0.75878707978524906</v>
      </c>
      <c r="C592" s="8">
        <v>6.9810046486651345E-5</v>
      </c>
      <c r="D592" s="8">
        <v>10869.31062179338</v>
      </c>
      <c r="E592" s="8">
        <v>2.431631873989204E-5</v>
      </c>
      <c r="F592" s="8">
        <v>31204.850039262888</v>
      </c>
      <c r="G592" s="8">
        <v>0.85692477364586739</v>
      </c>
      <c r="H592" s="8">
        <v>30.958101548746207</v>
      </c>
      <c r="I592" s="8">
        <v>30.95809824744244</v>
      </c>
      <c r="J592" s="8">
        <v>9.8137693860618325E-2</v>
      </c>
      <c r="K592" s="8">
        <v>30.958077232427467</v>
      </c>
      <c r="L592" s="8">
        <v>30.958028437395953</v>
      </c>
      <c r="M592" s="8">
        <v>11</v>
      </c>
    </row>
    <row r="593" spans="1:13" x14ac:dyDescent="0.3">
      <c r="A593" s="8">
        <v>582</v>
      </c>
      <c r="B593" s="8">
        <v>0.59813123323696349</v>
      </c>
      <c r="C593" s="8">
        <v>3.5846322337107495E-5</v>
      </c>
      <c r="D593" s="8">
        <v>16685.986015859384</v>
      </c>
      <c r="E593" s="8">
        <v>5.6276439117652899E-6</v>
      </c>
      <c r="F593" s="8">
        <v>106284.48469998177</v>
      </c>
      <c r="G593" s="8">
        <v>0.62723117068432144</v>
      </c>
      <c r="H593" s="8">
        <v>30.958101551146751</v>
      </c>
      <c r="I593" s="8">
        <v>30.958100061915001</v>
      </c>
      <c r="J593" s="8">
        <v>2.9099937447357987E-2</v>
      </c>
      <c r="K593" s="8">
        <v>30.958095923502839</v>
      </c>
      <c r="L593" s="8">
        <v>30.958064215592664</v>
      </c>
      <c r="M593" s="8">
        <v>14</v>
      </c>
    </row>
    <row r="594" spans="1:13" x14ac:dyDescent="0.3">
      <c r="A594" s="8">
        <v>583</v>
      </c>
      <c r="B594" s="8">
        <v>0.75810223064569682</v>
      </c>
      <c r="C594" s="8">
        <v>5.629465101364417E-5</v>
      </c>
      <c r="D594" s="8">
        <v>13466.683192723855</v>
      </c>
      <c r="E594" s="8">
        <v>3.3642476154227552E-5</v>
      </c>
      <c r="F594" s="8">
        <v>22534.079452722828</v>
      </c>
      <c r="G594" s="8">
        <v>0.93846631183568174</v>
      </c>
      <c r="H594" s="8">
        <v>30.95809952529661</v>
      </c>
      <c r="I594" s="8">
        <v>30.958097558155192</v>
      </c>
      <c r="J594" s="8">
        <v>0.18036408118998493</v>
      </c>
      <c r="K594" s="8">
        <v>30.958065882820456</v>
      </c>
      <c r="L594" s="8">
        <v>30.958041263504178</v>
      </c>
      <c r="M594" s="8">
        <v>11</v>
      </c>
    </row>
    <row r="595" spans="1:13" x14ac:dyDescent="0.3">
      <c r="A595" s="8">
        <v>584</v>
      </c>
      <c r="B595" s="8">
        <v>0.50863167670150666</v>
      </c>
      <c r="C595" s="8">
        <v>4.7484712503376159E-5</v>
      </c>
      <c r="D595" s="8">
        <v>10711.48270436181</v>
      </c>
      <c r="E595" s="8">
        <v>2.6775671297940562E-5</v>
      </c>
      <c r="F595" s="8">
        <v>18996.038270780082</v>
      </c>
      <c r="G595" s="8">
        <v>0.59078287339332269</v>
      </c>
      <c r="H595" s="8">
        <v>30.958100078980728</v>
      </c>
      <c r="I595" s="8">
        <v>30.958098481487394</v>
      </c>
      <c r="J595" s="8">
        <v>8.2151196691815975E-2</v>
      </c>
      <c r="K595" s="8">
        <v>30.95807330330943</v>
      </c>
      <c r="L595" s="8">
        <v>30.95805099677489</v>
      </c>
      <c r="M595" s="8">
        <v>9</v>
      </c>
    </row>
    <row r="596" spans="1:13" x14ac:dyDescent="0.3">
      <c r="A596" s="8">
        <v>585</v>
      </c>
      <c r="B596" s="8">
        <v>0.65782876323233352</v>
      </c>
      <c r="C596" s="8">
        <v>4.4314407681156354E-5</v>
      </c>
      <c r="D596" s="8">
        <v>14844.57984783264</v>
      </c>
      <c r="E596" s="8">
        <v>2.3139683566597569E-5</v>
      </c>
      <c r="F596" s="8">
        <v>28428.598054898117</v>
      </c>
      <c r="G596" s="8">
        <v>0.73500814651917279</v>
      </c>
      <c r="H596" s="8">
        <v>30.95810148669641</v>
      </c>
      <c r="I596" s="8">
        <v>30.958100937422948</v>
      </c>
      <c r="J596" s="8">
        <v>7.7179383286839265E-2</v>
      </c>
      <c r="K596" s="8">
        <v>30.958078347012844</v>
      </c>
      <c r="L596" s="8">
        <v>30.958056623015267</v>
      </c>
      <c r="M596" s="8">
        <v>13</v>
      </c>
    </row>
    <row r="597" spans="1:13" x14ac:dyDescent="0.3">
      <c r="A597" s="8">
        <v>586</v>
      </c>
      <c r="B597" s="8">
        <v>0.42981201108513201</v>
      </c>
      <c r="C597" s="8">
        <v>1.4242858733126695E-4</v>
      </c>
      <c r="D597" s="8">
        <v>3017.7369525224276</v>
      </c>
      <c r="E597" s="8">
        <v>1.2929528381278033E-4</v>
      </c>
      <c r="F597" s="8">
        <v>3324.2667358811027</v>
      </c>
      <c r="G597" s="8">
        <v>0.68179626391233783</v>
      </c>
      <c r="H597" s="8">
        <v>30.95809409793997</v>
      </c>
      <c r="I597" s="8">
        <v>30.95809332947648</v>
      </c>
      <c r="J597" s="8">
        <v>0.25198425282720582</v>
      </c>
      <c r="K597" s="8">
        <v>30.957964802656157</v>
      </c>
      <c r="L597" s="8">
        <v>30.957950900889148</v>
      </c>
      <c r="M597" s="8">
        <v>15</v>
      </c>
    </row>
    <row r="598" spans="1:13" x14ac:dyDescent="0.3">
      <c r="A598" s="8">
        <v>587</v>
      </c>
      <c r="B598" s="8">
        <v>0.67609134674410809</v>
      </c>
      <c r="C598" s="8">
        <v>4.9490804673979483E-5</v>
      </c>
      <c r="D598" s="8">
        <v>13660.948760034469</v>
      </c>
      <c r="E598" s="8">
        <v>2.5205285716367598E-5</v>
      </c>
      <c r="F598" s="8">
        <v>26823.395471572596</v>
      </c>
      <c r="G598" s="8">
        <v>0.76653924451203947</v>
      </c>
      <c r="H598" s="8">
        <v>30.95810082122853</v>
      </c>
      <c r="I598" s="8">
        <v>30.958099622717317</v>
      </c>
      <c r="J598" s="8">
        <v>9.0447897767931357E-2</v>
      </c>
      <c r="K598" s="8">
        <v>30.958075615942814</v>
      </c>
      <c r="L598" s="8">
        <v>30.958050131912643</v>
      </c>
      <c r="M598" s="8">
        <v>14</v>
      </c>
    </row>
    <row r="599" spans="1:13" x14ac:dyDescent="0.3">
      <c r="A599" s="8">
        <v>588</v>
      </c>
      <c r="B599" s="8">
        <v>0.38564162133843655</v>
      </c>
      <c r="C599" s="8">
        <v>1.4296523394108362E-4</v>
      </c>
      <c r="D599" s="8">
        <v>2697.4503570382749</v>
      </c>
      <c r="E599" s="8">
        <v>1.1805428725253364E-4</v>
      </c>
      <c r="F599" s="8">
        <v>3266.6464752228644</v>
      </c>
      <c r="G599" s="8">
        <v>0.67083335299915947</v>
      </c>
      <c r="H599" s="8">
        <v>30.958093704512585</v>
      </c>
      <c r="I599" s="8">
        <v>30.958087964823772</v>
      </c>
      <c r="J599" s="8">
        <v>0.28519173166072292</v>
      </c>
      <c r="K599" s="8">
        <v>30.957975650225332</v>
      </c>
      <c r="L599" s="8">
        <v>30.957944999589831</v>
      </c>
      <c r="M599" s="8">
        <v>13</v>
      </c>
    </row>
    <row r="600" spans="1:13" x14ac:dyDescent="0.3">
      <c r="A600" s="8">
        <v>589</v>
      </c>
      <c r="B600" s="8">
        <v>5.7414265580470691E-2</v>
      </c>
      <c r="C600" s="8">
        <v>4.3150069373609767E-5</v>
      </c>
      <c r="D600" s="8">
        <v>1330.571802407919</v>
      </c>
      <c r="E600" s="8">
        <v>2.7840629041264719E-5</v>
      </c>
      <c r="F600" s="8">
        <v>2062.2474260683057</v>
      </c>
      <c r="G600" s="8">
        <v>0.69988878179589242</v>
      </c>
      <c r="H600" s="8">
        <v>30.958100999223564</v>
      </c>
      <c r="I600" s="8">
        <v>30.958100023273442</v>
      </c>
      <c r="J600" s="8">
        <v>0.64247451621542173</v>
      </c>
      <c r="K600" s="8">
        <v>30.958073158594523</v>
      </c>
      <c r="L600" s="8">
        <v>30.958056873204068</v>
      </c>
      <c r="M600" s="8">
        <v>15</v>
      </c>
    </row>
    <row r="601" spans="1:13" x14ac:dyDescent="0.3">
      <c r="A601" s="8">
        <v>590</v>
      </c>
      <c r="B601" s="8">
        <v>0.28953862870747754</v>
      </c>
      <c r="C601" s="8">
        <v>3.147341581311025E-5</v>
      </c>
      <c r="D601" s="8">
        <v>9199.4663187104798</v>
      </c>
      <c r="E601" s="8">
        <v>1.925619931242295E-5</v>
      </c>
      <c r="F601" s="8">
        <v>15036.125458084789</v>
      </c>
      <c r="G601" s="8">
        <v>0.31445898245826231</v>
      </c>
      <c r="H601" s="8">
        <v>30.958101179028471</v>
      </c>
      <c r="I601" s="8">
        <v>30.958100326506131</v>
      </c>
      <c r="J601" s="8">
        <v>2.4920353750784763E-2</v>
      </c>
      <c r="K601" s="8">
        <v>30.958081922829159</v>
      </c>
      <c r="L601" s="8">
        <v>30.958068853090317</v>
      </c>
      <c r="M601" s="8">
        <v>12</v>
      </c>
    </row>
    <row r="602" spans="1:13" x14ac:dyDescent="0.3">
      <c r="A602" s="8">
        <v>591</v>
      </c>
      <c r="B602" s="8">
        <v>0.36649149274587789</v>
      </c>
      <c r="C602" s="8">
        <v>1.2381932686267305E-4</v>
      </c>
      <c r="D602" s="8">
        <v>2959.8892356469555</v>
      </c>
      <c r="E602" s="8">
        <v>1.1394828953470437E-4</v>
      </c>
      <c r="F602" s="8">
        <v>3216.2965696317742</v>
      </c>
      <c r="G602" s="8">
        <v>0.64421117026958441</v>
      </c>
      <c r="H602" s="8">
        <v>30.958101549826448</v>
      </c>
      <c r="I602" s="8">
        <v>30.958101220281399</v>
      </c>
      <c r="J602" s="8">
        <v>0.27771967752370652</v>
      </c>
      <c r="K602" s="8">
        <v>30.957987601536914</v>
      </c>
      <c r="L602" s="8">
        <v>30.957977400954537</v>
      </c>
      <c r="M602" s="8">
        <v>11</v>
      </c>
    </row>
    <row r="603" spans="1:13" x14ac:dyDescent="0.3">
      <c r="A603" s="8">
        <v>592</v>
      </c>
      <c r="B603" s="8">
        <v>0.19586023944614517</v>
      </c>
      <c r="C603" s="8">
        <v>8.8431627549567793E-5</v>
      </c>
      <c r="D603" s="8">
        <v>2214.8211547544047</v>
      </c>
      <c r="E603" s="8">
        <v>6.968153159192525E-5</v>
      </c>
      <c r="F603" s="8">
        <v>2810.7912523099822</v>
      </c>
      <c r="G603" s="8">
        <v>0.56562235647768044</v>
      </c>
      <c r="H603" s="8">
        <v>30.958095956327956</v>
      </c>
      <c r="I603" s="8">
        <v>30.958094180424371</v>
      </c>
      <c r="J603" s="8">
        <v>0.36976211703153528</v>
      </c>
      <c r="K603" s="8">
        <v>30.958026274796364</v>
      </c>
      <c r="L603" s="8">
        <v>30.958005748796822</v>
      </c>
      <c r="M603" s="8">
        <v>10</v>
      </c>
    </row>
    <row r="604" spans="1:13" x14ac:dyDescent="0.3">
      <c r="A604" s="8">
        <v>593</v>
      </c>
      <c r="B604" s="8">
        <v>0.41677041006176097</v>
      </c>
      <c r="C604" s="8">
        <v>4.4580764949841978E-5</v>
      </c>
      <c r="D604" s="8">
        <v>9348.6599104046618</v>
      </c>
      <c r="E604" s="8">
        <v>1.9677974435694523E-5</v>
      </c>
      <c r="F604" s="8">
        <v>21179.538139137301</v>
      </c>
      <c r="G604" s="8">
        <v>0.45827878870202998</v>
      </c>
      <c r="H604" s="8">
        <v>30.95810013406409</v>
      </c>
      <c r="I604" s="8">
        <v>30.958097550878076</v>
      </c>
      <c r="J604" s="8">
        <v>4.1508378640269017E-2</v>
      </c>
      <c r="K604" s="8">
        <v>30.958080456089654</v>
      </c>
      <c r="L604" s="8">
        <v>30.958052970113126</v>
      </c>
      <c r="M604" s="8">
        <v>12</v>
      </c>
    </row>
    <row r="605" spans="1:13" x14ac:dyDescent="0.3">
      <c r="A605" s="8">
        <v>594</v>
      </c>
      <c r="B605" s="8">
        <v>0.72724970917728604</v>
      </c>
      <c r="C605" s="8">
        <v>1.5557224989137808E-4</v>
      </c>
      <c r="D605" s="8">
        <v>4674.6750123178026</v>
      </c>
      <c r="E605" s="8">
        <v>1.3690421817003084E-4</v>
      </c>
      <c r="F605" s="8">
        <v>5312.1059299580102</v>
      </c>
      <c r="G605" s="8">
        <v>0.93367418532660751</v>
      </c>
      <c r="H605" s="8">
        <v>30.95810126674661</v>
      </c>
      <c r="I605" s="8">
        <v>30.958100872146161</v>
      </c>
      <c r="J605" s="8">
        <v>0.20642447614932144</v>
      </c>
      <c r="K605" s="8">
        <v>30.95796436252844</v>
      </c>
      <c r="L605" s="8">
        <v>30.95794529989627</v>
      </c>
      <c r="M605" s="8">
        <v>13</v>
      </c>
    </row>
    <row r="606" spans="1:13" x14ac:dyDescent="0.3">
      <c r="A606" s="8">
        <v>595</v>
      </c>
      <c r="B606" s="8">
        <v>0.69437119351484822</v>
      </c>
      <c r="C606" s="8">
        <v>8.8222177588193063E-5</v>
      </c>
      <c r="D606" s="8">
        <v>7870.7102057269694</v>
      </c>
      <c r="E606" s="8">
        <v>4.6187566461242113E-5</v>
      </c>
      <c r="F606" s="8">
        <v>15033.725452877532</v>
      </c>
      <c r="G606" s="8">
        <v>0.77733056174008297</v>
      </c>
      <c r="H606" s="8">
        <v>30.958101385920177</v>
      </c>
      <c r="I606" s="8">
        <v>30.958097681537478</v>
      </c>
      <c r="J606" s="8">
        <v>8.2959368225234809E-2</v>
      </c>
      <c r="K606" s="8">
        <v>30.958055198353716</v>
      </c>
      <c r="L606" s="8">
        <v>30.958009459359889</v>
      </c>
      <c r="M606" s="8">
        <v>15</v>
      </c>
    </row>
    <row r="607" spans="1:13" x14ac:dyDescent="0.3">
      <c r="A607" s="8">
        <v>596</v>
      </c>
      <c r="B607" s="8">
        <v>5.5275702515067304E-2</v>
      </c>
      <c r="C607" s="8">
        <v>4.1811738153541E-5</v>
      </c>
      <c r="D607" s="8">
        <v>1322.0139835393582</v>
      </c>
      <c r="E607" s="8">
        <v>2.1862049536025552E-5</v>
      </c>
      <c r="F607" s="8">
        <v>2528.386116040072</v>
      </c>
      <c r="G607" s="8">
        <v>0.77374820755622131</v>
      </c>
      <c r="H607" s="8">
        <v>30.958101551194996</v>
      </c>
      <c r="I607" s="8">
        <v>30.958101323946046</v>
      </c>
      <c r="J607" s="8">
        <v>0.71847250504115401</v>
      </c>
      <c r="K607" s="8">
        <v>30.95807968914546</v>
      </c>
      <c r="L607" s="8">
        <v>30.958059512207893</v>
      </c>
      <c r="M607" s="8">
        <v>12</v>
      </c>
    </row>
    <row r="608" spans="1:13" x14ac:dyDescent="0.3">
      <c r="A608" s="8">
        <v>597</v>
      </c>
      <c r="B608" s="8">
        <v>0.70576616341481591</v>
      </c>
      <c r="C608" s="8">
        <v>3.1755398964605774E-5</v>
      </c>
      <c r="D608" s="8">
        <v>22225.07625243365</v>
      </c>
      <c r="E608" s="8">
        <v>1.3791844576616086E-5</v>
      </c>
      <c r="F608" s="8">
        <v>51172.717289131455</v>
      </c>
      <c r="G608" s="8">
        <v>0.77304103404684421</v>
      </c>
      <c r="H608" s="8">
        <v>30.958101522957552</v>
      </c>
      <c r="I608" s="8">
        <v>30.958100640263709</v>
      </c>
      <c r="J608" s="8">
        <v>6.7274870632028333E-2</v>
      </c>
      <c r="K608" s="8">
        <v>30.958087731112975</v>
      </c>
      <c r="L608" s="8">
        <v>30.958068884864744</v>
      </c>
      <c r="M608" s="8">
        <v>12</v>
      </c>
    </row>
    <row r="609" spans="1:13" x14ac:dyDescent="0.3">
      <c r="A609" s="8">
        <v>598</v>
      </c>
      <c r="B609" s="8">
        <v>0.43791189012207743</v>
      </c>
      <c r="C609" s="8">
        <v>3.184329410643727E-5</v>
      </c>
      <c r="D609" s="8">
        <v>13752.091371525268</v>
      </c>
      <c r="E609" s="8">
        <v>1.4510964319924824E-5</v>
      </c>
      <c r="F609" s="8">
        <v>30178.000611633099</v>
      </c>
      <c r="G609" s="8">
        <v>0.50150043213234918</v>
      </c>
      <c r="H609" s="8">
        <v>30.958101530103221</v>
      </c>
      <c r="I609" s="8">
        <v>30.958101293178323</v>
      </c>
      <c r="J609" s="8">
        <v>6.358854201027174E-2</v>
      </c>
      <c r="K609" s="8">
        <v>30.958087019138901</v>
      </c>
      <c r="L609" s="8">
        <v>30.958069449884217</v>
      </c>
      <c r="M609" s="8">
        <v>14</v>
      </c>
    </row>
    <row r="610" spans="1:13" x14ac:dyDescent="0.3">
      <c r="A610" s="8">
        <v>599</v>
      </c>
      <c r="B610" s="8">
        <v>0.35533330663749207</v>
      </c>
      <c r="C610" s="8">
        <v>5.4940824554705614E-5</v>
      </c>
      <c r="D610" s="8">
        <v>6467.5641386430234</v>
      </c>
      <c r="E610" s="8">
        <v>3.4047588620467195E-5</v>
      </c>
      <c r="F610" s="8">
        <v>10436.372178906344</v>
      </c>
      <c r="G610" s="8">
        <v>0.582847836861069</v>
      </c>
      <c r="H610" s="8">
        <v>30.958101537155208</v>
      </c>
      <c r="I610" s="8">
        <v>30.958100355355842</v>
      </c>
      <c r="J610" s="8">
        <v>0.22751453022357693</v>
      </c>
      <c r="K610" s="8">
        <v>30.958067489566588</v>
      </c>
      <c r="L610" s="8">
        <v>30.958045414531288</v>
      </c>
      <c r="M610" s="8">
        <v>14</v>
      </c>
    </row>
    <row r="611" spans="1:13" x14ac:dyDescent="0.3">
      <c r="A611" s="8">
        <v>600</v>
      </c>
      <c r="B611" s="8">
        <v>0.73703015902936875</v>
      </c>
      <c r="C611" s="8">
        <v>7.489831416052084E-5</v>
      </c>
      <c r="D611" s="8">
        <v>9840.4105257933807</v>
      </c>
      <c r="E611" s="8">
        <v>3.6905193297798178E-5</v>
      </c>
      <c r="F611" s="8">
        <v>19970.906345946198</v>
      </c>
      <c r="G611" s="8">
        <v>0.81554598344663809</v>
      </c>
      <c r="H611" s="8">
        <v>30.95810107597174</v>
      </c>
      <c r="I611" s="8">
        <v>30.958100250502319</v>
      </c>
      <c r="J611" s="8">
        <v>7.8515824417269342E-2</v>
      </c>
      <c r="K611" s="8">
        <v>30.958064170778442</v>
      </c>
      <c r="L611" s="8">
        <v>30.958025352188159</v>
      </c>
      <c r="M611" s="8">
        <v>10</v>
      </c>
    </row>
    <row r="612" spans="1:13" x14ac:dyDescent="0.3">
      <c r="A612" s="8">
        <v>601</v>
      </c>
      <c r="B612" s="8">
        <v>0.48072177970630531</v>
      </c>
      <c r="C612" s="8">
        <v>5.0373882633181211E-5</v>
      </c>
      <c r="D612" s="8">
        <v>9543.0757880404981</v>
      </c>
      <c r="E612" s="8">
        <v>2.7998192337008732E-5</v>
      </c>
      <c r="F612" s="8">
        <v>17169.743457718694</v>
      </c>
      <c r="G612" s="8">
        <v>0.6102301413337794</v>
      </c>
      <c r="H612" s="8">
        <v>30.958100311280095</v>
      </c>
      <c r="I612" s="8">
        <v>30.958098359627591</v>
      </c>
      <c r="J612" s="8">
        <v>0.12950836162747409</v>
      </c>
      <c r="K612" s="8">
        <v>30.958072313087758</v>
      </c>
      <c r="L612" s="8">
        <v>30.958047985744958</v>
      </c>
      <c r="M612" s="8">
        <v>14</v>
      </c>
    </row>
    <row r="613" spans="1:13" x14ac:dyDescent="0.3">
      <c r="A613" s="8">
        <v>602</v>
      </c>
      <c r="B613" s="8">
        <v>0.68353351288972919</v>
      </c>
      <c r="C613" s="8">
        <v>6.098900569639909E-5</v>
      </c>
      <c r="D613" s="8">
        <v>11207.487400144422</v>
      </c>
      <c r="E613" s="8">
        <v>4.1833283159320445E-5</v>
      </c>
      <c r="F613" s="8">
        <v>16339.466120469631</v>
      </c>
      <c r="G613" s="8">
        <v>0.8639739106498503</v>
      </c>
      <c r="H613" s="8">
        <v>30.958101187601205</v>
      </c>
      <c r="I613" s="8">
        <v>30.958099553662205</v>
      </c>
      <c r="J613" s="8">
        <v>0.18044039776012111</v>
      </c>
      <c r="K613" s="8">
        <v>30.958059354318046</v>
      </c>
      <c r="L613" s="8">
        <v>30.958038564656508</v>
      </c>
      <c r="M613" s="8">
        <v>9</v>
      </c>
    </row>
    <row r="614" spans="1:13" x14ac:dyDescent="0.3">
      <c r="A614" s="8">
        <v>603</v>
      </c>
      <c r="B614" s="8">
        <v>0.47261106504668726</v>
      </c>
      <c r="C614" s="8">
        <v>9.1491899663509457E-5</v>
      </c>
      <c r="D614" s="8">
        <v>5165.6055539874533</v>
      </c>
      <c r="E614" s="8">
        <v>6.9173001882916196E-5</v>
      </c>
      <c r="F614" s="8">
        <v>6832.3052662459195</v>
      </c>
      <c r="G614" s="8">
        <v>0.57855303749707332</v>
      </c>
      <c r="H614" s="8">
        <v>30.958100184995654</v>
      </c>
      <c r="I614" s="8">
        <v>30.958099581724031</v>
      </c>
      <c r="J614" s="8">
        <v>0.10594197245038603</v>
      </c>
      <c r="K614" s="8">
        <v>30.958031011993771</v>
      </c>
      <c r="L614" s="8">
        <v>30.958008089824368</v>
      </c>
      <c r="M614" s="8">
        <v>10</v>
      </c>
    </row>
    <row r="615" spans="1:13" x14ac:dyDescent="0.3">
      <c r="A615" s="8">
        <v>604</v>
      </c>
      <c r="B615" s="8">
        <v>0.66808613540137374</v>
      </c>
      <c r="C615" s="8">
        <v>3.4754747808563025E-5</v>
      </c>
      <c r="D615" s="8">
        <v>19222.873924487743</v>
      </c>
      <c r="E615" s="8">
        <v>1.5305114814623266E-5</v>
      </c>
      <c r="F615" s="8">
        <v>43651.167828094374</v>
      </c>
      <c r="G615" s="8">
        <v>0.70452125884336958</v>
      </c>
      <c r="H615" s="8">
        <v>30.958101547523416</v>
      </c>
      <c r="I615" s="8">
        <v>30.958100033974443</v>
      </c>
      <c r="J615" s="8">
        <v>3.6435123441995863E-2</v>
      </c>
      <c r="K615" s="8">
        <v>30.958086242408601</v>
      </c>
      <c r="L615" s="8">
        <v>30.958065279226634</v>
      </c>
      <c r="M615" s="8">
        <v>14</v>
      </c>
    </row>
    <row r="616" spans="1:13" x14ac:dyDescent="0.3">
      <c r="A616" s="8">
        <v>605</v>
      </c>
      <c r="B616" s="8">
        <v>0.76816645364128278</v>
      </c>
      <c r="C616" s="8">
        <v>1.2291752723925242E-4</v>
      </c>
      <c r="D616" s="8">
        <v>6249.4460382862053</v>
      </c>
      <c r="E616" s="8">
        <v>6.9314972510170492E-5</v>
      </c>
      <c r="F616" s="8">
        <v>11082.258649508529</v>
      </c>
      <c r="G616" s="8">
        <v>0.89593253690485064</v>
      </c>
      <c r="H616" s="8">
        <v>30.958080904682593</v>
      </c>
      <c r="I616" s="8">
        <v>30.958063296097656</v>
      </c>
      <c r="J616" s="8">
        <v>0.12776608326356786</v>
      </c>
      <c r="K616" s="8">
        <v>30.958011589710082</v>
      </c>
      <c r="L616" s="8">
        <v>30.957940378570417</v>
      </c>
      <c r="M616" s="8">
        <v>14</v>
      </c>
    </row>
    <row r="617" spans="1:13" x14ac:dyDescent="0.3">
      <c r="A617" s="8">
        <v>606</v>
      </c>
      <c r="B617" s="8">
        <v>0.77701559786000685</v>
      </c>
      <c r="C617" s="8">
        <v>7.1302340533208053E-5</v>
      </c>
      <c r="D617" s="8">
        <v>10897.476745495092</v>
      </c>
      <c r="E617" s="8">
        <v>4.0392943130740377E-5</v>
      </c>
      <c r="F617" s="8">
        <v>19236.419474189592</v>
      </c>
      <c r="G617" s="8">
        <v>0.97362984324086455</v>
      </c>
      <c r="H617" s="8">
        <v>30.958101098923365</v>
      </c>
      <c r="I617" s="8">
        <v>30.958099968546659</v>
      </c>
      <c r="J617" s="8">
        <v>0.19661424538085764</v>
      </c>
      <c r="K617" s="8">
        <v>30.958060705980234</v>
      </c>
      <c r="L617" s="8">
        <v>30.958028666206125</v>
      </c>
      <c r="M617" s="8">
        <v>13</v>
      </c>
    </row>
    <row r="618" spans="1:13" x14ac:dyDescent="0.3">
      <c r="A618" s="8">
        <v>607</v>
      </c>
      <c r="B618" s="8">
        <v>0.42049306166441702</v>
      </c>
      <c r="C618" s="8">
        <v>6.3803837360154603E-5</v>
      </c>
      <c r="D618" s="8">
        <v>6590.4039484467476</v>
      </c>
      <c r="E618" s="8">
        <v>4.508193456942422E-5</v>
      </c>
      <c r="F618" s="8">
        <v>9327.3073944259413</v>
      </c>
      <c r="G618" s="8">
        <v>0.59431500002157933</v>
      </c>
      <c r="H618" s="8">
        <v>30.95810011558229</v>
      </c>
      <c r="I618" s="8">
        <v>30.958098554256527</v>
      </c>
      <c r="J618" s="8">
        <v>0.17382193835716228</v>
      </c>
      <c r="K618" s="8">
        <v>30.958055033647721</v>
      </c>
      <c r="L618" s="8">
        <v>30.958034750419166</v>
      </c>
      <c r="M618" s="8">
        <v>15</v>
      </c>
    </row>
    <row r="619" spans="1:13" x14ac:dyDescent="0.3">
      <c r="A619" s="8">
        <v>608</v>
      </c>
      <c r="B619" s="8">
        <v>0.61868240299491895</v>
      </c>
      <c r="C619" s="8">
        <v>4.5162472662951814E-5</v>
      </c>
      <c r="D619" s="8">
        <v>13699.037420119901</v>
      </c>
      <c r="E619" s="8">
        <v>2.2094378216763744E-5</v>
      </c>
      <c r="F619" s="8">
        <v>28001.801948221557</v>
      </c>
      <c r="G619" s="8">
        <v>0.6589398558093742</v>
      </c>
      <c r="H619" s="8">
        <v>30.958100476187862</v>
      </c>
      <c r="I619" s="8">
        <v>30.958097860568135</v>
      </c>
      <c r="J619" s="8">
        <v>4.0257452814455245E-2</v>
      </c>
      <c r="K619" s="8">
        <v>30.958078381809646</v>
      </c>
      <c r="L619" s="8">
        <v>30.958052698095472</v>
      </c>
      <c r="M619" s="8">
        <v>9</v>
      </c>
    </row>
    <row r="620" spans="1:13" x14ac:dyDescent="0.3">
      <c r="A620" s="8">
        <v>609</v>
      </c>
      <c r="B620" s="8">
        <v>0.32761016023275397</v>
      </c>
      <c r="C620" s="8">
        <v>3.3965669540947374E-5</v>
      </c>
      <c r="D620" s="8">
        <v>9645.3320267337276</v>
      </c>
      <c r="E620" s="8">
        <v>1.6099931979596249E-5</v>
      </c>
      <c r="F620" s="8">
        <v>20348.543127259207</v>
      </c>
      <c r="G620" s="8">
        <v>0.39730658253837881</v>
      </c>
      <c r="H620" s="8">
        <v>30.958101042676642</v>
      </c>
      <c r="I620" s="8">
        <v>30.958099177637209</v>
      </c>
      <c r="J620" s="8">
        <v>6.9696422305624839E-2</v>
      </c>
      <c r="K620" s="8">
        <v>30.958084942744662</v>
      </c>
      <c r="L620" s="8">
        <v>30.958065211967668</v>
      </c>
      <c r="M620" s="8">
        <v>10</v>
      </c>
    </row>
    <row r="621" spans="1:13" x14ac:dyDescent="0.3">
      <c r="A621" s="8">
        <v>610</v>
      </c>
      <c r="B621" s="8">
        <v>0.61851263767947084</v>
      </c>
      <c r="C621" s="8">
        <v>7.3649585882407109E-5</v>
      </c>
      <c r="D621" s="8">
        <v>8398.0463741781441</v>
      </c>
      <c r="E621" s="8">
        <v>3.9586406479941161E-5</v>
      </c>
      <c r="F621" s="8">
        <v>15624.369390358217</v>
      </c>
      <c r="G621" s="8">
        <v>0.7456518264616222</v>
      </c>
      <c r="H621" s="8">
        <v>30.958100961179145</v>
      </c>
      <c r="I621" s="8">
        <v>30.958098773563304</v>
      </c>
      <c r="J621" s="8">
        <v>0.12713918878215139</v>
      </c>
      <c r="K621" s="8">
        <v>30.958061374772665</v>
      </c>
      <c r="L621" s="8">
        <v>30.958025123977421</v>
      </c>
      <c r="M621" s="8">
        <v>13</v>
      </c>
    </row>
    <row r="622" spans="1:13" x14ac:dyDescent="0.3">
      <c r="A622" s="8">
        <v>611</v>
      </c>
      <c r="B622" s="8">
        <v>0.48994981521156877</v>
      </c>
      <c r="C622" s="8">
        <v>3.6598718793356966E-5</v>
      </c>
      <c r="D622" s="8">
        <v>13387.075596222772</v>
      </c>
      <c r="E622" s="8">
        <v>1.9439268864829273E-5</v>
      </c>
      <c r="F622" s="8">
        <v>25204.127717890475</v>
      </c>
      <c r="G622" s="8">
        <v>0.59394405701984554</v>
      </c>
      <c r="H622" s="8">
        <v>30.95810149255286</v>
      </c>
      <c r="I622" s="8">
        <v>30.95810121892773</v>
      </c>
      <c r="J622" s="8">
        <v>0.10399424180827675</v>
      </c>
      <c r="K622" s="8">
        <v>30.958082053283995</v>
      </c>
      <c r="L622" s="8">
        <v>30.958064620208937</v>
      </c>
      <c r="M622" s="8">
        <v>12</v>
      </c>
    </row>
    <row r="623" spans="1:13" x14ac:dyDescent="0.3">
      <c r="A623" s="8">
        <v>612</v>
      </c>
      <c r="B623" s="8">
        <v>0.73649892505439296</v>
      </c>
      <c r="C623" s="8">
        <v>3.6209358661665192E-5</v>
      </c>
      <c r="D623" s="8">
        <v>20340.01573836555</v>
      </c>
      <c r="E623" s="8">
        <v>1.4767223049716449E-5</v>
      </c>
      <c r="F623" s="8">
        <v>49873.894541637244</v>
      </c>
      <c r="G623" s="8">
        <v>0.76066498405162641</v>
      </c>
      <c r="H623" s="8">
        <v>30.958101509974544</v>
      </c>
      <c r="I623" s="8">
        <v>30.958101288159902</v>
      </c>
      <c r="J623" s="8">
        <v>2.4166058997233418E-2</v>
      </c>
      <c r="K623" s="8">
        <v>30.958086742751494</v>
      </c>
      <c r="L623" s="8">
        <v>30.958065078801241</v>
      </c>
      <c r="M623" s="8">
        <v>14</v>
      </c>
    </row>
    <row r="624" spans="1:13" x14ac:dyDescent="0.3">
      <c r="A624" s="8">
        <v>613</v>
      </c>
      <c r="B624" s="8">
        <v>0.55982287600685066</v>
      </c>
      <c r="C624" s="8">
        <v>7.1369543682919812E-5</v>
      </c>
      <c r="D624" s="8">
        <v>7844.0024570428586</v>
      </c>
      <c r="E624" s="8">
        <v>4.2164868514049658E-5</v>
      </c>
      <c r="F624" s="8">
        <v>13276.998025508212</v>
      </c>
      <c r="G624" s="8">
        <v>0.64981567020425335</v>
      </c>
      <c r="H624" s="8">
        <v>30.958101474425114</v>
      </c>
      <c r="I624" s="8">
        <v>30.958101171139344</v>
      </c>
      <c r="J624" s="8">
        <v>8.9992794197402692E-2</v>
      </c>
      <c r="K624" s="8">
        <v>30.958059309556599</v>
      </c>
      <c r="L624" s="8">
        <v>30.958029801595661</v>
      </c>
      <c r="M624" s="8">
        <v>14</v>
      </c>
    </row>
    <row r="625" spans="1:13" x14ac:dyDescent="0.3">
      <c r="A625" s="8">
        <v>614</v>
      </c>
      <c r="B625" s="8">
        <v>0.2812085747981426</v>
      </c>
      <c r="C625" s="8">
        <v>1.5175033552594641E-4</v>
      </c>
      <c r="D625" s="8">
        <v>1853.1001847443117</v>
      </c>
      <c r="E625" s="8">
        <v>1.4106180674744451E-4</v>
      </c>
      <c r="F625" s="8">
        <v>1993.5132073107168</v>
      </c>
      <c r="G625" s="8">
        <v>0.6910111961125579</v>
      </c>
      <c r="H625" s="8">
        <v>30.958101512307017</v>
      </c>
      <c r="I625" s="8">
        <v>30.958100648200023</v>
      </c>
      <c r="J625" s="8">
        <v>0.40980262131441531</v>
      </c>
      <c r="K625" s="8">
        <v>30.95796045050027</v>
      </c>
      <c r="L625" s="8">
        <v>30.957948897864497</v>
      </c>
      <c r="M625" s="8">
        <v>14</v>
      </c>
    </row>
    <row r="626" spans="1:13" x14ac:dyDescent="0.3">
      <c r="A626" s="8">
        <v>615</v>
      </c>
      <c r="B626" s="8">
        <v>0.31829731475507234</v>
      </c>
      <c r="C626" s="8">
        <v>2.1727490068101929E-4</v>
      </c>
      <c r="D626" s="8">
        <v>1464.9520665176315</v>
      </c>
      <c r="E626" s="8">
        <v>2.0213574466154682E-4</v>
      </c>
      <c r="F626" s="8">
        <v>1574.6710968316106</v>
      </c>
      <c r="G626" s="8">
        <v>0.57086775572566428</v>
      </c>
      <c r="H626" s="8">
        <v>30.95809661887569</v>
      </c>
      <c r="I626" s="8">
        <v>30.958095031093738</v>
      </c>
      <c r="J626" s="8">
        <v>0.25257044097059195</v>
      </c>
      <c r="K626" s="8">
        <v>30.957894483131028</v>
      </c>
      <c r="L626" s="8">
        <v>30.957877756193056</v>
      </c>
      <c r="M626" s="8">
        <v>12</v>
      </c>
    </row>
    <row r="627" spans="1:13" x14ac:dyDescent="0.3">
      <c r="A627" s="8">
        <v>616</v>
      </c>
      <c r="B627" s="8">
        <v>0.19926098181520213</v>
      </c>
      <c r="C627" s="8">
        <v>3.3159481969136095E-5</v>
      </c>
      <c r="D627" s="8">
        <v>6009.1705292823508</v>
      </c>
      <c r="E627" s="8">
        <v>1.7121427234201292E-5</v>
      </c>
      <c r="F627" s="8">
        <v>11638.105812648835</v>
      </c>
      <c r="G627" s="8">
        <v>0.23860448922909278</v>
      </c>
      <c r="H627" s="8">
        <v>30.958099415760032</v>
      </c>
      <c r="I627" s="8">
        <v>30.958096752588062</v>
      </c>
      <c r="J627" s="8">
        <v>3.9343507413890658E-2</v>
      </c>
      <c r="K627" s="8">
        <v>30.958082294332797</v>
      </c>
      <c r="L627" s="8">
        <v>30.958063593106093</v>
      </c>
      <c r="M627" s="8">
        <v>14</v>
      </c>
    </row>
    <row r="628" spans="1:13" x14ac:dyDescent="0.3">
      <c r="A628" s="8">
        <v>617</v>
      </c>
      <c r="B628" s="8">
        <v>0.5457007277729724</v>
      </c>
      <c r="C628" s="8">
        <v>6.3032547362951163E-5</v>
      </c>
      <c r="D628" s="8">
        <v>8657.4436636797036</v>
      </c>
      <c r="E628" s="8">
        <v>3.8952866596275726E-5</v>
      </c>
      <c r="F628" s="8">
        <v>14009.257224348843</v>
      </c>
      <c r="G628" s="8">
        <v>0.64998274192578664</v>
      </c>
      <c r="H628" s="8">
        <v>30.958101551454209</v>
      </c>
      <c r="I628" s="8">
        <v>30.958100977793165</v>
      </c>
      <c r="J628" s="8">
        <v>0.10428201415281424</v>
      </c>
      <c r="K628" s="8">
        <v>30.958062598587613</v>
      </c>
      <c r="L628" s="8">
        <v>30.958037945245803</v>
      </c>
      <c r="M628" s="8">
        <v>9</v>
      </c>
    </row>
    <row r="629" spans="1:13" x14ac:dyDescent="0.3">
      <c r="A629" s="8">
        <v>618</v>
      </c>
      <c r="B629" s="8">
        <v>0.50115114545377903</v>
      </c>
      <c r="C629" s="8">
        <v>9.3112248002569231E-5</v>
      </c>
      <c r="D629" s="8">
        <v>5382.2258210321679</v>
      </c>
      <c r="E629" s="8">
        <v>8.1347081074767402E-5</v>
      </c>
      <c r="F629" s="8">
        <v>6160.6530785433224</v>
      </c>
      <c r="G629" s="8">
        <v>0.71422031994183588</v>
      </c>
      <c r="H629" s="8">
        <v>30.958089791011979</v>
      </c>
      <c r="I629" s="8">
        <v>30.958086463773345</v>
      </c>
      <c r="J629" s="8">
        <v>0.21306917448805687</v>
      </c>
      <c r="K629" s="8">
        <v>30.958008443930904</v>
      </c>
      <c r="L629" s="8">
        <v>30.957993351525342</v>
      </c>
      <c r="M629" s="8">
        <v>14</v>
      </c>
    </row>
    <row r="630" spans="1:13" x14ac:dyDescent="0.3">
      <c r="A630" s="8">
        <v>619</v>
      </c>
      <c r="B630" s="8">
        <v>0.44064455100804745</v>
      </c>
      <c r="C630" s="8">
        <v>2.3266084624040673E-4</v>
      </c>
      <c r="D630" s="8">
        <v>1893.9351340308147</v>
      </c>
      <c r="E630" s="8">
        <v>2.1617825477093788E-4</v>
      </c>
      <c r="F630" s="8">
        <v>2038.3389230103355</v>
      </c>
      <c r="G630" s="8">
        <v>0.95393270219962167</v>
      </c>
      <c r="H630" s="8">
        <v>30.958101028216667</v>
      </c>
      <c r="I630" s="8">
        <v>30.95810071005673</v>
      </c>
      <c r="J630" s="8">
        <v>0.51328815119157423</v>
      </c>
      <c r="K630" s="8">
        <v>30.957884849961896</v>
      </c>
      <c r="L630" s="8">
        <v>30.957868049210489</v>
      </c>
      <c r="M630" s="8">
        <v>10</v>
      </c>
    </row>
    <row r="631" spans="1:13" x14ac:dyDescent="0.3">
      <c r="A631" s="8">
        <v>620</v>
      </c>
      <c r="B631" s="8">
        <v>0.64213197721852655</v>
      </c>
      <c r="C631" s="8">
        <v>6.2189114007793478E-5</v>
      </c>
      <c r="D631" s="8">
        <v>10325.472350965721</v>
      </c>
      <c r="E631" s="8">
        <v>3.2506322554581857E-5</v>
      </c>
      <c r="F631" s="8">
        <v>19754.064032937378</v>
      </c>
      <c r="G631" s="8">
        <v>0.84535464416386086</v>
      </c>
      <c r="H631" s="8">
        <v>30.958099377101185</v>
      </c>
      <c r="I631" s="8">
        <v>30.958096268127566</v>
      </c>
      <c r="J631" s="8">
        <v>0.20322266694533428</v>
      </c>
      <c r="K631" s="8">
        <v>30.95806687077863</v>
      </c>
      <c r="L631" s="8">
        <v>30.958034079013558</v>
      </c>
      <c r="M631" s="8">
        <v>15</v>
      </c>
    </row>
    <row r="632" spans="1:13" x14ac:dyDescent="0.3">
      <c r="A632" s="8">
        <v>621</v>
      </c>
      <c r="B632" s="8">
        <v>0.28014780340791778</v>
      </c>
      <c r="C632" s="8">
        <v>1.1302730140272388E-4</v>
      </c>
      <c r="D632" s="8">
        <v>2478.5852615354615</v>
      </c>
      <c r="E632" s="8">
        <v>9.957908221025491E-5</v>
      </c>
      <c r="F632" s="8">
        <v>2813.3197975896533</v>
      </c>
      <c r="G632" s="8">
        <v>0.38486450426853741</v>
      </c>
      <c r="H632" s="8">
        <v>30.95809754812619</v>
      </c>
      <c r="I632" s="8">
        <v>30.958096797144613</v>
      </c>
      <c r="J632" s="8">
        <v>0.10471670086061963</v>
      </c>
      <c r="K632" s="8">
        <v>30.95799796904398</v>
      </c>
      <c r="L632" s="8">
        <v>30.95798376984321</v>
      </c>
      <c r="M632" s="8">
        <v>11</v>
      </c>
    </row>
    <row r="633" spans="1:13" x14ac:dyDescent="0.3">
      <c r="A633" s="8">
        <v>622</v>
      </c>
      <c r="B633" s="8">
        <v>0.34882799795112407</v>
      </c>
      <c r="C633" s="8">
        <v>3.3103945877854812E-5</v>
      </c>
      <c r="D633" s="8">
        <v>10537.354043479021</v>
      </c>
      <c r="E633" s="8">
        <v>1.4362323582872705E-5</v>
      </c>
      <c r="F633" s="8">
        <v>24287.713331226354</v>
      </c>
      <c r="G633" s="8">
        <v>0.37110667414368498</v>
      </c>
      <c r="H633" s="8">
        <v>30.958100677366541</v>
      </c>
      <c r="I633" s="8">
        <v>30.95809855062204</v>
      </c>
      <c r="J633" s="8">
        <v>2.2278676192560923E-2</v>
      </c>
      <c r="K633" s="8">
        <v>30.958086315042959</v>
      </c>
      <c r="L633" s="8">
        <v>30.958065446676162</v>
      </c>
      <c r="M633" s="8">
        <v>12</v>
      </c>
    </row>
    <row r="634" spans="1:13" x14ac:dyDescent="0.3">
      <c r="A634" s="8">
        <v>623</v>
      </c>
      <c r="B634" s="8">
        <v>0.5882737037729473</v>
      </c>
      <c r="C634" s="8">
        <v>5.79458304059699E-5</v>
      </c>
      <c r="D634" s="8">
        <v>10152.131734958104</v>
      </c>
      <c r="E634" s="8">
        <v>2.9298597855387243E-5</v>
      </c>
      <c r="F634" s="8">
        <v>20078.56166621227</v>
      </c>
      <c r="G634" s="8">
        <v>0.6402125607686211</v>
      </c>
      <c r="H634" s="8">
        <v>30.958101545917835</v>
      </c>
      <c r="I634" s="8">
        <v>30.958100768524346</v>
      </c>
      <c r="J634" s="8">
        <v>5.1938856995673854E-2</v>
      </c>
      <c r="K634" s="8">
        <v>30.958072247319979</v>
      </c>
      <c r="L634" s="8">
        <v>30.95804282269394</v>
      </c>
      <c r="M634" s="8">
        <v>13</v>
      </c>
    </row>
    <row r="635" spans="1:13" x14ac:dyDescent="0.3">
      <c r="A635" s="8">
        <v>624</v>
      </c>
      <c r="B635" s="8">
        <v>0.55260531957328385</v>
      </c>
      <c r="C635" s="8">
        <v>1.4281277297456541E-4</v>
      </c>
      <c r="D635" s="8">
        <v>3869.4390429048071</v>
      </c>
      <c r="E635" s="8">
        <v>1.2777666381325048E-4</v>
      </c>
      <c r="F635" s="8">
        <v>4324.7749869329309</v>
      </c>
      <c r="G635" s="8">
        <v>0.9174094112387654</v>
      </c>
      <c r="H635" s="8">
        <v>30.958097954464627</v>
      </c>
      <c r="I635" s="8">
        <v>30.958097477467046</v>
      </c>
      <c r="J635" s="8">
        <v>0.36480409166548161</v>
      </c>
      <c r="K635" s="8">
        <v>30.957970177800814</v>
      </c>
      <c r="L635" s="8">
        <v>30.957954664694071</v>
      </c>
      <c r="M635" s="8">
        <v>9</v>
      </c>
    </row>
    <row r="636" spans="1:13" x14ac:dyDescent="0.3">
      <c r="A636" s="8">
        <v>625</v>
      </c>
      <c r="B636" s="8">
        <v>0.35896003786566755</v>
      </c>
      <c r="C636" s="8">
        <v>3.9404552847344121E-5</v>
      </c>
      <c r="D636" s="8">
        <v>9109.6082033033799</v>
      </c>
      <c r="E636" s="8">
        <v>2.5198767723111359E-5</v>
      </c>
      <c r="F636" s="8">
        <v>14245.142532761352</v>
      </c>
      <c r="G636" s="8">
        <v>0.49329619715549866</v>
      </c>
      <c r="H636" s="8">
        <v>30.958099732640211</v>
      </c>
      <c r="I636" s="8">
        <v>30.958098640421451</v>
      </c>
      <c r="J636" s="8">
        <v>0.13433615928983114</v>
      </c>
      <c r="K636" s="8">
        <v>30.958074533872487</v>
      </c>
      <c r="L636" s="8">
        <v>30.958059235868603</v>
      </c>
      <c r="M636" s="8">
        <v>11</v>
      </c>
    </row>
    <row r="637" spans="1:13" x14ac:dyDescent="0.3">
      <c r="A637" s="8">
        <v>626</v>
      </c>
      <c r="B637" s="8">
        <v>0.65520089715679486</v>
      </c>
      <c r="C637" s="8">
        <v>4.0736128333662691E-5</v>
      </c>
      <c r="D637" s="8">
        <v>16084.024770104706</v>
      </c>
      <c r="E637" s="8">
        <v>2.5992345250358539E-5</v>
      </c>
      <c r="F637" s="8">
        <v>25207.455920036959</v>
      </c>
      <c r="G637" s="8">
        <v>0.76721304999649442</v>
      </c>
      <c r="H637" s="8">
        <v>30.958101079763466</v>
      </c>
      <c r="I637" s="8">
        <v>30.958100622762366</v>
      </c>
      <c r="J637" s="8">
        <v>0.11201215283969951</v>
      </c>
      <c r="K637" s="8">
        <v>30.958075087418216</v>
      </c>
      <c r="L637" s="8">
        <v>30.958059886634032</v>
      </c>
      <c r="M637" s="8">
        <v>12</v>
      </c>
    </row>
    <row r="638" spans="1:13" x14ac:dyDescent="0.3">
      <c r="A638" s="8">
        <v>627</v>
      </c>
      <c r="B638" s="8">
        <v>0.89290016800137373</v>
      </c>
      <c r="C638" s="8">
        <v>2.8961611473476978E-5</v>
      </c>
      <c r="D638" s="8">
        <v>30830.47256604112</v>
      </c>
      <c r="E638" s="8">
        <v>1.3021741576579871E-5</v>
      </c>
      <c r="F638" s="8">
        <v>68569.949937210462</v>
      </c>
      <c r="G638" s="8">
        <v>0.9531384697186398</v>
      </c>
      <c r="H638" s="8">
        <v>30.958101203469855</v>
      </c>
      <c r="I638" s="8">
        <v>30.958099644364435</v>
      </c>
      <c r="J638" s="8">
        <v>6.0238301717266039E-2</v>
      </c>
      <c r="K638" s="8">
        <v>30.958088181728279</v>
      </c>
      <c r="L638" s="8">
        <v>30.958070682752961</v>
      </c>
      <c r="M638" s="8">
        <v>11</v>
      </c>
    </row>
    <row r="639" spans="1:13" x14ac:dyDescent="0.3">
      <c r="A639" s="8">
        <v>628</v>
      </c>
      <c r="B639" s="8">
        <v>0.5964181865424647</v>
      </c>
      <c r="C639" s="8">
        <v>5.394340337261383E-5</v>
      </c>
      <c r="D639" s="8">
        <v>11056.369254692898</v>
      </c>
      <c r="E639" s="8">
        <v>3.2174913819460471E-5</v>
      </c>
      <c r="F639" s="8">
        <v>18536.745424994144</v>
      </c>
      <c r="G639" s="8">
        <v>0.79552293783615236</v>
      </c>
      <c r="H639" s="8">
        <v>30.958101395170274</v>
      </c>
      <c r="I639" s="8">
        <v>30.958100553801053</v>
      </c>
      <c r="J639" s="8">
        <v>0.1991047512936876</v>
      </c>
      <c r="K639" s="8">
        <v>30.958069220256455</v>
      </c>
      <c r="L639" s="8">
        <v>30.95804661039768</v>
      </c>
      <c r="M639" s="8">
        <v>13</v>
      </c>
    </row>
    <row r="640" spans="1:13" x14ac:dyDescent="0.3">
      <c r="A640" s="8">
        <v>629</v>
      </c>
      <c r="B640" s="8">
        <v>0.59278101293440888</v>
      </c>
      <c r="C640" s="8">
        <v>4.4691758684933802E-5</v>
      </c>
      <c r="D640" s="8">
        <v>13263.765633242878</v>
      </c>
      <c r="E640" s="8">
        <v>2.0336008606847145E-5</v>
      </c>
      <c r="F640" s="8">
        <v>29149.329369127983</v>
      </c>
      <c r="G640" s="8">
        <v>0.63369723465757377</v>
      </c>
      <c r="H640" s="8">
        <v>30.958100444048746</v>
      </c>
      <c r="I640" s="8">
        <v>30.958099021616636</v>
      </c>
      <c r="J640" s="8">
        <v>4.0916221723164947E-2</v>
      </c>
      <c r="K640" s="8">
        <v>30.958080108040139</v>
      </c>
      <c r="L640" s="8">
        <v>30.958054329857951</v>
      </c>
      <c r="M640" s="8">
        <v>11</v>
      </c>
    </row>
    <row r="641" spans="1:13" x14ac:dyDescent="0.3">
      <c r="A641" s="8">
        <v>630</v>
      </c>
      <c r="B641" s="8">
        <v>0.71818335951131052</v>
      </c>
      <c r="C641" s="8">
        <v>8.012209614705057E-5</v>
      </c>
      <c r="D641" s="8">
        <v>8963.6117132183645</v>
      </c>
      <c r="E641" s="8">
        <v>4.6055552033408276E-5</v>
      </c>
      <c r="F641" s="8">
        <v>15593.849770606308</v>
      </c>
      <c r="G641" s="8">
        <v>0.89059617558038173</v>
      </c>
      <c r="H641" s="8">
        <v>30.958100869694629</v>
      </c>
      <c r="I641" s="8">
        <v>30.958097264736537</v>
      </c>
      <c r="J641" s="8">
        <v>0.17241281606907122</v>
      </c>
      <c r="K641" s="8">
        <v>30.958054814142596</v>
      </c>
      <c r="L641" s="8">
        <v>30.95801714264039</v>
      </c>
      <c r="M641" s="8">
        <v>12</v>
      </c>
    </row>
    <row r="642" spans="1:13" x14ac:dyDescent="0.3">
      <c r="A642" s="8">
        <v>631</v>
      </c>
      <c r="B642" s="8">
        <v>0.43102715038117573</v>
      </c>
      <c r="C642" s="8">
        <v>1.1431612456291873E-4</v>
      </c>
      <c r="D642" s="8">
        <v>3770.4842779545211</v>
      </c>
      <c r="E642" s="8">
        <v>9.6021229079923387E-5</v>
      </c>
      <c r="F642" s="8">
        <v>4488.8734971556105</v>
      </c>
      <c r="G642" s="8">
        <v>0.61682093614192868</v>
      </c>
      <c r="H642" s="8">
        <v>30.958101242269009</v>
      </c>
      <c r="I642" s="8">
        <v>30.958100958451453</v>
      </c>
      <c r="J642" s="8">
        <v>0.18579378576075295</v>
      </c>
      <c r="K642" s="8">
        <v>30.958005221039929</v>
      </c>
      <c r="L642" s="8">
        <v>30.95798664232689</v>
      </c>
      <c r="M642" s="8">
        <v>15</v>
      </c>
    </row>
    <row r="643" spans="1:13" x14ac:dyDescent="0.3">
      <c r="A643" s="8">
        <v>632</v>
      </c>
      <c r="B643" s="8">
        <v>0.58665786963418176</v>
      </c>
      <c r="C643" s="8">
        <v>6.1397789842487782E-5</v>
      </c>
      <c r="D643" s="8">
        <v>9555.0323739537871</v>
      </c>
      <c r="E643" s="8">
        <v>3.9775783278628296E-5</v>
      </c>
      <c r="F643" s="8">
        <v>14749.121733811226</v>
      </c>
      <c r="G643" s="8">
        <v>0.70990762825040155</v>
      </c>
      <c r="H643" s="8">
        <v>30.958101232073069</v>
      </c>
      <c r="I643" s="8">
        <v>30.958100894822724</v>
      </c>
      <c r="J643" s="8">
        <v>0.12324975861621977</v>
      </c>
      <c r="K643" s="8">
        <v>30.958061456289791</v>
      </c>
      <c r="L643" s="8">
        <v>30.958039497032882</v>
      </c>
      <c r="M643" s="8">
        <v>15</v>
      </c>
    </row>
    <row r="644" spans="1:13" x14ac:dyDescent="0.3">
      <c r="A644" s="8">
        <v>633</v>
      </c>
      <c r="B644" s="8">
        <v>0.50901701204984706</v>
      </c>
      <c r="C644" s="8">
        <v>2.3335218775599742E-4</v>
      </c>
      <c r="D644" s="8">
        <v>2181.3252189522905</v>
      </c>
      <c r="E644" s="8">
        <v>2.136172246665069E-4</v>
      </c>
      <c r="F644" s="8">
        <v>2382.8462936193928</v>
      </c>
      <c r="G644" s="8">
        <v>0.77486596961775245</v>
      </c>
      <c r="H644" s="8">
        <v>30.958100521001668</v>
      </c>
      <c r="I644" s="8">
        <v>30.958097604878564</v>
      </c>
      <c r="J644" s="8">
        <v>0.26584895756790539</v>
      </c>
      <c r="K644" s="8">
        <v>30.957886903777002</v>
      </c>
      <c r="L644" s="8">
        <v>30.957864252690808</v>
      </c>
      <c r="M644" s="8">
        <v>10</v>
      </c>
    </row>
    <row r="645" spans="1:13" x14ac:dyDescent="0.3">
      <c r="A645" s="8">
        <v>634</v>
      </c>
      <c r="B645" s="8">
        <v>0.63873225205205342</v>
      </c>
      <c r="C645" s="8">
        <v>4.6924485086918821E-5</v>
      </c>
      <c r="D645" s="8">
        <v>13611.918188743501</v>
      </c>
      <c r="E645" s="8">
        <v>2.6412262116082275E-5</v>
      </c>
      <c r="F645" s="8">
        <v>24183.171030365211</v>
      </c>
      <c r="G645" s="8">
        <v>0.76773938412899412</v>
      </c>
      <c r="H645" s="8">
        <v>30.958100648766511</v>
      </c>
      <c r="I645" s="8">
        <v>30.958098433804285</v>
      </c>
      <c r="J645" s="8">
        <v>0.12900713207694067</v>
      </c>
      <c r="K645" s="8">
        <v>30.958074236504395</v>
      </c>
      <c r="L645" s="8">
        <v>30.958051509319198</v>
      </c>
      <c r="M645" s="8">
        <v>14</v>
      </c>
    </row>
    <row r="646" spans="1:13" x14ac:dyDescent="0.3">
      <c r="A646" s="8">
        <v>635</v>
      </c>
      <c r="B646" s="8">
        <v>0.42620256185389843</v>
      </c>
      <c r="C646" s="8">
        <v>2.0997346286577567E-5</v>
      </c>
      <c r="D646" s="8">
        <v>20297.925082387479</v>
      </c>
      <c r="E646" s="8">
        <v>9.6524042838552759E-6</v>
      </c>
      <c r="F646" s="8">
        <v>44155.067413283738</v>
      </c>
      <c r="G646" s="8">
        <v>0.44987599547277091</v>
      </c>
      <c r="H646" s="8">
        <v>30.958101398756646</v>
      </c>
      <c r="I646" s="8">
        <v>30.958101209503283</v>
      </c>
      <c r="J646" s="8">
        <v>2.3673433618872492E-2</v>
      </c>
      <c r="K646" s="8">
        <v>30.958091746352363</v>
      </c>
      <c r="L646" s="8">
        <v>30.958080212156997</v>
      </c>
      <c r="M646" s="8">
        <v>15</v>
      </c>
    </row>
    <row r="647" spans="1:13" x14ac:dyDescent="0.3">
      <c r="A647" s="8">
        <v>636</v>
      </c>
      <c r="B647" s="8">
        <v>0.49894474917712095</v>
      </c>
      <c r="C647" s="8">
        <v>1.0792394298064778E-4</v>
      </c>
      <c r="D647" s="8">
        <v>4623.1145323015899</v>
      </c>
      <c r="E647" s="8">
        <v>8.3332095321964061E-5</v>
      </c>
      <c r="F647" s="8">
        <v>5987.4259401420904</v>
      </c>
      <c r="G647" s="8">
        <v>0.70979818000088446</v>
      </c>
      <c r="H647" s="8">
        <v>30.958101537804964</v>
      </c>
      <c r="I647" s="8">
        <v>30.958101132729443</v>
      </c>
      <c r="J647" s="8">
        <v>0.21085343082376348</v>
      </c>
      <c r="K647" s="8">
        <v>30.958018205709642</v>
      </c>
      <c r="L647" s="8">
        <v>30.957993208786462</v>
      </c>
      <c r="M647" s="8">
        <v>13</v>
      </c>
    </row>
    <row r="648" spans="1:13" x14ac:dyDescent="0.3">
      <c r="A648" s="8">
        <v>637</v>
      </c>
      <c r="B648" s="8">
        <v>0.25803698695388499</v>
      </c>
      <c r="C648" s="8">
        <v>9.6388838457528436E-5</v>
      </c>
      <c r="D648" s="8">
        <v>2677.0421874891995</v>
      </c>
      <c r="E648" s="8">
        <v>7.5771341705888062E-5</v>
      </c>
      <c r="F648" s="8">
        <v>3405.4694181802165</v>
      </c>
      <c r="G648" s="8">
        <v>0.49915228185600274</v>
      </c>
      <c r="H648" s="8">
        <v>30.958100480375567</v>
      </c>
      <c r="I648" s="8">
        <v>30.958099960386832</v>
      </c>
      <c r="J648" s="8">
        <v>0.24111529490211778</v>
      </c>
      <c r="K648" s="8">
        <v>30.958024709033861</v>
      </c>
      <c r="L648" s="8">
        <v>30.958003571548375</v>
      </c>
      <c r="M648" s="8">
        <v>9</v>
      </c>
    </row>
    <row r="649" spans="1:13" x14ac:dyDescent="0.3">
      <c r="A649" s="8">
        <v>638</v>
      </c>
      <c r="B649" s="8">
        <v>0.66385709737852194</v>
      </c>
      <c r="C649" s="8">
        <v>1.7155944340530027E-4</v>
      </c>
      <c r="D649" s="8">
        <v>3869.5456466957289</v>
      </c>
      <c r="E649" s="8">
        <v>1.5331022503062286E-4</v>
      </c>
      <c r="F649" s="8">
        <v>4330.1553907831012</v>
      </c>
      <c r="G649" s="8">
        <v>0.82498590388350934</v>
      </c>
      <c r="H649" s="8">
        <v>30.958100378212702</v>
      </c>
      <c r="I649" s="8">
        <v>30.958100018254672</v>
      </c>
      <c r="J649" s="8">
        <v>0.16112880650498737</v>
      </c>
      <c r="K649" s="8">
        <v>30.957947067987671</v>
      </c>
      <c r="L649" s="8">
        <v>30.957928458811267</v>
      </c>
      <c r="M649" s="8">
        <v>14</v>
      </c>
    </row>
    <row r="650" spans="1:13" x14ac:dyDescent="0.3">
      <c r="A650" s="8">
        <v>639</v>
      </c>
      <c r="B650" s="8">
        <v>0.42009113045253832</v>
      </c>
      <c r="C650" s="8">
        <v>4.3136348804040381E-5</v>
      </c>
      <c r="D650" s="8">
        <v>9738.6807669078917</v>
      </c>
      <c r="E650" s="8">
        <v>1.8531440101554608E-5</v>
      </c>
      <c r="F650" s="8">
        <v>22669.10332658371</v>
      </c>
      <c r="G650" s="8">
        <v>0.45755555772960044</v>
      </c>
      <c r="H650" s="8">
        <v>30.958097923951911</v>
      </c>
      <c r="I650" s="8">
        <v>30.958091134294445</v>
      </c>
      <c r="J650" s="8">
        <v>3.7464427277062139E-2</v>
      </c>
      <c r="K650" s="8">
        <v>30.958079392511809</v>
      </c>
      <c r="L650" s="8">
        <v>30.958047997945641</v>
      </c>
      <c r="M650" s="8">
        <v>11</v>
      </c>
    </row>
    <row r="651" spans="1:13" x14ac:dyDescent="0.3">
      <c r="A651" s="8">
        <v>640</v>
      </c>
      <c r="B651" s="8">
        <v>0.79629205964669514</v>
      </c>
      <c r="C651" s="8">
        <v>5.8932037052983333E-5</v>
      </c>
      <c r="D651" s="8">
        <v>13512.040300435945</v>
      </c>
      <c r="E651" s="8">
        <v>2.314277012516186E-5</v>
      </c>
      <c r="F651" s="8">
        <v>34407.810963862561</v>
      </c>
      <c r="G651" s="8">
        <v>1.0240868438497204</v>
      </c>
      <c r="H651" s="8">
        <v>30.958101521530004</v>
      </c>
      <c r="I651" s="8">
        <v>30.958101111377584</v>
      </c>
      <c r="J651" s="8">
        <v>0.22779478420302526</v>
      </c>
      <c r="K651" s="8">
        <v>30.958078378759879</v>
      </c>
      <c r="L651" s="8">
        <v>30.958042179340531</v>
      </c>
      <c r="M651" s="8">
        <v>11</v>
      </c>
    </row>
    <row r="652" spans="1:13" x14ac:dyDescent="0.3">
      <c r="A652" s="8">
        <v>641</v>
      </c>
      <c r="B652" s="8">
        <v>0.55090346719896022</v>
      </c>
      <c r="C652" s="8">
        <v>2.3551452464687372E-5</v>
      </c>
      <c r="D652" s="8">
        <v>23391.485855276867</v>
      </c>
      <c r="E652" s="8">
        <v>4.058511404281262E-6</v>
      </c>
      <c r="F652" s="8">
        <v>135740.27822561259</v>
      </c>
      <c r="G652" s="8">
        <v>0.58498331555800043</v>
      </c>
      <c r="H652" s="8">
        <v>30.958100813087302</v>
      </c>
      <c r="I652" s="8">
        <v>30.958096070512891</v>
      </c>
      <c r="J652" s="8">
        <v>3.4079848359040189E-2</v>
      </c>
      <c r="K652" s="8">
        <v>30.958096754575898</v>
      </c>
      <c r="L652" s="8">
        <v>30.958072519060426</v>
      </c>
      <c r="M652" s="8">
        <v>9</v>
      </c>
    </row>
    <row r="653" spans="1:13" x14ac:dyDescent="0.3">
      <c r="A653" s="8">
        <v>642</v>
      </c>
      <c r="B653" s="8">
        <v>0.52493079922538022</v>
      </c>
      <c r="C653" s="8">
        <v>3.4141460293568571E-5</v>
      </c>
      <c r="D653" s="8">
        <v>15375.171264255048</v>
      </c>
      <c r="E653" s="8">
        <v>1.1110570451222657E-5</v>
      </c>
      <c r="F653" s="8">
        <v>47246.070895272031</v>
      </c>
      <c r="G653" s="8">
        <v>0.57041289550221541</v>
      </c>
      <c r="H653" s="8">
        <v>30.958101540578728</v>
      </c>
      <c r="I653" s="8">
        <v>30.958100427049981</v>
      </c>
      <c r="J653" s="8">
        <v>4.5482096276835193E-2</v>
      </c>
      <c r="K653" s="8">
        <v>30.958090430008276</v>
      </c>
      <c r="L653" s="8">
        <v>30.958066285589688</v>
      </c>
      <c r="M653" s="8">
        <v>13</v>
      </c>
    </row>
    <row r="654" spans="1:13" x14ac:dyDescent="0.3">
      <c r="A654" s="8">
        <v>643</v>
      </c>
      <c r="B654" s="8">
        <v>0.41190967181338423</v>
      </c>
      <c r="C654" s="8">
        <v>7.0258713463999811E-5</v>
      </c>
      <c r="D654" s="8">
        <v>5862.7556854488166</v>
      </c>
      <c r="E654" s="8">
        <v>6.3306310472910354E-5</v>
      </c>
      <c r="F654" s="8">
        <v>6506.6131438768034</v>
      </c>
      <c r="G654" s="8">
        <v>0.59471190835649557</v>
      </c>
      <c r="H654" s="8">
        <v>30.958101458280861</v>
      </c>
      <c r="I654" s="8">
        <v>30.958101093138279</v>
      </c>
      <c r="J654" s="8">
        <v>0.18280223654311134</v>
      </c>
      <c r="K654" s="8">
        <v>30.958038151970388</v>
      </c>
      <c r="L654" s="8">
        <v>30.958030834424815</v>
      </c>
      <c r="M654" s="8">
        <v>11</v>
      </c>
    </row>
    <row r="655" spans="1:13" x14ac:dyDescent="0.3">
      <c r="A655" s="8">
        <v>644</v>
      </c>
      <c r="B655" s="8">
        <v>0.59981971797362099</v>
      </c>
      <c r="C655" s="8">
        <v>8.4579148886376743E-5</v>
      </c>
      <c r="D655" s="8">
        <v>7091.8154872829964</v>
      </c>
      <c r="E655" s="8">
        <v>5.1329444978875927E-5</v>
      </c>
      <c r="F655" s="8">
        <v>11685.684858281056</v>
      </c>
      <c r="G655" s="8">
        <v>0.74956043245728721</v>
      </c>
      <c r="H655" s="8">
        <v>30.958101361543012</v>
      </c>
      <c r="I655" s="8">
        <v>30.958100639644101</v>
      </c>
      <c r="J655" s="8">
        <v>0.14974071448366619</v>
      </c>
      <c r="K655" s="8">
        <v>30.958050032098033</v>
      </c>
      <c r="L655" s="8">
        <v>30.958016060495215</v>
      </c>
      <c r="M655" s="8">
        <v>13</v>
      </c>
    </row>
    <row r="656" spans="1:13" x14ac:dyDescent="0.3">
      <c r="A656" s="8">
        <v>645</v>
      </c>
      <c r="B656" s="8">
        <v>0.61704767500313007</v>
      </c>
      <c r="C656" s="8">
        <v>3.5683613639037048E-5</v>
      </c>
      <c r="D656" s="8">
        <v>17292.1857423121</v>
      </c>
      <c r="E656" s="8">
        <v>1.6735008877333257E-5</v>
      </c>
      <c r="F656" s="8">
        <v>36871.667026056413</v>
      </c>
      <c r="G656" s="8">
        <v>0.65846293654377075</v>
      </c>
      <c r="H656" s="8">
        <v>30.958101510975322</v>
      </c>
      <c r="I656" s="8">
        <v>30.958100113569767</v>
      </c>
      <c r="J656" s="8">
        <v>4.141526154064068E-2</v>
      </c>
      <c r="K656" s="8">
        <v>30.958084775966444</v>
      </c>
      <c r="L656" s="8">
        <v>30.958064429956128</v>
      </c>
      <c r="M656" s="8">
        <v>14</v>
      </c>
    </row>
    <row r="657" spans="1:13" x14ac:dyDescent="0.3">
      <c r="A657" s="8">
        <v>646</v>
      </c>
      <c r="B657" s="8">
        <v>0.27834670673212936</v>
      </c>
      <c r="C657" s="8">
        <v>1.6737755065676652E-4</v>
      </c>
      <c r="D657" s="8">
        <v>1662.987094983378</v>
      </c>
      <c r="E657" s="8">
        <v>1.575054346076854E-4</v>
      </c>
      <c r="F657" s="8">
        <v>1767.2196989610895</v>
      </c>
      <c r="G657" s="8">
        <v>0.83299604380984826</v>
      </c>
      <c r="H657" s="8">
        <v>30.958101478178765</v>
      </c>
      <c r="I657" s="8">
        <v>30.958100805995894</v>
      </c>
      <c r="J657" s="8">
        <v>0.55464933707771891</v>
      </c>
      <c r="K657" s="8">
        <v>30.957943972744157</v>
      </c>
      <c r="L657" s="8">
        <v>30.957933428445237</v>
      </c>
      <c r="M657" s="8">
        <v>12</v>
      </c>
    </row>
    <row r="658" spans="1:13" x14ac:dyDescent="0.3">
      <c r="A658" s="8">
        <v>647</v>
      </c>
      <c r="B658" s="8">
        <v>0.38308604595579865</v>
      </c>
      <c r="C658" s="8">
        <v>6.3630163399608364E-5</v>
      </c>
      <c r="D658" s="8">
        <v>6020.5101714096254</v>
      </c>
      <c r="E658" s="8">
        <v>2.7060964512770624E-5</v>
      </c>
      <c r="F658" s="8">
        <v>14156.407683658595</v>
      </c>
      <c r="G658" s="8">
        <v>0.48401430562857117</v>
      </c>
      <c r="H658" s="8">
        <v>30.958101521037214</v>
      </c>
      <c r="I658" s="8">
        <v>30.958099523746558</v>
      </c>
      <c r="J658" s="8">
        <v>0.10092825967277252</v>
      </c>
      <c r="K658" s="8">
        <v>30.958074460072702</v>
      </c>
      <c r="L658" s="8">
        <v>30.958035893583158</v>
      </c>
      <c r="M658" s="8">
        <v>11</v>
      </c>
    </row>
    <row r="659" spans="1:13" x14ac:dyDescent="0.3">
      <c r="A659" s="8">
        <v>648</v>
      </c>
      <c r="B659" s="8">
        <v>0.55029662925112277</v>
      </c>
      <c r="C659" s="8">
        <v>4.4956821380282008E-5</v>
      </c>
      <c r="D659" s="8">
        <v>12240.559104396158</v>
      </c>
      <c r="E659" s="8">
        <v>1.9550957421898829E-5</v>
      </c>
      <c r="F659" s="8">
        <v>28146.786746859831</v>
      </c>
      <c r="G659" s="8">
        <v>0.61447770868386664</v>
      </c>
      <c r="H659" s="8">
        <v>30.9581015454077</v>
      </c>
      <c r="I659" s="8">
        <v>30.958100485156269</v>
      </c>
      <c r="J659" s="8">
        <v>6.4181079432743843E-2</v>
      </c>
      <c r="K659" s="8">
        <v>30.958081994450279</v>
      </c>
      <c r="L659" s="8">
        <v>30.958055528334889</v>
      </c>
      <c r="M659" s="8">
        <v>14</v>
      </c>
    </row>
    <row r="660" spans="1:13" x14ac:dyDescent="0.3">
      <c r="A660" s="8">
        <v>649</v>
      </c>
      <c r="B660" s="8">
        <v>0.65762614096679495</v>
      </c>
      <c r="C660" s="8">
        <v>3.5204011716416517E-5</v>
      </c>
      <c r="D660" s="8">
        <v>18680.431828743182</v>
      </c>
      <c r="E660" s="8">
        <v>2.0452756491096125E-5</v>
      </c>
      <c r="F660" s="8">
        <v>32153.423488569133</v>
      </c>
      <c r="G660" s="8">
        <v>0.71816375914277852</v>
      </c>
      <c r="H660" s="8">
        <v>30.958101327877817</v>
      </c>
      <c r="I660" s="8">
        <v>30.958101014348426</v>
      </c>
      <c r="J660" s="8">
        <v>6.0537618175983618E-2</v>
      </c>
      <c r="K660" s="8">
        <v>30.958080875121325</v>
      </c>
      <c r="L660" s="8">
        <v>30.958065810336709</v>
      </c>
      <c r="M660" s="8">
        <v>14</v>
      </c>
    </row>
    <row r="661" spans="1:13" x14ac:dyDescent="0.3">
      <c r="A661" s="8">
        <v>650</v>
      </c>
      <c r="B661" s="8">
        <v>0.31257163064654492</v>
      </c>
      <c r="C661" s="8">
        <v>1.6999147500129652E-4</v>
      </c>
      <c r="D661" s="8">
        <v>1838.7488586951843</v>
      </c>
      <c r="E661" s="8">
        <v>1.6510270274849859E-4</v>
      </c>
      <c r="F661" s="8">
        <v>1893.1951169974859</v>
      </c>
      <c r="G661" s="8">
        <v>0.5424836824137772</v>
      </c>
      <c r="H661" s="8">
        <v>30.958099195185497</v>
      </c>
      <c r="I661" s="8">
        <v>30.958098203830669</v>
      </c>
      <c r="J661" s="8">
        <v>0.22991205176723228</v>
      </c>
      <c r="K661" s="8">
        <v>30.957934092482748</v>
      </c>
      <c r="L661" s="8">
        <v>30.957928212355668</v>
      </c>
      <c r="M661" s="8">
        <v>15</v>
      </c>
    </row>
    <row r="662" spans="1:13" x14ac:dyDescent="0.3">
      <c r="A662" s="8">
        <v>651</v>
      </c>
      <c r="B662" s="8">
        <v>0.57529620456861641</v>
      </c>
      <c r="C662" s="8">
        <v>3.9452381969340422E-5</v>
      </c>
      <c r="D662" s="8">
        <v>14582.039812341258</v>
      </c>
      <c r="E662" s="8">
        <v>1.4132439350333925E-5</v>
      </c>
      <c r="F662" s="8">
        <v>40707.495026682933</v>
      </c>
      <c r="G662" s="8">
        <v>0.60219103405542129</v>
      </c>
      <c r="H662" s="8">
        <v>30.958098408032928</v>
      </c>
      <c r="I662" s="8">
        <v>30.958091811980154</v>
      </c>
      <c r="J662" s="8">
        <v>2.689482948680489E-2</v>
      </c>
      <c r="K662" s="8">
        <v>30.958084275593578</v>
      </c>
      <c r="L662" s="8">
        <v>30.958052359598184</v>
      </c>
      <c r="M662" s="8">
        <v>9</v>
      </c>
    </row>
    <row r="663" spans="1:13" x14ac:dyDescent="0.3">
      <c r="A663" s="8">
        <v>652</v>
      </c>
      <c r="B663" s="8">
        <v>0.34048954057635922</v>
      </c>
      <c r="C663" s="8">
        <v>2.1669825681414068E-5</v>
      </c>
      <c r="D663" s="8">
        <v>15712.610963381803</v>
      </c>
      <c r="E663" s="8">
        <v>6.5914327080918156E-6</v>
      </c>
      <c r="F663" s="8">
        <v>51656.378158630876</v>
      </c>
      <c r="G663" s="8">
        <v>0.3592427784189709</v>
      </c>
      <c r="H663" s="8">
        <v>30.958101511549657</v>
      </c>
      <c r="I663" s="8">
        <v>30.958100439579951</v>
      </c>
      <c r="J663" s="8">
        <v>1.8753237842611688E-2</v>
      </c>
      <c r="K663" s="8">
        <v>30.958094920116949</v>
      </c>
      <c r="L663" s="8">
        <v>30.95807876975427</v>
      </c>
      <c r="M663" s="8">
        <v>15</v>
      </c>
    </row>
    <row r="664" spans="1:13" x14ac:dyDescent="0.3">
      <c r="A664" s="8">
        <v>653</v>
      </c>
      <c r="B664" s="8">
        <v>0.52362994221428982</v>
      </c>
      <c r="C664" s="8">
        <v>2.7275557797779015E-4</v>
      </c>
      <c r="D664" s="8">
        <v>1919.777208944661</v>
      </c>
      <c r="E664" s="8">
        <v>2.6523976857717457E-4</v>
      </c>
      <c r="F664" s="8">
        <v>1974.1758372931683</v>
      </c>
      <c r="G664" s="8">
        <v>0.97459520866113125</v>
      </c>
      <c r="H664" s="8">
        <v>30.958083212698124</v>
      </c>
      <c r="I664" s="8">
        <v>30.958081829713421</v>
      </c>
      <c r="J664" s="8">
        <v>0.45096526644684143</v>
      </c>
      <c r="K664" s="8">
        <v>30.957817972929547</v>
      </c>
      <c r="L664" s="8">
        <v>30.957809074135444</v>
      </c>
      <c r="M664" s="8">
        <v>15</v>
      </c>
    </row>
    <row r="665" spans="1:13" x14ac:dyDescent="0.3">
      <c r="A665" s="8">
        <v>654</v>
      </c>
      <c r="B665" s="8">
        <v>0.26460115047399846</v>
      </c>
      <c r="C665" s="8">
        <v>1.3994575571274481E-5</v>
      </c>
      <c r="D665" s="8">
        <v>18907.408025801338</v>
      </c>
      <c r="E665" s="8">
        <v>6.4595430195879544E-6</v>
      </c>
      <c r="F665" s="8">
        <v>40962.828124469554</v>
      </c>
      <c r="G665" s="8">
        <v>0.28137823275594198</v>
      </c>
      <c r="H665" s="8">
        <v>30.958100370945807</v>
      </c>
      <c r="I665" s="8">
        <v>30.958098483219437</v>
      </c>
      <c r="J665" s="8">
        <v>1.6777082281943544E-2</v>
      </c>
      <c r="K665" s="8">
        <v>30.958093911402788</v>
      </c>
      <c r="L665" s="8">
        <v>30.958084488643866</v>
      </c>
      <c r="M665" s="8">
        <v>14</v>
      </c>
    </row>
    <row r="666" spans="1:13" x14ac:dyDescent="0.3">
      <c r="A666" s="8">
        <v>655</v>
      </c>
      <c r="B666" s="8">
        <v>0.37401783674017841</v>
      </c>
      <c r="C666" s="8">
        <v>9.9227898591180974E-5</v>
      </c>
      <c r="D666" s="8">
        <v>3769.2810394094126</v>
      </c>
      <c r="E666" s="8">
        <v>9.2426687480440251E-5</v>
      </c>
      <c r="F666" s="8">
        <v>4046.6433119690646</v>
      </c>
      <c r="G666" s="8">
        <v>0.59040012341994852</v>
      </c>
      <c r="H666" s="8">
        <v>30.958101436947448</v>
      </c>
      <c r="I666" s="8">
        <v>30.958100196299672</v>
      </c>
      <c r="J666" s="8">
        <v>0.21638228667977011</v>
      </c>
      <c r="K666" s="8">
        <v>30.958009010259968</v>
      </c>
      <c r="L666" s="8">
        <v>30.95800096840108</v>
      </c>
      <c r="M666" s="8">
        <v>9</v>
      </c>
    </row>
    <row r="667" spans="1:13" x14ac:dyDescent="0.3">
      <c r="A667" s="8">
        <v>656</v>
      </c>
      <c r="B667" s="8">
        <v>0.93196068564645806</v>
      </c>
      <c r="C667" s="8">
        <v>6.4021992578489062E-5</v>
      </c>
      <c r="D667" s="8">
        <v>14556.883472564556</v>
      </c>
      <c r="E667" s="8">
        <v>3.4191425157814592E-5</v>
      </c>
      <c r="F667" s="8">
        <v>27257.14653147339</v>
      </c>
      <c r="G667" s="8">
        <v>1.0207217501582289</v>
      </c>
      <c r="H667" s="8">
        <v>30.958099921659439</v>
      </c>
      <c r="I667" s="8">
        <v>30.95809721817654</v>
      </c>
      <c r="J667" s="8">
        <v>8.8761064511770765E-2</v>
      </c>
      <c r="K667" s="8">
        <v>30.958065730234281</v>
      </c>
      <c r="L667" s="8">
        <v>30.958033196183962</v>
      </c>
      <c r="M667" s="8">
        <v>13</v>
      </c>
    </row>
    <row r="668" spans="1:13" x14ac:dyDescent="0.3">
      <c r="A668" s="8">
        <v>657</v>
      </c>
      <c r="B668" s="8">
        <v>0.47989112979910831</v>
      </c>
      <c r="C668" s="8">
        <v>7.0407476140843528E-5</v>
      </c>
      <c r="D668" s="8">
        <v>6815.911549494137</v>
      </c>
      <c r="E668" s="8">
        <v>3.4713306192202253E-5</v>
      </c>
      <c r="F668" s="8">
        <v>13824.414394354277</v>
      </c>
      <c r="G668" s="8">
        <v>0.61660185831062675</v>
      </c>
      <c r="H668" s="8">
        <v>30.958101272710358</v>
      </c>
      <c r="I668" s="8">
        <v>30.95810049999459</v>
      </c>
      <c r="J668" s="8">
        <v>0.13671072851151841</v>
      </c>
      <c r="K668" s="8">
        <v>30.958066559404166</v>
      </c>
      <c r="L668" s="8">
        <v>30.958030092518449</v>
      </c>
      <c r="M668" s="8">
        <v>15</v>
      </c>
    </row>
    <row r="669" spans="1:13" x14ac:dyDescent="0.3">
      <c r="A669" s="8">
        <v>658</v>
      </c>
      <c r="B669" s="8">
        <v>0.34655523420266227</v>
      </c>
      <c r="C669" s="8">
        <v>5.6745966794835567E-5</v>
      </c>
      <c r="D669" s="8">
        <v>6107.1341943230782</v>
      </c>
      <c r="E669" s="8">
        <v>4.646795634144496E-5</v>
      </c>
      <c r="F669" s="8">
        <v>7457.9400836177565</v>
      </c>
      <c r="G669" s="8">
        <v>0.4579583409460371</v>
      </c>
      <c r="H669" s="8">
        <v>30.958100073310828</v>
      </c>
      <c r="I669" s="8">
        <v>30.958098898622985</v>
      </c>
      <c r="J669" s="8">
        <v>0.11140310674337482</v>
      </c>
      <c r="K669" s="8">
        <v>30.958053605354486</v>
      </c>
      <c r="L669" s="8">
        <v>30.958042152656191</v>
      </c>
      <c r="M669" s="8">
        <v>10</v>
      </c>
    </row>
    <row r="670" spans="1:13" x14ac:dyDescent="0.3">
      <c r="A670" s="8">
        <v>659</v>
      </c>
      <c r="B670" s="8">
        <v>0.42077586225711971</v>
      </c>
      <c r="C670" s="8">
        <v>2.6754640646942107E-5</v>
      </c>
      <c r="D670" s="8">
        <v>15727.210386031174</v>
      </c>
      <c r="E670" s="8">
        <v>6.1314083623642546E-6</v>
      </c>
      <c r="F670" s="8">
        <v>68626.298786412866</v>
      </c>
      <c r="G670" s="8">
        <v>0.43752426700520552</v>
      </c>
      <c r="H670" s="8">
        <v>30.958101065485543</v>
      </c>
      <c r="I670" s="8">
        <v>30.958099258459047</v>
      </c>
      <c r="J670" s="8">
        <v>1.674840474808582E-2</v>
      </c>
      <c r="K670" s="8">
        <v>30.958094934077181</v>
      </c>
      <c r="L670" s="8">
        <v>30.9580725038184</v>
      </c>
      <c r="M670" s="8">
        <v>13</v>
      </c>
    </row>
    <row r="671" spans="1:13" x14ac:dyDescent="0.3">
      <c r="A671" s="8">
        <v>660</v>
      </c>
      <c r="B671" s="8">
        <v>0.46107299295503767</v>
      </c>
      <c r="C671" s="8">
        <v>2.854329552803847E-5</v>
      </c>
      <c r="D671" s="8">
        <v>16153.460363472022</v>
      </c>
      <c r="E671" s="8">
        <v>1.2022292278146551E-5</v>
      </c>
      <c r="F671" s="8">
        <v>38351.504212981934</v>
      </c>
      <c r="G671" s="8">
        <v>0.51936259320841693</v>
      </c>
      <c r="H671" s="8">
        <v>30.958101144631833</v>
      </c>
      <c r="I671" s="8">
        <v>30.958099266811214</v>
      </c>
      <c r="J671" s="8">
        <v>5.8289600253379273E-2</v>
      </c>
      <c r="K671" s="8">
        <v>30.958089122339555</v>
      </c>
      <c r="L671" s="8">
        <v>30.958070723515686</v>
      </c>
      <c r="M671" s="8">
        <v>12</v>
      </c>
    </row>
    <row r="672" spans="1:13" x14ac:dyDescent="0.3">
      <c r="A672" s="8">
        <v>661</v>
      </c>
      <c r="B672" s="8">
        <v>0.20255847387698001</v>
      </c>
      <c r="C672" s="8">
        <v>6.7632777483339623E-5</v>
      </c>
      <c r="D672" s="8">
        <v>2994.9749428356304</v>
      </c>
      <c r="E672" s="8">
        <v>5.9166772022223313E-5</v>
      </c>
      <c r="F672" s="8">
        <v>3423.5174060348959</v>
      </c>
      <c r="G672" s="8">
        <v>0.60678454017172845</v>
      </c>
      <c r="H672" s="8">
        <v>30.958098948430919</v>
      </c>
      <c r="I672" s="8">
        <v>30.958097791165088</v>
      </c>
      <c r="J672" s="8">
        <v>0.40422606629474844</v>
      </c>
      <c r="K672" s="8">
        <v>30.958039781658897</v>
      </c>
      <c r="L672" s="8">
        <v>30.958030158387604</v>
      </c>
      <c r="M672" s="8">
        <v>12</v>
      </c>
    </row>
    <row r="673" spans="1:13" x14ac:dyDescent="0.3">
      <c r="A673" s="8">
        <v>662</v>
      </c>
      <c r="B673" s="8">
        <v>0.59194942518207772</v>
      </c>
      <c r="C673" s="8">
        <v>5.6106961029200875E-5</v>
      </c>
      <c r="D673" s="8">
        <v>10550.374041359993</v>
      </c>
      <c r="E673" s="8">
        <v>3.4893232221833159E-5</v>
      </c>
      <c r="F673" s="8">
        <v>16964.591340199408</v>
      </c>
      <c r="G673" s="8">
        <v>0.73997048275103494</v>
      </c>
      <c r="H673" s="8">
        <v>30.958095096793567</v>
      </c>
      <c r="I673" s="8">
        <v>30.958091159918691</v>
      </c>
      <c r="J673" s="8">
        <v>0.14802105756895723</v>
      </c>
      <c r="K673" s="8">
        <v>30.958060203561345</v>
      </c>
      <c r="L673" s="8">
        <v>30.958035052957662</v>
      </c>
      <c r="M673" s="8">
        <v>11</v>
      </c>
    </row>
    <row r="674" spans="1:13" x14ac:dyDescent="0.3">
      <c r="A674" s="8">
        <v>663</v>
      </c>
      <c r="B674" s="8">
        <v>0.56152218370553419</v>
      </c>
      <c r="C674" s="8">
        <v>2.2117028706247766E-5</v>
      </c>
      <c r="D674" s="8">
        <v>25388.680874068392</v>
      </c>
      <c r="E674" s="8">
        <v>5.2909110728194264E-6</v>
      </c>
      <c r="F674" s="8">
        <v>106129.58259498957</v>
      </c>
      <c r="G674" s="8">
        <v>0.63133513252744811</v>
      </c>
      <c r="H674" s="8">
        <v>30.958101526775906</v>
      </c>
      <c r="I674" s="8">
        <v>30.95810053319348</v>
      </c>
      <c r="J674" s="8">
        <v>6.9812948821913884E-2</v>
      </c>
      <c r="K674" s="8">
        <v>30.958096235864833</v>
      </c>
      <c r="L674" s="8">
        <v>30.958078416164774</v>
      </c>
      <c r="M674" s="8">
        <v>13</v>
      </c>
    </row>
    <row r="675" spans="1:13" x14ac:dyDescent="0.3">
      <c r="A675" s="8">
        <v>664</v>
      </c>
      <c r="B675" s="8">
        <v>0.5850894551258039</v>
      </c>
      <c r="C675" s="8">
        <v>5.2326762936871773E-5</v>
      </c>
      <c r="D675" s="8">
        <v>11181.457103159037</v>
      </c>
      <c r="E675" s="8">
        <v>2.0849870633554701E-5</v>
      </c>
      <c r="F675" s="8">
        <v>28062.018484862503</v>
      </c>
      <c r="G675" s="8">
        <v>0.7291568868819428</v>
      </c>
      <c r="H675" s="8">
        <v>30.958101399732559</v>
      </c>
      <c r="I675" s="8">
        <v>30.958098782705019</v>
      </c>
      <c r="J675" s="8">
        <v>0.1440674317561389</v>
      </c>
      <c r="K675" s="8">
        <v>30.958080549861926</v>
      </c>
      <c r="L675" s="8">
        <v>30.958046455942082</v>
      </c>
      <c r="M675" s="8">
        <v>9</v>
      </c>
    </row>
    <row r="676" spans="1:13" x14ac:dyDescent="0.3">
      <c r="A676" s="8">
        <v>665</v>
      </c>
      <c r="B676" s="8">
        <v>0.55434293560703807</v>
      </c>
      <c r="C676" s="8">
        <v>4.2474661590574669E-5</v>
      </c>
      <c r="D676" s="8">
        <v>13051.144255144563</v>
      </c>
      <c r="E676" s="8">
        <v>2.1012839205525324E-5</v>
      </c>
      <c r="F676" s="8">
        <v>26381.153455039701</v>
      </c>
      <c r="G676" s="8">
        <v>0.69275741572535998</v>
      </c>
      <c r="H676" s="8">
        <v>30.9581005294799</v>
      </c>
      <c r="I676" s="8">
        <v>30.95809862115258</v>
      </c>
      <c r="J676" s="8">
        <v>0.13841448011832189</v>
      </c>
      <c r="K676" s="8">
        <v>30.958079516640694</v>
      </c>
      <c r="L676" s="8">
        <v>30.958056146490989</v>
      </c>
      <c r="M676" s="8">
        <v>13</v>
      </c>
    </row>
    <row r="677" spans="1:13" x14ac:dyDescent="0.3">
      <c r="A677" s="8">
        <v>666</v>
      </c>
      <c r="B677" s="8">
        <v>0.58543015893709049</v>
      </c>
      <c r="C677" s="8">
        <v>6.3842454856910535E-5</v>
      </c>
      <c r="D677" s="8">
        <v>9169.9192997701812</v>
      </c>
      <c r="E677" s="8">
        <v>4.6559571902804464E-5</v>
      </c>
      <c r="F677" s="8">
        <v>12573.787408509823</v>
      </c>
      <c r="G677" s="8">
        <v>0.74188868431095134</v>
      </c>
      <c r="H677" s="8">
        <v>30.958099495647701</v>
      </c>
      <c r="I677" s="8">
        <v>30.958097018600881</v>
      </c>
      <c r="J677" s="8">
        <v>0.15645852537386087</v>
      </c>
      <c r="K677" s="8">
        <v>30.958052936075799</v>
      </c>
      <c r="L677" s="8">
        <v>30.958033176146024</v>
      </c>
      <c r="M677" s="8">
        <v>13</v>
      </c>
    </row>
    <row r="678" spans="1:13" x14ac:dyDescent="0.3">
      <c r="A678" s="8">
        <v>667</v>
      </c>
      <c r="B678" s="8">
        <v>0.7653776115992037</v>
      </c>
      <c r="C678" s="8">
        <v>5.4554409253171343E-5</v>
      </c>
      <c r="D678" s="8">
        <v>14029.619641692132</v>
      </c>
      <c r="E678" s="8">
        <v>2.1273098390395262E-5</v>
      </c>
      <c r="F678" s="8">
        <v>35978.661761126874</v>
      </c>
      <c r="G678" s="8">
        <v>0.85899060844059494</v>
      </c>
      <c r="H678" s="8">
        <v>30.95810144932053</v>
      </c>
      <c r="I678" s="8">
        <v>30.958100427886258</v>
      </c>
      <c r="J678" s="8">
        <v>9.3612996841391294E-2</v>
      </c>
      <c r="K678" s="8">
        <v>30.95808017622214</v>
      </c>
      <c r="L678" s="8">
        <v>30.958045873477005</v>
      </c>
      <c r="M678" s="8">
        <v>10</v>
      </c>
    </row>
    <row r="679" spans="1:13" x14ac:dyDescent="0.3">
      <c r="A679" s="8">
        <v>668</v>
      </c>
      <c r="B679" s="8">
        <v>0.33800791478798897</v>
      </c>
      <c r="C679" s="8">
        <v>1.7921452123204062E-5</v>
      </c>
      <c r="D679" s="8">
        <v>18860.520479272338</v>
      </c>
      <c r="E679" s="8">
        <v>6.1591059328236497E-6</v>
      </c>
      <c r="F679" s="8">
        <v>54879.379974071795</v>
      </c>
      <c r="G679" s="8">
        <v>0.35506193963420773</v>
      </c>
      <c r="H679" s="8">
        <v>30.958101544970972</v>
      </c>
      <c r="I679" s="8">
        <v>30.958101240023396</v>
      </c>
      <c r="J679" s="8">
        <v>1.7054024846218763E-2</v>
      </c>
      <c r="K679" s="8">
        <v>30.95809538586504</v>
      </c>
      <c r="L679" s="8">
        <v>30.958083318571273</v>
      </c>
      <c r="M679" s="8">
        <v>9</v>
      </c>
    </row>
    <row r="680" spans="1:13" x14ac:dyDescent="0.3">
      <c r="A680" s="8">
        <v>669</v>
      </c>
      <c r="B680" s="8">
        <v>0.17259292003408244</v>
      </c>
      <c r="C680" s="8">
        <v>8.4903937828784137E-5</v>
      </c>
      <c r="D680" s="8">
        <v>2032.8022992541339</v>
      </c>
      <c r="E680" s="8">
        <v>6.1343166027683083E-5</v>
      </c>
      <c r="F680" s="8">
        <v>2813.5639421707433</v>
      </c>
      <c r="G680" s="8">
        <v>0.90220564403449011</v>
      </c>
      <c r="H680" s="8">
        <v>30.958099351501271</v>
      </c>
      <c r="I680" s="8">
        <v>30.958098229103882</v>
      </c>
      <c r="J680" s="8">
        <v>0.72961272400040766</v>
      </c>
      <c r="K680" s="8">
        <v>30.958038008335244</v>
      </c>
      <c r="L680" s="8">
        <v>30.958013325166053</v>
      </c>
      <c r="M680" s="8">
        <v>13</v>
      </c>
    </row>
    <row r="681" spans="1:13" x14ac:dyDescent="0.3">
      <c r="A681" s="8">
        <v>670</v>
      </c>
      <c r="B681" s="8">
        <v>0.66510965981264336</v>
      </c>
      <c r="C681" s="8">
        <v>9.8593427832582847E-5</v>
      </c>
      <c r="D681" s="8">
        <v>6745.9837276581638</v>
      </c>
      <c r="E681" s="8">
        <v>6.5104736570731347E-5</v>
      </c>
      <c r="F681" s="8">
        <v>10215.994946697192</v>
      </c>
      <c r="G681" s="8">
        <v>0.76166186500054411</v>
      </c>
      <c r="H681" s="8">
        <v>30.958101203933889</v>
      </c>
      <c r="I681" s="8">
        <v>30.958099120603766</v>
      </c>
      <c r="J681" s="8">
        <v>9.6552205187900794E-2</v>
      </c>
      <c r="K681" s="8">
        <v>30.958036099197319</v>
      </c>
      <c r="L681" s="8">
        <v>30.958000527175933</v>
      </c>
      <c r="M681" s="8">
        <v>14</v>
      </c>
    </row>
    <row r="682" spans="1:13" x14ac:dyDescent="0.3">
      <c r="A682" s="8">
        <v>671</v>
      </c>
      <c r="B682" s="8">
        <v>0.85240026947550773</v>
      </c>
      <c r="C682" s="8">
        <v>5.826775714368182E-5</v>
      </c>
      <c r="D682" s="8">
        <v>14629.021456473489</v>
      </c>
      <c r="E682" s="8">
        <v>2.9908492280128485E-5</v>
      </c>
      <c r="F682" s="8">
        <v>28500.275490043721</v>
      </c>
      <c r="G682" s="8">
        <v>0.89354894903663318</v>
      </c>
      <c r="H682" s="8">
        <v>30.958098886457194</v>
      </c>
      <c r="I682" s="8">
        <v>30.958093957337791</v>
      </c>
      <c r="J682" s="8">
        <v>4.1148679561125404E-2</v>
      </c>
      <c r="K682" s="8">
        <v>30.958068977964913</v>
      </c>
      <c r="L682" s="8">
        <v>30.958035689580647</v>
      </c>
      <c r="M682" s="8">
        <v>15</v>
      </c>
    </row>
    <row r="683" spans="1:13" x14ac:dyDescent="0.3">
      <c r="A683" s="8">
        <v>672</v>
      </c>
      <c r="B683" s="8">
        <v>0.42143018600045473</v>
      </c>
      <c r="C683" s="8">
        <v>3.2144004165957085E-5</v>
      </c>
      <c r="D683" s="8">
        <v>13110.69348500088</v>
      </c>
      <c r="E683" s="8">
        <v>1.9248345992650684E-5</v>
      </c>
      <c r="F683" s="8">
        <v>21894.35841195723</v>
      </c>
      <c r="G683" s="8">
        <v>0.4741097645471391</v>
      </c>
      <c r="H683" s="8">
        <v>30.958101468895624</v>
      </c>
      <c r="I683" s="8">
        <v>30.958100661159829</v>
      </c>
      <c r="J683" s="8">
        <v>5.2679578546684369E-2</v>
      </c>
      <c r="K683" s="8">
        <v>30.958082220549631</v>
      </c>
      <c r="L683" s="8">
        <v>30.958068517155663</v>
      </c>
      <c r="M683" s="8">
        <v>14</v>
      </c>
    </row>
    <row r="684" spans="1:13" x14ac:dyDescent="0.3">
      <c r="A684" s="8">
        <v>673</v>
      </c>
      <c r="B684" s="8">
        <v>0.75042638399090889</v>
      </c>
      <c r="C684" s="8">
        <v>7.2628106689620608E-5</v>
      </c>
      <c r="D684" s="8">
        <v>10332.451418538127</v>
      </c>
      <c r="E684" s="8">
        <v>4.9436472952635313E-5</v>
      </c>
      <c r="F684" s="8">
        <v>15179.610096980146</v>
      </c>
      <c r="G684" s="8">
        <v>0.82486607708380577</v>
      </c>
      <c r="H684" s="8">
        <v>30.958100585295639</v>
      </c>
      <c r="I684" s="8">
        <v>30.958098696309133</v>
      </c>
      <c r="J684" s="8">
        <v>7.4439693092896872E-2</v>
      </c>
      <c r="K684" s="8">
        <v>30.958051148822687</v>
      </c>
      <c r="L684" s="8">
        <v>30.958026068202443</v>
      </c>
      <c r="M684" s="8">
        <v>12</v>
      </c>
    </row>
    <row r="685" spans="1:13" x14ac:dyDescent="0.3">
      <c r="A685" s="8">
        <v>674</v>
      </c>
      <c r="B685" s="8">
        <v>0.59549014744621087</v>
      </c>
      <c r="C685" s="8">
        <v>1.0453811750821274E-4</v>
      </c>
      <c r="D685" s="8">
        <v>5696.3924895570071</v>
      </c>
      <c r="E685" s="8">
        <v>9.0216104208451497E-5</v>
      </c>
      <c r="F685" s="8">
        <v>6600.7078522287266</v>
      </c>
      <c r="G685" s="8">
        <v>0.81832020134318206</v>
      </c>
      <c r="H685" s="8">
        <v>30.95809994927869</v>
      </c>
      <c r="I685" s="8">
        <v>30.958099247820591</v>
      </c>
      <c r="J685" s="8">
        <v>0.22283005389697114</v>
      </c>
      <c r="K685" s="8">
        <v>30.958009733174482</v>
      </c>
      <c r="L685" s="8">
        <v>30.957994709703083</v>
      </c>
      <c r="M685" s="8">
        <v>13</v>
      </c>
    </row>
    <row r="686" spans="1:13" x14ac:dyDescent="0.3">
      <c r="A686" s="8">
        <v>675</v>
      </c>
      <c r="B686" s="8">
        <v>0.39048168853307441</v>
      </c>
      <c r="C686" s="8">
        <v>3.5264027740566917E-5</v>
      </c>
      <c r="D686" s="8">
        <v>11073.088173755983</v>
      </c>
      <c r="E686" s="8">
        <v>1.3810947432801868E-5</v>
      </c>
      <c r="F686" s="8">
        <v>28273.345506019079</v>
      </c>
      <c r="G686" s="8">
        <v>0.44862424022567793</v>
      </c>
      <c r="H686" s="8">
        <v>30.958101461219854</v>
      </c>
      <c r="I686" s="8">
        <v>30.958100407098144</v>
      </c>
      <c r="J686" s="8">
        <v>5.8142551692603538E-2</v>
      </c>
      <c r="K686" s="8">
        <v>30.958087650272422</v>
      </c>
      <c r="L686" s="8">
        <v>30.958065143070403</v>
      </c>
      <c r="M686" s="8">
        <v>13</v>
      </c>
    </row>
    <row r="687" spans="1:13" x14ac:dyDescent="0.3">
      <c r="A687" s="8">
        <v>676</v>
      </c>
      <c r="B687" s="8">
        <v>0.68183380593047183</v>
      </c>
      <c r="C687" s="8">
        <v>4.7380733651181117E-5</v>
      </c>
      <c r="D687" s="8">
        <v>14390.528668259127</v>
      </c>
      <c r="E687" s="8">
        <v>1.850679569059821E-5</v>
      </c>
      <c r="F687" s="8">
        <v>36842.347931514465</v>
      </c>
      <c r="G687" s="8">
        <v>0.72646737581544996</v>
      </c>
      <c r="H687" s="8">
        <v>30.958100039447508</v>
      </c>
      <c r="I687" s="8">
        <v>30.958096237861167</v>
      </c>
      <c r="J687" s="8">
        <v>4.463356988497811E-2</v>
      </c>
      <c r="K687" s="8">
        <v>30.958081532651818</v>
      </c>
      <c r="L687" s="8">
        <v>30.958048857127515</v>
      </c>
      <c r="M687" s="8">
        <v>13</v>
      </c>
    </row>
    <row r="688" spans="1:13" x14ac:dyDescent="0.3">
      <c r="A688" s="8">
        <v>677</v>
      </c>
      <c r="B688" s="8">
        <v>0.53988094420806754</v>
      </c>
      <c r="C688" s="8">
        <v>4.3524509834469427E-5</v>
      </c>
      <c r="D688" s="8">
        <v>12404.067185622995</v>
      </c>
      <c r="E688" s="8">
        <v>2.7056485773613304E-5</v>
      </c>
      <c r="F688" s="8">
        <v>19953.845770117849</v>
      </c>
      <c r="G688" s="8">
        <v>0.63631336167548391</v>
      </c>
      <c r="H688" s="8">
        <v>30.958099075785043</v>
      </c>
      <c r="I688" s="8">
        <v>30.958096098643786</v>
      </c>
      <c r="J688" s="8">
        <v>9.6432417467416348E-2</v>
      </c>
      <c r="K688" s="8">
        <v>30.958072019299269</v>
      </c>
      <c r="L688" s="8">
        <v>30.958052574133951</v>
      </c>
      <c r="M688" s="8">
        <v>12</v>
      </c>
    </row>
    <row r="689" spans="1:13" x14ac:dyDescent="0.3">
      <c r="A689" s="8">
        <v>678</v>
      </c>
      <c r="B689" s="8">
        <v>0.37780281158343471</v>
      </c>
      <c r="C689" s="8">
        <v>1.0268069380714451E-4</v>
      </c>
      <c r="D689" s="8">
        <v>3679.3948071000204</v>
      </c>
      <c r="E689" s="8">
        <v>8.5377203955516734E-5</v>
      </c>
      <c r="F689" s="8">
        <v>4425.1017142734927</v>
      </c>
      <c r="G689" s="8">
        <v>0.48855999919746956</v>
      </c>
      <c r="H689" s="8">
        <v>30.958101468262306</v>
      </c>
      <c r="I689" s="8">
        <v>30.958100555519398</v>
      </c>
      <c r="J689" s="8">
        <v>0.11075718761403486</v>
      </c>
      <c r="K689" s="8">
        <v>30.958016091058351</v>
      </c>
      <c r="L689" s="8">
        <v>30.95799787482559</v>
      </c>
      <c r="M689" s="8">
        <v>13</v>
      </c>
    </row>
    <row r="690" spans="1:13" x14ac:dyDescent="0.3">
      <c r="A690" s="8">
        <v>679</v>
      </c>
      <c r="B690" s="8">
        <v>0.40967740810916753</v>
      </c>
      <c r="C690" s="8">
        <v>9.4345333344847404E-5</v>
      </c>
      <c r="D690" s="8">
        <v>4342.3176704642146</v>
      </c>
      <c r="E690" s="8">
        <v>7.8357655187488717E-5</v>
      </c>
      <c r="F690" s="8">
        <v>5228.3010144818663</v>
      </c>
      <c r="G690" s="8">
        <v>0.66147837180634073</v>
      </c>
      <c r="H690" s="8">
        <v>30.958101536697047</v>
      </c>
      <c r="I690" s="8">
        <v>30.958100228602728</v>
      </c>
      <c r="J690" s="8">
        <v>0.2518009636971732</v>
      </c>
      <c r="K690" s="8">
        <v>30.958023179041859</v>
      </c>
      <c r="L690" s="8">
        <v>30.958005883269383</v>
      </c>
      <c r="M690" s="8">
        <v>9</v>
      </c>
    </row>
    <row r="691" spans="1:13" x14ac:dyDescent="0.3">
      <c r="A691" s="8">
        <v>680</v>
      </c>
      <c r="B691" s="8">
        <v>0.68088675184758918</v>
      </c>
      <c r="C691" s="8">
        <v>4.5815423888484474E-5</v>
      </c>
      <c r="D691" s="8">
        <v>14861.518110252111</v>
      </c>
      <c r="E691" s="8">
        <v>1.7482704205207256E-5</v>
      </c>
      <c r="F691" s="8">
        <v>38946.306238184014</v>
      </c>
      <c r="G691" s="8">
        <v>0.73912670615913134</v>
      </c>
      <c r="H691" s="8">
        <v>30.958101551454213</v>
      </c>
      <c r="I691" s="8">
        <v>30.958100060882693</v>
      </c>
      <c r="J691" s="8">
        <v>5.8239954311542136E-2</v>
      </c>
      <c r="K691" s="8">
        <v>30.958084068750008</v>
      </c>
      <c r="L691" s="8">
        <v>30.958054245458804</v>
      </c>
      <c r="M691" s="8">
        <v>9</v>
      </c>
    </row>
    <row r="692" spans="1:13" x14ac:dyDescent="0.3">
      <c r="A692" s="8">
        <v>681</v>
      </c>
      <c r="B692" s="8">
        <v>0.67091309388575104</v>
      </c>
      <c r="C692" s="8">
        <v>5.349691066669493E-5</v>
      </c>
      <c r="D692" s="8">
        <v>12541.155844788531</v>
      </c>
      <c r="E692" s="8">
        <v>1.2588965553561593E-5</v>
      </c>
      <c r="F692" s="8">
        <v>53293.742923614598</v>
      </c>
      <c r="G692" s="8">
        <v>0.73892177000562143</v>
      </c>
      <c r="H692" s="8">
        <v>30.958101547347407</v>
      </c>
      <c r="I692" s="8">
        <v>30.958098168483694</v>
      </c>
      <c r="J692" s="8">
        <v>6.8008676119870395E-2</v>
      </c>
      <c r="K692" s="8">
        <v>30.958088958381854</v>
      </c>
      <c r="L692" s="8">
        <v>30.958044671573028</v>
      </c>
      <c r="M692" s="8">
        <v>9</v>
      </c>
    </row>
    <row r="693" spans="1:13" x14ac:dyDescent="0.3">
      <c r="A693" s="8">
        <v>682</v>
      </c>
      <c r="B693" s="8">
        <v>0.25729214247233012</v>
      </c>
      <c r="C693" s="8">
        <v>9.3547561156981374E-5</v>
      </c>
      <c r="D693" s="8">
        <v>2750.3885648132541</v>
      </c>
      <c r="E693" s="8">
        <v>8.3007726153994099E-5</v>
      </c>
      <c r="F693" s="8">
        <v>3099.6167994652378</v>
      </c>
      <c r="G693" s="8">
        <v>0.36871884782641451</v>
      </c>
      <c r="H693" s="8">
        <v>30.958101183526548</v>
      </c>
      <c r="I693" s="8">
        <v>30.958099764798586</v>
      </c>
      <c r="J693" s="8">
        <v>0.11142670535408436</v>
      </c>
      <c r="K693" s="8">
        <v>30.958018175800394</v>
      </c>
      <c r="L693" s="8">
        <v>30.958006217237429</v>
      </c>
      <c r="M693" s="8">
        <v>9</v>
      </c>
    </row>
    <row r="694" spans="1:13" x14ac:dyDescent="0.3">
      <c r="A694" s="8">
        <v>683</v>
      </c>
      <c r="B694" s="8">
        <v>0.53703723082582011</v>
      </c>
      <c r="C694" s="8">
        <v>2.2322180963385563E-4</v>
      </c>
      <c r="D694" s="8">
        <v>2405.8456998745191</v>
      </c>
      <c r="E694" s="8">
        <v>2.0702395786287298E-4</v>
      </c>
      <c r="F694" s="8">
        <v>2594.0825224756786</v>
      </c>
      <c r="G694" s="8">
        <v>1.0295741511777601</v>
      </c>
      <c r="H694" s="8">
        <v>30.958100633167454</v>
      </c>
      <c r="I694" s="8">
        <v>30.958099526383261</v>
      </c>
      <c r="J694" s="8">
        <v>0.49253692035193997</v>
      </c>
      <c r="K694" s="8">
        <v>30.957893609209592</v>
      </c>
      <c r="L694" s="8">
        <v>30.957876304573627</v>
      </c>
      <c r="M694" s="8">
        <v>12</v>
      </c>
    </row>
    <row r="695" spans="1:13" x14ac:dyDescent="0.3">
      <c r="A695" s="8">
        <v>684</v>
      </c>
      <c r="B695" s="8">
        <v>0.95468229614731592</v>
      </c>
      <c r="C695" s="8">
        <v>4.0491957634003484E-5</v>
      </c>
      <c r="D695" s="8">
        <v>23577.084239207365</v>
      </c>
      <c r="E695" s="8">
        <v>8.6972854553835077E-6</v>
      </c>
      <c r="F695" s="8">
        <v>109767.84665109271</v>
      </c>
      <c r="G695" s="8">
        <v>1.0089017825683255</v>
      </c>
      <c r="H695" s="8">
        <v>30.958101191223513</v>
      </c>
      <c r="I695" s="8">
        <v>30.958099277395142</v>
      </c>
      <c r="J695" s="8">
        <v>5.4219486421009551E-2</v>
      </c>
      <c r="K695" s="8">
        <v>30.958092493938057</v>
      </c>
      <c r="L695" s="8">
        <v>30.958058785437508</v>
      </c>
      <c r="M695" s="8">
        <v>12</v>
      </c>
    </row>
    <row r="696" spans="1:13" x14ac:dyDescent="0.3">
      <c r="A696" s="8">
        <v>685</v>
      </c>
      <c r="B696" s="8">
        <v>0.8138783299831075</v>
      </c>
      <c r="C696" s="8">
        <v>3.4489639890722401E-5</v>
      </c>
      <c r="D696" s="8">
        <v>23597.762474813142</v>
      </c>
      <c r="E696" s="8">
        <v>8.2612688849792448E-6</v>
      </c>
      <c r="F696" s="8">
        <v>98517.351428049093</v>
      </c>
      <c r="G696" s="8">
        <v>0.8504629139866926</v>
      </c>
      <c r="H696" s="8">
        <v>30.958101550504185</v>
      </c>
      <c r="I696" s="8">
        <v>30.958100215805011</v>
      </c>
      <c r="J696" s="8">
        <v>3.6584584003585094E-2</v>
      </c>
      <c r="K696" s="8">
        <v>30.9580932892353</v>
      </c>
      <c r="L696" s="8">
        <v>30.95806572616512</v>
      </c>
      <c r="M696" s="8">
        <v>15</v>
      </c>
    </row>
    <row r="697" spans="1:13" x14ac:dyDescent="0.3">
      <c r="A697" s="8">
        <v>686</v>
      </c>
      <c r="B697" s="8">
        <v>0.39419043655979086</v>
      </c>
      <c r="C697" s="8">
        <v>1.2229717611944579E-4</v>
      </c>
      <c r="D697" s="8">
        <v>3223.2178130980806</v>
      </c>
      <c r="E697" s="8">
        <v>1.084041207874975E-4</v>
      </c>
      <c r="F697" s="8">
        <v>3636.3049088559533</v>
      </c>
      <c r="G697" s="8">
        <v>0.62652478781985277</v>
      </c>
      <c r="H697" s="8">
        <v>30.958096528676634</v>
      </c>
      <c r="I697" s="8">
        <v>30.958094216476766</v>
      </c>
      <c r="J697" s="8">
        <v>0.23233435126006191</v>
      </c>
      <c r="K697" s="8">
        <v>30.957988124555847</v>
      </c>
      <c r="L697" s="8">
        <v>30.957971919300647</v>
      </c>
      <c r="M697" s="8">
        <v>9</v>
      </c>
    </row>
    <row r="698" spans="1:13" x14ac:dyDescent="0.3">
      <c r="A698" s="8">
        <v>687</v>
      </c>
      <c r="B698" s="8">
        <v>0.49319088160126923</v>
      </c>
      <c r="C698" s="8">
        <v>6.9903783103342221E-5</v>
      </c>
      <c r="D698" s="8">
        <v>7055.2816987338256</v>
      </c>
      <c r="E698" s="8">
        <v>5.1149316814047552E-5</v>
      </c>
      <c r="F698" s="8">
        <v>9642.1792571395636</v>
      </c>
      <c r="G698" s="8">
        <v>0.65094258190527943</v>
      </c>
      <c r="H698" s="8">
        <v>30.958101397841908</v>
      </c>
      <c r="I698" s="8">
        <v>30.958100332528172</v>
      </c>
      <c r="J698" s="8">
        <v>0.15775170030401023</v>
      </c>
      <c r="K698" s="8">
        <v>30.958050248525094</v>
      </c>
      <c r="L698" s="8">
        <v>30.958030428745069</v>
      </c>
      <c r="M698" s="8">
        <v>9</v>
      </c>
    </row>
    <row r="699" spans="1:13" x14ac:dyDescent="0.3">
      <c r="A699" s="8">
        <v>688</v>
      </c>
      <c r="B699" s="8">
        <v>0.43784743239954754</v>
      </c>
      <c r="C699" s="8">
        <v>6.7228845793465553E-5</v>
      </c>
      <c r="D699" s="8">
        <v>6512.791157305649</v>
      </c>
      <c r="E699" s="8">
        <v>4.7964126277832975E-5</v>
      </c>
      <c r="F699" s="8">
        <v>9128.6439757770058</v>
      </c>
      <c r="G699" s="8">
        <v>0.53905987925309085</v>
      </c>
      <c r="H699" s="8">
        <v>30.958100717854155</v>
      </c>
      <c r="I699" s="8">
        <v>30.958099816079397</v>
      </c>
      <c r="J699" s="8">
        <v>0.10121244685354329</v>
      </c>
      <c r="K699" s="8">
        <v>30.958052753727877</v>
      </c>
      <c r="L699" s="8">
        <v>30.958032587233603</v>
      </c>
      <c r="M699" s="8">
        <v>9</v>
      </c>
    </row>
    <row r="700" spans="1:13" x14ac:dyDescent="0.3">
      <c r="A700" s="8">
        <v>689</v>
      </c>
      <c r="B700" s="8">
        <v>0.79602983732607802</v>
      </c>
      <c r="C700" s="8">
        <v>1.1903072924113189E-4</v>
      </c>
      <c r="D700" s="8">
        <v>6687.5994325253987</v>
      </c>
      <c r="E700" s="8">
        <v>8.6573119386201824E-5</v>
      </c>
      <c r="F700" s="8">
        <v>9194.8845434920368</v>
      </c>
      <c r="G700" s="8">
        <v>0.93574708841580811</v>
      </c>
      <c r="H700" s="8">
        <v>30.958101550960009</v>
      </c>
      <c r="I700" s="8">
        <v>30.958101455875607</v>
      </c>
      <c r="J700" s="8">
        <v>0.1397172510897301</v>
      </c>
      <c r="K700" s="8">
        <v>30.958014977840623</v>
      </c>
      <c r="L700" s="8">
        <v>30.957982425146366</v>
      </c>
      <c r="M700" s="8">
        <v>11</v>
      </c>
    </row>
    <row r="701" spans="1:13" x14ac:dyDescent="0.3">
      <c r="A701" s="8">
        <v>690</v>
      </c>
      <c r="B701" s="8">
        <v>0.67185175714844148</v>
      </c>
      <c r="C701" s="8">
        <v>3.8125712780612275E-5</v>
      </c>
      <c r="D701" s="8">
        <v>17622.011712003772</v>
      </c>
      <c r="E701" s="8">
        <v>2.208811202208949E-5</v>
      </c>
      <c r="F701" s="8">
        <v>30416.893778723497</v>
      </c>
      <c r="G701" s="8">
        <v>0.72678532531905726</v>
      </c>
      <c r="H701" s="8">
        <v>30.958099653733626</v>
      </c>
      <c r="I701" s="8">
        <v>30.95809815450346</v>
      </c>
      <c r="J701" s="8">
        <v>5.4933568170615808E-2</v>
      </c>
      <c r="K701" s="8">
        <v>30.958077565621604</v>
      </c>
      <c r="L701" s="8">
        <v>30.95806002879068</v>
      </c>
      <c r="M701" s="8">
        <v>14</v>
      </c>
    </row>
    <row r="702" spans="1:13" x14ac:dyDescent="0.3">
      <c r="A702" s="8">
        <v>691</v>
      </c>
      <c r="B702" s="8">
        <v>0.59729330224960964</v>
      </c>
      <c r="C702" s="8">
        <v>3.7905918183867016E-5</v>
      </c>
      <c r="D702" s="8">
        <v>15757.25720064001</v>
      </c>
      <c r="E702" s="8">
        <v>1.5758484757100177E-5</v>
      </c>
      <c r="F702" s="8">
        <v>37902.965383806448</v>
      </c>
      <c r="G702" s="8">
        <v>0.6785359109136484</v>
      </c>
      <c r="H702" s="8">
        <v>30.95810131180983</v>
      </c>
      <c r="I702" s="8">
        <v>30.958100380133377</v>
      </c>
      <c r="J702" s="8">
        <v>8.124260866403879E-2</v>
      </c>
      <c r="K702" s="8">
        <v>30.958085553325073</v>
      </c>
      <c r="L702" s="8">
        <v>30.958062474215193</v>
      </c>
      <c r="M702" s="8">
        <v>15</v>
      </c>
    </row>
    <row r="703" spans="1:13" x14ac:dyDescent="0.3">
      <c r="A703" s="8">
        <v>692</v>
      </c>
      <c r="B703" s="8">
        <v>0.46857983409702531</v>
      </c>
      <c r="C703" s="8">
        <v>3.0219770479789076E-5</v>
      </c>
      <c r="D703" s="8">
        <v>15505.737689517218</v>
      </c>
      <c r="E703" s="8">
        <v>7.8670293142124592E-6</v>
      </c>
      <c r="F703" s="8">
        <v>59562.487361079977</v>
      </c>
      <c r="G703" s="8">
        <v>0.51039156573138711</v>
      </c>
      <c r="H703" s="8">
        <v>30.958101495624213</v>
      </c>
      <c r="I703" s="8">
        <v>30.958100527117288</v>
      </c>
      <c r="J703" s="8">
        <v>4.1811731634361811E-2</v>
      </c>
      <c r="K703" s="8">
        <v>30.958093628594899</v>
      </c>
      <c r="L703" s="8">
        <v>30.958070307346809</v>
      </c>
      <c r="M703" s="8">
        <v>9</v>
      </c>
    </row>
    <row r="704" spans="1:13" x14ac:dyDescent="0.3">
      <c r="A704" s="8">
        <v>693</v>
      </c>
      <c r="B704" s="8">
        <v>0.83498641398616791</v>
      </c>
      <c r="C704" s="8">
        <v>6.4579495191452452E-5</v>
      </c>
      <c r="D704" s="8">
        <v>12929.59029039738</v>
      </c>
      <c r="E704" s="8">
        <v>3.0970483781089797E-5</v>
      </c>
      <c r="F704" s="8">
        <v>26960.715883166169</v>
      </c>
      <c r="G704" s="8">
        <v>0.93300818780787897</v>
      </c>
      <c r="H704" s="8">
        <v>30.958101430049215</v>
      </c>
      <c r="I704" s="8">
        <v>30.958098684573844</v>
      </c>
      <c r="J704" s="8">
        <v>9.8021773821711025E-2</v>
      </c>
      <c r="K704" s="8">
        <v>30.958070459565434</v>
      </c>
      <c r="L704" s="8">
        <v>30.958034105078653</v>
      </c>
      <c r="M704" s="8">
        <v>15</v>
      </c>
    </row>
    <row r="705" spans="1:13" x14ac:dyDescent="0.3">
      <c r="A705" s="8">
        <v>694</v>
      </c>
      <c r="B705" s="8">
        <v>0.46074811094825163</v>
      </c>
      <c r="C705" s="8">
        <v>1.6733226354759267E-4</v>
      </c>
      <c r="D705" s="8">
        <v>2753.4923700903955</v>
      </c>
      <c r="E705" s="8">
        <v>1.4602297495258654E-4</v>
      </c>
      <c r="F705" s="8">
        <v>3155.3124506459062</v>
      </c>
      <c r="G705" s="8">
        <v>0.83387550564040791</v>
      </c>
      <c r="H705" s="8">
        <v>30.958101147800647</v>
      </c>
      <c r="I705" s="8">
        <v>30.958099664413865</v>
      </c>
      <c r="J705" s="8">
        <v>0.37312739469215628</v>
      </c>
      <c r="K705" s="8">
        <v>30.957955124825695</v>
      </c>
      <c r="L705" s="8">
        <v>30.957932332150317</v>
      </c>
      <c r="M705" s="8">
        <v>11</v>
      </c>
    </row>
    <row r="706" spans="1:13" x14ac:dyDescent="0.3">
      <c r="A706" s="8">
        <v>695</v>
      </c>
      <c r="B706" s="8">
        <v>0.39922329030287956</v>
      </c>
      <c r="C706" s="8">
        <v>5.0630866265777286E-5</v>
      </c>
      <c r="D706" s="8">
        <v>7884.9784676254876</v>
      </c>
      <c r="E706" s="8">
        <v>3.5330243196796118E-5</v>
      </c>
      <c r="F706" s="8">
        <v>11299.760606773369</v>
      </c>
      <c r="G706" s="8">
        <v>0.52487648504201267</v>
      </c>
      <c r="H706" s="8">
        <v>30.958089949884307</v>
      </c>
      <c r="I706" s="8">
        <v>30.958084320380948</v>
      </c>
      <c r="J706" s="8">
        <v>0.12565319473913311</v>
      </c>
      <c r="K706" s="8">
        <v>30.958054619641111</v>
      </c>
      <c r="L706" s="8">
        <v>30.958033689514682</v>
      </c>
      <c r="M706" s="8">
        <v>12</v>
      </c>
    </row>
    <row r="707" spans="1:13" x14ac:dyDescent="0.3">
      <c r="A707" s="8">
        <v>696</v>
      </c>
      <c r="B707" s="8">
        <v>0.21761959016026888</v>
      </c>
      <c r="C707" s="8">
        <v>6.7675045446691229E-5</v>
      </c>
      <c r="D707" s="8">
        <v>3215.654880227476</v>
      </c>
      <c r="E707" s="8">
        <v>4.7396276269040527E-5</v>
      </c>
      <c r="F707" s="8">
        <v>4591.4913003918628</v>
      </c>
      <c r="G707" s="8">
        <v>0.5588936654322566</v>
      </c>
      <c r="H707" s="8">
        <v>30.958100713597371</v>
      </c>
      <c r="I707" s="8">
        <v>30.958099907112139</v>
      </c>
      <c r="J707" s="8">
        <v>0.34127407527198772</v>
      </c>
      <c r="K707" s="8">
        <v>30.958053317321102</v>
      </c>
      <c r="L707" s="8">
        <v>30.958032232066692</v>
      </c>
      <c r="M707" s="8">
        <v>14</v>
      </c>
    </row>
    <row r="708" spans="1:13" x14ac:dyDescent="0.3">
      <c r="A708" s="8">
        <v>697</v>
      </c>
      <c r="B708" s="8">
        <v>0.22914545876034365</v>
      </c>
      <c r="C708" s="8">
        <v>5.0836040038859664E-5</v>
      </c>
      <c r="D708" s="8">
        <v>4507.5395051459982</v>
      </c>
      <c r="E708" s="8">
        <v>4.4070900724335615E-5</v>
      </c>
      <c r="F708" s="8">
        <v>5199.4730081341695</v>
      </c>
      <c r="G708" s="8">
        <v>0.29159729307303206</v>
      </c>
      <c r="H708" s="8">
        <v>30.958097580921208</v>
      </c>
      <c r="I708" s="8">
        <v>30.958096375652875</v>
      </c>
      <c r="J708" s="8">
        <v>6.2451834312688408E-2</v>
      </c>
      <c r="K708" s="8">
        <v>30.958053510020484</v>
      </c>
      <c r="L708" s="8">
        <v>30.958045539612836</v>
      </c>
      <c r="M708" s="8">
        <v>9</v>
      </c>
    </row>
    <row r="709" spans="1:13" x14ac:dyDescent="0.3">
      <c r="A709" s="8">
        <v>698</v>
      </c>
      <c r="B709" s="8">
        <v>0.52719221846380038</v>
      </c>
      <c r="C709" s="8">
        <v>5.4260373406833651E-5</v>
      </c>
      <c r="D709" s="8">
        <v>9715.9710736049747</v>
      </c>
      <c r="E709" s="8">
        <v>3.6787502576629549E-5</v>
      </c>
      <c r="F709" s="8">
        <v>14330.74227764285</v>
      </c>
      <c r="G709" s="8">
        <v>0.56724299865468097</v>
      </c>
      <c r="H709" s="8">
        <v>30.958101230874803</v>
      </c>
      <c r="I709" s="8">
        <v>30.958099558601418</v>
      </c>
      <c r="J709" s="8">
        <v>4.0050780190880611E-2</v>
      </c>
      <c r="K709" s="8">
        <v>30.958064443372226</v>
      </c>
      <c r="L709" s="8">
        <v>30.958045298228011</v>
      </c>
      <c r="M709" s="8">
        <v>13</v>
      </c>
    </row>
    <row r="710" spans="1:13" x14ac:dyDescent="0.3">
      <c r="A710" s="8">
        <v>699</v>
      </c>
      <c r="B710" s="8">
        <v>0.51520517085150108</v>
      </c>
      <c r="C710" s="8">
        <v>9.0706898301817773E-5</v>
      </c>
      <c r="D710" s="8">
        <v>5679.8896279884848</v>
      </c>
      <c r="E710" s="8">
        <v>6.516306336834532E-5</v>
      </c>
      <c r="F710" s="8">
        <v>7906.398874147706</v>
      </c>
      <c r="G710" s="8">
        <v>0.69082484372361042</v>
      </c>
      <c r="H710" s="8">
        <v>30.958097467424452</v>
      </c>
      <c r="I710" s="8">
        <v>30.958093479727737</v>
      </c>
      <c r="J710" s="8">
        <v>0.17561967287210939</v>
      </c>
      <c r="K710" s="8">
        <v>30.958032304361083</v>
      </c>
      <c r="L710" s="8">
        <v>30.958002772829435</v>
      </c>
      <c r="M710" s="8">
        <v>15</v>
      </c>
    </row>
    <row r="711" spans="1:13" x14ac:dyDescent="0.3">
      <c r="A711" s="8">
        <v>700</v>
      </c>
      <c r="B711" s="8">
        <v>0.76631458500502114</v>
      </c>
      <c r="C711" s="8">
        <v>5.9827808286172512E-5</v>
      </c>
      <c r="D711" s="8">
        <v>12808.668860800184</v>
      </c>
      <c r="E711" s="8">
        <v>3.6029083151589703E-5</v>
      </c>
      <c r="F711" s="8">
        <v>21269.333493189632</v>
      </c>
      <c r="G711" s="8">
        <v>0.88851891897922575</v>
      </c>
      <c r="H711" s="8">
        <v>30.958098938887662</v>
      </c>
      <c r="I711" s="8">
        <v>30.958096604751379</v>
      </c>
      <c r="J711" s="8">
        <v>0.12220433397420459</v>
      </c>
      <c r="K711" s="8">
        <v>30.958062909804511</v>
      </c>
      <c r="L711" s="8">
        <v>30.958036776943093</v>
      </c>
      <c r="M711" s="8">
        <v>11</v>
      </c>
    </row>
    <row r="712" spans="1:13" x14ac:dyDescent="0.3">
      <c r="A712" s="8">
        <v>701</v>
      </c>
      <c r="B712" s="8">
        <v>0.5256049731501834</v>
      </c>
      <c r="C712" s="8">
        <v>5.7572294092977927E-5</v>
      </c>
      <c r="D712" s="8">
        <v>9129.4776668329996</v>
      </c>
      <c r="E712" s="8">
        <v>2.3520581613922786E-5</v>
      </c>
      <c r="F712" s="8">
        <v>22346.597621508496</v>
      </c>
      <c r="G712" s="8">
        <v>0.56411207508647143</v>
      </c>
      <c r="H712" s="8">
        <v>30.958098802211829</v>
      </c>
      <c r="I712" s="8">
        <v>30.958094085283442</v>
      </c>
      <c r="J712" s="8">
        <v>3.8507101936288035E-2</v>
      </c>
      <c r="K712" s="8">
        <v>30.958075281630215</v>
      </c>
      <c r="L712" s="8">
        <v>30.958036512989349</v>
      </c>
      <c r="M712" s="8">
        <v>11</v>
      </c>
    </row>
    <row r="713" spans="1:13" x14ac:dyDescent="0.3">
      <c r="A713" s="8">
        <v>702</v>
      </c>
      <c r="B713" s="8">
        <v>0.47893180460962964</v>
      </c>
      <c r="C713" s="8">
        <v>1.8248870929937766E-5</v>
      </c>
      <c r="D713" s="8">
        <v>26244.462271029002</v>
      </c>
      <c r="E713" s="8">
        <v>6.7979440210308439E-6</v>
      </c>
      <c r="F713" s="8">
        <v>70452.449023992434</v>
      </c>
      <c r="G713" s="8">
        <v>0.49152733372597013</v>
      </c>
      <c r="H713" s="8">
        <v>30.958101543708381</v>
      </c>
      <c r="I713" s="8">
        <v>30.958100431745766</v>
      </c>
      <c r="J713" s="8">
        <v>1.2595529116340468E-2</v>
      </c>
      <c r="K713" s="8">
        <v>30.95809474576436</v>
      </c>
      <c r="L713" s="8">
        <v>30.958082182874836</v>
      </c>
      <c r="M713" s="8">
        <v>15</v>
      </c>
    </row>
    <row r="714" spans="1:13" x14ac:dyDescent="0.3">
      <c r="A714" s="8">
        <v>703</v>
      </c>
      <c r="B714" s="8">
        <v>0.67799566891516938</v>
      </c>
      <c r="C714" s="8">
        <v>8.289240697578748E-5</v>
      </c>
      <c r="D714" s="8">
        <v>8179.2252589939753</v>
      </c>
      <c r="E714" s="8">
        <v>5.6853698307435252E-5</v>
      </c>
      <c r="F714" s="8">
        <v>11925.269403740829</v>
      </c>
      <c r="G714" s="8">
        <v>0.77902452219130747</v>
      </c>
      <c r="H714" s="8">
        <v>30.958101042057553</v>
      </c>
      <c r="I714" s="8">
        <v>30.958097991074531</v>
      </c>
      <c r="J714" s="8">
        <v>0.10102885327613809</v>
      </c>
      <c r="K714" s="8">
        <v>30.958044188359246</v>
      </c>
      <c r="L714" s="8">
        <v>30.958015098667556</v>
      </c>
      <c r="M714" s="8">
        <v>13</v>
      </c>
    </row>
    <row r="715" spans="1:13" x14ac:dyDescent="0.3">
      <c r="A715" s="8">
        <v>704</v>
      </c>
      <c r="B715" s="8">
        <v>0.31574755843324764</v>
      </c>
      <c r="C715" s="8">
        <v>2.8433660666848937E-5</v>
      </c>
      <c r="D715" s="8">
        <v>11104.7100875541</v>
      </c>
      <c r="E715" s="8">
        <v>9.2290315620857655E-6</v>
      </c>
      <c r="F715" s="8">
        <v>34212.425898551002</v>
      </c>
      <c r="G715" s="8">
        <v>0.38203307659229102</v>
      </c>
      <c r="H715" s="8">
        <v>30.958101551396293</v>
      </c>
      <c r="I715" s="8">
        <v>30.958101371132582</v>
      </c>
      <c r="J715" s="8">
        <v>6.6285518159043405E-2</v>
      </c>
      <c r="K715" s="8">
        <v>30.958092322364731</v>
      </c>
      <c r="L715" s="8">
        <v>30.958072937471915</v>
      </c>
      <c r="M715" s="8">
        <v>12</v>
      </c>
    </row>
    <row r="716" spans="1:13" x14ac:dyDescent="0.3">
      <c r="A716" s="8">
        <v>705</v>
      </c>
      <c r="B716" s="8">
        <v>0.35031551032632258</v>
      </c>
      <c r="C716" s="8">
        <v>8.3043713843267142E-5</v>
      </c>
      <c r="D716" s="8">
        <v>4218.4470577446937</v>
      </c>
      <c r="E716" s="8">
        <v>7.1531162671334414E-5</v>
      </c>
      <c r="F716" s="8">
        <v>4897.3831438463239</v>
      </c>
      <c r="G716" s="8">
        <v>0.47736405691446698</v>
      </c>
      <c r="H716" s="8">
        <v>30.958101508143002</v>
      </c>
      <c r="I716" s="8">
        <v>30.958100692659759</v>
      </c>
      <c r="J716" s="8">
        <v>0.12704854658814438</v>
      </c>
      <c r="K716" s="8">
        <v>30.958029976980331</v>
      </c>
      <c r="L716" s="8">
        <v>30.958017648945916</v>
      </c>
      <c r="M716" s="8">
        <v>11</v>
      </c>
    </row>
    <row r="717" spans="1:13" x14ac:dyDescent="0.3">
      <c r="A717" s="8">
        <v>706</v>
      </c>
      <c r="B717" s="8">
        <v>0.5481111740060427</v>
      </c>
      <c r="C717" s="8">
        <v>2.2683488584362976E-5</v>
      </c>
      <c r="D717" s="8">
        <v>24163.442583690015</v>
      </c>
      <c r="E717" s="8">
        <v>9.6867555612334399E-6</v>
      </c>
      <c r="F717" s="8">
        <v>56583.566142578522</v>
      </c>
      <c r="G717" s="8">
        <v>0.58211495111393963</v>
      </c>
      <c r="H717" s="8">
        <v>30.958101494751372</v>
      </c>
      <c r="I717" s="8">
        <v>30.958100603560958</v>
      </c>
      <c r="J717" s="8">
        <v>3.4003777107896961E-2</v>
      </c>
      <c r="K717" s="8">
        <v>30.95809180799581</v>
      </c>
      <c r="L717" s="8">
        <v>30.958077920072373</v>
      </c>
      <c r="M717" s="8">
        <v>11</v>
      </c>
    </row>
    <row r="718" spans="1:13" x14ac:dyDescent="0.3">
      <c r="A718" s="8">
        <v>707</v>
      </c>
      <c r="B718" s="8">
        <v>0.61797390609751901</v>
      </c>
      <c r="C718" s="8">
        <v>5.3676878799535643E-5</v>
      </c>
      <c r="D718" s="8">
        <v>11512.850968951367</v>
      </c>
      <c r="E718" s="8">
        <v>3.4675444222642682E-5</v>
      </c>
      <c r="F718" s="8">
        <v>17821.657947037602</v>
      </c>
      <c r="G718" s="8">
        <v>0.68855247067878422</v>
      </c>
      <c r="H718" s="8">
        <v>30.958101551218302</v>
      </c>
      <c r="I718" s="8">
        <v>30.958100168604769</v>
      </c>
      <c r="J718" s="8">
        <v>7.0578564581265213E-2</v>
      </c>
      <c r="K718" s="8">
        <v>30.95806687577408</v>
      </c>
      <c r="L718" s="8">
        <v>30.95804649172597</v>
      </c>
      <c r="M718" s="8">
        <v>13</v>
      </c>
    </row>
    <row r="719" spans="1:13" x14ac:dyDescent="0.3">
      <c r="A719" s="8">
        <v>708</v>
      </c>
      <c r="B719" s="8">
        <v>0.52240017000741013</v>
      </c>
      <c r="C719" s="8">
        <v>6.8606350783539938E-5</v>
      </c>
      <c r="D719" s="8">
        <v>7614.4579042782225</v>
      </c>
      <c r="E719" s="8">
        <v>3.7718964044586301E-5</v>
      </c>
      <c r="F719" s="8">
        <v>13849.801637974433</v>
      </c>
      <c r="G719" s="8">
        <v>0.85926775569195701</v>
      </c>
      <c r="H719" s="8">
        <v>30.958101551453016</v>
      </c>
      <c r="I719" s="8">
        <v>30.958100955173339</v>
      </c>
      <c r="J719" s="8">
        <v>0.33686758568454694</v>
      </c>
      <c r="K719" s="8">
        <v>30.958063832488971</v>
      </c>
      <c r="L719" s="8">
        <v>30.958032348822556</v>
      </c>
      <c r="M719" s="8">
        <v>12</v>
      </c>
    </row>
    <row r="720" spans="1:13" x14ac:dyDescent="0.3">
      <c r="A720" s="8">
        <v>709</v>
      </c>
      <c r="B720" s="8">
        <v>0.41718657219588806</v>
      </c>
      <c r="C720" s="8">
        <v>4.5860152138033072E-5</v>
      </c>
      <c r="D720" s="8">
        <v>9096.9295291522576</v>
      </c>
      <c r="E720" s="8">
        <v>1.7967699260879044E-5</v>
      </c>
      <c r="F720" s="8">
        <v>23218.697404637984</v>
      </c>
      <c r="G720" s="8">
        <v>0.48961512551889819</v>
      </c>
      <c r="H720" s="8">
        <v>30.95810102608846</v>
      </c>
      <c r="I720" s="8">
        <v>30.95809937085221</v>
      </c>
      <c r="J720" s="8">
        <v>7.2428553323010098E-2</v>
      </c>
      <c r="K720" s="8">
        <v>30.958083058389199</v>
      </c>
      <c r="L720" s="8">
        <v>30.958053510700072</v>
      </c>
      <c r="M720" s="8">
        <v>11</v>
      </c>
    </row>
    <row r="721" spans="1:13" x14ac:dyDescent="0.3">
      <c r="A721" s="8">
        <v>710</v>
      </c>
      <c r="B721" s="8">
        <v>0.64113982326156316</v>
      </c>
      <c r="C721" s="8">
        <v>5.8492954895683624E-5</v>
      </c>
      <c r="D721" s="8">
        <v>10960.975119225424</v>
      </c>
      <c r="E721" s="8">
        <v>3.9497377301245251E-5</v>
      </c>
      <c r="F721" s="8">
        <v>16232.465724790027</v>
      </c>
      <c r="G721" s="8">
        <v>0.72136845599282295</v>
      </c>
      <c r="H721" s="8">
        <v>30.958101013575948</v>
      </c>
      <c r="I721" s="8">
        <v>30.958100535535348</v>
      </c>
      <c r="J721" s="8">
        <v>8.0228632731259783E-2</v>
      </c>
      <c r="K721" s="8">
        <v>30.958061516198647</v>
      </c>
      <c r="L721" s="8">
        <v>30.958042042580452</v>
      </c>
      <c r="M721" s="8">
        <v>10</v>
      </c>
    </row>
    <row r="722" spans="1:13" x14ac:dyDescent="0.3">
      <c r="A722" s="8">
        <v>711</v>
      </c>
      <c r="B722" s="8">
        <v>0.50187196275718504</v>
      </c>
      <c r="C722" s="8">
        <v>6.2939512840642919E-5</v>
      </c>
      <c r="D722" s="8">
        <v>7973.8774595837576</v>
      </c>
      <c r="E722" s="8">
        <v>4.0475633600323135E-5</v>
      </c>
      <c r="F722" s="8">
        <v>12399.360259876905</v>
      </c>
      <c r="G722" s="8">
        <v>0.59611452227335049</v>
      </c>
      <c r="H722" s="8">
        <v>30.95810135470807</v>
      </c>
      <c r="I722" s="8">
        <v>30.958100260419542</v>
      </c>
      <c r="J722" s="8">
        <v>9.4242559516165503E-2</v>
      </c>
      <c r="K722" s="8">
        <v>30.95806087907447</v>
      </c>
      <c r="L722" s="8">
        <v>30.958037320906701</v>
      </c>
      <c r="M722" s="8">
        <v>13</v>
      </c>
    </row>
    <row r="723" spans="1:13" x14ac:dyDescent="0.3">
      <c r="A723" s="8">
        <v>712</v>
      </c>
      <c r="B723" s="8">
        <v>0.40081509293951134</v>
      </c>
      <c r="C723" s="8">
        <v>7.6775753171887118E-5</v>
      </c>
      <c r="D723" s="8">
        <v>5220.5947370149315</v>
      </c>
      <c r="E723" s="8">
        <v>5.755083163450081E-5</v>
      </c>
      <c r="F723" s="8">
        <v>6964.5404168100513</v>
      </c>
      <c r="G723" s="8">
        <v>0.52414743695540766</v>
      </c>
      <c r="H723" s="8">
        <v>30.958099987816215</v>
      </c>
      <c r="I723" s="8">
        <v>30.958097984511863</v>
      </c>
      <c r="J723" s="8">
        <v>0.12333234401589635</v>
      </c>
      <c r="K723" s="8">
        <v>30.958042436984581</v>
      </c>
      <c r="L723" s="8">
        <v>30.958021208758691</v>
      </c>
      <c r="M723" s="8">
        <v>14</v>
      </c>
    </row>
    <row r="724" spans="1:13" x14ac:dyDescent="0.3">
      <c r="A724" s="8">
        <v>713</v>
      </c>
      <c r="B724" s="8">
        <v>7.979327123604768E-2</v>
      </c>
      <c r="C724" s="8">
        <v>5.8939451005102228E-5</v>
      </c>
      <c r="D724" s="8">
        <v>1353.8176870554867</v>
      </c>
      <c r="E724" s="8">
        <v>4.3225974650340504E-5</v>
      </c>
      <c r="F724" s="8">
        <v>1845.9565546295698</v>
      </c>
      <c r="G724" s="8">
        <v>0.4446572816603544</v>
      </c>
      <c r="H724" s="8">
        <v>30.95810152398785</v>
      </c>
      <c r="I724" s="8">
        <v>30.958100481755402</v>
      </c>
      <c r="J724" s="8">
        <v>0.36486401042430672</v>
      </c>
      <c r="K724" s="8">
        <v>30.958058298013199</v>
      </c>
      <c r="L724" s="8">
        <v>30.958041542304397</v>
      </c>
      <c r="M724" s="8">
        <v>14</v>
      </c>
    </row>
    <row r="725" spans="1:13" x14ac:dyDescent="0.3">
      <c r="A725" s="8">
        <v>714</v>
      </c>
      <c r="B725" s="8">
        <v>7.8838922694662972E-2</v>
      </c>
      <c r="C725" s="8">
        <v>5.3874747930393596E-5</v>
      </c>
      <c r="D725" s="8">
        <v>1463.374321426491</v>
      </c>
      <c r="E725" s="8">
        <v>4.6664000400653549E-5</v>
      </c>
      <c r="F725" s="8">
        <v>1689.502014781373</v>
      </c>
      <c r="G725" s="8">
        <v>0.42420342168152958</v>
      </c>
      <c r="H725" s="8">
        <v>30.958101534857644</v>
      </c>
      <c r="I725" s="8">
        <v>30.958101432112962</v>
      </c>
      <c r="J725" s="8">
        <v>0.34536449898686661</v>
      </c>
      <c r="K725" s="8">
        <v>30.958054870857243</v>
      </c>
      <c r="L725" s="8">
        <v>30.958047557365031</v>
      </c>
      <c r="M725" s="8">
        <v>10</v>
      </c>
    </row>
    <row r="726" spans="1:13" x14ac:dyDescent="0.3">
      <c r="A726" s="8">
        <v>715</v>
      </c>
      <c r="B726" s="8">
        <v>0.37981447348212638</v>
      </c>
      <c r="C726" s="8">
        <v>1.2952793775156124E-4</v>
      </c>
      <c r="D726" s="8">
        <v>2932.2976963519855</v>
      </c>
      <c r="E726" s="8">
        <v>1.202113473439681E-4</v>
      </c>
      <c r="F726" s="8">
        <v>3159.5559144291092</v>
      </c>
      <c r="G726" s="8">
        <v>0.47883112362185437</v>
      </c>
      <c r="H726" s="8">
        <v>30.958099858329909</v>
      </c>
      <c r="I726" s="8">
        <v>30.958097991101447</v>
      </c>
      <c r="J726" s="8">
        <v>9.9016650139727991E-2</v>
      </c>
      <c r="K726" s="8">
        <v>30.957979646982565</v>
      </c>
      <c r="L726" s="8">
        <v>30.957968463163695</v>
      </c>
      <c r="M726" s="8">
        <v>10</v>
      </c>
    </row>
    <row r="727" spans="1:13" x14ac:dyDescent="0.3">
      <c r="A727" s="8">
        <v>716</v>
      </c>
      <c r="B727" s="8">
        <v>0.37170853822165945</v>
      </c>
      <c r="C727" s="8">
        <v>1.7185782398954075E-4</v>
      </c>
      <c r="D727" s="8">
        <v>2162.8840025594736</v>
      </c>
      <c r="E727" s="8">
        <v>1.6237403518459814E-4</v>
      </c>
      <c r="F727" s="8">
        <v>2289.2116821453333</v>
      </c>
      <c r="G727" s="8">
        <v>0.7261456762446632</v>
      </c>
      <c r="H727" s="8">
        <v>30.958092093681913</v>
      </c>
      <c r="I727" s="8">
        <v>30.958090720140845</v>
      </c>
      <c r="J727" s="8">
        <v>0.35443713802300375</v>
      </c>
      <c r="K727" s="8">
        <v>30.957929719646728</v>
      </c>
      <c r="L727" s="8">
        <v>30.957918862316856</v>
      </c>
      <c r="M727" s="8">
        <v>13</v>
      </c>
    </row>
    <row r="728" spans="1:13" x14ac:dyDescent="0.3">
      <c r="A728" s="8">
        <v>717</v>
      </c>
      <c r="B728" s="8">
        <v>0.44498936967049635</v>
      </c>
      <c r="C728" s="8">
        <v>8.2768156474344323E-5</v>
      </c>
      <c r="D728" s="8">
        <v>5376.3354002989045</v>
      </c>
      <c r="E728" s="8">
        <v>6.1978959106312459E-5</v>
      </c>
      <c r="F728" s="8">
        <v>7179.6844620640759</v>
      </c>
      <c r="G728" s="8">
        <v>0.63657124187629111</v>
      </c>
      <c r="H728" s="8">
        <v>30.958101547912722</v>
      </c>
      <c r="I728" s="8">
        <v>30.958100732872222</v>
      </c>
      <c r="J728" s="8">
        <v>0.19158187220579476</v>
      </c>
      <c r="K728" s="8">
        <v>30.958039568953616</v>
      </c>
      <c r="L728" s="8">
        <v>30.958017964715747</v>
      </c>
      <c r="M728" s="8">
        <v>13</v>
      </c>
    </row>
    <row r="729" spans="1:13" x14ac:dyDescent="0.3">
      <c r="A729" s="8">
        <v>718</v>
      </c>
      <c r="B729" s="8">
        <v>0.70515253057902449</v>
      </c>
      <c r="C729" s="8">
        <v>9.5597478402709157E-5</v>
      </c>
      <c r="D729" s="8">
        <v>7376.2670560047018</v>
      </c>
      <c r="E729" s="8">
        <v>7.833220384512174E-5</v>
      </c>
      <c r="F729" s="8">
        <v>9002.0769998154337</v>
      </c>
      <c r="G729" s="8">
        <v>0.81786333902662856</v>
      </c>
      <c r="H729" s="8">
        <v>30.958101202817478</v>
      </c>
      <c r="I729" s="8">
        <v>30.95809978456839</v>
      </c>
      <c r="J729" s="8">
        <v>0.11271080844760403</v>
      </c>
      <c r="K729" s="8">
        <v>30.958022870613632</v>
      </c>
      <c r="L729" s="8">
        <v>30.958004187089987</v>
      </c>
      <c r="M729" s="8">
        <v>13</v>
      </c>
    </row>
    <row r="730" spans="1:13" x14ac:dyDescent="0.3">
      <c r="A730" s="8">
        <v>719</v>
      </c>
      <c r="B730" s="8">
        <v>0.42990694743328306</v>
      </c>
      <c r="C730" s="8">
        <v>4.8398522984882675E-5</v>
      </c>
      <c r="D730" s="8">
        <v>8882.6460172671977</v>
      </c>
      <c r="E730" s="8">
        <v>2.9003563394525145E-5</v>
      </c>
      <c r="F730" s="8">
        <v>14822.55616613076</v>
      </c>
      <c r="G730" s="8">
        <v>0.54568752506018559</v>
      </c>
      <c r="H730" s="8">
        <v>30.958101540616443</v>
      </c>
      <c r="I730" s="8">
        <v>30.958100204069495</v>
      </c>
      <c r="J730" s="8">
        <v>0.1157805776269025</v>
      </c>
      <c r="K730" s="8">
        <v>30.958072537053049</v>
      </c>
      <c r="L730" s="8">
        <v>30.958051805546511</v>
      </c>
      <c r="M730" s="8">
        <v>15</v>
      </c>
    </row>
    <row r="731" spans="1:13" x14ac:dyDescent="0.3">
      <c r="A731" s="8">
        <v>720</v>
      </c>
      <c r="B731" s="8">
        <v>0.57020768462507909</v>
      </c>
      <c r="C731" s="8">
        <v>3.9075278852607198E-5</v>
      </c>
      <c r="D731" s="8">
        <v>14592.542941943291</v>
      </c>
      <c r="E731" s="8">
        <v>1.096561287994291E-5</v>
      </c>
      <c r="F731" s="8">
        <v>51999.618340351968</v>
      </c>
      <c r="G731" s="8">
        <v>0.6150418811226227</v>
      </c>
      <c r="H731" s="8">
        <v>30.958101532649636</v>
      </c>
      <c r="I731" s="8">
        <v>30.95809957778653</v>
      </c>
      <c r="J731" s="8">
        <v>4.4834196497543569E-2</v>
      </c>
      <c r="K731" s="8">
        <v>30.958090567036756</v>
      </c>
      <c r="L731" s="8">
        <v>30.958060502507678</v>
      </c>
      <c r="M731" s="8">
        <v>12</v>
      </c>
    </row>
    <row r="732" spans="1:13" x14ac:dyDescent="0.3">
      <c r="A732" s="8">
        <v>721</v>
      </c>
      <c r="B732" s="8">
        <v>0.85458912029406775</v>
      </c>
      <c r="C732" s="8">
        <v>4.7439120489656261E-5</v>
      </c>
      <c r="D732" s="8">
        <v>18014.438536658883</v>
      </c>
      <c r="E732" s="8">
        <v>7.414627809509966E-6</v>
      </c>
      <c r="F732" s="8">
        <v>115257.18380604025</v>
      </c>
      <c r="G732" s="8">
        <v>0.89887551583918845</v>
      </c>
      <c r="H732" s="8">
        <v>30.958101104865825</v>
      </c>
      <c r="I732" s="8">
        <v>30.958097206523298</v>
      </c>
      <c r="J732" s="8">
        <v>4.4286395545120733E-2</v>
      </c>
      <c r="K732" s="8">
        <v>30.958093690238016</v>
      </c>
      <c r="L732" s="8">
        <v>30.958049767402809</v>
      </c>
      <c r="M732" s="8">
        <v>15</v>
      </c>
    </row>
    <row r="733" spans="1:13" x14ac:dyDescent="0.3">
      <c r="A733" s="8">
        <v>722</v>
      </c>
      <c r="B733" s="8">
        <v>0.43525623815762871</v>
      </c>
      <c r="C733" s="8">
        <v>1.862836638331089E-4</v>
      </c>
      <c r="D733" s="8">
        <v>2336.5239291598523</v>
      </c>
      <c r="E733" s="8">
        <v>1.6415233394795337E-4</v>
      </c>
      <c r="F733" s="8">
        <v>2651.538529422508</v>
      </c>
      <c r="G733" s="8">
        <v>0.56502465234038324</v>
      </c>
      <c r="H733" s="8">
        <v>30.958100786567872</v>
      </c>
      <c r="I733" s="8">
        <v>30.958100261641466</v>
      </c>
      <c r="J733" s="8">
        <v>0.12976841418275453</v>
      </c>
      <c r="K733" s="8">
        <v>30.957936634233924</v>
      </c>
      <c r="L733" s="8">
        <v>30.957913977977633</v>
      </c>
      <c r="M733" s="8">
        <v>14</v>
      </c>
    </row>
    <row r="734" spans="1:13" x14ac:dyDescent="0.3">
      <c r="A734" s="8">
        <v>723</v>
      </c>
      <c r="B734" s="8">
        <v>0.49687520440619876</v>
      </c>
      <c r="C734" s="8">
        <v>4.9161276848508351E-5</v>
      </c>
      <c r="D734" s="8">
        <v>10107.044329571252</v>
      </c>
      <c r="E734" s="8">
        <v>2.0697339440545193E-5</v>
      </c>
      <c r="F734" s="8">
        <v>24006.718633257842</v>
      </c>
      <c r="G734" s="8">
        <v>0.55254578448468727</v>
      </c>
      <c r="H734" s="8">
        <v>30.958100943138742</v>
      </c>
      <c r="I734" s="8">
        <v>30.958097944228953</v>
      </c>
      <c r="J734" s="8">
        <v>5.5670580078488505E-2</v>
      </c>
      <c r="K734" s="8">
        <v>30.958080245799302</v>
      </c>
      <c r="L734" s="8">
        <v>30.958048782952105</v>
      </c>
      <c r="M734" s="8">
        <v>14</v>
      </c>
    </row>
    <row r="735" spans="1:13" x14ac:dyDescent="0.3">
      <c r="A735" s="8">
        <v>724</v>
      </c>
      <c r="B735" s="8">
        <v>0.53372115892285954</v>
      </c>
      <c r="C735" s="8">
        <v>1.1007654265426936E-4</v>
      </c>
      <c r="D735" s="8">
        <v>4848.6366491286144</v>
      </c>
      <c r="E735" s="8">
        <v>8.4301892886884389E-5</v>
      </c>
      <c r="F735" s="8">
        <v>6331.0696906770809</v>
      </c>
      <c r="G735" s="8">
        <v>0.65579123874001788</v>
      </c>
      <c r="H735" s="8">
        <v>30.958100711972186</v>
      </c>
      <c r="I735" s="8">
        <v>30.958098834150409</v>
      </c>
      <c r="J735" s="8">
        <v>0.12207007981715833</v>
      </c>
      <c r="K735" s="8">
        <v>30.958016410079299</v>
      </c>
      <c r="L735" s="8">
        <v>30.957988757607755</v>
      </c>
      <c r="M735" s="8">
        <v>11</v>
      </c>
    </row>
    <row r="736" spans="1:13" x14ac:dyDescent="0.3">
      <c r="A736" s="8">
        <v>725</v>
      </c>
      <c r="B736" s="8">
        <v>0.4704091693957953</v>
      </c>
      <c r="C736" s="8">
        <v>3.9147714787191035E-5</v>
      </c>
      <c r="D736" s="8">
        <v>12016.261279948611</v>
      </c>
      <c r="E736" s="8">
        <v>1.7522942755476834E-5</v>
      </c>
      <c r="F736" s="8">
        <v>26845.3293467941</v>
      </c>
      <c r="G736" s="8">
        <v>0.57505181872293198</v>
      </c>
      <c r="H736" s="8">
        <v>30.95810108926041</v>
      </c>
      <c r="I736" s="8">
        <v>30.958099250529433</v>
      </c>
      <c r="J736" s="8">
        <v>0.10464264932713668</v>
      </c>
      <c r="K736" s="8">
        <v>30.958083566317654</v>
      </c>
      <c r="L736" s="8">
        <v>30.958060102814645</v>
      </c>
      <c r="M736" s="8">
        <v>13</v>
      </c>
    </row>
    <row r="737" spans="1:13" x14ac:dyDescent="0.3">
      <c r="A737" s="8">
        <v>726</v>
      </c>
      <c r="B737" s="8">
        <v>0.44558863415136352</v>
      </c>
      <c r="C737" s="8">
        <v>3.2291688015106956E-5</v>
      </c>
      <c r="D737" s="8">
        <v>13798.864709175459</v>
      </c>
      <c r="E737" s="8">
        <v>1.799369425725672E-5</v>
      </c>
      <c r="F737" s="8">
        <v>24763.599279878894</v>
      </c>
      <c r="G737" s="8">
        <v>0.50510300411070341</v>
      </c>
      <c r="H737" s="8">
        <v>30.958101433070954</v>
      </c>
      <c r="I737" s="8">
        <v>30.958100483532302</v>
      </c>
      <c r="J737" s="8">
        <v>5.9514369959339897E-2</v>
      </c>
      <c r="K737" s="8">
        <v>30.958083439376697</v>
      </c>
      <c r="L737" s="8">
        <v>30.958068191844287</v>
      </c>
      <c r="M737" s="8">
        <v>14</v>
      </c>
    </row>
    <row r="738" spans="1:13" x14ac:dyDescent="0.3">
      <c r="A738" s="8">
        <v>727</v>
      </c>
      <c r="B738" s="8">
        <v>0.71259130329480369</v>
      </c>
      <c r="C738" s="8">
        <v>6.3166325773522658E-5</v>
      </c>
      <c r="D738" s="8">
        <v>11281.18969353604</v>
      </c>
      <c r="E738" s="8">
        <v>4.1409492656185876E-5</v>
      </c>
      <c r="F738" s="8">
        <v>17208.404585182827</v>
      </c>
      <c r="G738" s="8">
        <v>0.8646259907834124</v>
      </c>
      <c r="H738" s="8">
        <v>30.958097778012839</v>
      </c>
      <c r="I738" s="8">
        <v>30.958095014355891</v>
      </c>
      <c r="J738" s="8">
        <v>0.15203468748860877</v>
      </c>
      <c r="K738" s="8">
        <v>30.958056368520182</v>
      </c>
      <c r="L738" s="8">
        <v>30.958031848030117</v>
      </c>
      <c r="M738" s="8">
        <v>11</v>
      </c>
    </row>
    <row r="739" spans="1:13" x14ac:dyDescent="0.3">
      <c r="A739" s="8">
        <v>728</v>
      </c>
      <c r="B739" s="8">
        <v>0.55058989897182042</v>
      </c>
      <c r="C739" s="8">
        <v>4.6783677898787346E-5</v>
      </c>
      <c r="D739" s="8">
        <v>11768.845967240468</v>
      </c>
      <c r="E739" s="8">
        <v>2.6585317897342975E-5</v>
      </c>
      <c r="F739" s="8">
        <v>20710.299613413619</v>
      </c>
      <c r="G739" s="8">
        <v>0.60798911137846123</v>
      </c>
      <c r="H739" s="8">
        <v>30.95810155141201</v>
      </c>
      <c r="I739" s="8">
        <v>30.958101152740902</v>
      </c>
      <c r="J739" s="8">
        <v>5.7399212406640775E-2</v>
      </c>
      <c r="K739" s="8">
        <v>30.958074966094113</v>
      </c>
      <c r="L739" s="8">
        <v>30.958054369063003</v>
      </c>
      <c r="M739" s="8">
        <v>13</v>
      </c>
    </row>
    <row r="740" spans="1:13" x14ac:dyDescent="0.3">
      <c r="A740" s="8">
        <v>729</v>
      </c>
      <c r="B740" s="8">
        <v>0.48412850634021259</v>
      </c>
      <c r="C740" s="8">
        <v>6.2381857777182859E-5</v>
      </c>
      <c r="D740" s="8">
        <v>7760.7260121914833</v>
      </c>
      <c r="E740" s="8">
        <v>4.3161945480818531E-5</v>
      </c>
      <c r="F740" s="8">
        <v>11216.558960609473</v>
      </c>
      <c r="G740" s="8">
        <v>0.68611867952707428</v>
      </c>
      <c r="H740" s="8">
        <v>30.95810077606064</v>
      </c>
      <c r="I740" s="8">
        <v>30.958098852302768</v>
      </c>
      <c r="J740" s="8">
        <v>0.20199017318686169</v>
      </c>
      <c r="K740" s="8">
        <v>30.958057614115159</v>
      </c>
      <c r="L740" s="8">
        <v>30.958036470444991</v>
      </c>
      <c r="M740" s="8">
        <v>11</v>
      </c>
    </row>
    <row r="741" spans="1:13" x14ac:dyDescent="0.3">
      <c r="A741" s="8">
        <v>730</v>
      </c>
      <c r="B741" s="8">
        <v>0.4032063632722161</v>
      </c>
      <c r="C741" s="8">
        <v>1.1726180117932472E-4</v>
      </c>
      <c r="D741" s="8">
        <v>3438.5141556507861</v>
      </c>
      <c r="E741" s="8">
        <v>1.0064445855562099E-4</v>
      </c>
      <c r="F741" s="8">
        <v>4006.2450437783896</v>
      </c>
      <c r="G741" s="8">
        <v>0.58250411603708907</v>
      </c>
      <c r="H741" s="8">
        <v>30.95810144559762</v>
      </c>
      <c r="I741" s="8">
        <v>30.958100567080283</v>
      </c>
      <c r="J741" s="8">
        <v>0.17929775276487298</v>
      </c>
      <c r="K741" s="8">
        <v>30.958000801139065</v>
      </c>
      <c r="L741" s="8">
        <v>30.957983305279104</v>
      </c>
      <c r="M741" s="8">
        <v>11</v>
      </c>
    </row>
    <row r="742" spans="1:13" x14ac:dyDescent="0.3">
      <c r="A742" s="8">
        <v>731</v>
      </c>
      <c r="B742" s="8">
        <v>0.89599210356793368</v>
      </c>
      <c r="C742" s="8">
        <v>5.2970941823105022E-5</v>
      </c>
      <c r="D742" s="8">
        <v>16914.78521488393</v>
      </c>
      <c r="E742" s="8">
        <v>1.7660992696733047E-5</v>
      </c>
      <c r="F742" s="8">
        <v>50732.827930656211</v>
      </c>
      <c r="G742" s="8">
        <v>0.95903612042815845</v>
      </c>
      <c r="H742" s="8">
        <v>30.958101442541565</v>
      </c>
      <c r="I742" s="8">
        <v>30.958098580440456</v>
      </c>
      <c r="J742" s="8">
        <v>6.3044016860224719E-2</v>
      </c>
      <c r="K742" s="8">
        <v>30.958083781548869</v>
      </c>
      <c r="L742" s="8">
        <v>30.958045609498633</v>
      </c>
      <c r="M742" s="8">
        <v>12</v>
      </c>
    </row>
    <row r="743" spans="1:13" x14ac:dyDescent="0.3">
      <c r="A743" s="8">
        <v>732</v>
      </c>
      <c r="B743" s="8">
        <v>0.70012230621306804</v>
      </c>
      <c r="C743" s="8">
        <v>3.1058698660046957E-5</v>
      </c>
      <c r="D743" s="8">
        <v>22541.907305140438</v>
      </c>
      <c r="E743" s="8">
        <v>1.8081999961339079E-5</v>
      </c>
      <c r="F743" s="8">
        <v>38719.295858311671</v>
      </c>
      <c r="G743" s="8">
        <v>0.74185924289731986</v>
      </c>
      <c r="H743" s="8">
        <v>30.95810130010322</v>
      </c>
      <c r="I743" s="8">
        <v>30.958100512180458</v>
      </c>
      <c r="J743" s="8">
        <v>4.173693668425181E-2</v>
      </c>
      <c r="K743" s="8">
        <v>30.958083218103258</v>
      </c>
      <c r="L743" s="8">
        <v>30.958069453481798</v>
      </c>
      <c r="M743" s="8">
        <v>12</v>
      </c>
    </row>
    <row r="744" spans="1:13" x14ac:dyDescent="0.3">
      <c r="A744" s="8">
        <v>733</v>
      </c>
      <c r="B744" s="8">
        <v>0.65430596748499259</v>
      </c>
      <c r="C744" s="8">
        <v>1.0609176208831173E-4</v>
      </c>
      <c r="D744" s="8">
        <v>6167.3588467721229</v>
      </c>
      <c r="E744" s="8">
        <v>9.0311467282333524E-5</v>
      </c>
      <c r="F744" s="8">
        <v>7244.9932126502617</v>
      </c>
      <c r="G744" s="8">
        <v>0.79759730904219295</v>
      </c>
      <c r="H744" s="8">
        <v>30.958096239265313</v>
      </c>
      <c r="I744" s="8">
        <v>30.958094115782046</v>
      </c>
      <c r="J744" s="8">
        <v>0.14329134155720033</v>
      </c>
      <c r="K744" s="8">
        <v>30.95800592779803</v>
      </c>
      <c r="L744" s="8">
        <v>30.957988024019958</v>
      </c>
      <c r="M744" s="8">
        <v>11</v>
      </c>
    </row>
    <row r="745" spans="1:13" x14ac:dyDescent="0.3">
      <c r="A745" s="8">
        <v>734</v>
      </c>
      <c r="B745" s="8">
        <v>0.3002399652790787</v>
      </c>
      <c r="C745" s="8">
        <v>2.2063730529708891E-5</v>
      </c>
      <c r="D745" s="8">
        <v>13607.851350196855</v>
      </c>
      <c r="E745" s="8">
        <v>1.170508023307093E-5</v>
      </c>
      <c r="F745" s="8">
        <v>25650.397887132476</v>
      </c>
      <c r="G745" s="8">
        <v>0.3624491997589826</v>
      </c>
      <c r="H745" s="8">
        <v>30.958097607407826</v>
      </c>
      <c r="I745" s="8">
        <v>30.958093959172992</v>
      </c>
      <c r="J745" s="8">
        <v>6.2209234479903869E-2</v>
      </c>
      <c r="K745" s="8">
        <v>30.958085902327593</v>
      </c>
      <c r="L745" s="8">
        <v>30.958071895442462</v>
      </c>
      <c r="M745" s="8">
        <v>12</v>
      </c>
    </row>
    <row r="746" spans="1:13" x14ac:dyDescent="0.3">
      <c r="A746" s="8">
        <v>735</v>
      </c>
      <c r="B746" s="8">
        <v>0.3170823948016519</v>
      </c>
      <c r="C746" s="8">
        <v>1.0010469002708078E-4</v>
      </c>
      <c r="D746" s="8">
        <v>3167.5078831558571</v>
      </c>
      <c r="E746" s="8">
        <v>8.918064608565146E-5</v>
      </c>
      <c r="F746" s="8">
        <v>3555.5068136321593</v>
      </c>
      <c r="G746" s="8">
        <v>0.58925620798113842</v>
      </c>
      <c r="H746" s="8">
        <v>30.958101551449793</v>
      </c>
      <c r="I746" s="8">
        <v>30.958100275040021</v>
      </c>
      <c r="J746" s="8">
        <v>0.27217381317948652</v>
      </c>
      <c r="K746" s="8">
        <v>30.958012370803708</v>
      </c>
      <c r="L746" s="8">
        <v>30.958000170349994</v>
      </c>
      <c r="M746" s="8">
        <v>15</v>
      </c>
    </row>
    <row r="747" spans="1:13" x14ac:dyDescent="0.3">
      <c r="A747" s="8">
        <v>736</v>
      </c>
      <c r="B747" s="8">
        <v>0.38087292388266358</v>
      </c>
      <c r="C747" s="8">
        <v>4.8342087861641403E-5</v>
      </c>
      <c r="D747" s="8">
        <v>7878.7024046778824</v>
      </c>
      <c r="E747" s="8">
        <v>3.6930801165624416E-5</v>
      </c>
      <c r="F747" s="8">
        <v>10313.150862190992</v>
      </c>
      <c r="G747" s="8">
        <v>0.46496414977037631</v>
      </c>
      <c r="H747" s="8">
        <v>30.958097991298814</v>
      </c>
      <c r="I747" s="8">
        <v>30.958096534478962</v>
      </c>
      <c r="J747" s="8">
        <v>8.4091225887712701E-2</v>
      </c>
      <c r="K747" s="8">
        <v>30.958061060497648</v>
      </c>
      <c r="L747" s="8">
        <v>30.9580481923911</v>
      </c>
      <c r="M747" s="8">
        <v>10</v>
      </c>
    </row>
    <row r="748" spans="1:13" x14ac:dyDescent="0.3">
      <c r="A748" s="8">
        <v>737</v>
      </c>
      <c r="B748" s="8">
        <v>0.31863515840654677</v>
      </c>
      <c r="C748" s="8">
        <v>2.6350552357001789E-5</v>
      </c>
      <c r="D748" s="8">
        <v>12092.162399088382</v>
      </c>
      <c r="E748" s="8">
        <v>1.8876863606465122E-5</v>
      </c>
      <c r="F748" s="8">
        <v>16879.666296757987</v>
      </c>
      <c r="G748" s="8">
        <v>0.34716039375133823</v>
      </c>
      <c r="H748" s="8">
        <v>30.958100806012116</v>
      </c>
      <c r="I748" s="8">
        <v>30.958100094289893</v>
      </c>
      <c r="J748" s="8">
        <v>2.8525235344791473E-2</v>
      </c>
      <c r="K748" s="8">
        <v>30.958081929148509</v>
      </c>
      <c r="L748" s="8">
        <v>30.958073743737536</v>
      </c>
      <c r="M748" s="8">
        <v>12</v>
      </c>
    </row>
    <row r="749" spans="1:13" x14ac:dyDescent="0.3">
      <c r="A749" s="8">
        <v>738</v>
      </c>
      <c r="B749" s="8">
        <v>0.44529876276088842</v>
      </c>
      <c r="C749" s="8">
        <v>2.0298475369884272E-5</v>
      </c>
      <c r="D749" s="8">
        <v>21937.547261384647</v>
      </c>
      <c r="E749" s="8">
        <v>3.9354946252956324E-6</v>
      </c>
      <c r="F749" s="8">
        <v>113149.37642112465</v>
      </c>
      <c r="G749" s="8">
        <v>0.4723846459536743</v>
      </c>
      <c r="H749" s="8">
        <v>30.958101460606201</v>
      </c>
      <c r="I749" s="8">
        <v>30.958100802420642</v>
      </c>
      <c r="J749" s="8">
        <v>2.7085883192785883E-2</v>
      </c>
      <c r="K749" s="8">
        <v>30.958097525111576</v>
      </c>
      <c r="L749" s="8">
        <v>30.958080503945272</v>
      </c>
      <c r="M749" s="8">
        <v>11</v>
      </c>
    </row>
    <row r="750" spans="1:13" x14ac:dyDescent="0.3">
      <c r="A750" s="8">
        <v>739</v>
      </c>
      <c r="B750" s="8">
        <v>0.56086192600074913</v>
      </c>
      <c r="C750" s="8">
        <v>8.9596012223580601E-5</v>
      </c>
      <c r="D750" s="8">
        <v>6259.8983155763372</v>
      </c>
      <c r="E750" s="8">
        <v>6.4710819451363477E-5</v>
      </c>
      <c r="F750" s="8">
        <v>8667.2048160708564</v>
      </c>
      <c r="G750" s="8">
        <v>0.7634609916800541</v>
      </c>
      <c r="H750" s="8">
        <v>30.958101174581273</v>
      </c>
      <c r="I750" s="8">
        <v>30.958099972655646</v>
      </c>
      <c r="J750" s="8">
        <v>0.20259906567930494</v>
      </c>
      <c r="K750" s="8">
        <v>30.958036463761822</v>
      </c>
      <c r="L750" s="8">
        <v>30.958010376643422</v>
      </c>
      <c r="M750" s="8">
        <v>12</v>
      </c>
    </row>
    <row r="751" spans="1:13" x14ac:dyDescent="0.3">
      <c r="A751" s="8">
        <v>740</v>
      </c>
      <c r="B751" s="8">
        <v>0.704972367096798</v>
      </c>
      <c r="C751" s="8">
        <v>7.1779519359438382E-5</v>
      </c>
      <c r="D751" s="8">
        <v>9821.3581448856585</v>
      </c>
      <c r="E751" s="8">
        <v>4.3700945173696937E-5</v>
      </c>
      <c r="F751" s="8">
        <v>16131.741871823684</v>
      </c>
      <c r="G751" s="8">
        <v>0.80925075944239844</v>
      </c>
      <c r="H751" s="8">
        <v>30.958098556463693</v>
      </c>
      <c r="I751" s="8">
        <v>30.958096587506297</v>
      </c>
      <c r="J751" s="8">
        <v>0.10427839234560046</v>
      </c>
      <c r="K751" s="8">
        <v>30.958054855518519</v>
      </c>
      <c r="L751" s="8">
        <v>30.958024807986938</v>
      </c>
      <c r="M751" s="8">
        <v>10</v>
      </c>
    </row>
    <row r="752" spans="1:13" x14ac:dyDescent="0.3">
      <c r="A752" s="8">
        <v>741</v>
      </c>
      <c r="B752" s="8">
        <v>0.3330870214538999</v>
      </c>
      <c r="C752" s="8">
        <v>6.9491896695694777E-5</v>
      </c>
      <c r="D752" s="8">
        <v>4793.1778709752152</v>
      </c>
      <c r="E752" s="8">
        <v>4.7873251897811997E-5</v>
      </c>
      <c r="F752" s="8">
        <v>6957.6853096357827</v>
      </c>
      <c r="G752" s="8">
        <v>0.47178631442656604</v>
      </c>
      <c r="H752" s="8">
        <v>30.958100763019651</v>
      </c>
      <c r="I752" s="8">
        <v>30.958100002825269</v>
      </c>
      <c r="J752" s="8">
        <v>0.13869929297266617</v>
      </c>
      <c r="K752" s="8">
        <v>30.958052889767753</v>
      </c>
      <c r="L752" s="8">
        <v>30.958030510928573</v>
      </c>
      <c r="M752" s="8">
        <v>11</v>
      </c>
    </row>
    <row r="753" spans="1:13" x14ac:dyDescent="0.3">
      <c r="A753" s="8">
        <v>742</v>
      </c>
      <c r="B753" s="8">
        <v>0.52560701789317787</v>
      </c>
      <c r="C753" s="8">
        <v>5.0040102340886961E-5</v>
      </c>
      <c r="D753" s="8">
        <v>10503.715885962783</v>
      </c>
      <c r="E753" s="8">
        <v>2.4374933413895405E-5</v>
      </c>
      <c r="F753" s="8">
        <v>21563.423742259143</v>
      </c>
      <c r="G753" s="8">
        <v>0.5734652140410843</v>
      </c>
      <c r="H753" s="8">
        <v>30.958100854833305</v>
      </c>
      <c r="I753" s="8">
        <v>30.958099244757463</v>
      </c>
      <c r="J753" s="8">
        <v>4.7858196147906436E-2</v>
      </c>
      <c r="K753" s="8">
        <v>30.958076479899891</v>
      </c>
      <c r="L753" s="8">
        <v>30.958049204655122</v>
      </c>
      <c r="M753" s="8">
        <v>12</v>
      </c>
    </row>
    <row r="754" spans="1:13" x14ac:dyDescent="0.3">
      <c r="A754" s="8">
        <v>743</v>
      </c>
      <c r="B754" s="8">
        <v>7.675511251433581E-2</v>
      </c>
      <c r="C754" s="8">
        <v>3.2267675969421816E-5</v>
      </c>
      <c r="D754" s="8">
        <v>2378.6997423388075</v>
      </c>
      <c r="E754" s="8">
        <v>1.8693039560702118E-5</v>
      </c>
      <c r="F754" s="8">
        <v>4106.0798199826231</v>
      </c>
      <c r="G754" s="8">
        <v>0.39884502577869152</v>
      </c>
      <c r="H754" s="8">
        <v>30.958100966191406</v>
      </c>
      <c r="I754" s="8">
        <v>30.958100123539396</v>
      </c>
      <c r="J754" s="8">
        <v>0.32208991326435571</v>
      </c>
      <c r="K754" s="8">
        <v>30.958082273151845</v>
      </c>
      <c r="L754" s="8">
        <v>30.958067855863426</v>
      </c>
      <c r="M754" s="8">
        <v>9</v>
      </c>
    </row>
    <row r="755" spans="1:13" x14ac:dyDescent="0.3">
      <c r="A755" s="8">
        <v>744</v>
      </c>
      <c r="B755" s="8">
        <v>0.61506611108396858</v>
      </c>
      <c r="C755" s="8">
        <v>3.9758318269633719E-5</v>
      </c>
      <c r="D755" s="8">
        <v>15470.123935139851</v>
      </c>
      <c r="E755" s="8">
        <v>1.7583695058220883E-5</v>
      </c>
      <c r="F755" s="8">
        <v>34979.343593450656</v>
      </c>
      <c r="G755" s="8">
        <v>0.6726466350608945</v>
      </c>
      <c r="H755" s="8">
        <v>30.958101355912245</v>
      </c>
      <c r="I755" s="8">
        <v>30.958099633469459</v>
      </c>
      <c r="J755" s="8">
        <v>5.7580523976925896E-2</v>
      </c>
      <c r="K755" s="8">
        <v>30.958083772217186</v>
      </c>
      <c r="L755" s="8">
        <v>30.958059875151189</v>
      </c>
      <c r="M755" s="8">
        <v>10</v>
      </c>
    </row>
    <row r="756" spans="1:13" x14ac:dyDescent="0.3">
      <c r="A756" s="8">
        <v>745</v>
      </c>
      <c r="B756" s="8">
        <v>0.34928089551822505</v>
      </c>
      <c r="C756" s="8">
        <v>4.1532303075797472E-5</v>
      </c>
      <c r="D756" s="8">
        <v>8409.8609913536184</v>
      </c>
      <c r="E756" s="8">
        <v>2.8442955112950585E-5</v>
      </c>
      <c r="F756" s="8">
        <v>12280.04945798305</v>
      </c>
      <c r="G756" s="8">
        <v>0.41395622476498378</v>
      </c>
      <c r="H756" s="8">
        <v>30.958100815067219</v>
      </c>
      <c r="I756" s="8">
        <v>30.958100184413993</v>
      </c>
      <c r="J756" s="8">
        <v>6.4675329246758714E-2</v>
      </c>
      <c r="K756" s="8">
        <v>30.958072372112106</v>
      </c>
      <c r="L756" s="8">
        <v>30.958058652110918</v>
      </c>
      <c r="M756" s="8">
        <v>9</v>
      </c>
    </row>
    <row r="757" spans="1:13" x14ac:dyDescent="0.3">
      <c r="A757" s="8">
        <v>746</v>
      </c>
      <c r="B757" s="8">
        <v>0.76883123284582244</v>
      </c>
      <c r="C757" s="8">
        <v>8.8127269300741773E-5</v>
      </c>
      <c r="D757" s="8">
        <v>8724.1013927496242</v>
      </c>
      <c r="E757" s="8">
        <v>6.4519747436264652E-5</v>
      </c>
      <c r="F757" s="8">
        <v>11916.21578502468</v>
      </c>
      <c r="G757" s="8">
        <v>0.90988725422318106</v>
      </c>
      <c r="H757" s="8">
        <v>30.958099445453495</v>
      </c>
      <c r="I757" s="8">
        <v>30.958098137561013</v>
      </c>
      <c r="J757" s="8">
        <v>0.14105602137735859</v>
      </c>
      <c r="K757" s="8">
        <v>30.958034925706059</v>
      </c>
      <c r="L757" s="8">
        <v>30.958010010291712</v>
      </c>
      <c r="M757" s="8">
        <v>14</v>
      </c>
    </row>
    <row r="758" spans="1:13" x14ac:dyDescent="0.3">
      <c r="A758" s="8">
        <v>747</v>
      </c>
      <c r="B758" s="8">
        <v>0.4175846402219201</v>
      </c>
      <c r="C758" s="8">
        <v>1.0526563736235062E-4</v>
      </c>
      <c r="D758" s="8">
        <v>3966.9606405791233</v>
      </c>
      <c r="E758" s="8">
        <v>8.3774838930850137E-5</v>
      </c>
      <c r="F758" s="8">
        <v>4984.6069004872097</v>
      </c>
      <c r="G758" s="8">
        <v>0.70425764615004227</v>
      </c>
      <c r="H758" s="8">
        <v>30.958101204822466</v>
      </c>
      <c r="I758" s="8">
        <v>30.958098525318775</v>
      </c>
      <c r="J758" s="8">
        <v>0.28667300592812217</v>
      </c>
      <c r="K758" s="8">
        <v>30.958017429983535</v>
      </c>
      <c r="L758" s="8">
        <v>30.957993259681412</v>
      </c>
      <c r="M758" s="8">
        <v>15</v>
      </c>
    </row>
    <row r="759" spans="1:13" x14ac:dyDescent="0.3">
      <c r="A759" s="8">
        <v>748</v>
      </c>
      <c r="B759" s="8">
        <v>0.38129588255307367</v>
      </c>
      <c r="C759" s="8">
        <v>1.0407316239025022E-4</v>
      </c>
      <c r="D759" s="8">
        <v>3663.7291862363377</v>
      </c>
      <c r="E759" s="8">
        <v>8.9392435722146502E-5</v>
      </c>
      <c r="F759" s="8">
        <v>4265.4155183581115</v>
      </c>
      <c r="G759" s="8">
        <v>0.64548743189461011</v>
      </c>
      <c r="H759" s="8">
        <v>30.95810139267957</v>
      </c>
      <c r="I759" s="8">
        <v>30.958100445268926</v>
      </c>
      <c r="J759" s="8">
        <v>0.26419154934153644</v>
      </c>
      <c r="K759" s="8">
        <v>30.958012000243848</v>
      </c>
      <c r="L759" s="8">
        <v>30.957996372106535</v>
      </c>
      <c r="M759" s="8">
        <v>12</v>
      </c>
    </row>
    <row r="760" spans="1:13" x14ac:dyDescent="0.3">
      <c r="A760" s="8">
        <v>749</v>
      </c>
      <c r="B760" s="8">
        <v>0.56408295515719076</v>
      </c>
      <c r="C760" s="8">
        <v>3.8689721169049562E-5</v>
      </c>
      <c r="D760" s="8">
        <v>14579.659354289624</v>
      </c>
      <c r="E760" s="8">
        <v>1.0050354735113842E-5</v>
      </c>
      <c r="F760" s="8">
        <v>56125.676160106334</v>
      </c>
      <c r="G760" s="8">
        <v>0.59248541942177013</v>
      </c>
      <c r="H760" s="8">
        <v>30.958101484499739</v>
      </c>
      <c r="I760" s="8">
        <v>30.958100502107413</v>
      </c>
      <c r="J760" s="8">
        <v>2.8402464264579364E-2</v>
      </c>
      <c r="K760" s="8">
        <v>30.958091434145004</v>
      </c>
      <c r="L760" s="8">
        <v>30.958061812386244</v>
      </c>
      <c r="M760" s="8">
        <v>10</v>
      </c>
    </row>
    <row r="761" spans="1:13" x14ac:dyDescent="0.3">
      <c r="A761" s="8">
        <v>750</v>
      </c>
      <c r="B761" s="8">
        <v>0.58830103634099651</v>
      </c>
      <c r="C761" s="8">
        <v>4.117825151439547E-5</v>
      </c>
      <c r="D761" s="8">
        <v>14286.692967896726</v>
      </c>
      <c r="E761" s="8">
        <v>1.5635387548229573E-5</v>
      </c>
      <c r="F761" s="8">
        <v>37626.252277169238</v>
      </c>
      <c r="G761" s="8">
        <v>0.63783901119509201</v>
      </c>
      <c r="H761" s="8">
        <v>30.958101434922817</v>
      </c>
      <c r="I761" s="8">
        <v>30.958099799625256</v>
      </c>
      <c r="J761" s="8">
        <v>4.9537974854095453E-2</v>
      </c>
      <c r="K761" s="8">
        <v>30.958085799535269</v>
      </c>
      <c r="L761" s="8">
        <v>30.958058621373741</v>
      </c>
      <c r="M761" s="8">
        <v>11</v>
      </c>
    </row>
    <row r="762" spans="1:13" x14ac:dyDescent="0.3">
      <c r="A762" s="8">
        <v>751</v>
      </c>
      <c r="B762" s="8">
        <v>0.81043300721340628</v>
      </c>
      <c r="C762" s="8">
        <v>4.3380468298437336E-5</v>
      </c>
      <c r="D762" s="8">
        <v>18681.979217882254</v>
      </c>
      <c r="E762" s="8">
        <v>2.0460186732407237E-5</v>
      </c>
      <c r="F762" s="8">
        <v>39610.244902102859</v>
      </c>
      <c r="G762" s="8">
        <v>0.93810479999861096</v>
      </c>
      <c r="H762" s="8">
        <v>30.958101413417786</v>
      </c>
      <c r="I762" s="8">
        <v>30.958100689879661</v>
      </c>
      <c r="J762" s="8">
        <v>0.12767179278520474</v>
      </c>
      <c r="K762" s="8">
        <v>30.958080953231054</v>
      </c>
      <c r="L762" s="8">
        <v>30.958057309411362</v>
      </c>
      <c r="M762" s="8">
        <v>11</v>
      </c>
    </row>
    <row r="763" spans="1:13" x14ac:dyDescent="0.3">
      <c r="A763" s="8">
        <v>752</v>
      </c>
      <c r="B763" s="8">
        <v>0.62164990157270961</v>
      </c>
      <c r="C763" s="8">
        <v>1.4111912927816661E-4</v>
      </c>
      <c r="D763" s="8">
        <v>4405.1426957669646</v>
      </c>
      <c r="E763" s="8">
        <v>1.1224060096637345E-4</v>
      </c>
      <c r="F763" s="8">
        <v>5538.5475150739067</v>
      </c>
      <c r="G763" s="8">
        <v>0.79812388070324625</v>
      </c>
      <c r="H763" s="8">
        <v>30.958096137509507</v>
      </c>
      <c r="I763" s="8">
        <v>30.958093844334893</v>
      </c>
      <c r="J763" s="8">
        <v>0.17647397913053667</v>
      </c>
      <c r="K763" s="8">
        <v>30.957983896908541</v>
      </c>
      <c r="L763" s="8">
        <v>30.957952725205615</v>
      </c>
      <c r="M763" s="8">
        <v>9</v>
      </c>
    </row>
    <row r="764" spans="1:13" x14ac:dyDescent="0.3">
      <c r="A764" s="8">
        <v>753</v>
      </c>
      <c r="B764" s="8">
        <v>0.3187044330960932</v>
      </c>
      <c r="C764" s="8">
        <v>4.1968603248676573E-5</v>
      </c>
      <c r="D764" s="8">
        <v>7593.8775281053258</v>
      </c>
      <c r="E764" s="8">
        <v>2.818880078692132E-5</v>
      </c>
      <c r="F764" s="8">
        <v>11306.065678535768</v>
      </c>
      <c r="G764" s="8">
        <v>0.38108840700805768</v>
      </c>
      <c r="H764" s="8">
        <v>30.958101543249843</v>
      </c>
      <c r="I764" s="8">
        <v>30.958101274125841</v>
      </c>
      <c r="J764" s="8">
        <v>6.2383973911964499E-2</v>
      </c>
      <c r="K764" s="8">
        <v>30.958073354449056</v>
      </c>
      <c r="L764" s="8">
        <v>30.958059305522593</v>
      </c>
      <c r="M764" s="8">
        <v>12</v>
      </c>
    </row>
    <row r="765" spans="1:13" x14ac:dyDescent="0.3">
      <c r="A765" s="8">
        <v>754</v>
      </c>
      <c r="B765" s="8">
        <v>0.62187740478789055</v>
      </c>
      <c r="C765" s="8">
        <v>2.6445510563632979E-5</v>
      </c>
      <c r="D765" s="8">
        <v>23515.424415480051</v>
      </c>
      <c r="E765" s="8">
        <v>7.4131959770795675E-6</v>
      </c>
      <c r="F765" s="8">
        <v>83887.894871609678</v>
      </c>
      <c r="G765" s="8">
        <v>0.67480836387736765</v>
      </c>
      <c r="H765" s="8">
        <v>30.958101539836946</v>
      </c>
      <c r="I765" s="8">
        <v>30.958101334408326</v>
      </c>
      <c r="J765" s="8">
        <v>5.293095908947712E-2</v>
      </c>
      <c r="K765" s="8">
        <v>30.958094126640969</v>
      </c>
      <c r="L765" s="8">
        <v>30.958074888897762</v>
      </c>
      <c r="M765" s="8">
        <v>10</v>
      </c>
    </row>
    <row r="766" spans="1:13" x14ac:dyDescent="0.3">
      <c r="A766" s="8">
        <v>755</v>
      </c>
      <c r="B766" s="8">
        <v>0.35969222532809675</v>
      </c>
      <c r="C766" s="8">
        <v>5.7169209373597596E-5</v>
      </c>
      <c r="D766" s="8">
        <v>6291.7124317310063</v>
      </c>
      <c r="E766" s="8">
        <v>4.2699800751222483E-5</v>
      </c>
      <c r="F766" s="8">
        <v>8423.7448184766727</v>
      </c>
      <c r="G766" s="8">
        <v>0.45318844880755516</v>
      </c>
      <c r="H766" s="8">
        <v>30.958101548397281</v>
      </c>
      <c r="I766" s="8">
        <v>30.958101192882904</v>
      </c>
      <c r="J766" s="8">
        <v>9.3496223479458379E-2</v>
      </c>
      <c r="K766" s="8">
        <v>30.958058848596529</v>
      </c>
      <c r="L766" s="8">
        <v>30.95804402367353</v>
      </c>
      <c r="M766" s="8">
        <v>14</v>
      </c>
    </row>
    <row r="767" spans="1:13" x14ac:dyDescent="0.3">
      <c r="A767" s="8">
        <v>756</v>
      </c>
      <c r="B767" s="8">
        <v>0.35251712285987469</v>
      </c>
      <c r="C767" s="8">
        <v>2.2248507725919353E-5</v>
      </c>
      <c r="D767" s="8">
        <v>15844.528864702002</v>
      </c>
      <c r="E767" s="8">
        <v>1.3653104549149475E-5</v>
      </c>
      <c r="F767" s="8">
        <v>25819.557858863307</v>
      </c>
      <c r="G767" s="8">
        <v>0.46817359804773223</v>
      </c>
      <c r="H767" s="8">
        <v>30.958097196413245</v>
      </c>
      <c r="I767" s="8">
        <v>30.958093751708915</v>
      </c>
      <c r="J767" s="8">
        <v>0.11565647518785756</v>
      </c>
      <c r="K767" s="8">
        <v>30.958083543308696</v>
      </c>
      <c r="L767" s="8">
        <v>30.95807150320119</v>
      </c>
      <c r="M767" s="8">
        <v>9</v>
      </c>
    </row>
    <row r="768" spans="1:13" x14ac:dyDescent="0.3">
      <c r="A768" s="8">
        <v>757</v>
      </c>
      <c r="B768" s="8">
        <v>0.4348220589086087</v>
      </c>
      <c r="C768" s="8">
        <v>4.0035117489622962E-5</v>
      </c>
      <c r="D768" s="8">
        <v>10861.016182138441</v>
      </c>
      <c r="E768" s="8">
        <v>1.8502160397559919E-5</v>
      </c>
      <c r="F768" s="8">
        <v>23501.150652977445</v>
      </c>
      <c r="G768" s="8">
        <v>0.47042558224595576</v>
      </c>
      <c r="H768" s="8">
        <v>30.958101488198789</v>
      </c>
      <c r="I768" s="8">
        <v>30.958101167427788</v>
      </c>
      <c r="J768" s="8">
        <v>3.5603523337347051E-2</v>
      </c>
      <c r="K768" s="8">
        <v>30.958082986038391</v>
      </c>
      <c r="L768" s="8">
        <v>30.958061132310299</v>
      </c>
      <c r="M768" s="8">
        <v>12</v>
      </c>
    </row>
    <row r="769" spans="1:13" x14ac:dyDescent="0.3">
      <c r="A769" s="8">
        <v>758</v>
      </c>
      <c r="B769" s="8">
        <v>0.62505360209437577</v>
      </c>
      <c r="C769" s="8">
        <v>3.1162274634510823E-5</v>
      </c>
      <c r="D769" s="8">
        <v>20058.022382042578</v>
      </c>
      <c r="E769" s="8">
        <v>1.6742245971812508E-5</v>
      </c>
      <c r="F769" s="8">
        <v>37333.915840606169</v>
      </c>
      <c r="G769" s="8">
        <v>0.72137778249396245</v>
      </c>
      <c r="H769" s="8">
        <v>30.958101425870915</v>
      </c>
      <c r="I769" s="8">
        <v>30.958100783824012</v>
      </c>
      <c r="J769" s="8">
        <v>9.6324180399586679E-2</v>
      </c>
      <c r="K769" s="8">
        <v>30.958084683624943</v>
      </c>
      <c r="L769" s="8">
        <v>30.958069621549377</v>
      </c>
      <c r="M769" s="8">
        <v>12</v>
      </c>
    </row>
    <row r="770" spans="1:13" x14ac:dyDescent="0.3">
      <c r="A770" s="8">
        <v>759</v>
      </c>
      <c r="B770" s="8">
        <v>0.12615044347763305</v>
      </c>
      <c r="C770" s="8">
        <v>6.6089353868648004E-5</v>
      </c>
      <c r="D770" s="8">
        <v>1908.7861522803796</v>
      </c>
      <c r="E770" s="8">
        <v>5.0486357267232052E-5</v>
      </c>
      <c r="F770" s="8">
        <v>2498.7036163036946</v>
      </c>
      <c r="G770" s="8">
        <v>0.65811523612762923</v>
      </c>
      <c r="H770" s="8">
        <v>30.958101325092755</v>
      </c>
      <c r="I770" s="8">
        <v>30.958100401574391</v>
      </c>
      <c r="J770" s="8">
        <v>0.53196479264999619</v>
      </c>
      <c r="K770" s="8">
        <v>30.958050838735488</v>
      </c>
      <c r="L770" s="8">
        <v>30.958034312220523</v>
      </c>
      <c r="M770" s="8">
        <v>10</v>
      </c>
    </row>
    <row r="771" spans="1:13" x14ac:dyDescent="0.3">
      <c r="A771" s="8">
        <v>760</v>
      </c>
      <c r="B771" s="8">
        <v>0.44049601441123865</v>
      </c>
      <c r="C771" s="8">
        <v>4.9586350304053894E-5</v>
      </c>
      <c r="D771" s="8">
        <v>8883.4127075334727</v>
      </c>
      <c r="E771" s="8">
        <v>2.8864524416860604E-5</v>
      </c>
      <c r="F771" s="8">
        <v>15260.809707085704</v>
      </c>
      <c r="G771" s="8">
        <v>0.51139276042611925</v>
      </c>
      <c r="H771" s="8">
        <v>30.958099569380281</v>
      </c>
      <c r="I771" s="8">
        <v>30.958096535721818</v>
      </c>
      <c r="J771" s="8">
        <v>7.0896746014880607E-2</v>
      </c>
      <c r="K771" s="8">
        <v>30.958070704855864</v>
      </c>
      <c r="L771" s="8">
        <v>30.958046949371514</v>
      </c>
      <c r="M771" s="8">
        <v>11</v>
      </c>
    </row>
    <row r="772" spans="1:13" x14ac:dyDescent="0.3">
      <c r="A772" s="8">
        <v>761</v>
      </c>
      <c r="B772" s="8">
        <v>0.53380232829670082</v>
      </c>
      <c r="C772" s="8">
        <v>7.8047955405224911E-5</v>
      </c>
      <c r="D772" s="8">
        <v>6839.4146332879527</v>
      </c>
      <c r="E772" s="8">
        <v>6.5766153088731016E-5</v>
      </c>
      <c r="F772" s="8">
        <v>8116.6725317885057</v>
      </c>
      <c r="G772" s="8">
        <v>0.64286780981575298</v>
      </c>
      <c r="H772" s="8">
        <v>30.958099007978188</v>
      </c>
      <c r="I772" s="8">
        <v>30.958097496597624</v>
      </c>
      <c r="J772" s="8">
        <v>0.10906548151905217</v>
      </c>
      <c r="K772" s="8">
        <v>30.958033241825099</v>
      </c>
      <c r="L772" s="8">
        <v>30.958019448642219</v>
      </c>
      <c r="M772" s="8">
        <v>13</v>
      </c>
    </row>
    <row r="773" spans="1:13" x14ac:dyDescent="0.3">
      <c r="A773" s="8">
        <v>762</v>
      </c>
      <c r="B773" s="8">
        <v>0.46338226671699423</v>
      </c>
      <c r="C773" s="8">
        <v>9.5484110818944146E-5</v>
      </c>
      <c r="D773" s="8">
        <v>4852.9777650195047</v>
      </c>
      <c r="E773" s="8">
        <v>6.6547949924000704E-5</v>
      </c>
      <c r="F773" s="8">
        <v>6963.1336088668013</v>
      </c>
      <c r="G773" s="8">
        <v>0.82344242144660351</v>
      </c>
      <c r="H773" s="8">
        <v>30.958099796044255</v>
      </c>
      <c r="I773" s="8">
        <v>30.958098997606783</v>
      </c>
      <c r="J773" s="8">
        <v>0.36006015472960928</v>
      </c>
      <c r="K773" s="8">
        <v>30.958033248094331</v>
      </c>
      <c r="L773" s="8">
        <v>30.958003513495964</v>
      </c>
      <c r="M773" s="8">
        <v>13</v>
      </c>
    </row>
    <row r="774" spans="1:13" x14ac:dyDescent="0.3">
      <c r="A774" s="8">
        <v>763</v>
      </c>
      <c r="B774" s="8">
        <v>0.45644237375489949</v>
      </c>
      <c r="C774" s="8">
        <v>1.0298595649516074E-4</v>
      </c>
      <c r="D774" s="8">
        <v>4432.0836479908548</v>
      </c>
      <c r="E774" s="8">
        <v>7.0322442077497271E-5</v>
      </c>
      <c r="F774" s="8">
        <v>6490.7070953521124</v>
      </c>
      <c r="G774" s="8">
        <v>0.56937688208553838</v>
      </c>
      <c r="H774" s="8">
        <v>30.958100492766228</v>
      </c>
      <c r="I774" s="8">
        <v>30.958099791029955</v>
      </c>
      <c r="J774" s="8">
        <v>0.11293450833063889</v>
      </c>
      <c r="K774" s="8">
        <v>30.95803017032415</v>
      </c>
      <c r="L774" s="8">
        <v>30.95799680507346</v>
      </c>
      <c r="M774" s="8">
        <v>9</v>
      </c>
    </row>
    <row r="775" spans="1:13" x14ac:dyDescent="0.3">
      <c r="A775" s="8">
        <v>764</v>
      </c>
      <c r="B775" s="8">
        <v>0.53026790284274905</v>
      </c>
      <c r="C775" s="8">
        <v>7.6787369572173247E-5</v>
      </c>
      <c r="D775" s="8">
        <v>6905.6656817023113</v>
      </c>
      <c r="E775" s="8">
        <v>4.7269003044192459E-5</v>
      </c>
      <c r="F775" s="8">
        <v>11218.089417857916</v>
      </c>
      <c r="G775" s="8">
        <v>0.72376385007581034</v>
      </c>
      <c r="H775" s="8">
        <v>30.958101283660973</v>
      </c>
      <c r="I775" s="8">
        <v>30.958100518218835</v>
      </c>
      <c r="J775" s="8">
        <v>0.19349594723306129</v>
      </c>
      <c r="K775" s="8">
        <v>30.958054014657929</v>
      </c>
      <c r="L775" s="8">
        <v>30.958023730849263</v>
      </c>
      <c r="M775" s="8">
        <v>10</v>
      </c>
    </row>
    <row r="776" spans="1:13" x14ac:dyDescent="0.3">
      <c r="A776" s="8">
        <v>765</v>
      </c>
      <c r="B776" s="8">
        <v>0.18402381007233315</v>
      </c>
      <c r="C776" s="8">
        <v>8.985882893242092E-5</v>
      </c>
      <c r="D776" s="8">
        <v>2047.9213034339652</v>
      </c>
      <c r="E776" s="8">
        <v>7.6531987957650927E-5</v>
      </c>
      <c r="F776" s="8">
        <v>2404.5345610800409</v>
      </c>
      <c r="G776" s="8">
        <v>0.3692603475920454</v>
      </c>
      <c r="H776" s="8">
        <v>30.958100701854672</v>
      </c>
      <c r="I776" s="8">
        <v>30.958099063594055</v>
      </c>
      <c r="J776" s="8">
        <v>0.18523653751971225</v>
      </c>
      <c r="K776" s="8">
        <v>30.958024169866714</v>
      </c>
      <c r="L776" s="8">
        <v>30.958009204765123</v>
      </c>
      <c r="M776" s="8">
        <v>11</v>
      </c>
    </row>
    <row r="777" spans="1:13" x14ac:dyDescent="0.3">
      <c r="A777" s="8">
        <v>766</v>
      </c>
      <c r="B777" s="8">
        <v>1.0394063879846585</v>
      </c>
      <c r="C777" s="8">
        <v>5.3807649578629935E-5</v>
      </c>
      <c r="D777" s="8">
        <v>19317.074730531727</v>
      </c>
      <c r="E777" s="8">
        <v>2.2280611730707278E-5</v>
      </c>
      <c r="F777" s="8">
        <v>46650.711414361307</v>
      </c>
      <c r="G777" s="8">
        <v>1.0931129967419433</v>
      </c>
      <c r="H777" s="8">
        <v>30.958101535121688</v>
      </c>
      <c r="I777" s="8">
        <v>30.958099411030815</v>
      </c>
      <c r="J777" s="8">
        <v>5.3706608757284842E-2</v>
      </c>
      <c r="K777" s="8">
        <v>30.958079254509958</v>
      </c>
      <c r="L777" s="8">
        <v>30.958045603381237</v>
      </c>
      <c r="M777" s="8">
        <v>15</v>
      </c>
    </row>
    <row r="778" spans="1:13" x14ac:dyDescent="0.3">
      <c r="A778" s="8">
        <v>767</v>
      </c>
      <c r="B778" s="8">
        <v>0.3953025937695992</v>
      </c>
      <c r="C778" s="8">
        <v>1.2058679834581199E-4</v>
      </c>
      <c r="D778" s="8">
        <v>3278.1581333304234</v>
      </c>
      <c r="E778" s="8">
        <v>1.0168117370668028E-4</v>
      </c>
      <c r="F778" s="8">
        <v>3887.6674939839772</v>
      </c>
      <c r="G778" s="8">
        <v>0.6985839971090706</v>
      </c>
      <c r="H778" s="8">
        <v>30.958097965382336</v>
      </c>
      <c r="I778" s="8">
        <v>30.95809595476122</v>
      </c>
      <c r="J778" s="8">
        <v>0.3032814033394714</v>
      </c>
      <c r="K778" s="8">
        <v>30.95799628420863</v>
      </c>
      <c r="L778" s="8">
        <v>30.957975367962874</v>
      </c>
      <c r="M778" s="8">
        <v>15</v>
      </c>
    </row>
    <row r="779" spans="1:13" x14ac:dyDescent="0.3">
      <c r="A779" s="8">
        <v>768</v>
      </c>
      <c r="B779" s="8">
        <v>0.29322308736537339</v>
      </c>
      <c r="C779" s="8">
        <v>1.5101999398225985E-4</v>
      </c>
      <c r="D779" s="8">
        <v>1941.6176602405242</v>
      </c>
      <c r="E779" s="8">
        <v>1.3809786403129465E-4</v>
      </c>
      <c r="F779" s="8">
        <v>2123.2992227810669</v>
      </c>
      <c r="G779" s="8">
        <v>0.8061166493416605</v>
      </c>
      <c r="H779" s="8">
        <v>30.95810043853422</v>
      </c>
      <c r="I779" s="8">
        <v>30.958098608755943</v>
      </c>
      <c r="J779" s="8">
        <v>0.5128935619762871</v>
      </c>
      <c r="K779" s="8">
        <v>30.957962340670189</v>
      </c>
      <c r="L779" s="8">
        <v>30.957947588761961</v>
      </c>
      <c r="M779" s="8">
        <v>10</v>
      </c>
    </row>
    <row r="780" spans="1:13" x14ac:dyDescent="0.3">
      <c r="A780" s="8">
        <v>769</v>
      </c>
      <c r="B780" s="8">
        <v>0.26824946799217042</v>
      </c>
      <c r="C780" s="8">
        <v>2.0031331455783175E-4</v>
      </c>
      <c r="D780" s="8">
        <v>1339.1494648486039</v>
      </c>
      <c r="E780" s="8">
        <v>1.8824279020179802E-4</v>
      </c>
      <c r="F780" s="8">
        <v>1425.0185502701299</v>
      </c>
      <c r="G780" s="8">
        <v>0.63541309189419182</v>
      </c>
      <c r="H780" s="8">
        <v>30.958101550899919</v>
      </c>
      <c r="I780" s="8">
        <v>30.95810000185967</v>
      </c>
      <c r="J780" s="8">
        <v>0.3671636239020214</v>
      </c>
      <c r="K780" s="8">
        <v>30.957913308109717</v>
      </c>
      <c r="L780" s="8">
        <v>30.957899688545112</v>
      </c>
      <c r="M780" s="8">
        <v>11</v>
      </c>
    </row>
    <row r="781" spans="1:13" x14ac:dyDescent="0.3">
      <c r="A781" s="8">
        <v>770</v>
      </c>
      <c r="B781" s="8">
        <v>0.22253835508539288</v>
      </c>
      <c r="C781" s="8">
        <v>9.2290935608474456E-5</v>
      </c>
      <c r="D781" s="8">
        <v>2411.2699001066221</v>
      </c>
      <c r="E781" s="8">
        <v>7.8779744686841013E-5</v>
      </c>
      <c r="F781" s="8">
        <v>2824.8169116314057</v>
      </c>
      <c r="G781" s="8">
        <v>0.75739137814001234</v>
      </c>
      <c r="H781" s="8">
        <v>30.95809086475581</v>
      </c>
      <c r="I781" s="8">
        <v>30.958088610383097</v>
      </c>
      <c r="J781" s="8">
        <v>0.53485302305461946</v>
      </c>
      <c r="K781" s="8">
        <v>30.958012085011124</v>
      </c>
      <c r="L781" s="8">
        <v>30.957996319447489</v>
      </c>
      <c r="M781" s="8">
        <v>12</v>
      </c>
    </row>
    <row r="782" spans="1:13" x14ac:dyDescent="0.3">
      <c r="A782" s="8">
        <v>771</v>
      </c>
      <c r="B782" s="8">
        <v>0.48047922179473646</v>
      </c>
      <c r="C782" s="8">
        <v>6.7663117722105426E-5</v>
      </c>
      <c r="D782" s="8">
        <v>7101.0505866442618</v>
      </c>
      <c r="E782" s="8">
        <v>4.7241294964806002E-5</v>
      </c>
      <c r="F782" s="8">
        <v>10170.746211607571</v>
      </c>
      <c r="G782" s="8">
        <v>0.65967361142869807</v>
      </c>
      <c r="H782" s="8">
        <v>30.95809611565652</v>
      </c>
      <c r="I782" s="8">
        <v>30.958091644015948</v>
      </c>
      <c r="J782" s="8">
        <v>0.17919438963396159</v>
      </c>
      <c r="K782" s="8">
        <v>30.958048874361555</v>
      </c>
      <c r="L782" s="8">
        <v>30.958023980898226</v>
      </c>
      <c r="M782" s="8">
        <v>14</v>
      </c>
    </row>
    <row r="783" spans="1:13" x14ac:dyDescent="0.3">
      <c r="A783" s="8">
        <v>772</v>
      </c>
      <c r="B783" s="8">
        <v>0.82208277478070002</v>
      </c>
      <c r="C783" s="8">
        <v>6.7575227269855986E-5</v>
      </c>
      <c r="D783" s="8">
        <v>12165.445948080671</v>
      </c>
      <c r="E783" s="8">
        <v>3.4212838713187921E-5</v>
      </c>
      <c r="F783" s="8">
        <v>24028.487716917047</v>
      </c>
      <c r="G783" s="8">
        <v>0.98393028462663956</v>
      </c>
      <c r="H783" s="8">
        <v>30.958095667093151</v>
      </c>
      <c r="I783" s="8">
        <v>30.958089338260613</v>
      </c>
      <c r="J783" s="8">
        <v>0.16184750984593954</v>
      </c>
      <c r="K783" s="8">
        <v>30.958061454254437</v>
      </c>
      <c r="L783" s="8">
        <v>30.958021763033344</v>
      </c>
      <c r="M783" s="8">
        <v>15</v>
      </c>
    </row>
    <row r="784" spans="1:13" x14ac:dyDescent="0.3">
      <c r="A784" s="8">
        <v>773</v>
      </c>
      <c r="B784" s="8">
        <v>0.6372012991546141</v>
      </c>
      <c r="C784" s="8">
        <v>6.7086912313385483E-5</v>
      </c>
      <c r="D784" s="8">
        <v>9498.1461686302246</v>
      </c>
      <c r="E784" s="8">
        <v>4.4096436727869559E-5</v>
      </c>
      <c r="F784" s="8">
        <v>14450.176622817555</v>
      </c>
      <c r="G784" s="8">
        <v>0.79013207189280654</v>
      </c>
      <c r="H784" s="8">
        <v>30.958101551409605</v>
      </c>
      <c r="I784" s="8">
        <v>30.958100306765562</v>
      </c>
      <c r="J784" s="8">
        <v>0.1529307727381925</v>
      </c>
      <c r="K784" s="8">
        <v>30.958057454972877</v>
      </c>
      <c r="L784" s="8">
        <v>30.958033219853249</v>
      </c>
      <c r="M784" s="8">
        <v>13</v>
      </c>
    </row>
    <row r="785" spans="1:13" x14ac:dyDescent="0.3">
      <c r="A785" s="8">
        <v>774</v>
      </c>
      <c r="B785" s="8">
        <v>0.26202361326216356</v>
      </c>
      <c r="C785" s="8">
        <v>5.817017770581856E-5</v>
      </c>
      <c r="D785" s="8">
        <v>4504.4320577338422</v>
      </c>
      <c r="E785" s="8">
        <v>5.0355932792456315E-5</v>
      </c>
      <c r="F785" s="8">
        <v>5203.4308319161273</v>
      </c>
      <c r="G785" s="8">
        <v>0.62149955886253594</v>
      </c>
      <c r="H785" s="8">
        <v>30.958100052651986</v>
      </c>
      <c r="I785" s="8">
        <v>30.958099374512273</v>
      </c>
      <c r="J785" s="8">
        <v>0.35947594560037238</v>
      </c>
      <c r="K785" s="8">
        <v>30.958049696719193</v>
      </c>
      <c r="L785" s="8">
        <v>30.958041204334567</v>
      </c>
      <c r="M785" s="8">
        <v>14</v>
      </c>
    </row>
    <row r="786" spans="1:13" x14ac:dyDescent="0.3">
      <c r="A786" s="8">
        <v>775</v>
      </c>
      <c r="B786" s="8">
        <v>0.34726913748109678</v>
      </c>
      <c r="C786" s="8">
        <v>4.9491701684445388E-5</v>
      </c>
      <c r="D786" s="8">
        <v>7016.7144321537653</v>
      </c>
      <c r="E786" s="8">
        <v>3.3418298045262418E-5</v>
      </c>
      <c r="F786" s="8">
        <v>10391.586579626181</v>
      </c>
      <c r="G786" s="8">
        <v>0.47403553809135024</v>
      </c>
      <c r="H786" s="8">
        <v>30.958098976148076</v>
      </c>
      <c r="I786" s="8">
        <v>30.958096235468933</v>
      </c>
      <c r="J786" s="8">
        <v>0.12676640061025346</v>
      </c>
      <c r="K786" s="8">
        <v>30.958065557850031</v>
      </c>
      <c r="L786" s="8">
        <v>30.958046743767248</v>
      </c>
      <c r="M786" s="8">
        <v>14</v>
      </c>
    </row>
    <row r="787" spans="1:13" x14ac:dyDescent="0.3">
      <c r="A787" s="8">
        <v>776</v>
      </c>
      <c r="B787" s="8">
        <v>0.36216542272692837</v>
      </c>
      <c r="C787" s="8">
        <v>2.4663942351565993E-5</v>
      </c>
      <c r="D787" s="8">
        <v>14684.003780276973</v>
      </c>
      <c r="E787" s="8">
        <v>1.6668232397876181E-5</v>
      </c>
      <c r="F787" s="8">
        <v>21727.884162034748</v>
      </c>
      <c r="G787" s="8">
        <v>0.42815960026757927</v>
      </c>
      <c r="H787" s="8">
        <v>30.958100995395693</v>
      </c>
      <c r="I787" s="8">
        <v>30.95810024387869</v>
      </c>
      <c r="J787" s="8">
        <v>6.5994177540650914E-2</v>
      </c>
      <c r="K787" s="8">
        <v>30.958084327163295</v>
      </c>
      <c r="L787" s="8">
        <v>30.958075579936338</v>
      </c>
      <c r="M787" s="8">
        <v>9</v>
      </c>
    </row>
    <row r="788" spans="1:13" x14ac:dyDescent="0.3">
      <c r="A788" s="8">
        <v>777</v>
      </c>
      <c r="B788" s="8">
        <v>0.50799212304879426</v>
      </c>
      <c r="C788" s="8">
        <v>3.5677229078601158E-5</v>
      </c>
      <c r="D788" s="8">
        <v>14238.553165931902</v>
      </c>
      <c r="E788" s="8">
        <v>1.6150464471564874E-5</v>
      </c>
      <c r="F788" s="8">
        <v>31453.716018086332</v>
      </c>
      <c r="G788" s="8">
        <v>0.53781688400543437</v>
      </c>
      <c r="H788" s="8">
        <v>30.958099224685192</v>
      </c>
      <c r="I788" s="8">
        <v>30.958094757827485</v>
      </c>
      <c r="J788" s="8">
        <v>2.9824760956640141E-2</v>
      </c>
      <c r="K788" s="8">
        <v>30.95808307422072</v>
      </c>
      <c r="L788" s="8">
        <v>30.958059080598407</v>
      </c>
      <c r="M788" s="8">
        <v>9</v>
      </c>
    </row>
    <row r="789" spans="1:13" x14ac:dyDescent="0.3">
      <c r="A789" s="8">
        <v>778</v>
      </c>
      <c r="B789" s="8">
        <v>0.63373860155879136</v>
      </c>
      <c r="C789" s="8">
        <v>6.4471362932749798E-5</v>
      </c>
      <c r="D789" s="8">
        <v>9829.7689505935414</v>
      </c>
      <c r="E789" s="8">
        <v>3.0372650190457762E-5</v>
      </c>
      <c r="F789" s="8">
        <v>20865.43642338772</v>
      </c>
      <c r="G789" s="8">
        <v>0.73012280900639137</v>
      </c>
      <c r="H789" s="8">
        <v>30.958100205934389</v>
      </c>
      <c r="I789" s="8">
        <v>30.958096708127545</v>
      </c>
      <c r="J789" s="8">
        <v>9.6384207447599998E-2</v>
      </c>
      <c r="K789" s="8">
        <v>30.958069833284199</v>
      </c>
      <c r="L789" s="8">
        <v>30.958032236764613</v>
      </c>
      <c r="M789" s="8">
        <v>14</v>
      </c>
    </row>
    <row r="790" spans="1:13" x14ac:dyDescent="0.3">
      <c r="A790" s="8">
        <v>779</v>
      </c>
      <c r="B790" s="8">
        <v>0.64419796770060611</v>
      </c>
      <c r="C790" s="8">
        <v>7.1473954758261016E-5</v>
      </c>
      <c r="D790" s="8">
        <v>9013.0449599355525</v>
      </c>
      <c r="E790" s="8">
        <v>5.2884089690508063E-5</v>
      </c>
      <c r="F790" s="8">
        <v>12181.31902185754</v>
      </c>
      <c r="G790" s="8">
        <v>0.82617751294488651</v>
      </c>
      <c r="H790" s="8">
        <v>30.95810066395061</v>
      </c>
      <c r="I790" s="8">
        <v>30.958099841532963</v>
      </c>
      <c r="J790" s="8">
        <v>0.18197954524428037</v>
      </c>
      <c r="K790" s="8">
        <v>30.958047779860919</v>
      </c>
      <c r="L790" s="8">
        <v>30.958028367578205</v>
      </c>
      <c r="M790" s="8">
        <v>15</v>
      </c>
    </row>
    <row r="791" spans="1:13" x14ac:dyDescent="0.3">
      <c r="A791" s="8">
        <v>780</v>
      </c>
      <c r="B791" s="8">
        <v>0.25764740506236961</v>
      </c>
      <c r="C791" s="8">
        <v>6.3209101920591593E-5</v>
      </c>
      <c r="D791" s="8">
        <v>4076.1124147286132</v>
      </c>
      <c r="E791" s="8">
        <v>5.1366002221442386E-5</v>
      </c>
      <c r="F791" s="8">
        <v>5015.9131316397534</v>
      </c>
      <c r="G791" s="8">
        <v>0.44361112435385852</v>
      </c>
      <c r="H791" s="8">
        <v>30.958098744399344</v>
      </c>
      <c r="I791" s="8">
        <v>30.958097518978899</v>
      </c>
      <c r="J791" s="8">
        <v>0.18596371929148894</v>
      </c>
      <c r="K791" s="8">
        <v>30.958047378397122</v>
      </c>
      <c r="L791" s="8">
        <v>30.958034309876979</v>
      </c>
      <c r="M791" s="8">
        <v>15</v>
      </c>
    </row>
    <row r="792" spans="1:13" x14ac:dyDescent="0.3">
      <c r="A792" s="8">
        <v>781</v>
      </c>
      <c r="B792" s="8">
        <v>0.62819243100363953</v>
      </c>
      <c r="C792" s="8">
        <v>4.9026038581700959E-5</v>
      </c>
      <c r="D792" s="8">
        <v>12813.444634258361</v>
      </c>
      <c r="E792" s="8">
        <v>1.6259491136594306E-5</v>
      </c>
      <c r="F792" s="8">
        <v>38635.429960646354</v>
      </c>
      <c r="G792" s="8">
        <v>0.70692673154045182</v>
      </c>
      <c r="H792" s="8">
        <v>30.958101180242767</v>
      </c>
      <c r="I792" s="8">
        <v>30.958099169462781</v>
      </c>
      <c r="J792" s="8">
        <v>7.8734300536812352E-2</v>
      </c>
      <c r="K792" s="8">
        <v>30.958084920751631</v>
      </c>
      <c r="L792" s="8">
        <v>30.958050143424199</v>
      </c>
      <c r="M792" s="8">
        <v>12</v>
      </c>
    </row>
    <row r="793" spans="1:13" x14ac:dyDescent="0.3">
      <c r="A793" s="8">
        <v>782</v>
      </c>
      <c r="B793" s="8">
        <v>0.41507180177306213</v>
      </c>
      <c r="C793" s="8">
        <v>2.557300992123146E-5</v>
      </c>
      <c r="D793" s="8">
        <v>16230.854445821702</v>
      </c>
      <c r="E793" s="8">
        <v>5.2290485008654741E-6</v>
      </c>
      <c r="F793" s="8">
        <v>79378.074558758148</v>
      </c>
      <c r="G793" s="8">
        <v>0.43554279712678123</v>
      </c>
      <c r="H793" s="8">
        <v>30.958101479126064</v>
      </c>
      <c r="I793" s="8">
        <v>30.958100860349127</v>
      </c>
      <c r="J793" s="8">
        <v>2.0470995353719088E-2</v>
      </c>
      <c r="K793" s="8">
        <v>30.958096250077563</v>
      </c>
      <c r="L793" s="8">
        <v>30.958075287339206</v>
      </c>
      <c r="M793" s="8">
        <v>9</v>
      </c>
    </row>
    <row r="794" spans="1:13" x14ac:dyDescent="0.3">
      <c r="A794" s="8">
        <v>783</v>
      </c>
      <c r="B794" s="8">
        <v>0.38845948294561861</v>
      </c>
      <c r="C794" s="8">
        <v>1.0253980264707252E-4</v>
      </c>
      <c r="D794" s="8">
        <v>3788.3775169983614</v>
      </c>
      <c r="E794" s="8">
        <v>8.4865962211466694E-5</v>
      </c>
      <c r="F794" s="8">
        <v>4577.3296245397632</v>
      </c>
      <c r="G794" s="8">
        <v>0.46527881541638066</v>
      </c>
      <c r="H794" s="8">
        <v>30.958101340096199</v>
      </c>
      <c r="I794" s="8">
        <v>30.958100926136009</v>
      </c>
      <c r="J794" s="8">
        <v>7.6819332470762045E-2</v>
      </c>
      <c r="K794" s="8">
        <v>30.958016474133988</v>
      </c>
      <c r="L794" s="8">
        <v>30.957998386333362</v>
      </c>
      <c r="M794" s="8">
        <v>11</v>
      </c>
    </row>
    <row r="795" spans="1:13" x14ac:dyDescent="0.3">
      <c r="A795" s="8">
        <v>784</v>
      </c>
      <c r="B795" s="8">
        <v>0.36821702883485541</v>
      </c>
      <c r="C795" s="8">
        <v>3.0001724983463873E-5</v>
      </c>
      <c r="D795" s="8">
        <v>12273.19525919948</v>
      </c>
      <c r="E795" s="8">
        <v>1.7200981559994943E-5</v>
      </c>
      <c r="F795" s="8">
        <v>21406.745164545344</v>
      </c>
      <c r="G795" s="8">
        <v>0.42678905053006821</v>
      </c>
      <c r="H795" s="8">
        <v>30.958099028811784</v>
      </c>
      <c r="I795" s="8">
        <v>30.958096688212038</v>
      </c>
      <c r="J795" s="8">
        <v>5.857202169521282E-2</v>
      </c>
      <c r="K795" s="8">
        <v>30.958081827830224</v>
      </c>
      <c r="L795" s="8">
        <v>30.958066686487054</v>
      </c>
      <c r="M795" s="8">
        <v>13</v>
      </c>
    </row>
    <row r="796" spans="1:13" x14ac:dyDescent="0.3">
      <c r="A796" s="8">
        <v>785</v>
      </c>
      <c r="B796" s="8">
        <v>0.41475398895554222</v>
      </c>
      <c r="C796" s="8">
        <v>6.3826412919354425E-5</v>
      </c>
      <c r="D796" s="8">
        <v>6498.1560138682671</v>
      </c>
      <c r="E796" s="8">
        <v>5.254097586515627E-5</v>
      </c>
      <c r="F796" s="8">
        <v>7893.9148374401557</v>
      </c>
      <c r="G796" s="8">
        <v>0.51588541683847444</v>
      </c>
      <c r="H796" s="8">
        <v>30.958101491608698</v>
      </c>
      <c r="I796" s="8">
        <v>30.958100943131832</v>
      </c>
      <c r="J796" s="8">
        <v>0.10113142788293224</v>
      </c>
      <c r="K796" s="8">
        <v>30.958048950632833</v>
      </c>
      <c r="L796" s="8">
        <v>30.958037116718913</v>
      </c>
      <c r="M796" s="8">
        <v>11</v>
      </c>
    </row>
    <row r="797" spans="1:13" x14ac:dyDescent="0.3">
      <c r="A797" s="8">
        <v>786</v>
      </c>
      <c r="B797" s="8">
        <v>0.33409267757236205</v>
      </c>
      <c r="C797" s="8">
        <v>8.2257268324781307E-5</v>
      </c>
      <c r="D797" s="8">
        <v>4061.5581379780797</v>
      </c>
      <c r="E797" s="8">
        <v>6.2891003889120611E-5</v>
      </c>
      <c r="F797" s="8">
        <v>5312.2490803514756</v>
      </c>
      <c r="G797" s="8">
        <v>0.4148740247524722</v>
      </c>
      <c r="H797" s="8">
        <v>30.958101533356977</v>
      </c>
      <c r="I797" s="8">
        <v>30.958099585700076</v>
      </c>
      <c r="J797" s="8">
        <v>8.0781347180110166E-2</v>
      </c>
      <c r="K797" s="8">
        <v>30.958038642353088</v>
      </c>
      <c r="L797" s="8">
        <v>30.958017328431751</v>
      </c>
      <c r="M797" s="8">
        <v>12</v>
      </c>
    </row>
    <row r="798" spans="1:13" x14ac:dyDescent="0.3">
      <c r="A798" s="8">
        <v>787</v>
      </c>
      <c r="B798" s="8">
        <v>0.49984068805225135</v>
      </c>
      <c r="C798" s="8">
        <v>7.6771201900527331E-5</v>
      </c>
      <c r="D798" s="8">
        <v>6510.7836751064078</v>
      </c>
      <c r="E798" s="8">
        <v>6.657477499061315E-5</v>
      </c>
      <c r="F798" s="8">
        <v>7507.9591049722276</v>
      </c>
      <c r="G798" s="8">
        <v>0.61104201274083403</v>
      </c>
      <c r="H798" s="8">
        <v>30.958101304405211</v>
      </c>
      <c r="I798" s="8">
        <v>30.958100981844208</v>
      </c>
      <c r="J798" s="8">
        <v>0.11120132468858265</v>
      </c>
      <c r="K798" s="8">
        <v>30.958034729630221</v>
      </c>
      <c r="L798" s="8">
        <v>30.958024210642307</v>
      </c>
      <c r="M798" s="8">
        <v>11</v>
      </c>
    </row>
    <row r="799" spans="1:13" x14ac:dyDescent="0.3">
      <c r="A799" s="8">
        <v>788</v>
      </c>
      <c r="B799" s="8">
        <v>0.5300484653527554</v>
      </c>
      <c r="C799" s="8">
        <v>5.7441988726480986E-5</v>
      </c>
      <c r="D799" s="8">
        <v>9227.5437724947878</v>
      </c>
      <c r="E799" s="8">
        <v>2.1543536664836438E-5</v>
      </c>
      <c r="F799" s="8">
        <v>24603.595667646598</v>
      </c>
      <c r="G799" s="8">
        <v>0.64936044698001971</v>
      </c>
      <c r="H799" s="8">
        <v>30.958099926303149</v>
      </c>
      <c r="I799" s="8">
        <v>30.958095508753033</v>
      </c>
      <c r="J799" s="8">
        <v>0.11931198162726427</v>
      </c>
      <c r="K799" s="8">
        <v>30.958078382766484</v>
      </c>
      <c r="L799" s="8">
        <v>30.958038066764306</v>
      </c>
      <c r="M799" s="8">
        <v>14</v>
      </c>
    </row>
    <row r="800" spans="1:13" x14ac:dyDescent="0.3">
      <c r="A800" s="8">
        <v>789</v>
      </c>
      <c r="B800" s="8">
        <v>7.7209640087007647E-2</v>
      </c>
      <c r="C800" s="8">
        <v>5.8124803501868882E-5</v>
      </c>
      <c r="D800" s="8">
        <v>1328.3423845815691</v>
      </c>
      <c r="E800" s="8">
        <v>4.0826961900108927E-5</v>
      </c>
      <c r="F800" s="8">
        <v>1891.1434134118524</v>
      </c>
      <c r="G800" s="8">
        <v>0.46737438089522593</v>
      </c>
      <c r="H800" s="8">
        <v>30.95810113180103</v>
      </c>
      <c r="I800" s="8">
        <v>30.958100131430172</v>
      </c>
      <c r="J800" s="8">
        <v>0.39016474080821828</v>
      </c>
      <c r="K800" s="8">
        <v>30.95806030483913</v>
      </c>
      <c r="L800" s="8">
        <v>30.95804200662667</v>
      </c>
      <c r="M800" s="8">
        <v>15</v>
      </c>
    </row>
    <row r="801" spans="1:13" x14ac:dyDescent="0.3">
      <c r="A801" s="8">
        <v>790</v>
      </c>
      <c r="B801" s="8">
        <v>0.8140493140733307</v>
      </c>
      <c r="C801" s="8">
        <v>1.0768324949594898E-4</v>
      </c>
      <c r="D801" s="8">
        <v>7559.6652021905693</v>
      </c>
      <c r="E801" s="8">
        <v>8.5483497944238707E-5</v>
      </c>
      <c r="F801" s="8">
        <v>9522.8825872841444</v>
      </c>
      <c r="G801" s="8">
        <v>0.96753140965831264</v>
      </c>
      <c r="H801" s="8">
        <v>30.958100427917003</v>
      </c>
      <c r="I801" s="8">
        <v>30.958099825121643</v>
      </c>
      <c r="J801" s="8">
        <v>0.15348209558498199</v>
      </c>
      <c r="K801" s="8">
        <v>30.958014944419059</v>
      </c>
      <c r="L801" s="8">
        <v>30.957992141872147</v>
      </c>
      <c r="M801" s="8">
        <v>13</v>
      </c>
    </row>
    <row r="802" spans="1:13" x14ac:dyDescent="0.3">
      <c r="A802" s="8">
        <v>791</v>
      </c>
      <c r="B802" s="8">
        <v>0.64999812079282715</v>
      </c>
      <c r="C802" s="8">
        <v>1.7090317175316727E-4</v>
      </c>
      <c r="D802" s="8">
        <v>3803.3122154784178</v>
      </c>
      <c r="E802" s="8">
        <v>1.2358120573097153E-4</v>
      </c>
      <c r="F802" s="8">
        <v>5259.6842452551555</v>
      </c>
      <c r="G802" s="8">
        <v>0.79528065943581561</v>
      </c>
      <c r="H802" s="8">
        <v>30.958101551454213</v>
      </c>
      <c r="I802" s="8">
        <v>30.958099053622995</v>
      </c>
      <c r="J802" s="8">
        <v>0.14528253864298851</v>
      </c>
      <c r="K802" s="8">
        <v>30.957977970248482</v>
      </c>
      <c r="L802" s="8">
        <v>30.957928150451242</v>
      </c>
      <c r="M802" s="8">
        <v>13</v>
      </c>
    </row>
    <row r="803" spans="1:13" x14ac:dyDescent="0.3">
      <c r="A803" s="8">
        <v>792</v>
      </c>
      <c r="B803" s="8">
        <v>0.65407636003919523</v>
      </c>
      <c r="C803" s="8">
        <v>3.6525186594360548E-5</v>
      </c>
      <c r="D803" s="8">
        <v>17907.54328795637</v>
      </c>
      <c r="E803" s="8">
        <v>1.9942908590309116E-5</v>
      </c>
      <c r="F803" s="8">
        <v>32797.440607887627</v>
      </c>
      <c r="G803" s="8">
        <v>0.68245368796468242</v>
      </c>
      <c r="H803" s="8">
        <v>30.958101078288486</v>
      </c>
      <c r="I803" s="8">
        <v>30.958099151640077</v>
      </c>
      <c r="J803" s="8">
        <v>2.8377327925487229E-2</v>
      </c>
      <c r="K803" s="8">
        <v>30.958081135379896</v>
      </c>
      <c r="L803" s="8">
        <v>30.958062626453483</v>
      </c>
      <c r="M803" s="8">
        <v>13</v>
      </c>
    </row>
    <row r="804" spans="1:13" x14ac:dyDescent="0.3">
      <c r="A804" s="8">
        <v>793</v>
      </c>
      <c r="B804" s="8">
        <v>0.22098358294642234</v>
      </c>
      <c r="C804" s="8">
        <v>2.5741628498110458E-5</v>
      </c>
      <c r="D804" s="8">
        <v>8584.6776540436604</v>
      </c>
      <c r="E804" s="8">
        <v>1.7343671359526525E-5</v>
      </c>
      <c r="F804" s="8">
        <v>12741.453546110961</v>
      </c>
      <c r="G804" s="8">
        <v>0.2435339559452602</v>
      </c>
      <c r="H804" s="8">
        <v>30.958101518648533</v>
      </c>
      <c r="I804" s="8">
        <v>30.958101109029428</v>
      </c>
      <c r="J804" s="8">
        <v>2.2550372998837848E-2</v>
      </c>
      <c r="K804" s="8">
        <v>30.958084174977174</v>
      </c>
      <c r="L804" s="8">
        <v>30.95807536740093</v>
      </c>
      <c r="M804" s="8">
        <v>9</v>
      </c>
    </row>
    <row r="805" spans="1:13" x14ac:dyDescent="0.3">
      <c r="A805" s="8">
        <v>794</v>
      </c>
      <c r="B805" s="8">
        <v>0.44770084362517903</v>
      </c>
      <c r="C805" s="8">
        <v>4.3050303588643146E-5</v>
      </c>
      <c r="D805" s="8">
        <v>10399.48168317411</v>
      </c>
      <c r="E805" s="8">
        <v>2.4087862811938976E-5</v>
      </c>
      <c r="F805" s="8">
        <v>18586.158810373137</v>
      </c>
      <c r="G805" s="8">
        <v>0.52267826849346066</v>
      </c>
      <c r="H805" s="8">
        <v>30.958101515658775</v>
      </c>
      <c r="I805" s="8">
        <v>30.958100306524102</v>
      </c>
      <c r="J805" s="8">
        <v>7.4977424868281656E-2</v>
      </c>
      <c r="K805" s="8">
        <v>30.958077427795963</v>
      </c>
      <c r="L805" s="8">
        <v>30.958057256220513</v>
      </c>
      <c r="M805" s="8">
        <v>10</v>
      </c>
    </row>
    <row r="806" spans="1:13" x14ac:dyDescent="0.3">
      <c r="A806" s="8">
        <v>795</v>
      </c>
      <c r="B806" s="8">
        <v>0.39919021800426169</v>
      </c>
      <c r="C806" s="8">
        <v>5.2202412753388217E-5</v>
      </c>
      <c r="D806" s="8">
        <v>7646.9687309300107</v>
      </c>
      <c r="E806" s="8">
        <v>3.1808663937482606E-5</v>
      </c>
      <c r="F806" s="8">
        <v>12549.732324150371</v>
      </c>
      <c r="G806" s="8">
        <v>0.5121126255894336</v>
      </c>
      <c r="H806" s="8">
        <v>30.958101490839848</v>
      </c>
      <c r="I806" s="8">
        <v>30.958101254457514</v>
      </c>
      <c r="J806" s="8">
        <v>0.11292240758517191</v>
      </c>
      <c r="K806" s="8">
        <v>30.95806968217591</v>
      </c>
      <c r="L806" s="8">
        <v>30.95804905204476</v>
      </c>
      <c r="M806" s="8">
        <v>13</v>
      </c>
    </row>
    <row r="807" spans="1:13" x14ac:dyDescent="0.3">
      <c r="A807" s="8">
        <v>796</v>
      </c>
      <c r="B807" s="8">
        <v>0.52657748080601474</v>
      </c>
      <c r="C807" s="8">
        <v>6.5176108471121097E-5</v>
      </c>
      <c r="D807" s="8">
        <v>8079.3022651749161</v>
      </c>
      <c r="E807" s="8">
        <v>3.1281717610909254E-5</v>
      </c>
      <c r="F807" s="8">
        <v>16833.394104368967</v>
      </c>
      <c r="G807" s="8">
        <v>0.58019808431181641</v>
      </c>
      <c r="H807" s="8">
        <v>30.958101266022137</v>
      </c>
      <c r="I807" s="8">
        <v>30.958099935658275</v>
      </c>
      <c r="J807" s="8">
        <v>5.3620603505801653E-2</v>
      </c>
      <c r="K807" s="8">
        <v>30.958069984304526</v>
      </c>
      <c r="L807" s="8">
        <v>30.958034759549804</v>
      </c>
      <c r="M807" s="8">
        <v>15</v>
      </c>
    </row>
    <row r="808" spans="1:13" x14ac:dyDescent="0.3">
      <c r="A808" s="8">
        <v>797</v>
      </c>
      <c r="B808" s="8">
        <v>0.36310693457949217</v>
      </c>
      <c r="C808" s="8">
        <v>3.5358838896826228E-5</v>
      </c>
      <c r="D808" s="8">
        <v>10269.198477896973</v>
      </c>
      <c r="E808" s="8">
        <v>2.4626441636144136E-5</v>
      </c>
      <c r="F808" s="8">
        <v>14744.596070532638</v>
      </c>
      <c r="G808" s="8">
        <v>0.40436355904168275</v>
      </c>
      <c r="H808" s="8">
        <v>30.958101520066673</v>
      </c>
      <c r="I808" s="8">
        <v>30.958101169092853</v>
      </c>
      <c r="J808" s="8">
        <v>4.1256624462190569E-2</v>
      </c>
      <c r="K808" s="8">
        <v>30.958076893625037</v>
      </c>
      <c r="L808" s="8">
        <v>30.958065810253956</v>
      </c>
      <c r="M808" s="8">
        <v>15</v>
      </c>
    </row>
    <row r="809" spans="1:13" x14ac:dyDescent="0.3">
      <c r="A809" s="8">
        <v>798</v>
      </c>
      <c r="B809" s="8">
        <v>0.17403235588041049</v>
      </c>
      <c r="C809" s="8">
        <v>8.0413523090072658E-5</v>
      </c>
      <c r="D809" s="8">
        <v>2164.2175245259887</v>
      </c>
      <c r="E809" s="8">
        <v>6.5103912604058678E-5</v>
      </c>
      <c r="F809" s="8">
        <v>2673.147418018023</v>
      </c>
      <c r="G809" s="8">
        <v>0.41619851892930548</v>
      </c>
      <c r="H809" s="8">
        <v>30.958099849307878</v>
      </c>
      <c r="I809" s="8">
        <v>30.958098476333689</v>
      </c>
      <c r="J809" s="8">
        <v>0.24216616304889499</v>
      </c>
      <c r="K809" s="8">
        <v>30.958034745395274</v>
      </c>
      <c r="L809" s="8">
        <v>30.958018062810599</v>
      </c>
      <c r="M809" s="8">
        <v>12</v>
      </c>
    </row>
    <row r="810" spans="1:13" x14ac:dyDescent="0.3">
      <c r="A810" s="8">
        <v>799</v>
      </c>
      <c r="B810" s="8">
        <v>0.41595776685115438</v>
      </c>
      <c r="C810" s="8">
        <v>8.0298828983416115E-5</v>
      </c>
      <c r="D810" s="8">
        <v>5180.122451562288</v>
      </c>
      <c r="E810" s="8">
        <v>7.0742275784851927E-5</v>
      </c>
      <c r="F810" s="8">
        <v>5879.9036677333415</v>
      </c>
      <c r="G810" s="8">
        <v>0.55637210977533214</v>
      </c>
      <c r="H810" s="8">
        <v>30.958101544489903</v>
      </c>
      <c r="I810" s="8">
        <v>30.958100695633515</v>
      </c>
      <c r="J810" s="8">
        <v>0.14041434292417773</v>
      </c>
      <c r="K810" s="8">
        <v>30.958030802214118</v>
      </c>
      <c r="L810" s="8">
        <v>30.958020396804532</v>
      </c>
      <c r="M810" s="8">
        <v>10</v>
      </c>
    </row>
    <row r="811" spans="1:13" x14ac:dyDescent="0.3">
      <c r="A811" s="8">
        <v>800</v>
      </c>
      <c r="B811" s="8">
        <v>0.47332604264616118</v>
      </c>
      <c r="C811" s="8">
        <v>3.9826689842925589E-5</v>
      </c>
      <c r="D811" s="8">
        <v>11884.644305437752</v>
      </c>
      <c r="E811" s="8">
        <v>2.9456887659762288E-5</v>
      </c>
      <c r="F811" s="8">
        <v>16068.433573609278</v>
      </c>
      <c r="G811" s="8">
        <v>0.54891660625127769</v>
      </c>
      <c r="H811" s="8">
        <v>30.958101420397828</v>
      </c>
      <c r="I811" s="8">
        <v>30.958100678525909</v>
      </c>
      <c r="J811" s="8">
        <v>7.5590563605116498E-2</v>
      </c>
      <c r="K811" s="8">
        <v>30.958071963510168</v>
      </c>
      <c r="L811" s="8">
        <v>30.958060851836066</v>
      </c>
      <c r="M811" s="8">
        <v>14</v>
      </c>
    </row>
    <row r="812" spans="1:13" x14ac:dyDescent="0.3">
      <c r="A812" s="8">
        <v>801</v>
      </c>
      <c r="B812" s="8">
        <v>0.6381440283888532</v>
      </c>
      <c r="C812" s="8">
        <v>6.9673749063525747E-5</v>
      </c>
      <c r="D812" s="8">
        <v>9159.0310119097921</v>
      </c>
      <c r="E812" s="8">
        <v>3.7022779853401744E-5</v>
      </c>
      <c r="F812" s="8">
        <v>17236.523862219357</v>
      </c>
      <c r="G812" s="8">
        <v>0.70746290309500437</v>
      </c>
      <c r="H812" s="8">
        <v>30.9581014559955</v>
      </c>
      <c r="I812" s="8">
        <v>30.958101144731383</v>
      </c>
      <c r="J812" s="8">
        <v>6.9318874706151168E-2</v>
      </c>
      <c r="K812" s="8">
        <v>30.958064433215647</v>
      </c>
      <c r="L812" s="8">
        <v>30.95803147098232</v>
      </c>
      <c r="M812" s="8">
        <v>13</v>
      </c>
    </row>
    <row r="813" spans="1:13" x14ac:dyDescent="0.3">
      <c r="A813" s="8">
        <v>802</v>
      </c>
      <c r="B813" s="8">
        <v>0.31392460070422873</v>
      </c>
      <c r="C813" s="8">
        <v>7.5125566446843095E-5</v>
      </c>
      <c r="D813" s="8">
        <v>4178.6653405981788</v>
      </c>
      <c r="E813" s="8">
        <v>6.4441133297066244E-5</v>
      </c>
      <c r="F813" s="8">
        <v>4871.4941007798898</v>
      </c>
      <c r="G813" s="8">
        <v>0.50609445457139801</v>
      </c>
      <c r="H813" s="8">
        <v>30.9580999694514</v>
      </c>
      <c r="I813" s="8">
        <v>30.958099554084779</v>
      </c>
      <c r="J813" s="8">
        <v>0.19216985386716928</v>
      </c>
      <c r="K813" s="8">
        <v>30.958035528318103</v>
      </c>
      <c r="L813" s="8">
        <v>30.958024428518332</v>
      </c>
      <c r="M813" s="8">
        <v>11</v>
      </c>
    </row>
    <row r="814" spans="1:13" x14ac:dyDescent="0.3">
      <c r="A814" s="8">
        <v>803</v>
      </c>
      <c r="B814" s="8">
        <v>0.45990125191070441</v>
      </c>
      <c r="C814" s="8">
        <v>1.8947068650021492E-5</v>
      </c>
      <c r="D814" s="8">
        <v>24272.950101449213</v>
      </c>
      <c r="E814" s="8">
        <v>4.831736774235651E-6</v>
      </c>
      <c r="F814" s="8">
        <v>95183.424387488034</v>
      </c>
      <c r="G814" s="8">
        <v>0.48004688344325869</v>
      </c>
      <c r="H814" s="8">
        <v>30.958101540070839</v>
      </c>
      <c r="I814" s="8">
        <v>30.958101223544688</v>
      </c>
      <c r="J814" s="8">
        <v>2.0145631532554248E-2</v>
      </c>
      <c r="K814" s="8">
        <v>30.958096708334065</v>
      </c>
      <c r="L814" s="8">
        <v>30.958082276476038</v>
      </c>
      <c r="M814" s="8">
        <v>11</v>
      </c>
    </row>
    <row r="815" spans="1:13" x14ac:dyDescent="0.3">
      <c r="A815" s="8">
        <v>804</v>
      </c>
      <c r="B815" s="8">
        <v>0.32314703025323843</v>
      </c>
      <c r="C815" s="8">
        <v>7.4121311147479219E-5</v>
      </c>
      <c r="D815" s="8">
        <v>4359.7047225766501</v>
      </c>
      <c r="E815" s="8">
        <v>4.7407713136493612E-5</v>
      </c>
      <c r="F815" s="8">
        <v>6816.3387110205413</v>
      </c>
      <c r="G815" s="8">
        <v>0.4507242924330539</v>
      </c>
      <c r="H815" s="8">
        <v>30.958098079616583</v>
      </c>
      <c r="I815" s="8">
        <v>30.958095539358478</v>
      </c>
      <c r="J815" s="8">
        <v>0.12757726217981546</v>
      </c>
      <c r="K815" s="8">
        <v>30.958050671903447</v>
      </c>
      <c r="L815" s="8">
        <v>30.958021418047331</v>
      </c>
      <c r="M815" s="8">
        <v>10</v>
      </c>
    </row>
    <row r="816" spans="1:13" x14ac:dyDescent="0.3">
      <c r="A816" s="8">
        <v>805</v>
      </c>
      <c r="B816" s="8">
        <v>0.36562302320489609</v>
      </c>
      <c r="C816" s="8">
        <v>5.408361439407372E-5</v>
      </c>
      <c r="D816" s="8">
        <v>6760.3289332851928</v>
      </c>
      <c r="E816" s="8">
        <v>3.6402883385022733E-5</v>
      </c>
      <c r="F816" s="8">
        <v>10043.792941833961</v>
      </c>
      <c r="G816" s="8">
        <v>0.4687231748016828</v>
      </c>
      <c r="H816" s="8">
        <v>30.958095795785567</v>
      </c>
      <c r="I816" s="8">
        <v>30.958092157673196</v>
      </c>
      <c r="J816" s="8">
        <v>0.1031001515967867</v>
      </c>
      <c r="K816" s="8">
        <v>30.958059392902182</v>
      </c>
      <c r="L816" s="8">
        <v>30.958038074058802</v>
      </c>
      <c r="M816" s="8">
        <v>9</v>
      </c>
    </row>
    <row r="817" spans="1:13" x14ac:dyDescent="0.3">
      <c r="A817" s="8">
        <v>806</v>
      </c>
      <c r="B817" s="8">
        <v>0.7671539295461931</v>
      </c>
      <c r="C817" s="8">
        <v>3.6019442138268687E-5</v>
      </c>
      <c r="D817" s="8">
        <v>21298.329013572755</v>
      </c>
      <c r="E817" s="8">
        <v>5.242392646209737E-6</v>
      </c>
      <c r="F817" s="8">
        <v>146336.60263903494</v>
      </c>
      <c r="G817" s="8">
        <v>0.7863284143253817</v>
      </c>
      <c r="H817" s="8">
        <v>30.9581014399919</v>
      </c>
      <c r="I817" s="8">
        <v>30.958099573878528</v>
      </c>
      <c r="J817" s="8">
        <v>1.9174484779188608E-2</v>
      </c>
      <c r="K817" s="8">
        <v>30.958096197599254</v>
      </c>
      <c r="L817" s="8">
        <v>30.958063554436389</v>
      </c>
      <c r="M817" s="8">
        <v>9</v>
      </c>
    </row>
    <row r="818" spans="1:13" x14ac:dyDescent="0.3">
      <c r="A818" s="8">
        <v>807</v>
      </c>
      <c r="B818" s="8">
        <v>0.33508307551735367</v>
      </c>
      <c r="C818" s="8">
        <v>6.8709608466832606E-5</v>
      </c>
      <c r="D818" s="8">
        <v>4876.8008287968114</v>
      </c>
      <c r="E818" s="8">
        <v>5.2031697105547892E-5</v>
      </c>
      <c r="F818" s="8">
        <v>6439.9797461464186</v>
      </c>
      <c r="G818" s="8">
        <v>0.41540480318316114</v>
      </c>
      <c r="H818" s="8">
        <v>30.958099947213928</v>
      </c>
      <c r="I818" s="8">
        <v>30.958098041365755</v>
      </c>
      <c r="J818" s="8">
        <v>8.0321727665807474E-2</v>
      </c>
      <c r="K818" s="8">
        <v>30.958047915516822</v>
      </c>
      <c r="L818" s="8">
        <v>30.958029331757288</v>
      </c>
      <c r="M818" s="8">
        <v>10</v>
      </c>
    </row>
    <row r="819" spans="1:13" x14ac:dyDescent="0.3">
      <c r="A819" s="8">
        <v>808</v>
      </c>
      <c r="B819" s="8">
        <v>0.45542989216091517</v>
      </c>
      <c r="C819" s="8">
        <v>2.7176845517118409E-5</v>
      </c>
      <c r="D819" s="8">
        <v>16758.011590198894</v>
      </c>
      <c r="E819" s="8">
        <v>5.1863393188966711E-6</v>
      </c>
      <c r="F819" s="8">
        <v>87813.362018473214</v>
      </c>
      <c r="G819" s="8">
        <v>0.4793113942927637</v>
      </c>
      <c r="H819" s="8">
        <v>30.958101551454217</v>
      </c>
      <c r="I819" s="8">
        <v>30.958100436859986</v>
      </c>
      <c r="J819" s="8">
        <v>2.388150213184851E-2</v>
      </c>
      <c r="K819" s="8">
        <v>30.958096365114898</v>
      </c>
      <c r="L819" s="8">
        <v>30.958073260014469</v>
      </c>
      <c r="M819" s="8">
        <v>10</v>
      </c>
    </row>
    <row r="820" spans="1:13" x14ac:dyDescent="0.3">
      <c r="A820" s="8">
        <v>809</v>
      </c>
      <c r="B820" s="8">
        <v>1.0639973602756223</v>
      </c>
      <c r="C820" s="8">
        <v>5.1319012936090758E-5</v>
      </c>
      <c r="D820" s="8">
        <v>20733.005165174414</v>
      </c>
      <c r="E820" s="8">
        <v>5.2001455372874261E-6</v>
      </c>
      <c r="F820" s="8">
        <v>204609.15038747928</v>
      </c>
      <c r="G820" s="8">
        <v>1.1011622815862998</v>
      </c>
      <c r="H820" s="8">
        <v>30.958101422126266</v>
      </c>
      <c r="I820" s="8">
        <v>30.958096753558124</v>
      </c>
      <c r="J820" s="8">
        <v>3.7164921310677605E-2</v>
      </c>
      <c r="K820" s="8">
        <v>30.958096221980728</v>
      </c>
      <c r="L820" s="8">
        <v>30.958045434545188</v>
      </c>
      <c r="M820" s="8">
        <v>15</v>
      </c>
    </row>
    <row r="821" spans="1:13" x14ac:dyDescent="0.3">
      <c r="A821" s="8">
        <v>810</v>
      </c>
      <c r="B821" s="8">
        <v>0.83164206474592239</v>
      </c>
      <c r="C821" s="8">
        <v>9.4764248107281901E-5</v>
      </c>
      <c r="D821" s="8">
        <v>8775.9052739428334</v>
      </c>
      <c r="E821" s="8">
        <v>6.8236685734746061E-5</v>
      </c>
      <c r="F821" s="8">
        <v>12187.609286575462</v>
      </c>
      <c r="G821" s="8">
        <v>1.1373775208530965</v>
      </c>
      <c r="H821" s="8">
        <v>30.958101550938984</v>
      </c>
      <c r="I821" s="8">
        <v>30.95810034375846</v>
      </c>
      <c r="J821" s="8">
        <v>0.30573545610717406</v>
      </c>
      <c r="K821" s="8">
        <v>30.95803331425325</v>
      </c>
      <c r="L821" s="8">
        <v>30.958005579510353</v>
      </c>
      <c r="M821" s="8">
        <v>13</v>
      </c>
    </row>
    <row r="822" spans="1:13" x14ac:dyDescent="0.3">
      <c r="A822" s="8">
        <v>811</v>
      </c>
      <c r="B822" s="8">
        <v>0.50817413717431414</v>
      </c>
      <c r="C822" s="8">
        <v>3.6565956264666966E-5</v>
      </c>
      <c r="D822" s="8">
        <v>13897.466088295736</v>
      </c>
      <c r="E822" s="8">
        <v>2.193461561361687E-5</v>
      </c>
      <c r="F822" s="8">
        <v>23167.679166387712</v>
      </c>
      <c r="G822" s="8">
        <v>0.55757499068462657</v>
      </c>
      <c r="H822" s="8">
        <v>30.958101458915333</v>
      </c>
      <c r="I822" s="8">
        <v>30.958101170671654</v>
      </c>
      <c r="J822" s="8">
        <v>4.9400853510312412E-2</v>
      </c>
      <c r="K822" s="8">
        <v>30.95807952429972</v>
      </c>
      <c r="L822" s="8">
        <v>30.958064604715389</v>
      </c>
      <c r="M822" s="8">
        <v>14</v>
      </c>
    </row>
    <row r="823" spans="1:13" x14ac:dyDescent="0.3">
      <c r="A823" s="8">
        <v>812</v>
      </c>
      <c r="B823" s="8">
        <v>0.28222167099750139</v>
      </c>
      <c r="C823" s="8">
        <v>5.4528393437891509E-5</v>
      </c>
      <c r="D823" s="8">
        <v>5175.6828544555465</v>
      </c>
      <c r="E823" s="8">
        <v>3.9294215305574198E-5</v>
      </c>
      <c r="F823" s="8">
        <v>7182.2701841170501</v>
      </c>
      <c r="G823" s="8">
        <v>0.50404408760497021</v>
      </c>
      <c r="H823" s="8">
        <v>30.95809891979432</v>
      </c>
      <c r="I823" s="8">
        <v>30.958096908500266</v>
      </c>
      <c r="J823" s="8">
        <v>0.22182241660746882</v>
      </c>
      <c r="K823" s="8">
        <v>30.958059625579015</v>
      </c>
      <c r="L823" s="8">
        <v>30.958042380106829</v>
      </c>
      <c r="M823" s="8">
        <v>14</v>
      </c>
    </row>
    <row r="824" spans="1:13" x14ac:dyDescent="0.3">
      <c r="A824" s="8">
        <v>813</v>
      </c>
      <c r="B824" s="8">
        <v>0.20009200370398908</v>
      </c>
      <c r="C824" s="8">
        <v>1.8098177356762335E-4</v>
      </c>
      <c r="D824" s="8">
        <v>1105.5920149286483</v>
      </c>
      <c r="E824" s="8">
        <v>1.7510865872694126E-4</v>
      </c>
      <c r="F824" s="8">
        <v>1142.6733843927502</v>
      </c>
      <c r="G824" s="8">
        <v>0.34208995030470174</v>
      </c>
      <c r="H824" s="8">
        <v>30.958082410519907</v>
      </c>
      <c r="I824" s="8">
        <v>30.958081206453031</v>
      </c>
      <c r="J824" s="8">
        <v>0.14199794660071266</v>
      </c>
      <c r="K824" s="8">
        <v>30.95790730186118</v>
      </c>
      <c r="L824" s="8">
        <v>30.957900224679463</v>
      </c>
      <c r="M824" s="8">
        <v>9</v>
      </c>
    </row>
    <row r="825" spans="1:13" x14ac:dyDescent="0.3">
      <c r="A825" s="8">
        <v>814</v>
      </c>
      <c r="B825" s="8">
        <v>0.38635601860566426</v>
      </c>
      <c r="C825" s="8">
        <v>3.2824316509305618E-5</v>
      </c>
      <c r="D825" s="8">
        <v>11770.4208249434</v>
      </c>
      <c r="E825" s="8">
        <v>1.710317156167207E-5</v>
      </c>
      <c r="F825" s="8">
        <v>22589.729466988556</v>
      </c>
      <c r="G825" s="8">
        <v>0.41736132415741944</v>
      </c>
      <c r="H825" s="8">
        <v>30.958101051810811</v>
      </c>
      <c r="I825" s="8">
        <v>30.958100115909552</v>
      </c>
      <c r="J825" s="8">
        <v>3.1005305551755208E-2</v>
      </c>
      <c r="K825" s="8">
        <v>30.958083948639249</v>
      </c>
      <c r="L825" s="8">
        <v>30.958067291593043</v>
      </c>
      <c r="M825" s="8">
        <v>9</v>
      </c>
    </row>
    <row r="826" spans="1:13" x14ac:dyDescent="0.3">
      <c r="A826" s="8">
        <v>815</v>
      </c>
      <c r="B826" s="8">
        <v>0.10643288108849025</v>
      </c>
      <c r="C826" s="8">
        <v>7.3075746339412717E-5</v>
      </c>
      <c r="D826" s="8">
        <v>1456.4734049262345</v>
      </c>
      <c r="E826" s="8">
        <v>5.6074030513997286E-5</v>
      </c>
      <c r="F826" s="8">
        <v>1898.0779536067469</v>
      </c>
      <c r="G826" s="8">
        <v>0.80767791121200039</v>
      </c>
      <c r="H826" s="8">
        <v>30.958100980682474</v>
      </c>
      <c r="I826" s="8">
        <v>30.958099530750115</v>
      </c>
      <c r="J826" s="8">
        <v>0.70124503012351014</v>
      </c>
      <c r="K826" s="8">
        <v>30.95804490665196</v>
      </c>
      <c r="L826" s="8">
        <v>30.958026455003775</v>
      </c>
      <c r="M826" s="8">
        <v>15</v>
      </c>
    </row>
    <row r="827" spans="1:13" x14ac:dyDescent="0.3">
      <c r="A827" s="8">
        <v>816</v>
      </c>
      <c r="B827" s="8">
        <v>0.57715532299721306</v>
      </c>
      <c r="C827" s="8">
        <v>9.4003012119259211E-5</v>
      </c>
      <c r="D827" s="8">
        <v>6139.7535034833872</v>
      </c>
      <c r="E827" s="8">
        <v>6.3792970859566367E-5</v>
      </c>
      <c r="F827" s="8">
        <v>9047.3184619001495</v>
      </c>
      <c r="G827" s="8">
        <v>0.86074563546985505</v>
      </c>
      <c r="H827" s="8">
        <v>30.958099340327081</v>
      </c>
      <c r="I827" s="8">
        <v>30.958098101155642</v>
      </c>
      <c r="J827" s="8">
        <v>0.28359031247264205</v>
      </c>
      <c r="K827" s="8">
        <v>30.958035547356221</v>
      </c>
      <c r="L827" s="8">
        <v>30.958004098143522</v>
      </c>
      <c r="M827" s="8">
        <v>11</v>
      </c>
    </row>
    <row r="828" spans="1:13" x14ac:dyDescent="0.3">
      <c r="A828" s="8">
        <v>817</v>
      </c>
      <c r="B828" s="8">
        <v>0.66361034097843252</v>
      </c>
      <c r="C828" s="8">
        <v>3.3626807756093058E-5</v>
      </c>
      <c r="D828" s="8">
        <v>19734.562548780406</v>
      </c>
      <c r="E828" s="8">
        <v>1.3107514263310804E-5</v>
      </c>
      <c r="F828" s="8">
        <v>50628.237181167278</v>
      </c>
      <c r="G828" s="8">
        <v>0.72458211595879773</v>
      </c>
      <c r="H828" s="8">
        <v>30.958101357598714</v>
      </c>
      <c r="I828" s="8">
        <v>30.958100272729123</v>
      </c>
      <c r="J828" s="8">
        <v>6.097177498036517E-2</v>
      </c>
      <c r="K828" s="8">
        <v>30.958088250084451</v>
      </c>
      <c r="L828" s="8">
        <v>30.958066645921367</v>
      </c>
      <c r="M828" s="8">
        <v>10</v>
      </c>
    </row>
    <row r="829" spans="1:13" x14ac:dyDescent="0.3">
      <c r="A829" s="8">
        <v>818</v>
      </c>
      <c r="B829" s="8">
        <v>0.41156403749929016</v>
      </c>
      <c r="C829" s="8">
        <v>9.1495779471983951E-5</v>
      </c>
      <c r="D829" s="8">
        <v>4498.175105719617</v>
      </c>
      <c r="E829" s="8">
        <v>7.4912886965705638E-5</v>
      </c>
      <c r="F829" s="8">
        <v>5493.901705960151</v>
      </c>
      <c r="G829" s="8">
        <v>0.58061863753845167</v>
      </c>
      <c r="H829" s="8">
        <v>30.958101390703519</v>
      </c>
      <c r="I829" s="8">
        <v>30.958100076665854</v>
      </c>
      <c r="J829" s="8">
        <v>0.16905460003916148</v>
      </c>
      <c r="K829" s="8">
        <v>30.958026477816553</v>
      </c>
      <c r="L829" s="8">
        <v>30.958008580886382</v>
      </c>
      <c r="M829" s="8">
        <v>10</v>
      </c>
    </row>
    <row r="830" spans="1:13" x14ac:dyDescent="0.3">
      <c r="A830" s="8">
        <v>819</v>
      </c>
      <c r="B830" s="8">
        <v>0.42362150226456474</v>
      </c>
      <c r="C830" s="8">
        <v>7.1299865254559336E-5</v>
      </c>
      <c r="D830" s="8">
        <v>5941.4067719780978</v>
      </c>
      <c r="E830" s="8">
        <v>5.3035907374265889E-5</v>
      </c>
      <c r="F830" s="8">
        <v>7987.4470568616043</v>
      </c>
      <c r="G830" s="8">
        <v>0.49540570141914092</v>
      </c>
      <c r="H830" s="8">
        <v>30.958100231357413</v>
      </c>
      <c r="I830" s="8">
        <v>30.958099512366342</v>
      </c>
      <c r="J830" s="8">
        <v>7.1784199154576178E-2</v>
      </c>
      <c r="K830" s="8">
        <v>30.958047195450039</v>
      </c>
      <c r="L830" s="8">
        <v>30.958028212501087</v>
      </c>
      <c r="M830" s="8">
        <v>13</v>
      </c>
    </row>
    <row r="831" spans="1:13" x14ac:dyDescent="0.3">
      <c r="A831" s="8">
        <v>820</v>
      </c>
      <c r="B831" s="8">
        <v>0.54164508379053222</v>
      </c>
      <c r="C831" s="8">
        <v>3.9346926950400984E-5</v>
      </c>
      <c r="D831" s="8">
        <v>13765.880229307522</v>
      </c>
      <c r="E831" s="8">
        <v>9.8462653355113616E-6</v>
      </c>
      <c r="F831" s="8">
        <v>55010.20593432973</v>
      </c>
      <c r="G831" s="8">
        <v>0.56602885978376771</v>
      </c>
      <c r="H831" s="8">
        <v>30.958100882031903</v>
      </c>
      <c r="I831" s="8">
        <v>30.958098789090684</v>
      </c>
      <c r="J831" s="8">
        <v>2.4383775993235546E-2</v>
      </c>
      <c r="K831" s="8">
        <v>30.958091035766568</v>
      </c>
      <c r="L831" s="8">
        <v>30.958059442163734</v>
      </c>
      <c r="M831" s="8">
        <v>11</v>
      </c>
    </row>
    <row r="832" spans="1:13" x14ac:dyDescent="0.3">
      <c r="A832" s="8">
        <v>821</v>
      </c>
      <c r="B832" s="8">
        <v>0.51663727404987758</v>
      </c>
      <c r="C832" s="8">
        <v>7.1108023590227276E-5</v>
      </c>
      <c r="D832" s="8">
        <v>7265.52712288971</v>
      </c>
      <c r="E832" s="8">
        <v>3.159284721832023E-5</v>
      </c>
      <c r="F832" s="8">
        <v>16352.982384895249</v>
      </c>
      <c r="G832" s="8">
        <v>0.60505082390260134</v>
      </c>
      <c r="H832" s="8">
        <v>30.958100346628932</v>
      </c>
      <c r="I832" s="8">
        <v>30.958098371315408</v>
      </c>
      <c r="J832" s="8">
        <v>8.8413549852723733E-2</v>
      </c>
      <c r="K832" s="8">
        <v>30.958068753781713</v>
      </c>
      <c r="L832" s="8">
        <v>30.958027263291818</v>
      </c>
      <c r="M832" s="8">
        <v>12</v>
      </c>
    </row>
    <row r="833" spans="1:13" x14ac:dyDescent="0.3">
      <c r="A833" s="8">
        <v>822</v>
      </c>
      <c r="B833" s="8">
        <v>0.83561271727421127</v>
      </c>
      <c r="C833" s="8">
        <v>1.2852578233335521E-4</v>
      </c>
      <c r="D833" s="8">
        <v>6501.5182331813885</v>
      </c>
      <c r="E833" s="8">
        <v>1.032986547038206E-4</v>
      </c>
      <c r="F833" s="8">
        <v>8089.2894459283343</v>
      </c>
      <c r="G833" s="8">
        <v>1.0509652048058358</v>
      </c>
      <c r="H833" s="8">
        <v>30.958088459063131</v>
      </c>
      <c r="I833" s="8">
        <v>30.958083709805589</v>
      </c>
      <c r="J833" s="8">
        <v>0.2153524875316245</v>
      </c>
      <c r="K833" s="8">
        <v>30.957985160408427</v>
      </c>
      <c r="L833" s="8">
        <v>30.957955184023255</v>
      </c>
      <c r="M833" s="8">
        <v>10</v>
      </c>
    </row>
    <row r="834" spans="1:13" x14ac:dyDescent="0.3">
      <c r="A834" s="8">
        <v>823</v>
      </c>
      <c r="B834" s="8">
        <v>0.43181408341607258</v>
      </c>
      <c r="C834" s="8">
        <v>4.1401266891227806E-5</v>
      </c>
      <c r="D834" s="8">
        <v>10429.972699882919</v>
      </c>
      <c r="E834" s="8">
        <v>2.5296381572559312E-5</v>
      </c>
      <c r="F834" s="8">
        <v>17070.191725938006</v>
      </c>
      <c r="G834" s="8">
        <v>0.55912157066638768</v>
      </c>
      <c r="H834" s="8">
        <v>30.958100612760173</v>
      </c>
      <c r="I834" s="8">
        <v>30.958099580137091</v>
      </c>
      <c r="J834" s="8">
        <v>0.1273074872503151</v>
      </c>
      <c r="K834" s="8">
        <v>30.958075316378601</v>
      </c>
      <c r="L834" s="8">
        <v>30.9580581788702</v>
      </c>
      <c r="M834" s="8">
        <v>9</v>
      </c>
    </row>
    <row r="835" spans="1:13" x14ac:dyDescent="0.3">
      <c r="A835" s="8">
        <v>824</v>
      </c>
      <c r="B835" s="8">
        <v>0.7261243648416803</v>
      </c>
      <c r="C835" s="8">
        <v>2.8594574274620754E-5</v>
      </c>
      <c r="D835" s="8">
        <v>25393.781277105962</v>
      </c>
      <c r="E835" s="8">
        <v>5.4977753300988752E-6</v>
      </c>
      <c r="F835" s="8">
        <v>132076.03462192067</v>
      </c>
      <c r="G835" s="8">
        <v>0.75187953411941755</v>
      </c>
      <c r="H835" s="8">
        <v>30.958101549581343</v>
      </c>
      <c r="I835" s="8">
        <v>30.958100233719279</v>
      </c>
      <c r="J835" s="8">
        <v>2.5755169277737296E-2</v>
      </c>
      <c r="K835" s="8">
        <v>30.958096051806013</v>
      </c>
      <c r="L835" s="8">
        <v>30.958071639145004</v>
      </c>
      <c r="M835" s="8">
        <v>9</v>
      </c>
    </row>
    <row r="836" spans="1:13" x14ac:dyDescent="0.3">
      <c r="A836" s="8">
        <v>825</v>
      </c>
      <c r="B836" s="8">
        <v>0.48407995989453323</v>
      </c>
      <c r="C836" s="8">
        <v>4.6249588152136312E-5</v>
      </c>
      <c r="D836" s="8">
        <v>10466.686931398612</v>
      </c>
      <c r="E836" s="8">
        <v>3.2040829530899373E-5</v>
      </c>
      <c r="F836" s="8">
        <v>15108.221821401305</v>
      </c>
      <c r="G836" s="8">
        <v>0.59517383614231167</v>
      </c>
      <c r="H836" s="8">
        <v>30.958101158881014</v>
      </c>
      <c r="I836" s="8">
        <v>30.958099800602341</v>
      </c>
      <c r="J836" s="8">
        <v>0.11109387624777842</v>
      </c>
      <c r="K836" s="8">
        <v>30.958069118051483</v>
      </c>
      <c r="L836" s="8">
        <v>30.958053551014189</v>
      </c>
      <c r="M836" s="8">
        <v>13</v>
      </c>
    </row>
    <row r="837" spans="1:13" x14ac:dyDescent="0.3">
      <c r="A837" s="8">
        <v>826</v>
      </c>
      <c r="B837" s="8">
        <v>0.49276371725826285</v>
      </c>
      <c r="C837" s="8">
        <v>3.6277033991893859E-5</v>
      </c>
      <c r="D837" s="8">
        <v>13583.351863009842</v>
      </c>
      <c r="E837" s="8">
        <v>1.7139713701652681E-5</v>
      </c>
      <c r="F837" s="8">
        <v>28749.821953604078</v>
      </c>
      <c r="G837" s="8">
        <v>0.55073135593104905</v>
      </c>
      <c r="H837" s="8">
        <v>30.958101140061817</v>
      </c>
      <c r="I837" s="8">
        <v>30.958099580617692</v>
      </c>
      <c r="J837" s="8">
        <v>5.7967638672786224E-2</v>
      </c>
      <c r="K837" s="8">
        <v>30.958084000348116</v>
      </c>
      <c r="L837" s="8">
        <v>30.9580633035837</v>
      </c>
      <c r="M837" s="8">
        <v>11</v>
      </c>
    </row>
    <row r="838" spans="1:13" x14ac:dyDescent="0.3">
      <c r="A838" s="8">
        <v>827</v>
      </c>
      <c r="B838" s="8">
        <v>0.5112607022185951</v>
      </c>
      <c r="C838" s="8">
        <v>3.847991481364943E-5</v>
      </c>
      <c r="D838" s="8">
        <v>13286.430198573176</v>
      </c>
      <c r="E838" s="8">
        <v>1.8976030524697762E-5</v>
      </c>
      <c r="F838" s="8">
        <v>26942.4472917651</v>
      </c>
      <c r="G838" s="8">
        <v>0.54940532642905771</v>
      </c>
      <c r="H838" s="8">
        <v>30.958101465416327</v>
      </c>
      <c r="I838" s="8">
        <v>30.958100333532581</v>
      </c>
      <c r="J838" s="8">
        <v>3.8144624210462573E-2</v>
      </c>
      <c r="K838" s="8">
        <v>30.958082489385802</v>
      </c>
      <c r="L838" s="8">
        <v>30.958061853617767</v>
      </c>
      <c r="M838" s="8">
        <v>15</v>
      </c>
    </row>
    <row r="839" spans="1:13" x14ac:dyDescent="0.3">
      <c r="A839" s="8">
        <v>828</v>
      </c>
      <c r="B839" s="8">
        <v>0.42229758697573239</v>
      </c>
      <c r="C839" s="8">
        <v>3.5475313001853692E-5</v>
      </c>
      <c r="D839" s="8">
        <v>11903.98480638257</v>
      </c>
      <c r="E839" s="8">
        <v>1.6640322581196187E-5</v>
      </c>
      <c r="F839" s="8">
        <v>25377.968781262385</v>
      </c>
      <c r="G839" s="8">
        <v>0.45823207173726666</v>
      </c>
      <c r="H839" s="8">
        <v>30.958101081319931</v>
      </c>
      <c r="I839" s="8">
        <v>30.958099572563874</v>
      </c>
      <c r="J839" s="8">
        <v>3.593448476153429E-2</v>
      </c>
      <c r="K839" s="8">
        <v>30.95808444099735</v>
      </c>
      <c r="L839" s="8">
        <v>30.958064097250872</v>
      </c>
      <c r="M839" s="8">
        <v>13</v>
      </c>
    </row>
    <row r="840" spans="1:13" x14ac:dyDescent="0.3">
      <c r="A840" s="8">
        <v>829</v>
      </c>
      <c r="B840" s="8">
        <v>0.51445550568749243</v>
      </c>
      <c r="C840" s="8">
        <v>4.9234579680756951E-5</v>
      </c>
      <c r="D840" s="8">
        <v>10449.068703811121</v>
      </c>
      <c r="E840" s="8">
        <v>3.1903544790878868E-5</v>
      </c>
      <c r="F840" s="8">
        <v>16125.339960171879</v>
      </c>
      <c r="G840" s="8">
        <v>0.68030342613953565</v>
      </c>
      <c r="H840" s="8">
        <v>30.958100751614531</v>
      </c>
      <c r="I840" s="8">
        <v>30.958099015948385</v>
      </c>
      <c r="J840" s="8">
        <v>0.16584792045204322</v>
      </c>
      <c r="K840" s="8">
        <v>30.95806884806974</v>
      </c>
      <c r="L840" s="8">
        <v>30.958049781368704</v>
      </c>
      <c r="M840" s="8">
        <v>13</v>
      </c>
    </row>
    <row r="841" spans="1:13" x14ac:dyDescent="0.3">
      <c r="A841" s="8">
        <v>830</v>
      </c>
      <c r="B841" s="8">
        <v>0.18958275242867562</v>
      </c>
      <c r="C841" s="8">
        <v>8.2428228683539828E-5</v>
      </c>
      <c r="D841" s="8">
        <v>2299.9736310788098</v>
      </c>
      <c r="E841" s="8">
        <v>7.3755179503365298E-5</v>
      </c>
      <c r="F841" s="8">
        <v>2570.4330693144789</v>
      </c>
      <c r="G841" s="8">
        <v>0.45105253556011626</v>
      </c>
      <c r="H841" s="8">
        <v>30.958099771347158</v>
      </c>
      <c r="I841" s="8">
        <v>30.958099545136708</v>
      </c>
      <c r="J841" s="8">
        <v>0.26146978313144065</v>
      </c>
      <c r="K841" s="8">
        <v>30.958026016167654</v>
      </c>
      <c r="L841" s="8">
        <v>30.958017116908024</v>
      </c>
      <c r="M841" s="8">
        <v>15</v>
      </c>
    </row>
    <row r="842" spans="1:13" x14ac:dyDescent="0.3">
      <c r="A842" s="8">
        <v>831</v>
      </c>
      <c r="B842" s="8">
        <v>0.65151851684701123</v>
      </c>
      <c r="C842" s="8">
        <v>3.9298588262681733E-5</v>
      </c>
      <c r="D842" s="8">
        <v>16578.674849388895</v>
      </c>
      <c r="E842" s="8">
        <v>1.7807348744014462E-5</v>
      </c>
      <c r="F842" s="8">
        <v>36587.058871748355</v>
      </c>
      <c r="G842" s="8">
        <v>0.80230275227512993</v>
      </c>
      <c r="H842" s="8">
        <v>30.958101516265671</v>
      </c>
      <c r="I842" s="8">
        <v>30.958100421951126</v>
      </c>
      <c r="J842" s="8">
        <v>0.15078423542811864</v>
      </c>
      <c r="K842" s="8">
        <v>30.958083708916927</v>
      </c>
      <c r="L842" s="8">
        <v>30.958061123362864</v>
      </c>
      <c r="M842" s="8">
        <v>9</v>
      </c>
    </row>
    <row r="843" spans="1:13" x14ac:dyDescent="0.3">
      <c r="A843" s="8">
        <v>832</v>
      </c>
      <c r="B843" s="8">
        <v>0.67477173550990444</v>
      </c>
      <c r="C843" s="8">
        <v>8.4270382249229669E-5</v>
      </c>
      <c r="D843" s="8">
        <v>8007.222911535715</v>
      </c>
      <c r="E843" s="8">
        <v>6.5592438712513967E-5</v>
      </c>
      <c r="F843" s="8">
        <v>10287.340259863962</v>
      </c>
      <c r="G843" s="8">
        <v>0.84552751625624856</v>
      </c>
      <c r="H843" s="8">
        <v>30.958101284562989</v>
      </c>
      <c r="I843" s="8">
        <v>30.958100326967873</v>
      </c>
      <c r="J843" s="8">
        <v>0.17075578074634412</v>
      </c>
      <c r="K843" s="8">
        <v>30.958035692124277</v>
      </c>
      <c r="L843" s="8">
        <v>30.958016056585624</v>
      </c>
      <c r="M843" s="8">
        <v>9</v>
      </c>
    </row>
    <row r="844" spans="1:13" x14ac:dyDescent="0.3">
      <c r="A844" s="8">
        <v>833</v>
      </c>
      <c r="B844" s="8">
        <v>0.37219631891397525</v>
      </c>
      <c r="C844" s="8">
        <v>1.1764387397050768E-4</v>
      </c>
      <c r="D844" s="8">
        <v>3163.7543575561076</v>
      </c>
      <c r="E844" s="8">
        <v>1.0037934337248089E-4</v>
      </c>
      <c r="F844" s="8">
        <v>3707.8975256179378</v>
      </c>
      <c r="G844" s="8">
        <v>0.63251235075767642</v>
      </c>
      <c r="H844" s="8">
        <v>30.958093639988153</v>
      </c>
      <c r="I844" s="8">
        <v>30.958090765253456</v>
      </c>
      <c r="J844" s="8">
        <v>0.26031603184370117</v>
      </c>
      <c r="K844" s="8">
        <v>30.957993260644781</v>
      </c>
      <c r="L844" s="8">
        <v>30.957973121379485</v>
      </c>
      <c r="M844" s="8">
        <v>12</v>
      </c>
    </row>
    <row r="845" spans="1:13" x14ac:dyDescent="0.3">
      <c r="A845" s="8">
        <v>834</v>
      </c>
      <c r="B845" s="8">
        <v>0.54861009733544575</v>
      </c>
      <c r="C845" s="8">
        <v>5.8498884357049974E-5</v>
      </c>
      <c r="D845" s="8">
        <v>9378.1292304137787</v>
      </c>
      <c r="E845" s="8">
        <v>4.3842301717944565E-5</v>
      </c>
      <c r="F845" s="8">
        <v>12513.259474032147</v>
      </c>
      <c r="G845" s="8">
        <v>0.68915252674340621</v>
      </c>
      <c r="H845" s="8">
        <v>30.958100267216377</v>
      </c>
      <c r="I845" s="8">
        <v>30.958098772530413</v>
      </c>
      <c r="J845" s="8">
        <v>0.14054242940796041</v>
      </c>
      <c r="K845" s="8">
        <v>30.958056424914659</v>
      </c>
      <c r="L845" s="8">
        <v>30.958040273646056</v>
      </c>
      <c r="M845" s="8">
        <v>10</v>
      </c>
    </row>
    <row r="846" spans="1:13" x14ac:dyDescent="0.3">
      <c r="A846" s="8">
        <v>835</v>
      </c>
      <c r="B846" s="8">
        <v>0.32147076535518715</v>
      </c>
      <c r="C846" s="8">
        <v>1.0366910448666999E-4</v>
      </c>
      <c r="D846" s="8">
        <v>3100.9312460736319</v>
      </c>
      <c r="E846" s="8">
        <v>9.5289695515532458E-5</v>
      </c>
      <c r="F846" s="8">
        <v>3373.6152016855444</v>
      </c>
      <c r="G846" s="8">
        <v>0.626983307682212</v>
      </c>
      <c r="H846" s="8">
        <v>30.958088089016965</v>
      </c>
      <c r="I846" s="8">
        <v>30.958086635411853</v>
      </c>
      <c r="J846" s="8">
        <v>0.30551254232702485</v>
      </c>
      <c r="K846" s="8">
        <v>30.957992799321449</v>
      </c>
      <c r="L846" s="8">
        <v>30.957982966307366</v>
      </c>
      <c r="M846" s="8">
        <v>11</v>
      </c>
    </row>
    <row r="847" spans="1:13" x14ac:dyDescent="0.3">
      <c r="A847" s="8">
        <v>836</v>
      </c>
      <c r="B847" s="8">
        <v>0.48430270727189917</v>
      </c>
      <c r="C847" s="8">
        <v>2.8782295238727329E-5</v>
      </c>
      <c r="D847" s="8">
        <v>16826.410237785945</v>
      </c>
      <c r="E847" s="8">
        <v>1.0392483719812162E-5</v>
      </c>
      <c r="F847" s="8">
        <v>46601.247625591917</v>
      </c>
      <c r="G847" s="8">
        <v>0.5424320546847845</v>
      </c>
      <c r="H847" s="8">
        <v>30.958101424873007</v>
      </c>
      <c r="I847" s="8">
        <v>30.958100984157547</v>
      </c>
      <c r="J847" s="8">
        <v>5.8129347412885335E-2</v>
      </c>
      <c r="K847" s="8">
        <v>30.958091032389287</v>
      </c>
      <c r="L847" s="8">
        <v>30.958072201862308</v>
      </c>
      <c r="M847" s="8">
        <v>9</v>
      </c>
    </row>
    <row r="848" spans="1:13" x14ac:dyDescent="0.3">
      <c r="A848" s="8">
        <v>837</v>
      </c>
      <c r="B848" s="8">
        <v>0.77614415556683491</v>
      </c>
      <c r="C848" s="8">
        <v>1.1642324529503867E-4</v>
      </c>
      <c r="D848" s="8">
        <v>6666.5737894519079</v>
      </c>
      <c r="E848" s="8">
        <v>8.7611713038171501E-5</v>
      </c>
      <c r="F848" s="8">
        <v>8858.9085711482094</v>
      </c>
      <c r="G848" s="8">
        <v>1.0173254133283867</v>
      </c>
      <c r="H848" s="8">
        <v>30.958100979528819</v>
      </c>
      <c r="I848" s="8">
        <v>30.958098710111749</v>
      </c>
      <c r="J848" s="8">
        <v>0.24118125776155175</v>
      </c>
      <c r="K848" s="8">
        <v>30.958013367815781</v>
      </c>
      <c r="L848" s="8">
        <v>30.957982286866454</v>
      </c>
      <c r="M848" s="8">
        <v>12</v>
      </c>
    </row>
    <row r="849" spans="1:13" x14ac:dyDescent="0.3">
      <c r="A849" s="8">
        <v>838</v>
      </c>
      <c r="B849" s="8">
        <v>0.45002499325472478</v>
      </c>
      <c r="C849" s="8">
        <v>2.9451810256375666E-5</v>
      </c>
      <c r="D849" s="8">
        <v>15280.04524466554</v>
      </c>
      <c r="E849" s="8">
        <v>1.2519357955653732E-5</v>
      </c>
      <c r="F849" s="8">
        <v>35946.331660841592</v>
      </c>
      <c r="G849" s="8">
        <v>0.46635455490922706</v>
      </c>
      <c r="H849" s="8">
        <v>30.958101531647461</v>
      </c>
      <c r="I849" s="8">
        <v>30.958101173554727</v>
      </c>
      <c r="J849" s="8">
        <v>1.6329561654502261E-2</v>
      </c>
      <c r="K849" s="8">
        <v>30.958089012289506</v>
      </c>
      <c r="L849" s="8">
        <v>30.958071721744471</v>
      </c>
      <c r="M849" s="8">
        <v>10</v>
      </c>
    </row>
    <row r="850" spans="1:13" x14ac:dyDescent="0.3">
      <c r="A850" s="8">
        <v>839</v>
      </c>
      <c r="B850" s="8">
        <v>0.80139220502999065</v>
      </c>
      <c r="C850" s="8">
        <v>6.9065982508220713E-5</v>
      </c>
      <c r="D850" s="8">
        <v>11603.283931197291</v>
      </c>
      <c r="E850" s="8">
        <v>2.5102376486785261E-5</v>
      </c>
      <c r="F850" s="8">
        <v>31924.953617513886</v>
      </c>
      <c r="G850" s="8">
        <v>0.85040289837286409</v>
      </c>
      <c r="H850" s="8">
        <v>30.958101193093977</v>
      </c>
      <c r="I850" s="8">
        <v>30.958098011894837</v>
      </c>
      <c r="J850" s="8">
        <v>4.9010693342873481E-2</v>
      </c>
      <c r="K850" s="8">
        <v>30.958076090717491</v>
      </c>
      <c r="L850" s="8">
        <v>30.958028945912329</v>
      </c>
      <c r="M850" s="8">
        <v>9</v>
      </c>
    </row>
    <row r="851" spans="1:13" x14ac:dyDescent="0.3">
      <c r="A851" s="8">
        <v>840</v>
      </c>
      <c r="B851" s="8">
        <v>0.35404197590652259</v>
      </c>
      <c r="C851" s="8">
        <v>3.2153638972687304E-5</v>
      </c>
      <c r="D851" s="8">
        <v>11010.945797060831</v>
      </c>
      <c r="E851" s="8">
        <v>8.29631031962208E-6</v>
      </c>
      <c r="F851" s="8">
        <v>42674.630319596123</v>
      </c>
      <c r="G851" s="8">
        <v>0.41192899708026792</v>
      </c>
      <c r="H851" s="8">
        <v>30.958101056716256</v>
      </c>
      <c r="I851" s="8">
        <v>30.958099624813165</v>
      </c>
      <c r="J851" s="8">
        <v>5.7887021173745334E-2</v>
      </c>
      <c r="K851" s="8">
        <v>30.958092760405936</v>
      </c>
      <c r="L851" s="8">
        <v>30.958067471174193</v>
      </c>
      <c r="M851" s="8">
        <v>11</v>
      </c>
    </row>
    <row r="852" spans="1:13" x14ac:dyDescent="0.3">
      <c r="A852" s="8">
        <v>841</v>
      </c>
      <c r="B852" s="8">
        <v>0.40263530591073837</v>
      </c>
      <c r="C852" s="8">
        <v>4.6702637430229288E-5</v>
      </c>
      <c r="D852" s="8">
        <v>8621.254131787513</v>
      </c>
      <c r="E852" s="8">
        <v>2.7763443622319528E-5</v>
      </c>
      <c r="F852" s="8">
        <v>14502.354657008495</v>
      </c>
      <c r="G852" s="8">
        <v>0.43437822381984736</v>
      </c>
      <c r="H852" s="8">
        <v>30.958101543258461</v>
      </c>
      <c r="I852" s="8">
        <v>30.958100866512535</v>
      </c>
      <c r="J852" s="8">
        <v>3.1742917909108978E-2</v>
      </c>
      <c r="K852" s="8">
        <v>30.958073779814839</v>
      </c>
      <c r="L852" s="8">
        <v>30.958054163875104</v>
      </c>
      <c r="M852" s="8">
        <v>13</v>
      </c>
    </row>
    <row r="853" spans="1:13" x14ac:dyDescent="0.3">
      <c r="A853" s="8">
        <v>842</v>
      </c>
      <c r="B853" s="8">
        <v>0.30669997913067992</v>
      </c>
      <c r="C853" s="8">
        <v>1.913839926004357E-5</v>
      </c>
      <c r="D853" s="8">
        <v>16025.372601092955</v>
      </c>
      <c r="E853" s="8">
        <v>8.0258087216122931E-6</v>
      </c>
      <c r="F853" s="8">
        <v>38214.214887128212</v>
      </c>
      <c r="G853" s="8">
        <v>0.36272543776921073</v>
      </c>
      <c r="H853" s="8">
        <v>30.95810134535084</v>
      </c>
      <c r="I853" s="8">
        <v>30.958100478786083</v>
      </c>
      <c r="J853" s="8">
        <v>5.6025458638530826E-2</v>
      </c>
      <c r="K853" s="8">
        <v>30.958093319542119</v>
      </c>
      <c r="L853" s="8">
        <v>30.958081340386823</v>
      </c>
      <c r="M853" s="8">
        <v>12</v>
      </c>
    </row>
    <row r="854" spans="1:13" x14ac:dyDescent="0.3">
      <c r="A854" s="8">
        <v>843</v>
      </c>
      <c r="B854" s="8">
        <v>0.38243848602906849</v>
      </c>
      <c r="C854" s="8">
        <v>5.1186244018452953E-5</v>
      </c>
      <c r="D854" s="8">
        <v>7471.5090619111861</v>
      </c>
      <c r="E854" s="8">
        <v>3.8898347501259423E-5</v>
      </c>
      <c r="F854" s="8">
        <v>9831.7412074301137</v>
      </c>
      <c r="G854" s="8">
        <v>0.49129710745203159</v>
      </c>
      <c r="H854" s="8">
        <v>30.958101454039959</v>
      </c>
      <c r="I854" s="8">
        <v>30.95810078408077</v>
      </c>
      <c r="J854" s="8">
        <v>0.1088586214229631</v>
      </c>
      <c r="K854" s="8">
        <v>30.958062555692457</v>
      </c>
      <c r="L854" s="8">
        <v>30.958049597836752</v>
      </c>
      <c r="M854" s="8">
        <v>12</v>
      </c>
    </row>
    <row r="855" spans="1:13" x14ac:dyDescent="0.3">
      <c r="A855" s="8">
        <v>844</v>
      </c>
      <c r="B855" s="8">
        <v>0.79338395712075982</v>
      </c>
      <c r="C855" s="8">
        <v>1.0251717197817811E-4</v>
      </c>
      <c r="D855" s="8">
        <v>7739.0347569248224</v>
      </c>
      <c r="E855" s="8">
        <v>6.7487466584026379E-5</v>
      </c>
      <c r="F855" s="8">
        <v>11756.019262227663</v>
      </c>
      <c r="G855" s="8">
        <v>0.9582214527989118</v>
      </c>
      <c r="H855" s="8">
        <v>30.958099259196679</v>
      </c>
      <c r="I855" s="8">
        <v>30.958094075075575</v>
      </c>
      <c r="J855" s="8">
        <v>0.16483749567815201</v>
      </c>
      <c r="K855" s="8">
        <v>30.958031771730095</v>
      </c>
      <c r="L855" s="8">
        <v>30.957991557903597</v>
      </c>
      <c r="M855" s="8">
        <v>13</v>
      </c>
    </row>
    <row r="856" spans="1:13" x14ac:dyDescent="0.3">
      <c r="A856" s="8">
        <v>845</v>
      </c>
      <c r="B856" s="8">
        <v>0.60325638541979121</v>
      </c>
      <c r="C856" s="8">
        <v>2.4001721968147649E-5</v>
      </c>
      <c r="D856" s="8">
        <v>25133.87940333466</v>
      </c>
      <c r="E856" s="8">
        <v>5.5808102565890749E-6</v>
      </c>
      <c r="F856" s="8">
        <v>108094.76719039975</v>
      </c>
      <c r="G856" s="8">
        <v>0.63254309044947599</v>
      </c>
      <c r="H856" s="8">
        <v>30.958101375712111</v>
      </c>
      <c r="I856" s="8">
        <v>30.958099440898494</v>
      </c>
      <c r="J856" s="8">
        <v>2.9286705029684799E-2</v>
      </c>
      <c r="K856" s="8">
        <v>30.958095794901855</v>
      </c>
      <c r="L856" s="8">
        <v>30.958075439176525</v>
      </c>
      <c r="M856" s="8">
        <v>9</v>
      </c>
    </row>
    <row r="857" spans="1:13" x14ac:dyDescent="0.3">
      <c r="A857" s="8">
        <v>846</v>
      </c>
      <c r="B857" s="8">
        <v>0.67136301635286599</v>
      </c>
      <c r="C857" s="8">
        <v>1.2503433964283772E-4</v>
      </c>
      <c r="D857" s="8">
        <v>5369.4290566145546</v>
      </c>
      <c r="E857" s="8">
        <v>8.9294932191563703E-5</v>
      </c>
      <c r="F857" s="8">
        <v>7518.4895701874357</v>
      </c>
      <c r="G857" s="8">
        <v>1.0290460271516522</v>
      </c>
      <c r="H857" s="8">
        <v>30.95808810602006</v>
      </c>
      <c r="I857" s="8">
        <v>30.958081888700136</v>
      </c>
      <c r="J857" s="8">
        <v>0.35768301079878617</v>
      </c>
      <c r="K857" s="8">
        <v>30.957998811087869</v>
      </c>
      <c r="L857" s="8">
        <v>30.957956854360493</v>
      </c>
      <c r="M857" s="8">
        <v>12</v>
      </c>
    </row>
    <row r="858" spans="1:13" x14ac:dyDescent="0.3">
      <c r="A858" s="8">
        <v>847</v>
      </c>
      <c r="B858" s="8">
        <v>0.39171671115488615</v>
      </c>
      <c r="C858" s="8">
        <v>8.0981640540045419E-5</v>
      </c>
      <c r="D858" s="8">
        <v>4837.1051579423392</v>
      </c>
      <c r="E858" s="8">
        <v>5.5586069233726221E-5</v>
      </c>
      <c r="F858" s="8">
        <v>7047.0302461541296</v>
      </c>
      <c r="G858" s="8">
        <v>0.49226029128951349</v>
      </c>
      <c r="H858" s="8">
        <v>30.958101072534973</v>
      </c>
      <c r="I858" s="8">
        <v>30.958098389700421</v>
      </c>
      <c r="J858" s="8">
        <v>0.10054358013462736</v>
      </c>
      <c r="K858" s="8">
        <v>30.958045486465739</v>
      </c>
      <c r="L858" s="8">
        <v>30.958017408059881</v>
      </c>
      <c r="M858" s="8">
        <v>14</v>
      </c>
    </row>
    <row r="859" spans="1:13" x14ac:dyDescent="0.3">
      <c r="A859" s="8">
        <v>848</v>
      </c>
      <c r="B859" s="8">
        <v>0.4350765993704736</v>
      </c>
      <c r="C859" s="8">
        <v>2.4575635556800535E-5</v>
      </c>
      <c r="D859" s="8">
        <v>17703.574679275378</v>
      </c>
      <c r="E859" s="8">
        <v>1.2222800521044519E-5</v>
      </c>
      <c r="F859" s="8">
        <v>35595.492098671137</v>
      </c>
      <c r="G859" s="8">
        <v>0.49663723792505188</v>
      </c>
      <c r="H859" s="8">
        <v>30.958101342920759</v>
      </c>
      <c r="I859" s="8">
        <v>30.958100580220407</v>
      </c>
      <c r="J859" s="8">
        <v>6.156063855457828E-2</v>
      </c>
      <c r="K859" s="8">
        <v>30.958089120120238</v>
      </c>
      <c r="L859" s="8">
        <v>30.95807600458485</v>
      </c>
      <c r="M859" s="8">
        <v>14</v>
      </c>
    </row>
    <row r="860" spans="1:13" x14ac:dyDescent="0.3">
      <c r="A860" s="8">
        <v>849</v>
      </c>
      <c r="B860" s="8">
        <v>0.91058932051588792</v>
      </c>
      <c r="C860" s="8">
        <v>8.6359134748192901E-5</v>
      </c>
      <c r="D860" s="8">
        <v>10544.215422850128</v>
      </c>
      <c r="E860" s="8">
        <v>5.9932011041041733E-5</v>
      </c>
      <c r="F860" s="8">
        <v>15193.705412159654</v>
      </c>
      <c r="G860" s="8">
        <v>1.1228688619307516</v>
      </c>
      <c r="H860" s="8">
        <v>30.958098005327781</v>
      </c>
      <c r="I860" s="8">
        <v>30.958094586614042</v>
      </c>
      <c r="J860" s="8">
        <v>0.21227954141486366</v>
      </c>
      <c r="K860" s="8">
        <v>30.95803807331674</v>
      </c>
      <c r="L860" s="8">
        <v>30.958008227479294</v>
      </c>
      <c r="M860" s="8">
        <v>13</v>
      </c>
    </row>
    <row r="861" spans="1:13" x14ac:dyDescent="0.3">
      <c r="A861" s="8">
        <v>850</v>
      </c>
      <c r="B861" s="8">
        <v>0.54711675268445104</v>
      </c>
      <c r="C861" s="8">
        <v>2.8940812335065402E-5</v>
      </c>
      <c r="D861" s="8">
        <v>18904.678498659516</v>
      </c>
      <c r="E861" s="8">
        <v>7.8687540607802475E-6</v>
      </c>
      <c r="F861" s="8">
        <v>69530.290114341202</v>
      </c>
      <c r="G861" s="8">
        <v>0.58327608594061209</v>
      </c>
      <c r="H861" s="8">
        <v>30.958098860477598</v>
      </c>
      <c r="I861" s="8">
        <v>30.958090634231162</v>
      </c>
      <c r="J861" s="8">
        <v>3.6159333256161094E-2</v>
      </c>
      <c r="K861" s="8">
        <v>30.958090991723537</v>
      </c>
      <c r="L861" s="8">
        <v>30.958061693418827</v>
      </c>
      <c r="M861" s="8">
        <v>15</v>
      </c>
    </row>
    <row r="862" spans="1:13" x14ac:dyDescent="0.3">
      <c r="A862" s="8">
        <v>851</v>
      </c>
      <c r="B862" s="8">
        <v>0.46199850946432641</v>
      </c>
      <c r="C862" s="8">
        <v>4.4025747378384494E-5</v>
      </c>
      <c r="D862" s="8">
        <v>10493.825476570008</v>
      </c>
      <c r="E862" s="8">
        <v>3.1155823215556211E-5</v>
      </c>
      <c r="F862" s="8">
        <v>14828.640741344589</v>
      </c>
      <c r="G862" s="8">
        <v>0.54650678481408665</v>
      </c>
      <c r="H862" s="8">
        <v>30.958100809747926</v>
      </c>
      <c r="I862" s="8">
        <v>30.958099123426301</v>
      </c>
      <c r="J862" s="8">
        <v>8.4508275349760256E-2</v>
      </c>
      <c r="K862" s="8">
        <v>30.95806965392471</v>
      </c>
      <c r="L862" s="8">
        <v>30.958055097678923</v>
      </c>
      <c r="M862" s="8">
        <v>13</v>
      </c>
    </row>
    <row r="863" spans="1:13" x14ac:dyDescent="0.3">
      <c r="A863" s="8">
        <v>852</v>
      </c>
      <c r="B863" s="8">
        <v>0.22096201826660028</v>
      </c>
      <c r="C863" s="8">
        <v>7.4796797747467281E-5</v>
      </c>
      <c r="D863" s="8">
        <v>2954.1641476767945</v>
      </c>
      <c r="E863" s="8">
        <v>6.0585312652960965E-5</v>
      </c>
      <c r="F863" s="8">
        <v>3647.1218615688908</v>
      </c>
      <c r="G863" s="8">
        <v>0.43517964757815758</v>
      </c>
      <c r="H863" s="8">
        <v>30.958101504807981</v>
      </c>
      <c r="I863" s="8">
        <v>30.958100586334755</v>
      </c>
      <c r="J863" s="8">
        <v>0.2142176293115573</v>
      </c>
      <c r="K863" s="8">
        <v>30.958040919495328</v>
      </c>
      <c r="L863" s="8">
        <v>30.958025789537007</v>
      </c>
      <c r="M863" s="8">
        <v>12</v>
      </c>
    </row>
    <row r="864" spans="1:13" x14ac:dyDescent="0.3">
      <c r="A864" s="8">
        <v>853</v>
      </c>
      <c r="B864" s="8">
        <v>0.73347365933474706</v>
      </c>
      <c r="C864" s="8">
        <v>7.6662594690191099E-5</v>
      </c>
      <c r="D864" s="8">
        <v>9567.5558895294507</v>
      </c>
      <c r="E864" s="8">
        <v>3.312453470272203E-5</v>
      </c>
      <c r="F864" s="8">
        <v>22142.912071591254</v>
      </c>
      <c r="G864" s="8">
        <v>0.90247717523750592</v>
      </c>
      <c r="H864" s="8">
        <v>30.958100754502514</v>
      </c>
      <c r="I864" s="8">
        <v>30.958097251254927</v>
      </c>
      <c r="J864" s="8">
        <v>0.16900351590275892</v>
      </c>
      <c r="K864" s="8">
        <v>30.958067629967811</v>
      </c>
      <c r="L864" s="8">
        <v>30.958020588660236</v>
      </c>
      <c r="M864" s="8">
        <v>13</v>
      </c>
    </row>
    <row r="865" spans="1:13" x14ac:dyDescent="0.3">
      <c r="A865" s="8">
        <v>854</v>
      </c>
      <c r="B865" s="8">
        <v>0.37000422084588952</v>
      </c>
      <c r="C865" s="8">
        <v>8.0670172962982178E-5</v>
      </c>
      <c r="D865" s="8">
        <v>4586.6298193717348</v>
      </c>
      <c r="E865" s="8">
        <v>5.3377337728477414E-5</v>
      </c>
      <c r="F865" s="8">
        <v>6931.8597852902667</v>
      </c>
      <c r="G865" s="8">
        <v>0.53107864395793025</v>
      </c>
      <c r="H865" s="8">
        <v>30.958099299568385</v>
      </c>
      <c r="I865" s="8">
        <v>30.958095780877017</v>
      </c>
      <c r="J865" s="8">
        <v>0.16107442311204073</v>
      </c>
      <c r="K865" s="8">
        <v>30.958045922230657</v>
      </c>
      <c r="L865" s="8">
        <v>30.958015110704054</v>
      </c>
      <c r="M865" s="8">
        <v>10</v>
      </c>
    </row>
    <row r="866" spans="1:13" x14ac:dyDescent="0.3">
      <c r="A866" s="8">
        <v>855</v>
      </c>
      <c r="B866" s="8">
        <v>1.0521972161094157</v>
      </c>
      <c r="C866" s="8">
        <v>1.267889116149945E-4</v>
      </c>
      <c r="D866" s="8">
        <v>8298.8110135727293</v>
      </c>
      <c r="E866" s="8">
        <v>7.6530344017555763E-5</v>
      </c>
      <c r="F866" s="8">
        <v>13748.758477657513</v>
      </c>
      <c r="G866" s="8">
        <v>1.1878182146616665</v>
      </c>
      <c r="H866" s="8">
        <v>30.958100686850436</v>
      </c>
      <c r="I866" s="8">
        <v>30.95809929456254</v>
      </c>
      <c r="J866" s="8">
        <v>0.13562099855225063</v>
      </c>
      <c r="K866" s="8">
        <v>30.958024156506418</v>
      </c>
      <c r="L866" s="8">
        <v>30.957972505650925</v>
      </c>
      <c r="M866" s="8">
        <v>11</v>
      </c>
    </row>
    <row r="867" spans="1:13" x14ac:dyDescent="0.3">
      <c r="A867" s="8">
        <v>856</v>
      </c>
      <c r="B867" s="8">
        <v>0.3845682967056977</v>
      </c>
      <c r="C867" s="8">
        <v>1.9572307156323632E-5</v>
      </c>
      <c r="D867" s="8">
        <v>19648.592965262516</v>
      </c>
      <c r="E867" s="8">
        <v>4.725563140794975E-6</v>
      </c>
      <c r="F867" s="8">
        <v>81380.416523437307</v>
      </c>
      <c r="G867" s="8">
        <v>0.41445763905020877</v>
      </c>
      <c r="H867" s="8">
        <v>30.9581015106764</v>
      </c>
      <c r="I867" s="8">
        <v>30.958101353017078</v>
      </c>
      <c r="J867" s="8">
        <v>2.9889342344511082E-2</v>
      </c>
      <c r="K867" s="8">
        <v>30.958096785113259</v>
      </c>
      <c r="L867" s="8">
        <v>30.958081780709922</v>
      </c>
      <c r="M867" s="8">
        <v>11</v>
      </c>
    </row>
    <row r="868" spans="1:13" x14ac:dyDescent="0.3">
      <c r="A868" s="8">
        <v>857</v>
      </c>
      <c r="B868" s="8">
        <v>0.74643769919469871</v>
      </c>
      <c r="C868" s="8">
        <v>3.6672126224601698E-5</v>
      </c>
      <c r="D868" s="8">
        <v>20354.361092211417</v>
      </c>
      <c r="E868" s="8">
        <v>1.1104042275889014E-5</v>
      </c>
      <c r="F868" s="8">
        <v>67222.159340611586</v>
      </c>
      <c r="G868" s="8">
        <v>0.78519916559513658</v>
      </c>
      <c r="H868" s="8">
        <v>30.958101512613677</v>
      </c>
      <c r="I868" s="8">
        <v>30.95810016821094</v>
      </c>
      <c r="J868" s="8">
        <v>3.8761466400437823E-2</v>
      </c>
      <c r="K868" s="8">
        <v>30.958090408571401</v>
      </c>
      <c r="L868" s="8">
        <v>30.958063496084716</v>
      </c>
      <c r="M868" s="8">
        <v>10</v>
      </c>
    </row>
    <row r="869" spans="1:13" x14ac:dyDescent="0.3">
      <c r="A869" s="8">
        <v>858</v>
      </c>
      <c r="B869" s="8">
        <v>0.45905852627559018</v>
      </c>
      <c r="C869" s="8">
        <v>5.488980544399169E-5</v>
      </c>
      <c r="D869" s="8">
        <v>8363.2747932401235</v>
      </c>
      <c r="E869" s="8">
        <v>2.6271070613148595E-5</v>
      </c>
      <c r="F869" s="8">
        <v>17473.917718672368</v>
      </c>
      <c r="G869" s="8">
        <v>0.50505888811212762</v>
      </c>
      <c r="H869" s="8">
        <v>30.958097101918163</v>
      </c>
      <c r="I869" s="8">
        <v>30.958091570134041</v>
      </c>
      <c r="J869" s="8">
        <v>4.6000361836537454E-2</v>
      </c>
      <c r="K869" s="8">
        <v>30.95807083084755</v>
      </c>
      <c r="L869" s="8">
        <v>30.958036680328597</v>
      </c>
      <c r="M869" s="8">
        <v>11</v>
      </c>
    </row>
    <row r="870" spans="1:13" x14ac:dyDescent="0.3">
      <c r="A870" s="8">
        <v>859</v>
      </c>
      <c r="B870" s="8">
        <v>0.38528851427934696</v>
      </c>
      <c r="C870" s="8">
        <v>1.9429707294094101E-4</v>
      </c>
      <c r="D870" s="8">
        <v>1982.9867143518943</v>
      </c>
      <c r="E870" s="8">
        <v>1.7776427231552816E-4</v>
      </c>
      <c r="F870" s="8">
        <v>2167.412547305722</v>
      </c>
      <c r="G870" s="8">
        <v>0.53409390827195879</v>
      </c>
      <c r="H870" s="8">
        <v>30.958101402253593</v>
      </c>
      <c r="I870" s="8">
        <v>30.958100223809176</v>
      </c>
      <c r="J870" s="8">
        <v>0.14880539399261186</v>
      </c>
      <c r="K870" s="8">
        <v>30.957923637981278</v>
      </c>
      <c r="L870" s="8">
        <v>30.957905926736235</v>
      </c>
      <c r="M870" s="8">
        <v>14</v>
      </c>
    </row>
    <row r="871" spans="1:13" x14ac:dyDescent="0.3">
      <c r="A871" s="8">
        <v>860</v>
      </c>
      <c r="B871" s="8">
        <v>0.35815779913300838</v>
      </c>
      <c r="C871" s="8">
        <v>1.0032455258723871E-4</v>
      </c>
      <c r="D871" s="8">
        <v>3569.9914915799591</v>
      </c>
      <c r="E871" s="8">
        <v>8.7047141001050932E-5</v>
      </c>
      <c r="F871" s="8">
        <v>4114.526853083943</v>
      </c>
      <c r="G871" s="8">
        <v>0.54430905858397272</v>
      </c>
      <c r="H871" s="8">
        <v>30.95809509197797</v>
      </c>
      <c r="I871" s="8">
        <v>30.958092366866719</v>
      </c>
      <c r="J871" s="8">
        <v>0.18615125945096433</v>
      </c>
      <c r="K871" s="8">
        <v>30.958008044836969</v>
      </c>
      <c r="L871" s="8">
        <v>30.957992042314132</v>
      </c>
      <c r="M871" s="8">
        <v>13</v>
      </c>
    </row>
    <row r="872" spans="1:13" x14ac:dyDescent="0.3">
      <c r="A872" s="8">
        <v>861</v>
      </c>
      <c r="B872" s="8">
        <v>0.30250045022795724</v>
      </c>
      <c r="C872" s="8">
        <v>5.26722137941249E-5</v>
      </c>
      <c r="D872" s="8">
        <v>5743.0745442049065</v>
      </c>
      <c r="E872" s="8">
        <v>3.7048748239953966E-5</v>
      </c>
      <c r="F872" s="8">
        <v>8164.9303849282524</v>
      </c>
      <c r="G872" s="8">
        <v>0.48893223068635516</v>
      </c>
      <c r="H872" s="8">
        <v>30.958101496894734</v>
      </c>
      <c r="I872" s="8">
        <v>30.958100280263686</v>
      </c>
      <c r="J872" s="8">
        <v>0.18643178045839792</v>
      </c>
      <c r="K872" s="8">
        <v>30.958064448146494</v>
      </c>
      <c r="L872" s="8">
        <v>30.958047608049892</v>
      </c>
      <c r="M872" s="8">
        <v>10</v>
      </c>
    </row>
    <row r="873" spans="1:13" x14ac:dyDescent="0.3">
      <c r="A873" s="8">
        <v>862</v>
      </c>
      <c r="B873" s="8">
        <v>0.30806176240526073</v>
      </c>
      <c r="C873" s="8">
        <v>1.9512435081026069E-5</v>
      </c>
      <c r="D873" s="8">
        <v>15787.971164338202</v>
      </c>
      <c r="E873" s="8">
        <v>7.9345985817269593E-6</v>
      </c>
      <c r="F873" s="8">
        <v>38825.122560669137</v>
      </c>
      <c r="G873" s="8">
        <v>0.36300706225818707</v>
      </c>
      <c r="H873" s="8">
        <v>30.958101460109617</v>
      </c>
      <c r="I873" s="8">
        <v>30.958100211901023</v>
      </c>
      <c r="J873" s="8">
        <v>5.4945299852926351E-2</v>
      </c>
      <c r="K873" s="8">
        <v>30.958093525511035</v>
      </c>
      <c r="L873" s="8">
        <v>30.958080699465942</v>
      </c>
      <c r="M873" s="8">
        <v>14</v>
      </c>
    </row>
    <row r="874" spans="1:13" x14ac:dyDescent="0.3">
      <c r="A874" s="8">
        <v>863</v>
      </c>
      <c r="B874" s="8">
        <v>0.47321439031372781</v>
      </c>
      <c r="C874" s="8">
        <v>5.58730229727189E-5</v>
      </c>
      <c r="D874" s="8">
        <v>8469.4610231628958</v>
      </c>
      <c r="E874" s="8">
        <v>3.7351950158637237E-5</v>
      </c>
      <c r="F874" s="8">
        <v>12669.067834582716</v>
      </c>
      <c r="G874" s="8">
        <v>0.53644414772633242</v>
      </c>
      <c r="H874" s="8">
        <v>30.95810130189405</v>
      </c>
      <c r="I874" s="8">
        <v>30.958100054719303</v>
      </c>
      <c r="J874" s="8">
        <v>6.3229757412604629E-2</v>
      </c>
      <c r="K874" s="8">
        <v>30.958063949943892</v>
      </c>
      <c r="L874" s="8">
        <v>30.95804418169633</v>
      </c>
      <c r="M874" s="8">
        <v>10</v>
      </c>
    </row>
    <row r="875" spans="1:13" x14ac:dyDescent="0.3">
      <c r="A875" s="8">
        <v>864</v>
      </c>
      <c r="B875" s="8">
        <v>0.53978354069400458</v>
      </c>
      <c r="C875" s="8">
        <v>4.1596414032341045E-5</v>
      </c>
      <c r="D875" s="8">
        <v>12976.684487136921</v>
      </c>
      <c r="E875" s="8">
        <v>1.760470911094103E-5</v>
      </c>
      <c r="F875" s="8">
        <v>30661.3155203194</v>
      </c>
      <c r="G875" s="8">
        <v>0.61833491053651346</v>
      </c>
      <c r="H875" s="8">
        <v>30.958101233733167</v>
      </c>
      <c r="I875" s="8">
        <v>30.958100551154846</v>
      </c>
      <c r="J875" s="8">
        <v>7.8551369842508906E-2</v>
      </c>
      <c r="K875" s="8">
        <v>30.958083629024056</v>
      </c>
      <c r="L875" s="8">
        <v>30.958058954740814</v>
      </c>
      <c r="M875" s="8">
        <v>10</v>
      </c>
    </row>
    <row r="876" spans="1:13" x14ac:dyDescent="0.3">
      <c r="A876" s="8">
        <v>865</v>
      </c>
      <c r="B876" s="8">
        <v>0.74403286135406366</v>
      </c>
      <c r="C876" s="8">
        <v>1.564590478757566E-4</v>
      </c>
      <c r="D876" s="8">
        <v>4755.4479683712298</v>
      </c>
      <c r="E876" s="8">
        <v>1.1940615896577356E-4</v>
      </c>
      <c r="F876" s="8">
        <v>6231.10958260815</v>
      </c>
      <c r="G876" s="8">
        <v>1.1116436325199568</v>
      </c>
      <c r="H876" s="8">
        <v>30.958100327147982</v>
      </c>
      <c r="I876" s="8">
        <v>30.958099850993111</v>
      </c>
      <c r="J876" s="8">
        <v>0.36761077116589319</v>
      </c>
      <c r="K876" s="8">
        <v>30.957980920989016</v>
      </c>
      <c r="L876" s="8">
        <v>30.957943391945236</v>
      </c>
      <c r="M876" s="8">
        <v>12</v>
      </c>
    </row>
    <row r="877" spans="1:13" x14ac:dyDescent="0.3">
      <c r="A877" s="8">
        <v>866</v>
      </c>
      <c r="B877" s="8">
        <v>0.40668976518300504</v>
      </c>
      <c r="C877" s="8">
        <v>2.3451203915669794E-5</v>
      </c>
      <c r="D877" s="8">
        <v>17341.956798698091</v>
      </c>
      <c r="E877" s="8">
        <v>3.9467982624330489E-6</v>
      </c>
      <c r="F877" s="8">
        <v>103042.95739004822</v>
      </c>
      <c r="G877" s="8">
        <v>0.43073717639456333</v>
      </c>
      <c r="H877" s="8">
        <v>30.958101551190051</v>
      </c>
      <c r="I877" s="8">
        <v>30.958100429862341</v>
      </c>
      <c r="J877" s="8">
        <v>2.4047411211558282E-2</v>
      </c>
      <c r="K877" s="8">
        <v>30.958097604391789</v>
      </c>
      <c r="L877" s="8">
        <v>30.958076978658426</v>
      </c>
      <c r="M877" s="8">
        <v>12</v>
      </c>
    </row>
    <row r="878" spans="1:13" x14ac:dyDescent="0.3">
      <c r="A878" s="8">
        <v>867</v>
      </c>
      <c r="B878" s="8">
        <v>0.77708000883602679</v>
      </c>
      <c r="C878" s="8">
        <v>3.4323599233943014E-5</v>
      </c>
      <c r="D878" s="8">
        <v>22639.817099005257</v>
      </c>
      <c r="E878" s="8">
        <v>1.6220884965889582E-5</v>
      </c>
      <c r="F878" s="8">
        <v>47906.141401663677</v>
      </c>
      <c r="G878" s="8">
        <v>0.82777498711330932</v>
      </c>
      <c r="H878" s="8">
        <v>30.958101521934232</v>
      </c>
      <c r="I878" s="8">
        <v>30.958099490652177</v>
      </c>
      <c r="J878" s="8">
        <v>5.0694978277282532E-2</v>
      </c>
      <c r="K878" s="8">
        <v>30.958085301049266</v>
      </c>
      <c r="L878" s="8">
        <v>30.958065167052943</v>
      </c>
      <c r="M878" s="8">
        <v>11</v>
      </c>
    </row>
    <row r="879" spans="1:13" x14ac:dyDescent="0.3">
      <c r="A879" s="8">
        <v>868</v>
      </c>
      <c r="B879" s="8">
        <v>0.66921107887352904</v>
      </c>
      <c r="C879" s="8">
        <v>6.4510242435034115E-5</v>
      </c>
      <c r="D879" s="8">
        <v>10373.718244005466</v>
      </c>
      <c r="E879" s="8">
        <v>2.9528165718772925E-5</v>
      </c>
      <c r="F879" s="8">
        <v>22663.48290127853</v>
      </c>
      <c r="G879" s="8">
        <v>0.75278001647577564</v>
      </c>
      <c r="H879" s="8">
        <v>30.958100292943211</v>
      </c>
      <c r="I879" s="8">
        <v>30.958096110590375</v>
      </c>
      <c r="J879" s="8">
        <v>8.3568937602246623E-2</v>
      </c>
      <c r="K879" s="8">
        <v>30.958070764777492</v>
      </c>
      <c r="L879" s="8">
        <v>30.95803160034794</v>
      </c>
      <c r="M879" s="8">
        <v>9</v>
      </c>
    </row>
    <row r="880" spans="1:13" x14ac:dyDescent="0.3">
      <c r="A880" s="8">
        <v>869</v>
      </c>
      <c r="B880" s="8">
        <v>0.64075181708802642</v>
      </c>
      <c r="C880" s="8">
        <v>3.2325803918098472E-5</v>
      </c>
      <c r="D880" s="8">
        <v>19821.682353560409</v>
      </c>
      <c r="E880" s="8">
        <v>1.7351106926355442E-5</v>
      </c>
      <c r="F880" s="8">
        <v>36928.584430239272</v>
      </c>
      <c r="G880" s="8">
        <v>0.67780874631065524</v>
      </c>
      <c r="H880" s="8">
        <v>30.958101226854779</v>
      </c>
      <c r="I880" s="8">
        <v>30.958100533098555</v>
      </c>
      <c r="J880" s="8">
        <v>3.7056929222628834E-2</v>
      </c>
      <c r="K880" s="8">
        <v>30.958083875747853</v>
      </c>
      <c r="L880" s="8">
        <v>30.958068207294637</v>
      </c>
      <c r="M880" s="8">
        <v>9</v>
      </c>
    </row>
    <row r="881" spans="1:13" x14ac:dyDescent="0.3">
      <c r="A881" s="8">
        <v>870</v>
      </c>
      <c r="B881" s="8">
        <v>0.16191757292968245</v>
      </c>
      <c r="C881" s="8">
        <v>6.6800732181349076E-5</v>
      </c>
      <c r="D881" s="8">
        <v>2423.8891946590106</v>
      </c>
      <c r="E881" s="8">
        <v>5.743291465165612E-5</v>
      </c>
      <c r="F881" s="8">
        <v>2819.2470103902942</v>
      </c>
      <c r="G881" s="8">
        <v>0.54585875846529874</v>
      </c>
      <c r="H881" s="8">
        <v>30.958100755345882</v>
      </c>
      <c r="I881" s="8">
        <v>30.958099356303656</v>
      </c>
      <c r="J881" s="8">
        <v>0.38394118553561629</v>
      </c>
      <c r="K881" s="8">
        <v>30.95804332243123</v>
      </c>
      <c r="L881" s="8">
        <v>30.958032555571474</v>
      </c>
      <c r="M881" s="8">
        <v>15</v>
      </c>
    </row>
    <row r="882" spans="1:13" x14ac:dyDescent="0.3">
      <c r="A882" s="8">
        <v>871</v>
      </c>
      <c r="B882" s="8">
        <v>0.28370238422065658</v>
      </c>
      <c r="C882" s="8">
        <v>1.2977695017823976E-4</v>
      </c>
      <c r="D882" s="8">
        <v>2186.0768328351896</v>
      </c>
      <c r="E882" s="8">
        <v>1.2040838967308787E-4</v>
      </c>
      <c r="F882" s="8">
        <v>2356.1679131405749</v>
      </c>
      <c r="G882" s="8">
        <v>0.71383443926333778</v>
      </c>
      <c r="H882" s="8">
        <v>30.958101484205105</v>
      </c>
      <c r="I882" s="8">
        <v>30.958100268395423</v>
      </c>
      <c r="J882" s="8">
        <v>0.43013205504268121</v>
      </c>
      <c r="K882" s="8">
        <v>30.957981075815432</v>
      </c>
      <c r="L882" s="8">
        <v>30.957970491445245</v>
      </c>
      <c r="M882" s="8">
        <v>15</v>
      </c>
    </row>
    <row r="883" spans="1:13" x14ac:dyDescent="0.3">
      <c r="A883" s="8">
        <v>872</v>
      </c>
      <c r="B883" s="8">
        <v>0.70343878012633554</v>
      </c>
      <c r="C883" s="8">
        <v>5.7759000082313605E-5</v>
      </c>
      <c r="D883" s="8">
        <v>12178.860075898989</v>
      </c>
      <c r="E883" s="8">
        <v>3.0091491243666724E-5</v>
      </c>
      <c r="F883" s="8">
        <v>23376.66732533192</v>
      </c>
      <c r="G883" s="8">
        <v>0.82298063395521615</v>
      </c>
      <c r="H883" s="8">
        <v>30.958101489061519</v>
      </c>
      <c r="I883" s="8">
        <v>30.958100289647398</v>
      </c>
      <c r="J883" s="8">
        <v>0.11954185382888065</v>
      </c>
      <c r="K883" s="8">
        <v>30.958071397570276</v>
      </c>
      <c r="L883" s="8">
        <v>30.958042530647315</v>
      </c>
      <c r="M883" s="8">
        <v>14</v>
      </c>
    </row>
    <row r="884" spans="1:13" x14ac:dyDescent="0.3">
      <c r="A884" s="8">
        <v>873</v>
      </c>
      <c r="B884" s="8">
        <v>0.37722955987589779</v>
      </c>
      <c r="C884" s="8">
        <v>4.2783125728362847E-5</v>
      </c>
      <c r="D884" s="8">
        <v>8817.2510412397351</v>
      </c>
      <c r="E884" s="8">
        <v>2.6238606924522401E-5</v>
      </c>
      <c r="F884" s="8">
        <v>14376.889785384983</v>
      </c>
      <c r="G884" s="8">
        <v>0.40754389851020911</v>
      </c>
      <c r="H884" s="8">
        <v>30.958101335061926</v>
      </c>
      <c r="I884" s="8">
        <v>30.958101104041443</v>
      </c>
      <c r="J884" s="8">
        <v>3.031433863431135E-2</v>
      </c>
      <c r="K884" s="8">
        <v>30.958075096455001</v>
      </c>
      <c r="L884" s="8">
        <v>30.958058320915715</v>
      </c>
      <c r="M884" s="8">
        <v>13</v>
      </c>
    </row>
    <row r="885" spans="1:13" x14ac:dyDescent="0.3">
      <c r="A885" s="8">
        <v>874</v>
      </c>
      <c r="B885" s="8">
        <v>0.5948158929203734</v>
      </c>
      <c r="C885" s="8">
        <v>3.8363589787593355E-5</v>
      </c>
      <c r="D885" s="8">
        <v>15504.69849702998</v>
      </c>
      <c r="E885" s="8">
        <v>1.3514495666555604E-5</v>
      </c>
      <c r="F885" s="8">
        <v>44013.177228090542</v>
      </c>
      <c r="G885" s="8">
        <v>0.64630175510178767</v>
      </c>
      <c r="H885" s="8">
        <v>30.958100894744248</v>
      </c>
      <c r="I885" s="8">
        <v>30.958098212288419</v>
      </c>
      <c r="J885" s="8">
        <v>5.1485862181414231E-2</v>
      </c>
      <c r="K885" s="8">
        <v>30.958087380248582</v>
      </c>
      <c r="L885" s="8">
        <v>30.958059848698632</v>
      </c>
      <c r="M885" s="8">
        <v>11</v>
      </c>
    </row>
    <row r="886" spans="1:13" x14ac:dyDescent="0.3">
      <c r="A886" s="8">
        <v>875</v>
      </c>
      <c r="B886" s="8">
        <v>0.43499101870719631</v>
      </c>
      <c r="C886" s="8">
        <v>7.008479959580427E-5</v>
      </c>
      <c r="D886" s="8">
        <v>6206.63854667336</v>
      </c>
      <c r="E886" s="8">
        <v>4.9876005498106224E-5</v>
      </c>
      <c r="F886" s="8">
        <v>8721.4486076619105</v>
      </c>
      <c r="G886" s="8">
        <v>0.5395254531266912</v>
      </c>
      <c r="H886" s="8">
        <v>30.958100707474152</v>
      </c>
      <c r="I886" s="8">
        <v>30.958099695601646</v>
      </c>
      <c r="J886" s="8">
        <v>0.10453443441949491</v>
      </c>
      <c r="K886" s="8">
        <v>30.958050831468654</v>
      </c>
      <c r="L886" s="8">
        <v>30.958029610802051</v>
      </c>
      <c r="M886" s="8">
        <v>10</v>
      </c>
    </row>
    <row r="887" spans="1:13" x14ac:dyDescent="0.3">
      <c r="A887" s="8">
        <v>876</v>
      </c>
      <c r="B887" s="8">
        <v>0.19514227519473049</v>
      </c>
      <c r="C887" s="8">
        <v>1.4144152945405608E-4</v>
      </c>
      <c r="D887" s="8">
        <v>1379.6674565663391</v>
      </c>
      <c r="E887" s="8">
        <v>1.2085405721506959E-4</v>
      </c>
      <c r="F887" s="8">
        <v>1614.6936204835804</v>
      </c>
      <c r="G887" s="8">
        <v>0.76641276148895865</v>
      </c>
      <c r="H887" s="8">
        <v>30.95810138327446</v>
      </c>
      <c r="I887" s="8">
        <v>30.958100747251709</v>
      </c>
      <c r="J887" s="8">
        <v>0.57127048629422816</v>
      </c>
      <c r="K887" s="8">
        <v>30.957980529217245</v>
      </c>
      <c r="L887" s="8">
        <v>30.957959305722255</v>
      </c>
      <c r="M887" s="8">
        <v>15</v>
      </c>
    </row>
    <row r="888" spans="1:13" x14ac:dyDescent="0.3">
      <c r="A888" s="8">
        <v>877</v>
      </c>
      <c r="B888" s="8">
        <v>0.57777346403685537</v>
      </c>
      <c r="C888" s="8">
        <v>2.7627308103461701E-5</v>
      </c>
      <c r="D888" s="8">
        <v>20913.129207997663</v>
      </c>
      <c r="E888" s="8">
        <v>9.5817062444325529E-6</v>
      </c>
      <c r="F888" s="8">
        <v>60299.642808666824</v>
      </c>
      <c r="G888" s="8">
        <v>0.62040088849593544</v>
      </c>
      <c r="H888" s="8">
        <v>30.958101476377411</v>
      </c>
      <c r="I888" s="8">
        <v>30.958099814986515</v>
      </c>
      <c r="J888" s="8">
        <v>4.2627424459080077E-2</v>
      </c>
      <c r="K888" s="8">
        <v>30.958091894671167</v>
      </c>
      <c r="L888" s="8">
        <v>30.958072187678411</v>
      </c>
      <c r="M888" s="8">
        <v>13</v>
      </c>
    </row>
    <row r="889" spans="1:13" x14ac:dyDescent="0.3">
      <c r="A889" s="8">
        <v>878</v>
      </c>
      <c r="B889" s="8">
        <v>0.60782133430216312</v>
      </c>
      <c r="C889" s="8">
        <v>1.2114626807857576E-4</v>
      </c>
      <c r="D889" s="8">
        <v>5017.2518224657879</v>
      </c>
      <c r="E889" s="8">
        <v>7.6723407083534312E-5</v>
      </c>
      <c r="F889" s="8">
        <v>7922.2411700302118</v>
      </c>
      <c r="G889" s="8">
        <v>0.80845102781288469</v>
      </c>
      <c r="H889" s="8">
        <v>30.958101525195215</v>
      </c>
      <c r="I889" s="8">
        <v>30.958100501054542</v>
      </c>
      <c r="J889" s="8">
        <v>0.20062969351072155</v>
      </c>
      <c r="K889" s="8">
        <v>30.958024801788131</v>
      </c>
      <c r="L889" s="8">
        <v>30.957979354786463</v>
      </c>
      <c r="M889" s="8">
        <v>9</v>
      </c>
    </row>
    <row r="890" spans="1:13" x14ac:dyDescent="0.3">
      <c r="A890" s="8">
        <v>879</v>
      </c>
      <c r="B890" s="8">
        <v>0.57761766466152509</v>
      </c>
      <c r="C890" s="8">
        <v>6.3267239205799797E-5</v>
      </c>
      <c r="D890" s="8">
        <v>9129.8067042662115</v>
      </c>
      <c r="E890" s="8">
        <v>3.939521608131713E-5</v>
      </c>
      <c r="F890" s="8">
        <v>14662.127083380961</v>
      </c>
      <c r="G890" s="8">
        <v>0.6735253891409051</v>
      </c>
      <c r="H890" s="8">
        <v>30.958101480861053</v>
      </c>
      <c r="I890" s="8">
        <v>30.958101073194843</v>
      </c>
      <c r="J890" s="8">
        <v>9.590772447937998E-2</v>
      </c>
      <c r="K890" s="8">
        <v>30.958062085644972</v>
      </c>
      <c r="L890" s="8">
        <v>30.958037805955637</v>
      </c>
      <c r="M890" s="8">
        <v>9</v>
      </c>
    </row>
    <row r="891" spans="1:13" x14ac:dyDescent="0.3">
      <c r="A891" s="8">
        <v>880</v>
      </c>
      <c r="B891" s="8">
        <v>0.56571142109349903</v>
      </c>
      <c r="C891" s="8">
        <v>5.2495558762188921E-5</v>
      </c>
      <c r="D891" s="8">
        <v>10776.367266728954</v>
      </c>
      <c r="E891" s="8">
        <v>3.250555092293439E-5</v>
      </c>
      <c r="F891" s="8">
        <v>17403.532782284259</v>
      </c>
      <c r="G891" s="8">
        <v>0.67251626354936178</v>
      </c>
      <c r="H891" s="8">
        <v>30.958095378847592</v>
      </c>
      <c r="I891" s="8">
        <v>30.95808899095838</v>
      </c>
      <c r="J891" s="8">
        <v>0.10680484245586276</v>
      </c>
      <c r="K891" s="8">
        <v>30.958062873296669</v>
      </c>
      <c r="L891" s="8">
        <v>30.958036495399618</v>
      </c>
      <c r="M891" s="8">
        <v>15</v>
      </c>
    </row>
    <row r="892" spans="1:13" x14ac:dyDescent="0.3">
      <c r="A892" s="8">
        <v>881</v>
      </c>
      <c r="B892" s="8">
        <v>0.42047414166699992</v>
      </c>
      <c r="C892" s="8">
        <v>3.5142437763369117E-5</v>
      </c>
      <c r="D892" s="8">
        <v>11964.85413158455</v>
      </c>
      <c r="E892" s="8">
        <v>8.5260935236419755E-6</v>
      </c>
      <c r="F892" s="8">
        <v>49316.154051215672</v>
      </c>
      <c r="G892" s="8">
        <v>0.43958197959486484</v>
      </c>
      <c r="H892" s="8">
        <v>30.95810131929716</v>
      </c>
      <c r="I892" s="8">
        <v>30.95810047583328</v>
      </c>
      <c r="J892" s="8">
        <v>1.9107837927864892E-2</v>
      </c>
      <c r="K892" s="8">
        <v>30.958092793203637</v>
      </c>
      <c r="L892" s="8">
        <v>30.958065333395517</v>
      </c>
      <c r="M892" s="8">
        <v>13</v>
      </c>
    </row>
    <row r="893" spans="1:13" x14ac:dyDescent="0.3">
      <c r="A893" s="8">
        <v>882</v>
      </c>
      <c r="B893" s="8">
        <v>0.60262202069624493</v>
      </c>
      <c r="C893" s="8">
        <v>2.6084363287992574E-5</v>
      </c>
      <c r="D893" s="8">
        <v>23102.807380912771</v>
      </c>
      <c r="E893" s="8">
        <v>1.0848648617667322E-5</v>
      </c>
      <c r="F893" s="8">
        <v>55548.118658286934</v>
      </c>
      <c r="G893" s="8">
        <v>0.6738456214959101</v>
      </c>
      <c r="H893" s="8">
        <v>30.95810151708902</v>
      </c>
      <c r="I893" s="8">
        <v>30.958100970666028</v>
      </c>
      <c r="J893" s="8">
        <v>7.1223600799665165E-2</v>
      </c>
      <c r="K893" s="8">
        <v>30.958090668440402</v>
      </c>
      <c r="L893" s="8">
        <v>30.95807488630274</v>
      </c>
      <c r="M893" s="8">
        <v>14</v>
      </c>
    </row>
    <row r="894" spans="1:13" x14ac:dyDescent="0.3">
      <c r="A894" s="8">
        <v>883</v>
      </c>
      <c r="B894" s="8">
        <v>0.96516560337650315</v>
      </c>
      <c r="C894" s="8">
        <v>7.883520224893914E-5</v>
      </c>
      <c r="D894" s="8">
        <v>12242.825233438036</v>
      </c>
      <c r="E894" s="8">
        <v>4.726832631263278E-5</v>
      </c>
      <c r="F894" s="8">
        <v>20418.865626696752</v>
      </c>
      <c r="G894" s="8">
        <v>1.0849112036280102</v>
      </c>
      <c r="H894" s="8">
        <v>30.958101367781499</v>
      </c>
      <c r="I894" s="8">
        <v>30.958099316487782</v>
      </c>
      <c r="J894" s="8">
        <v>0.11974560025150709</v>
      </c>
      <c r="K894" s="8">
        <v>30.958054099455186</v>
      </c>
      <c r="L894" s="8">
        <v>30.958020481285534</v>
      </c>
      <c r="M894" s="8">
        <v>9</v>
      </c>
    </row>
    <row r="895" spans="1:13" x14ac:dyDescent="0.3">
      <c r="A895" s="8">
        <v>884</v>
      </c>
      <c r="B895" s="8">
        <v>0.40834452790180964</v>
      </c>
      <c r="C895" s="8">
        <v>1.3369638663007777E-4</v>
      </c>
      <c r="D895" s="8">
        <v>3054.2674951392</v>
      </c>
      <c r="E895" s="8">
        <v>1.1817923481061143E-4</v>
      </c>
      <c r="F895" s="8">
        <v>3455.2984587876513</v>
      </c>
      <c r="G895" s="8">
        <v>0.6952888877791602</v>
      </c>
      <c r="H895" s="8">
        <v>30.958099556153652</v>
      </c>
      <c r="I895" s="8">
        <v>30.95809767042957</v>
      </c>
      <c r="J895" s="8">
        <v>0.28694435987735056</v>
      </c>
      <c r="K895" s="8">
        <v>30.957981376918841</v>
      </c>
      <c r="L895" s="8">
        <v>30.95796397404294</v>
      </c>
      <c r="M895" s="8">
        <v>12</v>
      </c>
    </row>
    <row r="896" spans="1:13" x14ac:dyDescent="0.3">
      <c r="A896" s="8">
        <v>885</v>
      </c>
      <c r="B896" s="8">
        <v>0.57737547535410105</v>
      </c>
      <c r="C896" s="8">
        <v>5.3909861684076077E-5</v>
      </c>
      <c r="D896" s="8">
        <v>10710.015891668416</v>
      </c>
      <c r="E896" s="8">
        <v>3.6236215642304614E-5</v>
      </c>
      <c r="F896" s="8">
        <v>15933.658223405475</v>
      </c>
      <c r="G896" s="8">
        <v>0.72721558141915965</v>
      </c>
      <c r="H896" s="8">
        <v>30.958100191308553</v>
      </c>
      <c r="I896" s="8">
        <v>30.958097662243517</v>
      </c>
      <c r="J896" s="8">
        <v>0.14984010606505863</v>
      </c>
      <c r="K896" s="8">
        <v>30.958063955092911</v>
      </c>
      <c r="L896" s="8">
        <v>30.958043752381833</v>
      </c>
      <c r="M896" s="8">
        <v>13</v>
      </c>
    </row>
    <row r="897" spans="1:13" x14ac:dyDescent="0.3">
      <c r="A897" s="8">
        <v>886</v>
      </c>
      <c r="B897" s="8">
        <v>0.27463376818949858</v>
      </c>
      <c r="C897" s="8">
        <v>3.3180857165859834E-5</v>
      </c>
      <c r="D897" s="8">
        <v>8276.8738256729685</v>
      </c>
      <c r="E897" s="8">
        <v>2.3451060407353452E-5</v>
      </c>
      <c r="F897" s="8">
        <v>11710.931762530568</v>
      </c>
      <c r="G897" s="8">
        <v>0.30971894225582403</v>
      </c>
      <c r="H897" s="8">
        <v>30.958099406201093</v>
      </c>
      <c r="I897" s="8">
        <v>30.958097874098922</v>
      </c>
      <c r="J897" s="8">
        <v>3.5085174066325442E-2</v>
      </c>
      <c r="K897" s="8">
        <v>30.958075955140686</v>
      </c>
      <c r="L897" s="8">
        <v>30.958064693241756</v>
      </c>
      <c r="M897" s="8">
        <v>13</v>
      </c>
    </row>
    <row r="898" spans="1:13" x14ac:dyDescent="0.3">
      <c r="A898" s="8">
        <v>887</v>
      </c>
      <c r="B898" s="8">
        <v>0.45778266342488677</v>
      </c>
      <c r="C898" s="8">
        <v>2.6122799074101977E-5</v>
      </c>
      <c r="D898" s="8">
        <v>17524.257723159935</v>
      </c>
      <c r="E898" s="8">
        <v>1.1243089947043927E-5</v>
      </c>
      <c r="F898" s="8">
        <v>40716.801660494464</v>
      </c>
      <c r="G898" s="8">
        <v>0.51400117849441063</v>
      </c>
      <c r="H898" s="8">
        <v>30.958101432762035</v>
      </c>
      <c r="I898" s="8">
        <v>30.958099963115721</v>
      </c>
      <c r="J898" s="8">
        <v>5.6218515069523849E-2</v>
      </c>
      <c r="K898" s="8">
        <v>30.958090189672088</v>
      </c>
      <c r="L898" s="8">
        <v>30.958073840316647</v>
      </c>
      <c r="M898" s="8">
        <v>13</v>
      </c>
    </row>
    <row r="899" spans="1:13" x14ac:dyDescent="0.3">
      <c r="A899" s="8">
        <v>888</v>
      </c>
      <c r="B899" s="8">
        <v>0.48640378909500764</v>
      </c>
      <c r="C899" s="8">
        <v>4.5834180948389758E-5</v>
      </c>
      <c r="D899" s="8">
        <v>10612.250050736337</v>
      </c>
      <c r="E899" s="8">
        <v>2.1478006516417736E-5</v>
      </c>
      <c r="F899" s="8">
        <v>22646.598450522015</v>
      </c>
      <c r="G899" s="8">
        <v>0.54475220947462821</v>
      </c>
      <c r="H899" s="8">
        <v>30.958101332937467</v>
      </c>
      <c r="I899" s="8">
        <v>30.9581002751185</v>
      </c>
      <c r="J899" s="8">
        <v>5.8348420379620548E-2</v>
      </c>
      <c r="K899" s="8">
        <v>30.958079854930951</v>
      </c>
      <c r="L899" s="8">
        <v>30.958054440937552</v>
      </c>
      <c r="M899" s="8">
        <v>9</v>
      </c>
    </row>
    <row r="900" spans="1:13" x14ac:dyDescent="0.3">
      <c r="A900" s="8">
        <v>889</v>
      </c>
      <c r="B900" s="8">
        <v>0.36298423263925156</v>
      </c>
      <c r="C900" s="8">
        <v>7.901812220723059E-5</v>
      </c>
      <c r="D900" s="8">
        <v>4593.6833538931724</v>
      </c>
      <c r="E900" s="8">
        <v>5.7540506595898933E-5</v>
      </c>
      <c r="F900" s="8">
        <v>6308.3252844548715</v>
      </c>
      <c r="G900" s="8">
        <v>0.60745350334727188</v>
      </c>
      <c r="H900" s="8">
        <v>30.958098400749165</v>
      </c>
      <c r="I900" s="8">
        <v>30.958095950178844</v>
      </c>
      <c r="J900" s="8">
        <v>0.24446927070802033</v>
      </c>
      <c r="K900" s="8">
        <v>30.958040860242569</v>
      </c>
      <c r="L900" s="8">
        <v>30.958016932056637</v>
      </c>
      <c r="M900" s="8">
        <v>10</v>
      </c>
    </row>
    <row r="901" spans="1:13" x14ac:dyDescent="0.3">
      <c r="A901" s="8">
        <v>890</v>
      </c>
      <c r="B901" s="8">
        <v>0.58629959224903572</v>
      </c>
      <c r="C901" s="8">
        <v>1.0749727309899981E-4</v>
      </c>
      <c r="D901" s="8">
        <v>5454.0880465784658</v>
      </c>
      <c r="E901" s="8">
        <v>7.8630300208715198E-5</v>
      </c>
      <c r="F901" s="8">
        <v>7456.4079075467098</v>
      </c>
      <c r="G901" s="8">
        <v>0.88079176493917077</v>
      </c>
      <c r="H901" s="8">
        <v>30.958101410435727</v>
      </c>
      <c r="I901" s="8">
        <v>30.958100879656648</v>
      </c>
      <c r="J901" s="8">
        <v>0.294492172690135</v>
      </c>
      <c r="K901" s="8">
        <v>30.958022780135519</v>
      </c>
      <c r="L901" s="8">
        <v>30.957993382383549</v>
      </c>
      <c r="M901" s="8">
        <v>11</v>
      </c>
    </row>
    <row r="902" spans="1:13" x14ac:dyDescent="0.3">
      <c r="A902" s="8">
        <v>891</v>
      </c>
      <c r="B902" s="8">
        <v>0.35566903370636938</v>
      </c>
      <c r="C902" s="8">
        <v>5.3020576398665753E-5</v>
      </c>
      <c r="D902" s="8">
        <v>6708.1321604666618</v>
      </c>
      <c r="E902" s="8">
        <v>3.8971808724141965E-5</v>
      </c>
      <c r="F902" s="8">
        <v>9126.3157998115239</v>
      </c>
      <c r="G902" s="8">
        <v>0.62310699458692254</v>
      </c>
      <c r="H902" s="8">
        <v>30.958101070035031</v>
      </c>
      <c r="I902" s="8">
        <v>30.958100437634304</v>
      </c>
      <c r="J902" s="8">
        <v>0.26743796088055316</v>
      </c>
      <c r="K902" s="8">
        <v>30.958062098226307</v>
      </c>
      <c r="L902" s="8">
        <v>30.958047417057905</v>
      </c>
      <c r="M902" s="8">
        <v>9</v>
      </c>
    </row>
    <row r="903" spans="1:13" x14ac:dyDescent="0.3">
      <c r="A903" s="8">
        <v>892</v>
      </c>
      <c r="B903" s="8">
        <v>0.23982185560401248</v>
      </c>
      <c r="C903" s="8">
        <v>6.0958097925833954E-5</v>
      </c>
      <c r="D903" s="8">
        <v>3934.2083129922648</v>
      </c>
      <c r="E903" s="8">
        <v>4.3714357087054623E-5</v>
      </c>
      <c r="F903" s="8">
        <v>5486.1119225983603</v>
      </c>
      <c r="G903" s="8">
        <v>0.49852661502888973</v>
      </c>
      <c r="H903" s="8">
        <v>30.958101025618863</v>
      </c>
      <c r="I903" s="8">
        <v>30.95809965498194</v>
      </c>
      <c r="J903" s="8">
        <v>0.25870475942487725</v>
      </c>
      <c r="K903" s="8">
        <v>30.958057311261776</v>
      </c>
      <c r="L903" s="8">
        <v>30.958038696884014</v>
      </c>
      <c r="M903" s="8">
        <v>15</v>
      </c>
    </row>
    <row r="904" spans="1:13" x14ac:dyDescent="0.3">
      <c r="A904" s="8">
        <v>893</v>
      </c>
      <c r="B904" s="8">
        <v>0.65592890284538963</v>
      </c>
      <c r="C904" s="8">
        <v>9.3216419262631689E-5</v>
      </c>
      <c r="D904" s="8">
        <v>7036.6241058600326</v>
      </c>
      <c r="E904" s="8">
        <v>6.1542694247407326E-5</v>
      </c>
      <c r="F904" s="8">
        <v>10658.111590118151</v>
      </c>
      <c r="G904" s="8">
        <v>0.81472308997513265</v>
      </c>
      <c r="H904" s="8">
        <v>30.958099036423679</v>
      </c>
      <c r="I904" s="8">
        <v>30.958096185665347</v>
      </c>
      <c r="J904" s="8">
        <v>0.15879418712974303</v>
      </c>
      <c r="K904" s="8">
        <v>30.958037493729432</v>
      </c>
      <c r="L904" s="8">
        <v>30.958002969246085</v>
      </c>
      <c r="M904" s="8">
        <v>15</v>
      </c>
    </row>
    <row r="905" spans="1:13" x14ac:dyDescent="0.3">
      <c r="A905" s="8">
        <v>894</v>
      </c>
      <c r="B905" s="8">
        <v>0.62088936471656409</v>
      </c>
      <c r="C905" s="8">
        <v>7.069681959137597E-5</v>
      </c>
      <c r="D905" s="8">
        <v>8782.4228629416866</v>
      </c>
      <c r="E905" s="8">
        <v>4.1082977197959281E-5</v>
      </c>
      <c r="F905" s="8">
        <v>15113.056722369322</v>
      </c>
      <c r="G905" s="8">
        <v>0.72754802097287929</v>
      </c>
      <c r="H905" s="8">
        <v>30.958101551454209</v>
      </c>
      <c r="I905" s="8">
        <v>30.95810002312006</v>
      </c>
      <c r="J905" s="8">
        <v>0.10665865625631517</v>
      </c>
      <c r="K905" s="8">
        <v>30.958060468477012</v>
      </c>
      <c r="L905" s="8">
        <v>30.958029326300469</v>
      </c>
      <c r="M905" s="8">
        <v>12</v>
      </c>
    </row>
    <row r="906" spans="1:13" x14ac:dyDescent="0.3">
      <c r="A906" s="8">
        <v>895</v>
      </c>
      <c r="B906" s="8">
        <v>0.5189180675301579</v>
      </c>
      <c r="C906" s="8">
        <v>6.1101015639053458E-5</v>
      </c>
      <c r="D906" s="8">
        <v>8492.7895568152398</v>
      </c>
      <c r="E906" s="8">
        <v>4.0565106857570754E-5</v>
      </c>
      <c r="F906" s="8">
        <v>12792.227303927613</v>
      </c>
      <c r="G906" s="8">
        <v>0.6689380302137653</v>
      </c>
      <c r="H906" s="8">
        <v>30.958101506908569</v>
      </c>
      <c r="I906" s="8">
        <v>30.95810036055374</v>
      </c>
      <c r="J906" s="8">
        <v>0.15001996268360743</v>
      </c>
      <c r="K906" s="8">
        <v>30.958060941801712</v>
      </c>
      <c r="L906" s="8">
        <v>30.958039259538101</v>
      </c>
      <c r="M906" s="8">
        <v>14</v>
      </c>
    </row>
    <row r="907" spans="1:13" x14ac:dyDescent="0.3">
      <c r="A907" s="8">
        <v>896</v>
      </c>
      <c r="B907" s="8">
        <v>0.36000139709279955</v>
      </c>
      <c r="C907" s="8">
        <v>1.5376621967178039E-4</v>
      </c>
      <c r="D907" s="8">
        <v>2341.2255166397122</v>
      </c>
      <c r="E907" s="8">
        <v>1.465810185372618E-4</v>
      </c>
      <c r="F907" s="8">
        <v>2455.9891907237975</v>
      </c>
      <c r="G907" s="8">
        <v>0.47242446769504498</v>
      </c>
      <c r="H907" s="8">
        <v>30.958096342602015</v>
      </c>
      <c r="I907" s="8">
        <v>30.958095391661907</v>
      </c>
      <c r="J907" s="8">
        <v>0.11242307060224542</v>
      </c>
      <c r="K907" s="8">
        <v>30.957949761583478</v>
      </c>
      <c r="L907" s="8">
        <v>30.957941625442235</v>
      </c>
      <c r="M907" s="8">
        <v>9</v>
      </c>
    </row>
    <row r="908" spans="1:13" x14ac:dyDescent="0.3">
      <c r="A908" s="8">
        <v>897</v>
      </c>
      <c r="B908" s="8">
        <v>0.54775401142947089</v>
      </c>
      <c r="C908" s="8">
        <v>1.9401822974884908E-5</v>
      </c>
      <c r="D908" s="8">
        <v>28232.08995044035</v>
      </c>
      <c r="E908" s="8">
        <v>9.0480931760339445E-6</v>
      </c>
      <c r="F908" s="8">
        <v>60538.060425850766</v>
      </c>
      <c r="G908" s="8">
        <v>0.58115444587755871</v>
      </c>
      <c r="H908" s="8">
        <v>30.958101449628973</v>
      </c>
      <c r="I908" s="8">
        <v>30.958100760274494</v>
      </c>
      <c r="J908" s="8">
        <v>3.340043444808781E-2</v>
      </c>
      <c r="K908" s="8">
        <v>30.958092401535797</v>
      </c>
      <c r="L908" s="8">
        <v>30.958081358451519</v>
      </c>
      <c r="M908" s="8">
        <v>10</v>
      </c>
    </row>
    <row r="909" spans="1:13" x14ac:dyDescent="0.3">
      <c r="A909" s="8">
        <v>898</v>
      </c>
      <c r="B909" s="8">
        <v>0.30812129484367112</v>
      </c>
      <c r="C909" s="8">
        <v>1.4480884824052964E-4</v>
      </c>
      <c r="D909" s="8">
        <v>2127.7794733363053</v>
      </c>
      <c r="E909" s="8">
        <v>1.2312040019679671E-4</v>
      </c>
      <c r="F909" s="8">
        <v>2502.6014726330272</v>
      </c>
      <c r="G909" s="8">
        <v>0.53459359744620583</v>
      </c>
      <c r="H909" s="8">
        <v>30.958101550487179</v>
      </c>
      <c r="I909" s="8">
        <v>30.958100655202561</v>
      </c>
      <c r="J909" s="8">
        <v>0.2264723026025347</v>
      </c>
      <c r="K909" s="8">
        <v>30.957978430086982</v>
      </c>
      <c r="L909" s="8">
        <v>30.95795584635432</v>
      </c>
      <c r="M909" s="8">
        <v>10</v>
      </c>
    </row>
    <row r="910" spans="1:13" x14ac:dyDescent="0.3">
      <c r="A910" s="8">
        <v>899</v>
      </c>
      <c r="B910" s="8">
        <v>0.34674708363653139</v>
      </c>
      <c r="C910" s="8">
        <v>1.8051767871796187E-4</v>
      </c>
      <c r="D910" s="8">
        <v>1920.8483407228157</v>
      </c>
      <c r="E910" s="8">
        <v>1.6687094520762003E-4</v>
      </c>
      <c r="F910" s="8">
        <v>2077.9356358598579</v>
      </c>
      <c r="G910" s="8">
        <v>0.62951663268294511</v>
      </c>
      <c r="H910" s="8">
        <v>30.958099824951717</v>
      </c>
      <c r="I910" s="8">
        <v>30.958099040835975</v>
      </c>
      <c r="J910" s="8">
        <v>0.28276954904641372</v>
      </c>
      <c r="K910" s="8">
        <v>30.957932954006509</v>
      </c>
      <c r="L910" s="8">
        <v>30.957918523157257</v>
      </c>
      <c r="M910" s="8">
        <v>13</v>
      </c>
    </row>
    <row r="911" spans="1:13" x14ac:dyDescent="0.3">
      <c r="A911" s="8">
        <v>900</v>
      </c>
      <c r="B911" s="8">
        <v>0.50813909047570682</v>
      </c>
      <c r="C911" s="8">
        <v>5.8427629085144872E-5</v>
      </c>
      <c r="D911" s="8">
        <v>8696.8973143717776</v>
      </c>
      <c r="E911" s="8">
        <v>4.1245314335469629E-5</v>
      </c>
      <c r="F911" s="8">
        <v>12319.922848514303</v>
      </c>
      <c r="G911" s="8">
        <v>0.63484123472921483</v>
      </c>
      <c r="H911" s="8">
        <v>30.958100161230529</v>
      </c>
      <c r="I911" s="8">
        <v>30.958097705200565</v>
      </c>
      <c r="J911" s="8">
        <v>0.12670214425350806</v>
      </c>
      <c r="K911" s="8">
        <v>30.958058915916194</v>
      </c>
      <c r="L911" s="8">
        <v>30.95803927757148</v>
      </c>
      <c r="M911" s="8">
        <v>11</v>
      </c>
    </row>
    <row r="912" spans="1:13" x14ac:dyDescent="0.3">
      <c r="A912" s="8">
        <v>901</v>
      </c>
      <c r="B912" s="8">
        <v>0.48254754376651587</v>
      </c>
      <c r="C912" s="8">
        <v>4.5581491637136651E-5</v>
      </c>
      <c r="D912" s="8">
        <v>10586.47987231224</v>
      </c>
      <c r="E912" s="8">
        <v>3.0810859723118256E-5</v>
      </c>
      <c r="F912" s="8">
        <v>15661.605943583809</v>
      </c>
      <c r="G912" s="8">
        <v>0.60901221699232189</v>
      </c>
      <c r="H912" s="8">
        <v>30.958101531153353</v>
      </c>
      <c r="I912" s="8">
        <v>30.958101394405393</v>
      </c>
      <c r="J912" s="8">
        <v>0.12646467322580601</v>
      </c>
      <c r="K912" s="8">
        <v>30.95807072029363</v>
      </c>
      <c r="L912" s="8">
        <v>30.958055812913756</v>
      </c>
      <c r="M912" s="8">
        <v>10</v>
      </c>
    </row>
    <row r="913" spans="1:13" x14ac:dyDescent="0.3">
      <c r="A913" s="8">
        <v>902</v>
      </c>
      <c r="B913" s="8">
        <v>0.77471123890745675</v>
      </c>
      <c r="C913" s="8">
        <v>5.4207096152225631E-5</v>
      </c>
      <c r="D913" s="8">
        <v>14291.694148896937</v>
      </c>
      <c r="E913" s="8">
        <v>2.0262948197569131E-5</v>
      </c>
      <c r="F913" s="8">
        <v>38232.898359795239</v>
      </c>
      <c r="G913" s="8">
        <v>0.82250035995121396</v>
      </c>
      <c r="H913" s="8">
        <v>30.958101091738239</v>
      </c>
      <c r="I913" s="8">
        <v>30.95810013028099</v>
      </c>
      <c r="J913" s="8">
        <v>4.7789121043757259E-2</v>
      </c>
      <c r="K913" s="8">
        <v>30.958080828790042</v>
      </c>
      <c r="L913" s="8">
        <v>30.958045923184837</v>
      </c>
      <c r="M913" s="8">
        <v>9</v>
      </c>
    </row>
    <row r="914" spans="1:13" x14ac:dyDescent="0.3">
      <c r="A914" s="8">
        <v>903</v>
      </c>
      <c r="B914" s="8">
        <v>0.6605993806469912</v>
      </c>
      <c r="C914" s="8">
        <v>1.2165360636728906E-4</v>
      </c>
      <c r="D914" s="8">
        <v>5430.1668513841696</v>
      </c>
      <c r="E914" s="8">
        <v>1.0043408983406721E-4</v>
      </c>
      <c r="F914" s="8">
        <v>6577.4418002732391</v>
      </c>
      <c r="G914" s="8">
        <v>0.82785842757242478</v>
      </c>
      <c r="H914" s="8">
        <v>30.958099801641815</v>
      </c>
      <c r="I914" s="8">
        <v>30.958098103647359</v>
      </c>
      <c r="J914" s="8">
        <v>0.16725904692543361</v>
      </c>
      <c r="K914" s="8">
        <v>30.957999367551981</v>
      </c>
      <c r="L914" s="8">
        <v>30.957976450040992</v>
      </c>
      <c r="M914" s="8">
        <v>12</v>
      </c>
    </row>
    <row r="915" spans="1:13" x14ac:dyDescent="0.3">
      <c r="A915" s="8">
        <v>904</v>
      </c>
      <c r="B915" s="8">
        <v>0.33502363446128763</v>
      </c>
      <c r="C915" s="8">
        <v>3.1183651159949477E-5</v>
      </c>
      <c r="D915" s="8">
        <v>10743.566644677359</v>
      </c>
      <c r="E915" s="8">
        <v>1.2367695543247237E-5</v>
      </c>
      <c r="F915" s="8">
        <v>27088.606223348583</v>
      </c>
      <c r="G915" s="8">
        <v>0.37051508996957605</v>
      </c>
      <c r="H915" s="8">
        <v>30.958101244836406</v>
      </c>
      <c r="I915" s="8">
        <v>30.958100754583519</v>
      </c>
      <c r="J915" s="8">
        <v>3.549145550828843E-2</v>
      </c>
      <c r="K915" s="8">
        <v>30.958088877140863</v>
      </c>
      <c r="L915" s="8">
        <v>30.958069570932359</v>
      </c>
      <c r="M915" s="8">
        <v>12</v>
      </c>
    </row>
    <row r="916" spans="1:13" x14ac:dyDescent="0.3">
      <c r="A916" s="8">
        <v>905</v>
      </c>
      <c r="B916" s="8">
        <v>0.64515404277781263</v>
      </c>
      <c r="C916" s="8">
        <v>1.0245942539555131E-4</v>
      </c>
      <c r="D916" s="8">
        <v>6296.6783220494681</v>
      </c>
      <c r="E916" s="8">
        <v>7.7280848362448751E-5</v>
      </c>
      <c r="F916" s="8">
        <v>8348.1749547058153</v>
      </c>
      <c r="G916" s="8">
        <v>0.81560711997429314</v>
      </c>
      <c r="H916" s="8">
        <v>30.958101413094507</v>
      </c>
      <c r="I916" s="8">
        <v>30.958101076751181</v>
      </c>
      <c r="J916" s="8">
        <v>0.17045307719648048</v>
      </c>
      <c r="K916" s="8">
        <v>30.958024132246145</v>
      </c>
      <c r="L916" s="8">
        <v>30.957998617325785</v>
      </c>
      <c r="M916" s="8">
        <v>15</v>
      </c>
    </row>
    <row r="917" spans="1:13" x14ac:dyDescent="0.3">
      <c r="A917" s="8">
        <v>906</v>
      </c>
      <c r="B917" s="8">
        <v>0.40918770029892282</v>
      </c>
      <c r="C917" s="8">
        <v>4.0940892240826088E-5</v>
      </c>
      <c r="D917" s="8">
        <v>9994.5965488969614</v>
      </c>
      <c r="E917" s="8">
        <v>2.0527576012341342E-5</v>
      </c>
      <c r="F917" s="8">
        <v>19933.561568736412</v>
      </c>
      <c r="G917" s="8">
        <v>0.46912912050349542</v>
      </c>
      <c r="H917" s="8">
        <v>30.958101539127032</v>
      </c>
      <c r="I917" s="8">
        <v>30.958100874997747</v>
      </c>
      <c r="J917" s="8">
        <v>5.9941420204572618E-2</v>
      </c>
      <c r="K917" s="8">
        <v>30.95808101155102</v>
      </c>
      <c r="L917" s="8">
        <v>30.958059934105506</v>
      </c>
      <c r="M917" s="8">
        <v>15</v>
      </c>
    </row>
    <row r="918" spans="1:13" x14ac:dyDescent="0.3">
      <c r="A918" s="8">
        <v>907</v>
      </c>
      <c r="B918" s="8">
        <v>0.83900022269169172</v>
      </c>
      <c r="C918" s="8">
        <v>4.6614690898394429E-5</v>
      </c>
      <c r="D918" s="8">
        <v>17998.622462614887</v>
      </c>
      <c r="E918" s="8">
        <v>1.8181171789422024E-5</v>
      </c>
      <c r="F918" s="8">
        <v>46146.652834545566</v>
      </c>
      <c r="G918" s="8">
        <v>0.92922400177203324</v>
      </c>
      <c r="H918" s="8">
        <v>30.958100981057928</v>
      </c>
      <c r="I918" s="8">
        <v>30.958098592687286</v>
      </c>
      <c r="J918" s="8">
        <v>9.0223779080341515E-2</v>
      </c>
      <c r="K918" s="8">
        <v>30.958082799886139</v>
      </c>
      <c r="L918" s="8">
        <v>30.958051977996387</v>
      </c>
      <c r="M918" s="8">
        <v>11</v>
      </c>
    </row>
    <row r="919" spans="1:13" x14ac:dyDescent="0.3">
      <c r="A919" s="8">
        <v>908</v>
      </c>
      <c r="B919" s="8">
        <v>1.1210794613627826</v>
      </c>
      <c r="C919" s="8">
        <v>3.2367068676819599E-5</v>
      </c>
      <c r="D919" s="8">
        <v>34636.422363625061</v>
      </c>
      <c r="E919" s="8">
        <v>1.5617349859553542E-5</v>
      </c>
      <c r="F919" s="8">
        <v>71784.231732312051</v>
      </c>
      <c r="G919" s="8">
        <v>1.1587516060010787</v>
      </c>
      <c r="H919" s="8">
        <v>30.958101382293524</v>
      </c>
      <c r="I919" s="8">
        <v>30.958099736535811</v>
      </c>
      <c r="J919" s="8">
        <v>3.7672144638296191E-2</v>
      </c>
      <c r="K919" s="8">
        <v>30.958085764943664</v>
      </c>
      <c r="L919" s="8">
        <v>30.958067369467134</v>
      </c>
      <c r="M919" s="8">
        <v>12</v>
      </c>
    </row>
    <row r="920" spans="1:13" x14ac:dyDescent="0.3">
      <c r="A920" s="8">
        <v>909</v>
      </c>
      <c r="B920" s="8">
        <v>0.73521960709566903</v>
      </c>
      <c r="C920" s="8">
        <v>6.8578093056714806E-5</v>
      </c>
      <c r="D920" s="8">
        <v>10720.910633773889</v>
      </c>
      <c r="E920" s="8">
        <v>3.4352552720662288E-5</v>
      </c>
      <c r="F920" s="8">
        <v>21402.18262887494</v>
      </c>
      <c r="G920" s="8">
        <v>0.79954095012649917</v>
      </c>
      <c r="H920" s="8">
        <v>30.958101366283444</v>
      </c>
      <c r="I920" s="8">
        <v>30.958101139651856</v>
      </c>
      <c r="J920" s="8">
        <v>6.4321343030830147E-2</v>
      </c>
      <c r="K920" s="8">
        <v>30.958067013730723</v>
      </c>
      <c r="L920" s="8">
        <v>30.958032561558799</v>
      </c>
      <c r="M920" s="8">
        <v>10</v>
      </c>
    </row>
    <row r="921" spans="1:13" x14ac:dyDescent="0.3">
      <c r="A921" s="8">
        <v>910</v>
      </c>
      <c r="B921" s="8">
        <v>0.48352950555054114</v>
      </c>
      <c r="C921" s="8">
        <v>1.0936345962164751E-4</v>
      </c>
      <c r="D921" s="8">
        <v>4421.3076947579557</v>
      </c>
      <c r="E921" s="8">
        <v>1.0014335756380888E-4</v>
      </c>
      <c r="F921" s="8">
        <v>4828.3732172895052</v>
      </c>
      <c r="G921" s="8">
        <v>0.66985415153972372</v>
      </c>
      <c r="H921" s="8">
        <v>30.958095927415425</v>
      </c>
      <c r="I921" s="8">
        <v>30.958094921898592</v>
      </c>
      <c r="J921" s="8">
        <v>0.18632464598918258</v>
      </c>
      <c r="K921" s="8">
        <v>30.957995784057861</v>
      </c>
      <c r="L921" s="8">
        <v>30.95798555843897</v>
      </c>
      <c r="M921" s="8">
        <v>15</v>
      </c>
    </row>
    <row r="922" spans="1:13" x14ac:dyDescent="0.3">
      <c r="A922" s="8">
        <v>911</v>
      </c>
      <c r="B922" s="8">
        <v>0.71392905128698614</v>
      </c>
      <c r="C922" s="8">
        <v>6.7192752069900052E-5</v>
      </c>
      <c r="D922" s="8">
        <v>10625.090196399335</v>
      </c>
      <c r="E922" s="8">
        <v>3.0534274777949122E-5</v>
      </c>
      <c r="F922" s="8">
        <v>23381.234906635571</v>
      </c>
      <c r="G922" s="8">
        <v>0.75935256369955972</v>
      </c>
      <c r="H922" s="8">
        <v>30.958101530704486</v>
      </c>
      <c r="I922" s="8">
        <v>30.958099309393891</v>
      </c>
      <c r="J922" s="8">
        <v>4.5423512412573613E-2</v>
      </c>
      <c r="K922" s="8">
        <v>30.958070996429708</v>
      </c>
      <c r="L922" s="8">
        <v>30.958032116641821</v>
      </c>
      <c r="M922" s="8">
        <v>15</v>
      </c>
    </row>
    <row r="923" spans="1:13" x14ac:dyDescent="0.3">
      <c r="A923" s="8">
        <v>912</v>
      </c>
      <c r="B923" s="8">
        <v>0.46060418595253944</v>
      </c>
      <c r="C923" s="8">
        <v>5.0066147657901183E-5</v>
      </c>
      <c r="D923" s="8">
        <v>9199.9126655363762</v>
      </c>
      <c r="E923" s="8">
        <v>2.4589485224879581E-5</v>
      </c>
      <c r="F923" s="8">
        <v>18731.753907824848</v>
      </c>
      <c r="G923" s="8">
        <v>0.51085459850000303</v>
      </c>
      <c r="H923" s="8">
        <v>30.958100896342348</v>
      </c>
      <c r="I923" s="8">
        <v>30.958098901135095</v>
      </c>
      <c r="J923" s="8">
        <v>5.025041254746359E-2</v>
      </c>
      <c r="K923" s="8">
        <v>30.958076306857123</v>
      </c>
      <c r="L923" s="8">
        <v>30.958048834987437</v>
      </c>
      <c r="M923" s="8">
        <v>10</v>
      </c>
    </row>
    <row r="924" spans="1:13" x14ac:dyDescent="0.3">
      <c r="A924" s="8">
        <v>913</v>
      </c>
      <c r="B924" s="8">
        <v>0.15041039952111979</v>
      </c>
      <c r="C924" s="8">
        <v>8.9127090500795703E-5</v>
      </c>
      <c r="D924" s="8">
        <v>1687.5946322939485</v>
      </c>
      <c r="E924" s="8">
        <v>7.2745118391281949E-5</v>
      </c>
      <c r="F924" s="8">
        <v>2067.6356413648446</v>
      </c>
      <c r="G924" s="8">
        <v>0.74813945477836852</v>
      </c>
      <c r="H924" s="8">
        <v>30.958094371210365</v>
      </c>
      <c r="I924" s="8">
        <v>30.958091967713074</v>
      </c>
      <c r="J924" s="8">
        <v>0.59772905525724873</v>
      </c>
      <c r="K924" s="8">
        <v>30.958021626091973</v>
      </c>
      <c r="L924" s="8">
        <v>30.958002840622573</v>
      </c>
      <c r="M924" s="8">
        <v>12</v>
      </c>
    </row>
    <row r="925" spans="1:13" x14ac:dyDescent="0.3">
      <c r="A925" s="8">
        <v>914</v>
      </c>
      <c r="B925" s="8">
        <v>0.39297656065196912</v>
      </c>
      <c r="C925" s="8">
        <v>3.3848847593276332E-5</v>
      </c>
      <c r="D925" s="8">
        <v>11609.747113813979</v>
      </c>
      <c r="E925" s="8">
        <v>8.0198963559041658E-6</v>
      </c>
      <c r="F925" s="8">
        <v>49000.204393248023</v>
      </c>
      <c r="G925" s="8">
        <v>0.4192084808101173</v>
      </c>
      <c r="H925" s="8">
        <v>30.958101184154078</v>
      </c>
      <c r="I925" s="8">
        <v>30.958099390611093</v>
      </c>
      <c r="J925" s="8">
        <v>2.6231920158148164E-2</v>
      </c>
      <c r="K925" s="8">
        <v>30.958093164257722</v>
      </c>
      <c r="L925" s="8">
        <v>30.958065541763499</v>
      </c>
      <c r="M925" s="8">
        <v>14</v>
      </c>
    </row>
    <row r="926" spans="1:13" x14ac:dyDescent="0.3">
      <c r="A926" s="8">
        <v>915</v>
      </c>
      <c r="B926" s="8">
        <v>0.57307751604361246</v>
      </c>
      <c r="C926" s="8">
        <v>3.5488006538741956E-5</v>
      </c>
      <c r="D926" s="8">
        <v>16148.484289135502</v>
      </c>
      <c r="E926" s="8">
        <v>4.7426134806016762E-6</v>
      </c>
      <c r="F926" s="8">
        <v>120835.80464392144</v>
      </c>
      <c r="G926" s="8">
        <v>0.59760590896305366</v>
      </c>
      <c r="H926" s="8">
        <v>30.958101463523924</v>
      </c>
      <c r="I926" s="8">
        <v>30.958100438831028</v>
      </c>
      <c r="J926" s="8">
        <v>2.4528392919441186E-2</v>
      </c>
      <c r="K926" s="8">
        <v>30.958096720910444</v>
      </c>
      <c r="L926" s="8">
        <v>30.95806495082449</v>
      </c>
      <c r="M926" s="8">
        <v>12</v>
      </c>
    </row>
    <row r="927" spans="1:13" x14ac:dyDescent="0.3">
      <c r="A927" s="8">
        <v>916</v>
      </c>
      <c r="B927" s="8">
        <v>0.39757885783946062</v>
      </c>
      <c r="C927" s="8">
        <v>2.8297214054617825E-5</v>
      </c>
      <c r="D927" s="8">
        <v>14050.106030652854</v>
      </c>
      <c r="E927" s="8">
        <v>3.8778416495688361E-6</v>
      </c>
      <c r="F927" s="8">
        <v>102525.8104295378</v>
      </c>
      <c r="G927" s="8">
        <v>0.4094254819374018</v>
      </c>
      <c r="H927" s="8">
        <v>30.958101080220594</v>
      </c>
      <c r="I927" s="8">
        <v>30.958097151816613</v>
      </c>
      <c r="J927" s="8">
        <v>1.1846624097941171E-2</v>
      </c>
      <c r="K927" s="8">
        <v>30.958097202378944</v>
      </c>
      <c r="L927" s="8">
        <v>30.958068854602558</v>
      </c>
      <c r="M927" s="8">
        <v>10</v>
      </c>
    </row>
    <row r="928" spans="1:13" x14ac:dyDescent="0.3">
      <c r="A928" s="8">
        <v>917</v>
      </c>
      <c r="B928" s="8">
        <v>0.63969677084322973</v>
      </c>
      <c r="C928" s="8">
        <v>2.9122138087700478E-5</v>
      </c>
      <c r="D928" s="8">
        <v>21965.99607201921</v>
      </c>
      <c r="E928" s="8">
        <v>6.9524851618041339E-6</v>
      </c>
      <c r="F928" s="8">
        <v>92009.800230516674</v>
      </c>
      <c r="G928" s="8">
        <v>0.66468894920856292</v>
      </c>
      <c r="H928" s="8">
        <v>30.958101513854874</v>
      </c>
      <c r="I928" s="8">
        <v>30.958100828935077</v>
      </c>
      <c r="J928" s="8">
        <v>2.4992178365333212E-2</v>
      </c>
      <c r="K928" s="8">
        <v>30.958094561369712</v>
      </c>
      <c r="L928" s="8">
        <v>30.958071706796989</v>
      </c>
      <c r="M928" s="8">
        <v>13</v>
      </c>
    </row>
    <row r="929" spans="1:13" x14ac:dyDescent="0.3">
      <c r="A929" s="8">
        <v>918</v>
      </c>
      <c r="B929" s="8">
        <v>0.45070516181575282</v>
      </c>
      <c r="C929" s="8">
        <v>6.0963221240939447E-5</v>
      </c>
      <c r="D929" s="8">
        <v>7393.0667153310587</v>
      </c>
      <c r="E929" s="8">
        <v>4.0642262831624976E-5</v>
      </c>
      <c r="F929" s="8">
        <v>11089.568602096768</v>
      </c>
      <c r="G929" s="8">
        <v>0.56467965415328392</v>
      </c>
      <c r="H929" s="8">
        <v>30.958100255137023</v>
      </c>
      <c r="I929" s="8">
        <v>30.958098284792619</v>
      </c>
      <c r="J929" s="8">
        <v>0.11397449233753108</v>
      </c>
      <c r="K929" s="8">
        <v>30.958059612874191</v>
      </c>
      <c r="L929" s="8">
        <v>30.958037321571378</v>
      </c>
      <c r="M929" s="8">
        <v>15</v>
      </c>
    </row>
    <row r="930" spans="1:13" x14ac:dyDescent="0.3">
      <c r="A930" s="8">
        <v>919</v>
      </c>
      <c r="B930" s="8">
        <v>0.54408274977673821</v>
      </c>
      <c r="C930" s="8">
        <v>5.8646212117707819E-5</v>
      </c>
      <c r="D930" s="8">
        <v>9277.372401899016</v>
      </c>
      <c r="E930" s="8">
        <v>3.4738434102621341E-5</v>
      </c>
      <c r="F930" s="8">
        <v>15662.270445739005</v>
      </c>
      <c r="G930" s="8">
        <v>0.59708371604747346</v>
      </c>
      <c r="H930" s="8">
        <v>30.95810119697342</v>
      </c>
      <c r="I930" s="8">
        <v>30.958100277441794</v>
      </c>
      <c r="J930" s="8">
        <v>5.3000966270735236E-2</v>
      </c>
      <c r="K930" s="8">
        <v>30.958066458539317</v>
      </c>
      <c r="L930" s="8">
        <v>30.958041631229676</v>
      </c>
      <c r="M930" s="8">
        <v>14</v>
      </c>
    </row>
    <row r="931" spans="1:13" x14ac:dyDescent="0.3">
      <c r="A931" s="8">
        <v>920</v>
      </c>
      <c r="B931" s="8">
        <v>0.43685903909876261</v>
      </c>
      <c r="C931" s="8">
        <v>1.9034833695030784E-5</v>
      </c>
      <c r="D931" s="8">
        <v>22950.504643116932</v>
      </c>
      <c r="E931" s="8">
        <v>3.6358430115512874E-6</v>
      </c>
      <c r="F931" s="8">
        <v>120153.43833901401</v>
      </c>
      <c r="G931" s="8">
        <v>0.47571170574859079</v>
      </c>
      <c r="H931" s="8">
        <v>30.958099789931506</v>
      </c>
      <c r="I931" s="8">
        <v>30.958091743552437</v>
      </c>
      <c r="J931" s="8">
        <v>3.8852666649828185E-2</v>
      </c>
      <c r="K931" s="8">
        <v>30.958096154088494</v>
      </c>
      <c r="L931" s="8">
        <v>30.958072708718742</v>
      </c>
      <c r="M931" s="8">
        <v>14</v>
      </c>
    </row>
    <row r="932" spans="1:13" x14ac:dyDescent="0.3">
      <c r="A932" s="8">
        <v>921</v>
      </c>
      <c r="B932" s="8">
        <v>1.0643050742687998</v>
      </c>
      <c r="C932" s="8">
        <v>6.5094927137465675E-5</v>
      </c>
      <c r="D932" s="8">
        <v>16350.046325748697</v>
      </c>
      <c r="E932" s="8">
        <v>3.90507109564453E-5</v>
      </c>
      <c r="F932" s="8">
        <v>27254.43527662937</v>
      </c>
      <c r="G932" s="8">
        <v>1.2122351248646515</v>
      </c>
      <c r="H932" s="8">
        <v>30.958100289082918</v>
      </c>
      <c r="I932" s="8">
        <v>30.95809807441141</v>
      </c>
      <c r="J932" s="8">
        <v>0.1479300505958516</v>
      </c>
      <c r="K932" s="8">
        <v>30.958061238371961</v>
      </c>
      <c r="L932" s="8">
        <v>30.958032979484273</v>
      </c>
      <c r="M932" s="8">
        <v>11</v>
      </c>
    </row>
    <row r="933" spans="1:13" x14ac:dyDescent="0.3">
      <c r="A933" s="8">
        <v>922</v>
      </c>
      <c r="B933" s="8">
        <v>0.88381234508360795</v>
      </c>
      <c r="C933" s="8">
        <v>4.9745023197544924E-5</v>
      </c>
      <c r="D933" s="8">
        <v>17766.84959164371</v>
      </c>
      <c r="E933" s="8">
        <v>1.8901102340151965E-5</v>
      </c>
      <c r="F933" s="8">
        <v>46759.83067961644</v>
      </c>
      <c r="G933" s="8">
        <v>0.98871397953139539</v>
      </c>
      <c r="H933" s="8">
        <v>30.958098763530931</v>
      </c>
      <c r="I933" s="8">
        <v>30.958092064715185</v>
      </c>
      <c r="J933" s="8">
        <v>0.1049016344477875</v>
      </c>
      <c r="K933" s="8">
        <v>30.95807986242859</v>
      </c>
      <c r="L933" s="8">
        <v>30.958042319691987</v>
      </c>
      <c r="M933" s="8">
        <v>14</v>
      </c>
    </row>
    <row r="934" spans="1:13" x14ac:dyDescent="0.3">
      <c r="A934" s="8">
        <v>923</v>
      </c>
      <c r="B934" s="8">
        <v>0.29852171391136745</v>
      </c>
      <c r="C934" s="8">
        <v>6.9849817233347267E-5</v>
      </c>
      <c r="D934" s="8">
        <v>4273.7651397726067</v>
      </c>
      <c r="E934" s="8">
        <v>4.7893057377734749E-5</v>
      </c>
      <c r="F934" s="8">
        <v>6233.0895176917384</v>
      </c>
      <c r="G934" s="8">
        <v>0.50057941511445159</v>
      </c>
      <c r="H934" s="8">
        <v>30.958101502979854</v>
      </c>
      <c r="I934" s="8">
        <v>30.958100564623702</v>
      </c>
      <c r="J934" s="8">
        <v>0.20205770120308414</v>
      </c>
      <c r="K934" s="8">
        <v>30.958053609922477</v>
      </c>
      <c r="L934" s="8">
        <v>30.958030714806469</v>
      </c>
      <c r="M934" s="8">
        <v>15</v>
      </c>
    </row>
    <row r="935" spans="1:13" x14ac:dyDescent="0.3">
      <c r="A935" s="8">
        <v>924</v>
      </c>
      <c r="B935" s="8">
        <v>0.63500725857056795</v>
      </c>
      <c r="C935" s="8">
        <v>2.2415150501586822E-4</v>
      </c>
      <c r="D935" s="8">
        <v>2832.9377423792639</v>
      </c>
      <c r="E935" s="8">
        <v>2.1254679483106997E-4</v>
      </c>
      <c r="F935" s="8">
        <v>2987.6115472607585</v>
      </c>
      <c r="G935" s="8">
        <v>1.0453439109693656</v>
      </c>
      <c r="H935" s="8">
        <v>30.95809864821603</v>
      </c>
      <c r="I935" s="8">
        <v>30.958096773635933</v>
      </c>
      <c r="J935" s="8">
        <v>0.41033665239879769</v>
      </c>
      <c r="K935" s="8">
        <v>30.957886101421199</v>
      </c>
      <c r="L935" s="8">
        <v>30.957872622130918</v>
      </c>
      <c r="M935" s="8">
        <v>14</v>
      </c>
    </row>
    <row r="936" spans="1:13" x14ac:dyDescent="0.3">
      <c r="A936" s="8">
        <v>925</v>
      </c>
      <c r="B936" s="8">
        <v>9.3176620056494908E-2</v>
      </c>
      <c r="C936" s="8">
        <v>4.1278362772345645E-5</v>
      </c>
      <c r="D936" s="8">
        <v>2257.2750903511705</v>
      </c>
      <c r="E936" s="8">
        <v>2.0791558295485402E-5</v>
      </c>
      <c r="F936" s="8">
        <v>4481.4640024709888</v>
      </c>
      <c r="G936" s="8">
        <v>0.51866043091145075</v>
      </c>
      <c r="H936" s="8">
        <v>30.958100641811455</v>
      </c>
      <c r="I936" s="8">
        <v>30.958099510775941</v>
      </c>
      <c r="J936" s="8">
        <v>0.42548381085495585</v>
      </c>
      <c r="K936" s="8">
        <v>30.95807985025316</v>
      </c>
      <c r="L936" s="8">
        <v>30.958058232413169</v>
      </c>
      <c r="M936" s="8">
        <v>13</v>
      </c>
    </row>
    <row r="937" spans="1:13" x14ac:dyDescent="0.3">
      <c r="A937" s="8">
        <v>926</v>
      </c>
      <c r="B937" s="8">
        <v>0.7676635337242308</v>
      </c>
      <c r="C937" s="8">
        <v>6.9375727843379309E-5</v>
      </c>
      <c r="D937" s="8">
        <v>11065.30421500278</v>
      </c>
      <c r="E937" s="8">
        <v>2.6024828333248706E-5</v>
      </c>
      <c r="F937" s="8">
        <v>29497.352447219873</v>
      </c>
      <c r="G937" s="8">
        <v>0.85020196789902069</v>
      </c>
      <c r="H937" s="8">
        <v>30.95810154623792</v>
      </c>
      <c r="I937" s="8">
        <v>30.958098982045261</v>
      </c>
      <c r="J937" s="8">
        <v>8.2538434174789954E-2</v>
      </c>
      <c r="K937" s="8">
        <v>30.958075521409587</v>
      </c>
      <c r="L937" s="8">
        <v>30.958029606317417</v>
      </c>
      <c r="M937" s="8">
        <v>14</v>
      </c>
    </row>
    <row r="938" spans="1:13" x14ac:dyDescent="0.3">
      <c r="A938" s="8">
        <v>927</v>
      </c>
      <c r="B938" s="8">
        <v>0.27838725284774268</v>
      </c>
      <c r="C938" s="8">
        <v>4.0524210646708525E-5</v>
      </c>
      <c r="D938" s="8">
        <v>6869.6526941568936</v>
      </c>
      <c r="E938" s="8">
        <v>2.6840463444699481E-5</v>
      </c>
      <c r="F938" s="8">
        <v>10371.924218868853</v>
      </c>
      <c r="G938" s="8">
        <v>0.5020879773188841</v>
      </c>
      <c r="H938" s="8">
        <v>30.958100383220444</v>
      </c>
      <c r="I938" s="8">
        <v>30.958098573270423</v>
      </c>
      <c r="J938" s="8">
        <v>0.22370072447114139</v>
      </c>
      <c r="K938" s="8">
        <v>30.958073542756999</v>
      </c>
      <c r="L938" s="8">
        <v>30.958058049059776</v>
      </c>
      <c r="M938" s="8">
        <v>11</v>
      </c>
    </row>
    <row r="939" spans="1:13" x14ac:dyDescent="0.3">
      <c r="A939" s="8">
        <v>928</v>
      </c>
      <c r="B939" s="8">
        <v>0.10483266110143358</v>
      </c>
      <c r="C939" s="8">
        <v>4.0132403292147956E-5</v>
      </c>
      <c r="D939" s="8">
        <v>2612.1700297461243</v>
      </c>
      <c r="E939" s="8">
        <v>2.6430749890948846E-5</v>
      </c>
      <c r="F939" s="8">
        <v>3966.3142942960276</v>
      </c>
      <c r="G939" s="8">
        <v>0.53562093558062773</v>
      </c>
      <c r="H939" s="8">
        <v>30.95810154178071</v>
      </c>
      <c r="I939" s="8">
        <v>30.958100513772287</v>
      </c>
      <c r="J939" s="8">
        <v>0.43078827447919416</v>
      </c>
      <c r="K939" s="8">
        <v>30.958075111030819</v>
      </c>
      <c r="L939" s="8">
        <v>30.958060381368995</v>
      </c>
      <c r="M939" s="8">
        <v>13</v>
      </c>
    </row>
    <row r="940" spans="1:13" x14ac:dyDescent="0.3">
      <c r="A940" s="8">
        <v>929</v>
      </c>
      <c r="B940" s="8">
        <v>0.44295416668360654</v>
      </c>
      <c r="C940" s="8">
        <v>3.9336789566135621E-5</v>
      </c>
      <c r="D940" s="8">
        <v>11260.557141779011</v>
      </c>
      <c r="E940" s="8">
        <v>1.5708159878613515E-5</v>
      </c>
      <c r="F940" s="8">
        <v>28198.985120254838</v>
      </c>
      <c r="G940" s="8">
        <v>0.48227808978575903</v>
      </c>
      <c r="H940" s="8">
        <v>30.958101550686923</v>
      </c>
      <c r="I940" s="8">
        <v>30.958100018178776</v>
      </c>
      <c r="J940" s="8">
        <v>3.9323923102152498E-2</v>
      </c>
      <c r="K940" s="8">
        <v>30.958085842527044</v>
      </c>
      <c r="L940" s="8">
        <v>30.95806068138921</v>
      </c>
      <c r="M940" s="8">
        <v>15</v>
      </c>
    </row>
    <row r="941" spans="1:13" x14ac:dyDescent="0.3">
      <c r="A941" s="8">
        <v>930</v>
      </c>
      <c r="B941" s="8">
        <v>0.46422976284888462</v>
      </c>
      <c r="C941" s="8">
        <v>5.2924541986243412E-5</v>
      </c>
      <c r="D941" s="8">
        <v>8771.5404881453887</v>
      </c>
      <c r="E941" s="8">
        <v>2.1445129593899992E-5</v>
      </c>
      <c r="F941" s="8">
        <v>21647.328397629899</v>
      </c>
      <c r="G941" s="8">
        <v>0.54303298508338771</v>
      </c>
      <c r="H941" s="8">
        <v>30.958101185772684</v>
      </c>
      <c r="I941" s="8">
        <v>30.95810000115803</v>
      </c>
      <c r="J941" s="8">
        <v>7.8803222234503117E-2</v>
      </c>
      <c r="K941" s="8">
        <v>30.95807974064309</v>
      </c>
      <c r="L941" s="8">
        <v>30.958047076616044</v>
      </c>
      <c r="M941" s="8">
        <v>14</v>
      </c>
    </row>
    <row r="942" spans="1:13" x14ac:dyDescent="0.3">
      <c r="A942" s="8">
        <v>931</v>
      </c>
      <c r="B942" s="8">
        <v>0.50528696034577514</v>
      </c>
      <c r="C942" s="8">
        <v>8.6010699710925564E-5</v>
      </c>
      <c r="D942" s="8">
        <v>5874.6988693732337</v>
      </c>
      <c r="E942" s="8">
        <v>5.1799999607027303E-5</v>
      </c>
      <c r="F942" s="8">
        <v>9754.5745980512856</v>
      </c>
      <c r="G942" s="8">
        <v>0.60195996502509763</v>
      </c>
      <c r="H942" s="8">
        <v>30.958101013246246</v>
      </c>
      <c r="I942" s="8">
        <v>30.958098588131115</v>
      </c>
      <c r="J942" s="8">
        <v>9.667300467932248E-2</v>
      </c>
      <c r="K942" s="8">
        <v>30.958049213246639</v>
      </c>
      <c r="L942" s="8">
        <v>30.958012577431404</v>
      </c>
      <c r="M942" s="8">
        <v>15</v>
      </c>
    </row>
    <row r="943" spans="1:13" x14ac:dyDescent="0.3">
      <c r="A943" s="8">
        <v>932</v>
      </c>
      <c r="B943" s="8">
        <v>0.40592353919012547</v>
      </c>
      <c r="C943" s="8">
        <v>4.7545532002146729E-5</v>
      </c>
      <c r="D943" s="8">
        <v>8537.5748697437575</v>
      </c>
      <c r="E943" s="8">
        <v>3.1672363260071279E-5</v>
      </c>
      <c r="F943" s="8">
        <v>12816.332518573543</v>
      </c>
      <c r="G943" s="8">
        <v>0.46928552723799788</v>
      </c>
      <c r="H943" s="8">
        <v>30.958099883314407</v>
      </c>
      <c r="I943" s="8">
        <v>30.958097944650664</v>
      </c>
      <c r="J943" s="8">
        <v>6.3361988047872436E-2</v>
      </c>
      <c r="K943" s="8">
        <v>30.958068210951147</v>
      </c>
      <c r="L943" s="8">
        <v>30.958050399118662</v>
      </c>
      <c r="M943" s="8">
        <v>11</v>
      </c>
    </row>
    <row r="944" spans="1:13" x14ac:dyDescent="0.3">
      <c r="A944" s="8">
        <v>933</v>
      </c>
      <c r="B944" s="8">
        <v>0.26732414778174929</v>
      </c>
      <c r="C944" s="8">
        <v>2.1168314166786217E-4</v>
      </c>
      <c r="D944" s="8">
        <v>1262.8504361541916</v>
      </c>
      <c r="E944" s="8">
        <v>1.9102805307369408E-4</v>
      </c>
      <c r="F944" s="8">
        <v>1399.3973318600592</v>
      </c>
      <c r="G944" s="8">
        <v>0.81187367667010757</v>
      </c>
      <c r="H944" s="8">
        <v>30.958099102647221</v>
      </c>
      <c r="I944" s="8">
        <v>30.958097967985012</v>
      </c>
      <c r="J944" s="8">
        <v>0.54454952888835828</v>
      </c>
      <c r="K944" s="8">
        <v>30.957908074594148</v>
      </c>
      <c r="L944" s="8">
        <v>30.957886284843344</v>
      </c>
      <c r="M944" s="8">
        <v>14</v>
      </c>
    </row>
    <row r="945" spans="1:13" x14ac:dyDescent="0.3">
      <c r="A945" s="8">
        <v>934</v>
      </c>
      <c r="B945" s="8">
        <v>0.32909231536224537</v>
      </c>
      <c r="C945" s="8">
        <v>1.0730331633723722E-4</v>
      </c>
      <c r="D945" s="8">
        <v>3066.9351758706198</v>
      </c>
      <c r="E945" s="8">
        <v>9.5668127258363711E-5</v>
      </c>
      <c r="F945" s="8">
        <v>3439.9368399204736</v>
      </c>
      <c r="G945" s="8">
        <v>0.49378515658980932</v>
      </c>
      <c r="H945" s="8">
        <v>30.958094666998711</v>
      </c>
      <c r="I945" s="8">
        <v>30.958093060920376</v>
      </c>
      <c r="J945" s="8">
        <v>0.16469284122756395</v>
      </c>
      <c r="K945" s="8">
        <v>30.957998998871453</v>
      </c>
      <c r="L945" s="8">
        <v>30.957985757604039</v>
      </c>
      <c r="M945" s="8">
        <v>11</v>
      </c>
    </row>
    <row r="946" spans="1:13" x14ac:dyDescent="0.3">
      <c r="A946" s="8">
        <v>935</v>
      </c>
      <c r="B946" s="8">
        <v>0.79161305001718274</v>
      </c>
      <c r="C946" s="8">
        <v>2.7168065368954331E-5</v>
      </c>
      <c r="D946" s="8">
        <v>29137.63049619941</v>
      </c>
      <c r="E946" s="8">
        <v>7.9445902407826452E-6</v>
      </c>
      <c r="F946" s="8">
        <v>99641.772076994952</v>
      </c>
      <c r="G946" s="8">
        <v>0.82354432235903618</v>
      </c>
      <c r="H946" s="8">
        <v>30.958101360118896</v>
      </c>
      <c r="I946" s="8">
        <v>30.95810023460006</v>
      </c>
      <c r="J946" s="8">
        <v>3.1931272341853389E-2</v>
      </c>
      <c r="K946" s="8">
        <v>30.958093415528655</v>
      </c>
      <c r="L946" s="8">
        <v>30.958073066534691</v>
      </c>
      <c r="M946" s="8">
        <v>11</v>
      </c>
    </row>
    <row r="947" spans="1:13" x14ac:dyDescent="0.3">
      <c r="A947" s="8">
        <v>936</v>
      </c>
      <c r="B947" s="8">
        <v>0.36005979822573347</v>
      </c>
      <c r="C947" s="8">
        <v>3.121772154557334E-5</v>
      </c>
      <c r="D947" s="8">
        <v>11533.826954670552</v>
      </c>
      <c r="E947" s="8">
        <v>1.0284250777203852E-5</v>
      </c>
      <c r="F947" s="8">
        <v>35010.795246635251</v>
      </c>
      <c r="G947" s="8">
        <v>0.39339922207197686</v>
      </c>
      <c r="H947" s="8">
        <v>30.958101545925594</v>
      </c>
      <c r="I947" s="8">
        <v>30.958101006921083</v>
      </c>
      <c r="J947" s="8">
        <v>3.3339423846243388E-2</v>
      </c>
      <c r="K947" s="8">
        <v>30.958091261674817</v>
      </c>
      <c r="L947" s="8">
        <v>30.958069789199538</v>
      </c>
      <c r="M947" s="8">
        <v>12</v>
      </c>
    </row>
    <row r="948" spans="1:13" x14ac:dyDescent="0.3">
      <c r="A948" s="8">
        <v>937</v>
      </c>
      <c r="B948" s="8">
        <v>0.1260602844837122</v>
      </c>
      <c r="C948" s="8">
        <v>8.737704376571287E-5</v>
      </c>
      <c r="D948" s="8">
        <v>1442.7162908111434</v>
      </c>
      <c r="E948" s="8">
        <v>5.9010617839305723E-5</v>
      </c>
      <c r="F948" s="8">
        <v>2136.2305479836227</v>
      </c>
      <c r="G948" s="8">
        <v>1.0418329593517559</v>
      </c>
      <c r="H948" s="8">
        <v>30.95810077741125</v>
      </c>
      <c r="I948" s="8">
        <v>30.95809740290164</v>
      </c>
      <c r="J948" s="8">
        <v>0.9157726748680437</v>
      </c>
      <c r="K948" s="8">
        <v>30.958041766793411</v>
      </c>
      <c r="L948" s="8">
        <v>30.958010025857874</v>
      </c>
      <c r="M948" s="8">
        <v>9</v>
      </c>
    </row>
    <row r="949" spans="1:13" x14ac:dyDescent="0.3">
      <c r="A949" s="8">
        <v>938</v>
      </c>
      <c r="B949" s="8">
        <v>0.47415995761348845</v>
      </c>
      <c r="C949" s="8">
        <v>1.2906597548933973E-4</v>
      </c>
      <c r="D949" s="8">
        <v>3673.7796759816993</v>
      </c>
      <c r="E949" s="8">
        <v>1.1409949356178117E-4</v>
      </c>
      <c r="F949" s="8">
        <v>4155.6710096767101</v>
      </c>
      <c r="G949" s="8">
        <v>0.69304240488458169</v>
      </c>
      <c r="H949" s="8">
        <v>30.958099086466095</v>
      </c>
      <c r="I949" s="8">
        <v>30.958097184001552</v>
      </c>
      <c r="J949" s="8">
        <v>0.21888244727109324</v>
      </c>
      <c r="K949" s="8">
        <v>30.957984986972534</v>
      </c>
      <c r="L949" s="8">
        <v>30.957968118026063</v>
      </c>
      <c r="M949" s="8">
        <v>15</v>
      </c>
    </row>
    <row r="950" spans="1:13" x14ac:dyDescent="0.3">
      <c r="A950" s="8">
        <v>939</v>
      </c>
      <c r="B950" s="8">
        <v>0.32037803548818033</v>
      </c>
      <c r="C950" s="8">
        <v>2.3459841347772681E-5</v>
      </c>
      <c r="D950" s="8">
        <v>13656.445102882062</v>
      </c>
      <c r="E950" s="8">
        <v>1.2532764905870408E-5</v>
      </c>
      <c r="F950" s="8">
        <v>25563.236675580956</v>
      </c>
      <c r="G950" s="8">
        <v>0.38894625273658207</v>
      </c>
      <c r="H950" s="8">
        <v>30.958101550829461</v>
      </c>
      <c r="I950" s="8">
        <v>30.958101188465101</v>
      </c>
      <c r="J950" s="8">
        <v>6.8568217248401744E-2</v>
      </c>
      <c r="K950" s="8">
        <v>30.958089018064555</v>
      </c>
      <c r="L950" s="8">
        <v>30.958077728623753</v>
      </c>
      <c r="M950" s="8">
        <v>10</v>
      </c>
    </row>
    <row r="951" spans="1:13" x14ac:dyDescent="0.3">
      <c r="A951" s="8">
        <v>940</v>
      </c>
      <c r="B951" s="8">
        <v>0.68605874776668418</v>
      </c>
      <c r="C951" s="8">
        <v>4.3399088326623314E-5</v>
      </c>
      <c r="D951" s="8">
        <v>15808.137318539459</v>
      </c>
      <c r="E951" s="8">
        <v>1.9615406088746568E-5</v>
      </c>
      <c r="F951" s="8">
        <v>34975.505715391671</v>
      </c>
      <c r="G951" s="8">
        <v>0.78223324587319776</v>
      </c>
      <c r="H951" s="8">
        <v>30.958101544660469</v>
      </c>
      <c r="I951" s="8">
        <v>30.958100774515554</v>
      </c>
      <c r="J951" s="8">
        <v>9.6174498106513517E-2</v>
      </c>
      <c r="K951" s="8">
        <v>30.95808192925438</v>
      </c>
      <c r="L951" s="8">
        <v>30.958057375427227</v>
      </c>
      <c r="M951" s="8">
        <v>15</v>
      </c>
    </row>
    <row r="952" spans="1:13" x14ac:dyDescent="0.3">
      <c r="A952" s="8">
        <v>941</v>
      </c>
      <c r="B952" s="8">
        <v>0.49287452693104389</v>
      </c>
      <c r="C952" s="8">
        <v>7.3272599635743063E-5</v>
      </c>
      <c r="D952" s="8">
        <v>6726.5871469178101</v>
      </c>
      <c r="E952" s="8">
        <v>4.9850376061755242E-5</v>
      </c>
      <c r="F952" s="8">
        <v>9887.077407810626</v>
      </c>
      <c r="G952" s="8">
        <v>0.55176592347848907</v>
      </c>
      <c r="H952" s="8">
        <v>30.958100957256949</v>
      </c>
      <c r="I952" s="8">
        <v>30.958099631683723</v>
      </c>
      <c r="J952" s="8">
        <v>5.8891396547445199E-2</v>
      </c>
      <c r="K952" s="8">
        <v>30.958051106880887</v>
      </c>
      <c r="L952" s="8">
        <v>30.958026359084087</v>
      </c>
      <c r="M952" s="8">
        <v>15</v>
      </c>
    </row>
    <row r="953" spans="1:13" x14ac:dyDescent="0.3">
      <c r="A953" s="8">
        <v>942</v>
      </c>
      <c r="B953" s="8">
        <v>0.34757072405756106</v>
      </c>
      <c r="C953" s="8">
        <v>9.522827821584201E-5</v>
      </c>
      <c r="D953" s="8">
        <v>3649.8688264610437</v>
      </c>
      <c r="E953" s="8">
        <v>8.4218119724255303E-5</v>
      </c>
      <c r="F953" s="8">
        <v>4127.0302067484736</v>
      </c>
      <c r="G953" s="8">
        <v>0.53232586288740258</v>
      </c>
      <c r="H953" s="8">
        <v>30.95810090255527</v>
      </c>
      <c r="I953" s="8">
        <v>30.958100147797353</v>
      </c>
      <c r="J953" s="8">
        <v>0.18475513882984154</v>
      </c>
      <c r="K953" s="8">
        <v>30.958016684435545</v>
      </c>
      <c r="L953" s="8">
        <v>30.958004919519137</v>
      </c>
      <c r="M953" s="8">
        <v>14</v>
      </c>
    </row>
    <row r="954" spans="1:13" x14ac:dyDescent="0.3">
      <c r="A954" s="8">
        <v>943</v>
      </c>
      <c r="B954" s="8">
        <v>0.82395803300160719</v>
      </c>
      <c r="C954" s="8">
        <v>4.723457291078148E-5</v>
      </c>
      <c r="D954" s="8">
        <v>17443.96068866615</v>
      </c>
      <c r="E954" s="8">
        <v>1.9380865371232403E-5</v>
      </c>
      <c r="F954" s="8">
        <v>42513.996006836343</v>
      </c>
      <c r="G954" s="8">
        <v>0.87705460121122647</v>
      </c>
      <c r="H954" s="8">
        <v>30.958101448472476</v>
      </c>
      <c r="I954" s="8">
        <v>30.958100458124544</v>
      </c>
      <c r="J954" s="8">
        <v>5.3096568209619228E-2</v>
      </c>
      <c r="K954" s="8">
        <v>30.958082067607105</v>
      </c>
      <c r="L954" s="8">
        <v>30.958053223551634</v>
      </c>
      <c r="M954" s="8">
        <v>14</v>
      </c>
    </row>
    <row r="955" spans="1:13" x14ac:dyDescent="0.3">
      <c r="A955" s="8">
        <v>944</v>
      </c>
      <c r="B955" s="8">
        <v>0.69776043764192719</v>
      </c>
      <c r="C955" s="8">
        <v>4.8589094291173751E-5</v>
      </c>
      <c r="D955" s="8">
        <v>14360.433093495138</v>
      </c>
      <c r="E955" s="8">
        <v>2.8839469809582852E-5</v>
      </c>
      <c r="F955" s="8">
        <v>24194.634722794854</v>
      </c>
      <c r="G955" s="8">
        <v>0.85504928739584996</v>
      </c>
      <c r="H955" s="8">
        <v>30.958101549388367</v>
      </c>
      <c r="I955" s="8">
        <v>30.958100571393949</v>
      </c>
      <c r="J955" s="8">
        <v>0.15728884975392274</v>
      </c>
      <c r="K955" s="8">
        <v>30.958072709918557</v>
      </c>
      <c r="L955" s="8">
        <v>30.958051982299658</v>
      </c>
      <c r="M955" s="8">
        <v>13</v>
      </c>
    </row>
    <row r="956" spans="1:13" x14ac:dyDescent="0.3">
      <c r="A956" s="8">
        <v>945</v>
      </c>
      <c r="B956" s="8">
        <v>0.42096824803918514</v>
      </c>
      <c r="C956" s="8">
        <v>3.4922478896248776E-5</v>
      </c>
      <c r="D956" s="8">
        <v>12054.363302497513</v>
      </c>
      <c r="E956" s="8">
        <v>1.5320323143441783E-5</v>
      </c>
      <c r="F956" s="8">
        <v>27477.765586125399</v>
      </c>
      <c r="G956" s="8">
        <v>0.47107879003412323</v>
      </c>
      <c r="H956" s="8">
        <v>30.958101548525214</v>
      </c>
      <c r="I956" s="8">
        <v>30.958099960057353</v>
      </c>
      <c r="J956" s="8">
        <v>5.0110541994938085E-2</v>
      </c>
      <c r="K956" s="8">
        <v>30.95808622820207</v>
      </c>
      <c r="L956" s="8">
        <v>30.958065037578457</v>
      </c>
      <c r="M956" s="8">
        <v>12</v>
      </c>
    </row>
    <row r="957" spans="1:13" x14ac:dyDescent="0.3">
      <c r="A957" s="8">
        <v>946</v>
      </c>
      <c r="B957" s="8">
        <v>0.70064718027024786</v>
      </c>
      <c r="C957" s="8">
        <v>2.710911974546093E-5</v>
      </c>
      <c r="D957" s="8">
        <v>25845.441934261333</v>
      </c>
      <c r="E957" s="8">
        <v>9.3307648860729842E-6</v>
      </c>
      <c r="F957" s="8">
        <v>75090.004820079383</v>
      </c>
      <c r="G957" s="8">
        <v>0.77886487465228194</v>
      </c>
      <c r="H957" s="8">
        <v>30.958099346597191</v>
      </c>
      <c r="I957" s="8">
        <v>30.958094657557677</v>
      </c>
      <c r="J957" s="8">
        <v>7.8217694382034061E-2</v>
      </c>
      <c r="K957" s="8">
        <v>30.958090015832305</v>
      </c>
      <c r="L957" s="8">
        <v>30.958067548437931</v>
      </c>
      <c r="M957" s="8">
        <v>11</v>
      </c>
    </row>
    <row r="958" spans="1:13" x14ac:dyDescent="0.3">
      <c r="A958" s="8">
        <v>947</v>
      </c>
      <c r="B958" s="8">
        <v>0.40930744907899075</v>
      </c>
      <c r="C958" s="8">
        <v>6.6442258606969062E-5</v>
      </c>
      <c r="D958" s="8">
        <v>6160.3482130280699</v>
      </c>
      <c r="E958" s="8">
        <v>5.4811093892936924E-5</v>
      </c>
      <c r="F958" s="8">
        <v>7467.6022682286766</v>
      </c>
      <c r="G958" s="8">
        <v>0.49189103078071145</v>
      </c>
      <c r="H958" s="8">
        <v>30.958101539591269</v>
      </c>
      <c r="I958" s="8">
        <v>30.958100408282835</v>
      </c>
      <c r="J958" s="8">
        <v>8.2583581701720712E-2</v>
      </c>
      <c r="K958" s="8">
        <v>30.958046728497376</v>
      </c>
      <c r="L958" s="8">
        <v>30.958033966024228</v>
      </c>
      <c r="M958" s="8">
        <v>14</v>
      </c>
    </row>
    <row r="959" spans="1:13" x14ac:dyDescent="0.3">
      <c r="A959" s="8">
        <v>948</v>
      </c>
      <c r="B959" s="8">
        <v>0.53276921246226738</v>
      </c>
      <c r="C959" s="8">
        <v>1.0549847313967575E-4</v>
      </c>
      <c r="D959" s="8">
        <v>5050.0182287652851</v>
      </c>
      <c r="E959" s="8">
        <v>6.4332526939381296E-5</v>
      </c>
      <c r="F959" s="8">
        <v>8281.4905275566216</v>
      </c>
      <c r="G959" s="8">
        <v>0.63282408670728818</v>
      </c>
      <c r="H959" s="8">
        <v>30.958101440279808</v>
      </c>
      <c r="I959" s="8">
        <v>30.958101320473382</v>
      </c>
      <c r="J959" s="8">
        <v>0.10005487424502085</v>
      </c>
      <c r="K959" s="8">
        <v>30.958037107752869</v>
      </c>
      <c r="L959" s="8">
        <v>30.957995822000242</v>
      </c>
      <c r="M959" s="8">
        <v>12</v>
      </c>
    </row>
    <row r="960" spans="1:13" x14ac:dyDescent="0.3">
      <c r="A960" s="8">
        <v>949</v>
      </c>
      <c r="B960" s="8">
        <v>0.47440681424068293</v>
      </c>
      <c r="C960" s="8">
        <v>1.4327204346287203E-4</v>
      </c>
      <c r="D960" s="8">
        <v>3311.2308778064034</v>
      </c>
      <c r="E960" s="8">
        <v>1.2605868801784936E-4</v>
      </c>
      <c r="F960" s="8">
        <v>3763.3805467934822</v>
      </c>
      <c r="G960" s="8">
        <v>0.85485160416633543</v>
      </c>
      <c r="H960" s="8">
        <v>30.958095513435328</v>
      </c>
      <c r="I960" s="8">
        <v>30.958093397316741</v>
      </c>
      <c r="J960" s="8">
        <v>0.3804447899256525</v>
      </c>
      <c r="K960" s="8">
        <v>30.95796945474731</v>
      </c>
      <c r="L960" s="8">
        <v>30.957950125273278</v>
      </c>
      <c r="M960" s="8">
        <v>11</v>
      </c>
    </row>
    <row r="961" spans="1:13" x14ac:dyDescent="0.3">
      <c r="A961" s="8">
        <v>950</v>
      </c>
      <c r="B961" s="8">
        <v>0.76620431225916485</v>
      </c>
      <c r="C961" s="8">
        <v>4.4493928488265055E-5</v>
      </c>
      <c r="D961" s="8">
        <v>17220.423961018536</v>
      </c>
      <c r="E961" s="8">
        <v>1.677518464049399E-5</v>
      </c>
      <c r="F961" s="8">
        <v>45674.866100108804</v>
      </c>
      <c r="G961" s="8">
        <v>0.89448266926020881</v>
      </c>
      <c r="H961" s="8">
        <v>30.958101212069536</v>
      </c>
      <c r="I961" s="8">
        <v>30.958099831772202</v>
      </c>
      <c r="J961" s="8">
        <v>0.12827835700104395</v>
      </c>
      <c r="K961" s="8">
        <v>30.958084436884896</v>
      </c>
      <c r="L961" s="8">
        <v>30.958055337843714</v>
      </c>
      <c r="M961" s="8">
        <v>10</v>
      </c>
    </row>
    <row r="962" spans="1:13" x14ac:dyDescent="0.3">
      <c r="A962" s="8">
        <v>951</v>
      </c>
      <c r="B962" s="8">
        <v>0.57010917828353469</v>
      </c>
      <c r="C962" s="8">
        <v>5.6801915846449447E-5</v>
      </c>
      <c r="D962" s="8">
        <v>10036.794882494634</v>
      </c>
      <c r="E962" s="8">
        <v>3.8138542979737622E-5</v>
      </c>
      <c r="F962" s="8">
        <v>14948.373318467469</v>
      </c>
      <c r="G962" s="8">
        <v>0.62457913680730159</v>
      </c>
      <c r="H962" s="8">
        <v>30.958101503149216</v>
      </c>
      <c r="I962" s="8">
        <v>30.958099332550802</v>
      </c>
      <c r="J962" s="8">
        <v>5.4469958523766952E-2</v>
      </c>
      <c r="K962" s="8">
        <v>30.958063364606236</v>
      </c>
      <c r="L962" s="8">
        <v>30.958042530634955</v>
      </c>
      <c r="M962" s="8">
        <v>13</v>
      </c>
    </row>
    <row r="963" spans="1:13" x14ac:dyDescent="0.3">
      <c r="A963" s="8">
        <v>952</v>
      </c>
      <c r="B963" s="8">
        <v>0.29416715032921054</v>
      </c>
      <c r="C963" s="8">
        <v>3.3409441908105464E-5</v>
      </c>
      <c r="D963" s="8">
        <v>8804.9106338960628</v>
      </c>
      <c r="E963" s="8">
        <v>1.7709436804125289E-5</v>
      </c>
      <c r="F963" s="8">
        <v>16610.756941784075</v>
      </c>
      <c r="G963" s="8">
        <v>0.32453091617126806</v>
      </c>
      <c r="H963" s="8">
        <v>30.958100513161742</v>
      </c>
      <c r="I963" s="8">
        <v>30.958098697963017</v>
      </c>
      <c r="J963" s="8">
        <v>3.0363765842057515E-2</v>
      </c>
      <c r="K963" s="8">
        <v>30.958082803724938</v>
      </c>
      <c r="L963" s="8">
        <v>30.958065288521109</v>
      </c>
      <c r="M963" s="8">
        <v>10</v>
      </c>
    </row>
    <row r="964" spans="1:13" x14ac:dyDescent="0.3">
      <c r="A964" s="8">
        <v>953</v>
      </c>
      <c r="B964" s="8">
        <v>0.81491339087367498</v>
      </c>
      <c r="C964" s="8">
        <v>5.1365083731269578E-5</v>
      </c>
      <c r="D964" s="8">
        <v>15865.123381032849</v>
      </c>
      <c r="E964" s="8">
        <v>2.3874779881083441E-5</v>
      </c>
      <c r="F964" s="8">
        <v>34132.812739327092</v>
      </c>
      <c r="G964" s="8">
        <v>0.89634052834135935</v>
      </c>
      <c r="H964" s="8">
        <v>30.958101528857888</v>
      </c>
      <c r="I964" s="8">
        <v>30.958099769659864</v>
      </c>
      <c r="J964" s="8">
        <v>8.1427137467684402E-2</v>
      </c>
      <c r="K964" s="8">
        <v>30.958077654078007</v>
      </c>
      <c r="L964" s="8">
        <v>30.958048404576132</v>
      </c>
      <c r="M964" s="8">
        <v>12</v>
      </c>
    </row>
    <row r="965" spans="1:13" x14ac:dyDescent="0.3">
      <c r="A965" s="8">
        <v>954</v>
      </c>
      <c r="B965" s="8">
        <v>0.58245666292087594</v>
      </c>
      <c r="C965" s="8">
        <v>1.4752160276643167E-4</v>
      </c>
      <c r="D965" s="8">
        <v>3948.2804687464604</v>
      </c>
      <c r="E965" s="8">
        <v>1.1889459317160345E-4</v>
      </c>
      <c r="F965" s="8">
        <v>4898.9331422346695</v>
      </c>
      <c r="G965" s="8">
        <v>0.81198251847800418</v>
      </c>
      <c r="H965" s="8">
        <v>30.958096511082349</v>
      </c>
      <c r="I965" s="8">
        <v>30.958094109397102</v>
      </c>
      <c r="J965" s="8">
        <v>0.22952585555712823</v>
      </c>
      <c r="K965" s="8">
        <v>30.957977616489178</v>
      </c>
      <c r="L965" s="8">
        <v>30.957946587794336</v>
      </c>
      <c r="M965" s="8">
        <v>12</v>
      </c>
    </row>
    <row r="966" spans="1:13" x14ac:dyDescent="0.3">
      <c r="A966" s="8">
        <v>955</v>
      </c>
      <c r="B966" s="8">
        <v>0.36251569853808857</v>
      </c>
      <c r="C966" s="8">
        <v>3.8640558120306423E-5</v>
      </c>
      <c r="D966" s="8">
        <v>9381.7407452916414</v>
      </c>
      <c r="E966" s="8">
        <v>3.296926848506132E-5</v>
      </c>
      <c r="F966" s="8">
        <v>10995.563905287974</v>
      </c>
      <c r="G966" s="8">
        <v>0.39214584640676914</v>
      </c>
      <c r="H966" s="8">
        <v>30.958101519610295</v>
      </c>
      <c r="I966" s="8">
        <v>30.958101374134486</v>
      </c>
      <c r="J966" s="8">
        <v>2.9630147868680543E-2</v>
      </c>
      <c r="K966" s="8">
        <v>30.95806855034181</v>
      </c>
      <c r="L966" s="8">
        <v>30.958062733576366</v>
      </c>
      <c r="M966" s="8">
        <v>15</v>
      </c>
    </row>
    <row r="967" spans="1:13" x14ac:dyDescent="0.3">
      <c r="A967" s="8">
        <v>956</v>
      </c>
      <c r="B967" s="8">
        <v>0.47062142758325282</v>
      </c>
      <c r="C967" s="8">
        <v>4.1086668069567622E-5</v>
      </c>
      <c r="D967" s="8">
        <v>11454.358547312728</v>
      </c>
      <c r="E967" s="8">
        <v>2.2649458983892146E-5</v>
      </c>
      <c r="F967" s="8">
        <v>20778.484286002134</v>
      </c>
      <c r="G967" s="8">
        <v>0.56103321517455229</v>
      </c>
      <c r="H967" s="8">
        <v>30.958101548568415</v>
      </c>
      <c r="I967" s="8">
        <v>30.958100747264023</v>
      </c>
      <c r="J967" s="8">
        <v>9.0411787591299461E-2</v>
      </c>
      <c r="K967" s="8">
        <v>30.958078899109431</v>
      </c>
      <c r="L967" s="8">
        <v>30.958059660595953</v>
      </c>
      <c r="M967" s="8">
        <v>15</v>
      </c>
    </row>
    <row r="968" spans="1:13" x14ac:dyDescent="0.3">
      <c r="A968" s="8">
        <v>957</v>
      </c>
      <c r="B968" s="8">
        <v>0.81327207855900063</v>
      </c>
      <c r="C968" s="8">
        <v>6.0431401220029102E-5</v>
      </c>
      <c r="D968" s="8">
        <v>13457.772981266791</v>
      </c>
      <c r="E968" s="8">
        <v>2.1711279437397479E-5</v>
      </c>
      <c r="F968" s="8">
        <v>37458.505423597788</v>
      </c>
      <c r="G968" s="8">
        <v>0.84426829659596225</v>
      </c>
      <c r="H968" s="8">
        <v>30.958101313558711</v>
      </c>
      <c r="I968" s="8">
        <v>30.958098517249571</v>
      </c>
      <c r="J968" s="8">
        <v>3.0996218036961648E-2</v>
      </c>
      <c r="K968" s="8">
        <v>30.958079602279273</v>
      </c>
      <c r="L968" s="8">
        <v>30.958038085848351</v>
      </c>
      <c r="M968" s="8">
        <v>12</v>
      </c>
    </row>
    <row r="969" spans="1:13" x14ac:dyDescent="0.3">
      <c r="A969" s="8">
        <v>958</v>
      </c>
      <c r="B969" s="8">
        <v>0.32580414092704507</v>
      </c>
      <c r="C969" s="8">
        <v>1.4935795663717499E-4</v>
      </c>
      <c r="D969" s="8">
        <v>2181.3644767415949</v>
      </c>
      <c r="E969" s="8">
        <v>1.3633312161687172E-4</v>
      </c>
      <c r="F969" s="8">
        <v>2389.7651360366535</v>
      </c>
      <c r="G969" s="8">
        <v>0.52438127494576703</v>
      </c>
      <c r="H969" s="8">
        <v>30.958101551454213</v>
      </c>
      <c r="I969" s="8">
        <v>30.958100248776983</v>
      </c>
      <c r="J969" s="8">
        <v>0.19857713401872196</v>
      </c>
      <c r="K969" s="8">
        <v>30.957965218332596</v>
      </c>
      <c r="L969" s="8">
        <v>30.957950890820346</v>
      </c>
      <c r="M969" s="8">
        <v>10</v>
      </c>
    </row>
    <row r="970" spans="1:13" x14ac:dyDescent="0.3">
      <c r="A970" s="8">
        <v>959</v>
      </c>
      <c r="B970" s="8">
        <v>0.55295734815422593</v>
      </c>
      <c r="C970" s="8">
        <v>1.1184307420109008E-4</v>
      </c>
      <c r="D970" s="8">
        <v>4944.0463980811837</v>
      </c>
      <c r="E970" s="8">
        <v>7.6898925151169806E-5</v>
      </c>
      <c r="F970" s="8">
        <v>7190.7032129149884</v>
      </c>
      <c r="G970" s="8">
        <v>0.84318237182982969</v>
      </c>
      <c r="H970" s="8">
        <v>30.958096713219955</v>
      </c>
      <c r="I970" s="8">
        <v>30.95809345947568</v>
      </c>
      <c r="J970" s="8">
        <v>0.29022502367560377</v>
      </c>
      <c r="K970" s="8">
        <v>30.958019814294804</v>
      </c>
      <c r="L970" s="8">
        <v>30.957981616401479</v>
      </c>
      <c r="M970" s="8">
        <v>13</v>
      </c>
    </row>
    <row r="971" spans="1:13" x14ac:dyDescent="0.3">
      <c r="A971" s="8">
        <v>960</v>
      </c>
      <c r="B971" s="8">
        <v>0.26471653862678368</v>
      </c>
      <c r="C971" s="8">
        <v>1.2360680717549144E-4</v>
      </c>
      <c r="D971" s="8">
        <v>2141.6016211061169</v>
      </c>
      <c r="E971" s="8">
        <v>1.1076243330521152E-4</v>
      </c>
      <c r="F971" s="8">
        <v>2389.9487464070403</v>
      </c>
      <c r="G971" s="8">
        <v>0.58886046025940508</v>
      </c>
      <c r="H971" s="8">
        <v>30.958099788684102</v>
      </c>
      <c r="I971" s="8">
        <v>30.958099102369562</v>
      </c>
      <c r="J971" s="8">
        <v>0.3241439216326214</v>
      </c>
      <c r="K971" s="8">
        <v>30.957989026250797</v>
      </c>
      <c r="L971" s="8">
        <v>30.957975495562387</v>
      </c>
      <c r="M971" s="8">
        <v>11</v>
      </c>
    </row>
    <row r="972" spans="1:13" x14ac:dyDescent="0.3">
      <c r="A972" s="8">
        <v>961</v>
      </c>
      <c r="B972" s="8">
        <v>0.53640212719516367</v>
      </c>
      <c r="C972" s="8">
        <v>3.9215374940226866E-5</v>
      </c>
      <c r="D972" s="8">
        <v>13678.362836330452</v>
      </c>
      <c r="E972" s="8">
        <v>2.2191090810252945E-5</v>
      </c>
      <c r="F972" s="8">
        <v>24171.958547766833</v>
      </c>
      <c r="G972" s="8">
        <v>0.69302622346134146</v>
      </c>
      <c r="H972" s="8">
        <v>30.958101043850505</v>
      </c>
      <c r="I972" s="8">
        <v>30.958100104817476</v>
      </c>
      <c r="J972" s="8">
        <v>0.15662409626617782</v>
      </c>
      <c r="K972" s="8">
        <v>30.958078852759694</v>
      </c>
      <c r="L972" s="8">
        <v>30.958060889442535</v>
      </c>
      <c r="M972" s="8">
        <v>13</v>
      </c>
    </row>
    <row r="973" spans="1:13" x14ac:dyDescent="0.3">
      <c r="A973" s="8">
        <v>962</v>
      </c>
      <c r="B973" s="8">
        <v>0.60088836904456866</v>
      </c>
      <c r="C973" s="8">
        <v>4.1157594974805534E-5</v>
      </c>
      <c r="D973" s="8">
        <v>14599.695862024984</v>
      </c>
      <c r="E973" s="8">
        <v>1.4433172140115857E-5</v>
      </c>
      <c r="F973" s="8">
        <v>41632.453573698265</v>
      </c>
      <c r="G973" s="8">
        <v>0.62776449592679939</v>
      </c>
      <c r="H973" s="8">
        <v>30.958101545050226</v>
      </c>
      <c r="I973" s="8">
        <v>30.958100448932385</v>
      </c>
      <c r="J973" s="8">
        <v>2.6876126882230771E-2</v>
      </c>
      <c r="K973" s="8">
        <v>30.958087111878086</v>
      </c>
      <c r="L973" s="8">
        <v>30.95805929133741</v>
      </c>
      <c r="M973" s="8">
        <v>11</v>
      </c>
    </row>
    <row r="974" spans="1:13" x14ac:dyDescent="0.3">
      <c r="A974" s="8">
        <v>963</v>
      </c>
      <c r="B974" s="8">
        <v>0.42531371659521555</v>
      </c>
      <c r="C974" s="8">
        <v>7.9336795209883348E-5</v>
      </c>
      <c r="D974" s="8">
        <v>5360.8633354808399</v>
      </c>
      <c r="E974" s="8">
        <v>6.1591078711842329E-5</v>
      </c>
      <c r="F974" s="8">
        <v>6905.4435397222396</v>
      </c>
      <c r="G974" s="8">
        <v>0.57368492867699661</v>
      </c>
      <c r="H974" s="8">
        <v>30.958101549744253</v>
      </c>
      <c r="I974" s="8">
        <v>30.958100648871699</v>
      </c>
      <c r="J974" s="8">
        <v>0.14837121208178106</v>
      </c>
      <c r="K974" s="8">
        <v>30.958039958665541</v>
      </c>
      <c r="L974" s="8">
        <v>30.95802131207649</v>
      </c>
      <c r="M974" s="8">
        <v>12</v>
      </c>
    </row>
    <row r="975" spans="1:13" x14ac:dyDescent="0.3">
      <c r="A975" s="8">
        <v>964</v>
      </c>
      <c r="B975" s="8">
        <v>0.40038386508779644</v>
      </c>
      <c r="C975" s="8">
        <v>6.3525933288843817E-5</v>
      </c>
      <c r="D975" s="8">
        <v>6302.6837129224887</v>
      </c>
      <c r="E975" s="8">
        <v>2.7987450909705558E-5</v>
      </c>
      <c r="F975" s="8">
        <v>14305.835368127446</v>
      </c>
      <c r="G975" s="8">
        <v>0.44152552394145689</v>
      </c>
      <c r="H975" s="8">
        <v>30.958099986648001</v>
      </c>
      <c r="I975" s="8">
        <v>30.958096694473628</v>
      </c>
      <c r="J975" s="8">
        <v>4.1141658853660439E-2</v>
      </c>
      <c r="K975" s="8">
        <v>30.958071999197092</v>
      </c>
      <c r="L975" s="8">
        <v>30.958033168540339</v>
      </c>
      <c r="M975" s="8">
        <v>9</v>
      </c>
    </row>
    <row r="976" spans="1:13" x14ac:dyDescent="0.3">
      <c r="A976" s="8">
        <v>965</v>
      </c>
      <c r="B976" s="8">
        <v>0.54154919958330139</v>
      </c>
      <c r="C976" s="8">
        <v>4.9641012086709679E-5</v>
      </c>
      <c r="D976" s="8">
        <v>10909.310201761371</v>
      </c>
      <c r="E976" s="8">
        <v>1.4118151518971445E-5</v>
      </c>
      <c r="F976" s="8">
        <v>38358.364326632123</v>
      </c>
      <c r="G976" s="8">
        <v>0.59980398153383474</v>
      </c>
      <c r="H976" s="8">
        <v>30.958101260560813</v>
      </c>
      <c r="I976" s="8">
        <v>30.958099913644407</v>
      </c>
      <c r="J976" s="8">
        <v>5.825478195053338E-2</v>
      </c>
      <c r="K976" s="8">
        <v>30.958087142409294</v>
      </c>
      <c r="L976" s="8">
        <v>30.95805027263232</v>
      </c>
      <c r="M976" s="8">
        <v>15</v>
      </c>
    </row>
    <row r="977" spans="1:13" x14ac:dyDescent="0.3">
      <c r="A977" s="8">
        <v>966</v>
      </c>
      <c r="B977" s="8">
        <v>0.52786294412697354</v>
      </c>
      <c r="C977" s="8">
        <v>8.9468544331339217E-5</v>
      </c>
      <c r="D977" s="8">
        <v>5899.9835983927223</v>
      </c>
      <c r="E977" s="8">
        <v>7.0229044787595285E-5</v>
      </c>
      <c r="F977" s="8">
        <v>7516.3053366804606</v>
      </c>
      <c r="G977" s="8">
        <v>0.8082769435386733</v>
      </c>
      <c r="H977" s="8">
        <v>30.95809926540219</v>
      </c>
      <c r="I977" s="8">
        <v>30.958097316803507</v>
      </c>
      <c r="J977" s="8">
        <v>0.28041399941169975</v>
      </c>
      <c r="K977" s="8">
        <v>30.958029036357402</v>
      </c>
      <c r="L977" s="8">
        <v>30.958007848259175</v>
      </c>
      <c r="M977" s="8">
        <v>9</v>
      </c>
    </row>
    <row r="978" spans="1:13" x14ac:dyDescent="0.3">
      <c r="A978" s="8">
        <v>967</v>
      </c>
      <c r="B978" s="8">
        <v>0.48954540387520706</v>
      </c>
      <c r="C978" s="8">
        <v>7.864331402629432E-5</v>
      </c>
      <c r="D978" s="8">
        <v>6224.8826862958495</v>
      </c>
      <c r="E978" s="8">
        <v>4.173835572629514E-5</v>
      </c>
      <c r="F978" s="8">
        <v>11728.909664900713</v>
      </c>
      <c r="G978" s="8">
        <v>0.70725882663122153</v>
      </c>
      <c r="H978" s="8">
        <v>30.958101492193503</v>
      </c>
      <c r="I978" s="8">
        <v>30.958099344064205</v>
      </c>
      <c r="J978" s="8">
        <v>0.21771342275601446</v>
      </c>
      <c r="K978" s="8">
        <v>30.958059753837777</v>
      </c>
      <c r="L978" s="8">
        <v>30.958020700750179</v>
      </c>
      <c r="M978" s="8">
        <v>10</v>
      </c>
    </row>
    <row r="979" spans="1:13" x14ac:dyDescent="0.3">
      <c r="A979" s="8">
        <v>968</v>
      </c>
      <c r="B979" s="8">
        <v>0.54791732229943335</v>
      </c>
      <c r="C979" s="8">
        <v>1.0145036000253072E-4</v>
      </c>
      <c r="D979" s="8">
        <v>5400.8415769620269</v>
      </c>
      <c r="E979" s="8">
        <v>7.860640041101874E-5</v>
      </c>
      <c r="F979" s="8">
        <v>6970.3906989058414</v>
      </c>
      <c r="G979" s="8">
        <v>0.86215309651651106</v>
      </c>
      <c r="H979" s="8">
        <v>30.958093288850776</v>
      </c>
      <c r="I979" s="8">
        <v>30.958089247035481</v>
      </c>
      <c r="J979" s="8">
        <v>0.31423577421707771</v>
      </c>
      <c r="K979" s="8">
        <v>30.958014682450365</v>
      </c>
      <c r="L979" s="8">
        <v>30.957987796675479</v>
      </c>
      <c r="M979" s="8">
        <v>14</v>
      </c>
    </row>
    <row r="980" spans="1:13" x14ac:dyDescent="0.3">
      <c r="A980" s="8">
        <v>969</v>
      </c>
      <c r="B980" s="8">
        <v>0.33129666542026848</v>
      </c>
      <c r="C980" s="8">
        <v>5.3774539999551507E-5</v>
      </c>
      <c r="D980" s="8">
        <v>6160.8461071546417</v>
      </c>
      <c r="E980" s="8">
        <v>3.6766035901081295E-5</v>
      </c>
      <c r="F980" s="8">
        <v>9010.9433149556644</v>
      </c>
      <c r="G980" s="8">
        <v>0.43270089573103632</v>
      </c>
      <c r="H980" s="8">
        <v>30.958099378614854</v>
      </c>
      <c r="I980" s="8">
        <v>30.958097472103098</v>
      </c>
      <c r="J980" s="8">
        <v>0.10140423031076784</v>
      </c>
      <c r="K980" s="8">
        <v>30.958062612578953</v>
      </c>
      <c r="L980" s="8">
        <v>30.958043697563099</v>
      </c>
      <c r="M980" s="8">
        <v>12</v>
      </c>
    </row>
    <row r="981" spans="1:13" x14ac:dyDescent="0.3">
      <c r="A981" s="8">
        <v>970</v>
      </c>
      <c r="B981" s="8">
        <v>0.44193722259651508</v>
      </c>
      <c r="C981" s="8">
        <v>1.0109248483658462E-4</v>
      </c>
      <c r="D981" s="8">
        <v>4371.6130166441544</v>
      </c>
      <c r="E981" s="8">
        <v>7.3561506749086902E-5</v>
      </c>
      <c r="F981" s="8">
        <v>6007.7239051659408</v>
      </c>
      <c r="G981" s="8">
        <v>0.65674193959798433</v>
      </c>
      <c r="H981" s="8">
        <v>30.958100832040689</v>
      </c>
      <c r="I981" s="8">
        <v>30.95810053724848</v>
      </c>
      <c r="J981" s="8">
        <v>0.21480471700146925</v>
      </c>
      <c r="K981" s="8">
        <v>30.95802727053394</v>
      </c>
      <c r="L981" s="8">
        <v>30.957999444763644</v>
      </c>
      <c r="M981" s="8">
        <v>13</v>
      </c>
    </row>
    <row r="982" spans="1:13" x14ac:dyDescent="0.3">
      <c r="A982" s="8">
        <v>971</v>
      </c>
      <c r="B982" s="8">
        <v>0.43390866251032945</v>
      </c>
      <c r="C982" s="8">
        <v>2.3829587335910674E-4</v>
      </c>
      <c r="D982" s="8">
        <v>1820.8819833671164</v>
      </c>
      <c r="E982" s="8">
        <v>2.2307452806558103E-4</v>
      </c>
      <c r="F982" s="8">
        <v>1945.1286808629532</v>
      </c>
      <c r="G982" s="8">
        <v>0.67529931017378442</v>
      </c>
      <c r="H982" s="8">
        <v>30.958098183531906</v>
      </c>
      <c r="I982" s="8">
        <v>30.958096464779949</v>
      </c>
      <c r="J982" s="8">
        <v>0.241390647663455</v>
      </c>
      <c r="K982" s="8">
        <v>30.95787510900384</v>
      </c>
      <c r="L982" s="8">
        <v>30.95785816890659</v>
      </c>
      <c r="M982" s="8">
        <v>11</v>
      </c>
    </row>
    <row r="983" spans="1:13" x14ac:dyDescent="0.3">
      <c r="A983" s="8">
        <v>972</v>
      </c>
      <c r="B983" s="8">
        <v>0.52364049937251889</v>
      </c>
      <c r="C983" s="8">
        <v>4.7719159230297237E-5</v>
      </c>
      <c r="D983" s="8">
        <v>10973.380667613603</v>
      </c>
      <c r="E983" s="8">
        <v>2.8949877943773572E-5</v>
      </c>
      <c r="F983" s="8">
        <v>18087.830988079917</v>
      </c>
      <c r="G983" s="8">
        <v>0.6716196897836787</v>
      </c>
      <c r="H983" s="8">
        <v>30.958101478562348</v>
      </c>
      <c r="I983" s="8">
        <v>30.958100109006502</v>
      </c>
      <c r="J983" s="8">
        <v>0.14797919041115978</v>
      </c>
      <c r="K983" s="8">
        <v>30.958072528684404</v>
      </c>
      <c r="L983" s="8">
        <v>30.958052389847271</v>
      </c>
      <c r="M983" s="8">
        <v>14</v>
      </c>
    </row>
    <row r="984" spans="1:13" x14ac:dyDescent="0.3">
      <c r="A984" s="8">
        <v>973</v>
      </c>
      <c r="B984" s="8">
        <v>0.61569250677275822</v>
      </c>
      <c r="C984" s="8">
        <v>3.8829878199919676E-5</v>
      </c>
      <c r="D984" s="8">
        <v>15856.153439441689</v>
      </c>
      <c r="E984" s="8">
        <v>2.261361204602963E-5</v>
      </c>
      <c r="F984" s="8">
        <v>27226.632592773167</v>
      </c>
      <c r="G984" s="8">
        <v>0.70774308239951589</v>
      </c>
      <c r="H984" s="8">
        <v>30.958101549647022</v>
      </c>
      <c r="I984" s="8">
        <v>30.958101322898855</v>
      </c>
      <c r="J984" s="8">
        <v>9.2050575626757628E-2</v>
      </c>
      <c r="K984" s="8">
        <v>30.958078936034976</v>
      </c>
      <c r="L984" s="8">
        <v>30.958062493020655</v>
      </c>
      <c r="M984" s="8">
        <v>10</v>
      </c>
    </row>
    <row r="985" spans="1:13" x14ac:dyDescent="0.3">
      <c r="A985" s="8">
        <v>974</v>
      </c>
      <c r="B985" s="8">
        <v>0.65565020544819153</v>
      </c>
      <c r="C985" s="8">
        <v>5.5940014348720979E-5</v>
      </c>
      <c r="D985" s="8">
        <v>11720.594159325281</v>
      </c>
      <c r="E985" s="8">
        <v>2.7310263948976399E-5</v>
      </c>
      <c r="F985" s="8">
        <v>24007.464983609781</v>
      </c>
      <c r="G985" s="8">
        <v>0.70606999061042808</v>
      </c>
      <c r="H985" s="8">
        <v>30.958101367083728</v>
      </c>
      <c r="I985" s="8">
        <v>30.958100677306955</v>
      </c>
      <c r="J985" s="8">
        <v>5.0419785162236531E-2</v>
      </c>
      <c r="K985" s="8">
        <v>30.958074056819779</v>
      </c>
      <c r="L985" s="8">
        <v>30.958044737292607</v>
      </c>
      <c r="M985" s="8">
        <v>10</v>
      </c>
    </row>
    <row r="986" spans="1:13" x14ac:dyDescent="0.3">
      <c r="A986" s="8">
        <v>975</v>
      </c>
      <c r="B986" s="8">
        <v>0.39035991150143479</v>
      </c>
      <c r="C986" s="8">
        <v>2.0985724816569018E-5</v>
      </c>
      <c r="D986" s="8">
        <v>18601.211771977061</v>
      </c>
      <c r="E986" s="8">
        <v>7.0460894825430387E-6</v>
      </c>
      <c r="F986" s="8">
        <v>55400.930185256191</v>
      </c>
      <c r="G986" s="8">
        <v>0.42126377661819459</v>
      </c>
      <c r="H986" s="8">
        <v>30.958101445358224</v>
      </c>
      <c r="I986" s="8">
        <v>30.958100338264192</v>
      </c>
      <c r="J986" s="8">
        <v>3.0903865116759775E-2</v>
      </c>
      <c r="K986" s="8">
        <v>30.958094399268742</v>
      </c>
      <c r="L986" s="8">
        <v>30.958079352539375</v>
      </c>
      <c r="M986" s="8">
        <v>11</v>
      </c>
    </row>
    <row r="987" spans="1:13" x14ac:dyDescent="0.3">
      <c r="A987" s="8">
        <v>976</v>
      </c>
      <c r="B987" s="8">
        <v>0.40756278433747678</v>
      </c>
      <c r="C987" s="8">
        <v>4.1843149073628183E-5</v>
      </c>
      <c r="D987" s="8">
        <v>9740.2512325331863</v>
      </c>
      <c r="E987" s="8">
        <v>2.4782954852753392E-5</v>
      </c>
      <c r="F987" s="8">
        <v>16445.286155706184</v>
      </c>
      <c r="G987" s="8">
        <v>0.60324360327902382</v>
      </c>
      <c r="H987" s="8">
        <v>30.958100110438167</v>
      </c>
      <c r="I987" s="8">
        <v>30.958098030589944</v>
      </c>
      <c r="J987" s="8">
        <v>0.19568081894154704</v>
      </c>
      <c r="K987" s="8">
        <v>30.958075327483314</v>
      </c>
      <c r="L987" s="8">
        <v>30.958056187440871</v>
      </c>
      <c r="M987" s="8">
        <v>9</v>
      </c>
    </row>
    <row r="988" spans="1:13" x14ac:dyDescent="0.3">
      <c r="A988" s="8">
        <v>977</v>
      </c>
      <c r="B988" s="8">
        <v>0.60735763867844283</v>
      </c>
      <c r="C988" s="8">
        <v>1.0209260446814028E-4</v>
      </c>
      <c r="D988" s="8">
        <v>5949.0855566132514</v>
      </c>
      <c r="E988" s="8">
        <v>6.1734911618316346E-5</v>
      </c>
      <c r="F988" s="8">
        <v>9838.1551500957157</v>
      </c>
      <c r="G988" s="8">
        <v>0.69234334890369831</v>
      </c>
      <c r="H988" s="8">
        <v>30.958101147803969</v>
      </c>
      <c r="I988" s="8">
        <v>30.958100600888827</v>
      </c>
      <c r="J988" s="8">
        <v>8.4985710225255431E-2</v>
      </c>
      <c r="K988" s="8">
        <v>30.958039412892351</v>
      </c>
      <c r="L988" s="8">
        <v>30.957998508284359</v>
      </c>
      <c r="M988" s="8">
        <v>15</v>
      </c>
    </row>
    <row r="989" spans="1:13" x14ac:dyDescent="0.3">
      <c r="A989" s="8">
        <v>978</v>
      </c>
      <c r="B989" s="8">
        <v>0.84870572301117342</v>
      </c>
      <c r="C989" s="8">
        <v>6.5126559832151543E-5</v>
      </c>
      <c r="D989" s="8">
        <v>13031.637556144738</v>
      </c>
      <c r="E989" s="8">
        <v>2.527417544229138E-5</v>
      </c>
      <c r="F989" s="8">
        <v>33579.956938616117</v>
      </c>
      <c r="G989" s="8">
        <v>0.89425764209746439</v>
      </c>
      <c r="H989" s="8">
        <v>30.958101354744056</v>
      </c>
      <c r="I989" s="8">
        <v>30.958099004641113</v>
      </c>
      <c r="J989" s="8">
        <v>4.5551919086290936E-2</v>
      </c>
      <c r="K989" s="8">
        <v>30.958076080568613</v>
      </c>
      <c r="L989" s="8">
        <v>30.958033878081281</v>
      </c>
      <c r="M989" s="8">
        <v>11</v>
      </c>
    </row>
    <row r="990" spans="1:13" x14ac:dyDescent="0.3">
      <c r="A990" s="8">
        <v>979</v>
      </c>
      <c r="B990" s="8">
        <v>0.40756153209445412</v>
      </c>
      <c r="C990" s="8">
        <v>7.4466419544449991E-5</v>
      </c>
      <c r="D990" s="8">
        <v>5473.0915570766128</v>
      </c>
      <c r="E990" s="8">
        <v>5.9603376790562379E-5</v>
      </c>
      <c r="F990" s="8">
        <v>6837.8933214902609</v>
      </c>
      <c r="G990" s="8">
        <v>0.70481324663417744</v>
      </c>
      <c r="H990" s="8">
        <v>30.9581006218658</v>
      </c>
      <c r="I990" s="8">
        <v>30.958098555790116</v>
      </c>
      <c r="J990" s="8">
        <v>0.29725171453972332</v>
      </c>
      <c r="K990" s="8">
        <v>30.958041018489009</v>
      </c>
      <c r="L990" s="8">
        <v>30.958024089370571</v>
      </c>
      <c r="M990" s="8">
        <v>10</v>
      </c>
    </row>
    <row r="991" spans="1:13" x14ac:dyDescent="0.3">
      <c r="A991" s="8">
        <v>980</v>
      </c>
      <c r="B991" s="8">
        <v>0.75875106915186386</v>
      </c>
      <c r="C991" s="8">
        <v>5.173395063096109E-5</v>
      </c>
      <c r="D991" s="8">
        <v>14666.404941009396</v>
      </c>
      <c r="E991" s="8">
        <v>1.8789352516535018E-5</v>
      </c>
      <c r="F991" s="8">
        <v>40381.96997390662</v>
      </c>
      <c r="G991" s="8">
        <v>0.8203359263899207</v>
      </c>
      <c r="H991" s="8">
        <v>30.958101336813499</v>
      </c>
      <c r="I991" s="8">
        <v>30.958099418582176</v>
      </c>
      <c r="J991" s="8">
        <v>6.1584857238056845E-2</v>
      </c>
      <c r="K991" s="8">
        <v>30.958082547460982</v>
      </c>
      <c r="L991" s="8">
        <v>30.958047684631545</v>
      </c>
      <c r="M991" s="8">
        <v>14</v>
      </c>
    </row>
    <row r="992" spans="1:13" x14ac:dyDescent="0.3">
      <c r="A992" s="8">
        <v>981</v>
      </c>
      <c r="B992" s="8">
        <v>0.58999250578082985</v>
      </c>
      <c r="C992" s="8">
        <v>4.8452778653285122E-5</v>
      </c>
      <c r="D992" s="8">
        <v>12176.64955817406</v>
      </c>
      <c r="E992" s="8">
        <v>1.7595436784034746E-5</v>
      </c>
      <c r="F992" s="8">
        <v>33530.995167801731</v>
      </c>
      <c r="G992" s="8">
        <v>0.63441467778642369</v>
      </c>
      <c r="H992" s="8">
        <v>30.958100782268183</v>
      </c>
      <c r="I992" s="8">
        <v>30.958098826747577</v>
      </c>
      <c r="J992" s="8">
        <v>4.4422172005593855E-2</v>
      </c>
      <c r="K992" s="8">
        <v>30.958083186831399</v>
      </c>
      <c r="L992" s="8">
        <v>30.958050373968923</v>
      </c>
      <c r="M992" s="8">
        <v>14</v>
      </c>
    </row>
    <row r="993" spans="1:13" x14ac:dyDescent="0.3">
      <c r="A993" s="8">
        <v>982</v>
      </c>
      <c r="B993" s="8">
        <v>0.62595187450672962</v>
      </c>
      <c r="C993" s="8">
        <v>7.5415514036336617E-5</v>
      </c>
      <c r="D993" s="8">
        <v>8300.0412117476808</v>
      </c>
      <c r="E993" s="8">
        <v>5.3135779104707126E-5</v>
      </c>
      <c r="F993" s="8">
        <v>11780.233301430571</v>
      </c>
      <c r="G993" s="8">
        <v>0.72135914233359233</v>
      </c>
      <c r="H993" s="8">
        <v>30.9581015137158</v>
      </c>
      <c r="I993" s="8">
        <v>30.958099379482221</v>
      </c>
      <c r="J993" s="8">
        <v>9.5407267826862707E-2</v>
      </c>
      <c r="K993" s="8">
        <v>30.958048377936695</v>
      </c>
      <c r="L993" s="8">
        <v>30.958023963968184</v>
      </c>
      <c r="M993" s="8">
        <v>15</v>
      </c>
    </row>
    <row r="994" spans="1:13" x14ac:dyDescent="0.3">
      <c r="A994" s="8">
        <v>983</v>
      </c>
      <c r="B994" s="8">
        <v>0.43759087577921058</v>
      </c>
      <c r="C994" s="8">
        <v>5.5210567563079849E-5</v>
      </c>
      <c r="D994" s="8">
        <v>7925.8536018353543</v>
      </c>
      <c r="E994" s="8">
        <v>3.6131602776379168E-5</v>
      </c>
      <c r="F994" s="8">
        <v>12111.028632952955</v>
      </c>
      <c r="G994" s="8">
        <v>0.4913151005473988</v>
      </c>
      <c r="H994" s="8">
        <v>30.958100914206415</v>
      </c>
      <c r="I994" s="8">
        <v>30.958099935119979</v>
      </c>
      <c r="J994" s="8">
        <v>5.3724224768188222E-2</v>
      </c>
      <c r="K994" s="8">
        <v>30.958064782603639</v>
      </c>
      <c r="L994" s="8">
        <v>30.958044724552416</v>
      </c>
      <c r="M994" s="8">
        <v>11</v>
      </c>
    </row>
    <row r="995" spans="1:13" x14ac:dyDescent="0.3">
      <c r="A995" s="8">
        <v>984</v>
      </c>
      <c r="B995" s="8">
        <v>0.50811982970579961</v>
      </c>
      <c r="C995" s="8">
        <v>1.2211538610884531E-4</v>
      </c>
      <c r="D995" s="8">
        <v>4160.9812317417254</v>
      </c>
      <c r="E995" s="8">
        <v>1.0713930958772266E-4</v>
      </c>
      <c r="F995" s="8">
        <v>4742.6087741377996</v>
      </c>
      <c r="G995" s="8">
        <v>0.78041907463936455</v>
      </c>
      <c r="H995" s="8">
        <v>30.958098399079109</v>
      </c>
      <c r="I995" s="8">
        <v>30.958096461493096</v>
      </c>
      <c r="J995" s="8">
        <v>0.272299244933565</v>
      </c>
      <c r="K995" s="8">
        <v>30.957991259769521</v>
      </c>
      <c r="L995" s="8">
        <v>30.957974346106987</v>
      </c>
      <c r="M995" s="8">
        <v>14</v>
      </c>
    </row>
    <row r="996" spans="1:13" x14ac:dyDescent="0.3">
      <c r="A996" s="8">
        <v>985</v>
      </c>
      <c r="B996" s="8">
        <v>0.5991309587031618</v>
      </c>
      <c r="C996" s="8">
        <v>2.6311800422007536E-5</v>
      </c>
      <c r="D996" s="8">
        <v>22770.428062461313</v>
      </c>
      <c r="E996" s="8">
        <v>8.9616844931583728E-6</v>
      </c>
      <c r="F996" s="8">
        <v>66854.725711506238</v>
      </c>
      <c r="G996" s="8">
        <v>0.62952328196344776</v>
      </c>
      <c r="H996" s="8">
        <v>30.958101551012358</v>
      </c>
      <c r="I996" s="8">
        <v>30.958100638060493</v>
      </c>
      <c r="J996" s="8">
        <v>3.0392323260285965E-2</v>
      </c>
      <c r="K996" s="8">
        <v>30.958092589327865</v>
      </c>
      <c r="L996" s="8">
        <v>30.958074326260071</v>
      </c>
      <c r="M996" s="8">
        <v>15</v>
      </c>
    </row>
    <row r="997" spans="1:13" x14ac:dyDescent="0.3">
      <c r="A997" s="8">
        <v>986</v>
      </c>
      <c r="B997" s="8">
        <v>0.52220526094404462</v>
      </c>
      <c r="C997" s="8">
        <v>2.6868960009807097E-5</v>
      </c>
      <c r="D997" s="8">
        <v>19435.261385384514</v>
      </c>
      <c r="E997" s="8">
        <v>1.2422484115148791E-5</v>
      </c>
      <c r="F997" s="8">
        <v>42037.104342700128</v>
      </c>
      <c r="G997" s="8">
        <v>0.59174663778004644</v>
      </c>
      <c r="H997" s="8">
        <v>30.958101351552301</v>
      </c>
      <c r="I997" s="8">
        <v>30.958100164341495</v>
      </c>
      <c r="J997" s="8">
        <v>6.9541376836001867E-2</v>
      </c>
      <c r="K997" s="8">
        <v>30.958088929068186</v>
      </c>
      <c r="L997" s="8">
        <v>30.958073295381485</v>
      </c>
      <c r="M997" s="8">
        <v>12</v>
      </c>
    </row>
    <row r="998" spans="1:13" x14ac:dyDescent="0.3">
      <c r="A998" s="8">
        <v>987</v>
      </c>
      <c r="B998" s="8">
        <v>0.54943006434844299</v>
      </c>
      <c r="C998" s="8">
        <v>3.9873291598269134E-5</v>
      </c>
      <c r="D998" s="8">
        <v>13779.400754872549</v>
      </c>
      <c r="E998" s="8">
        <v>1.6833245158665022E-5</v>
      </c>
      <c r="F998" s="8">
        <v>32639.580732632548</v>
      </c>
      <c r="G998" s="8">
        <v>0.58517282512872748</v>
      </c>
      <c r="H998" s="8">
        <v>30.958101550125509</v>
      </c>
      <c r="I998" s="8">
        <v>30.958099886286131</v>
      </c>
      <c r="J998" s="8">
        <v>3.5742760780284537E-2</v>
      </c>
      <c r="K998" s="8">
        <v>30.95808471688035</v>
      </c>
      <c r="L998" s="8">
        <v>30.958060012994533</v>
      </c>
      <c r="M998" s="8">
        <v>14</v>
      </c>
    </row>
    <row r="999" spans="1:13" x14ac:dyDescent="0.3">
      <c r="A999" s="8">
        <v>988</v>
      </c>
      <c r="B999" s="8">
        <v>0.74670254442523532</v>
      </c>
      <c r="C999" s="8">
        <v>6.3355120420993671E-5</v>
      </c>
      <c r="D999" s="8">
        <v>11785.985717703792</v>
      </c>
      <c r="E999" s="8">
        <v>4.0683783783634908E-5</v>
      </c>
      <c r="F999" s="8">
        <v>18353.812624616228</v>
      </c>
      <c r="G999" s="8">
        <v>0.93262119627506501</v>
      </c>
      <c r="H999" s="8">
        <v>30.958100438189653</v>
      </c>
      <c r="I999" s="8">
        <v>30.958099462329201</v>
      </c>
      <c r="J999" s="8">
        <v>0.18591865184982972</v>
      </c>
      <c r="K999" s="8">
        <v>30.95805975440587</v>
      </c>
      <c r="L999" s="8">
        <v>30.95803610720878</v>
      </c>
      <c r="M999" s="8">
        <v>13</v>
      </c>
    </row>
    <row r="1000" spans="1:13" x14ac:dyDescent="0.3">
      <c r="A1000" s="8">
        <v>989</v>
      </c>
      <c r="B1000" s="8">
        <v>0.33249668186512937</v>
      </c>
      <c r="C1000" s="8">
        <v>7.3887982665610252E-5</v>
      </c>
      <c r="D1000" s="8">
        <v>4500.010284079438</v>
      </c>
      <c r="E1000" s="8">
        <v>5.8188671346215415E-5</v>
      </c>
      <c r="F1000" s="8">
        <v>5714.1136611766769</v>
      </c>
      <c r="G1000" s="8">
        <v>0.48805498601228647</v>
      </c>
      <c r="H1000" s="8">
        <v>30.958101408954676</v>
      </c>
      <c r="I1000" s="8">
        <v>30.958100728925576</v>
      </c>
      <c r="J1000" s="8">
        <v>0.15555830414715707</v>
      </c>
      <c r="K1000" s="8">
        <v>30.958043220283329</v>
      </c>
      <c r="L1000" s="8">
        <v>30.95802684094291</v>
      </c>
      <c r="M1000" s="8">
        <v>9</v>
      </c>
    </row>
    <row r="1001" spans="1:13" x14ac:dyDescent="0.3">
      <c r="A1001" s="8">
        <v>990</v>
      </c>
      <c r="B1001" s="8">
        <v>0.75789100999646042</v>
      </c>
      <c r="C1001" s="8">
        <v>7.3524840797034585E-5</v>
      </c>
      <c r="D1001" s="8">
        <v>10307.958531846665</v>
      </c>
      <c r="E1001" s="8">
        <v>3.4314537945334678E-5</v>
      </c>
      <c r="F1001" s="8">
        <v>22086.586484242649</v>
      </c>
      <c r="G1001" s="8">
        <v>0.88811868025930685</v>
      </c>
      <c r="H1001" s="8">
        <v>30.958099993555848</v>
      </c>
      <c r="I1001" s="8">
        <v>30.958096212752718</v>
      </c>
      <c r="J1001" s="8">
        <v>0.13022767026284648</v>
      </c>
      <c r="K1001" s="8">
        <v>30.958065679017903</v>
      </c>
      <c r="L1001" s="8">
        <v>30.958022687911921</v>
      </c>
      <c r="M1001" s="8">
        <v>15</v>
      </c>
    </row>
    <row r="1002" spans="1:13" x14ac:dyDescent="0.3">
      <c r="A1002" s="8">
        <v>991</v>
      </c>
      <c r="B1002" s="8">
        <v>0.47749209653083996</v>
      </c>
      <c r="C1002" s="8">
        <v>5.7581750009916277E-5</v>
      </c>
      <c r="D1002" s="8">
        <v>8292.4207140041763</v>
      </c>
      <c r="E1002" s="8">
        <v>4.1721628356583551E-5</v>
      </c>
      <c r="F1002" s="8">
        <v>11444.713817251888</v>
      </c>
      <c r="G1002" s="8">
        <v>0.58408186984259813</v>
      </c>
      <c r="H1002" s="8">
        <v>30.958101161333303</v>
      </c>
      <c r="I1002" s="8">
        <v>30.958099769862887</v>
      </c>
      <c r="J1002" s="8">
        <v>0.10658977331175816</v>
      </c>
      <c r="K1002" s="8">
        <v>30.958059439704947</v>
      </c>
      <c r="L1002" s="8">
        <v>30.958042188112877</v>
      </c>
      <c r="M1002" s="8">
        <v>12</v>
      </c>
    </row>
    <row r="1003" spans="1:13" x14ac:dyDescent="0.3">
      <c r="A1003" s="8">
        <v>992</v>
      </c>
      <c r="B1003" s="8">
        <v>0.7333786385541452</v>
      </c>
      <c r="C1003" s="8">
        <v>7.8842053333971762E-5</v>
      </c>
      <c r="D1003" s="8">
        <v>9301.8713686664505</v>
      </c>
      <c r="E1003" s="8">
        <v>5.4619695223578901E-5</v>
      </c>
      <c r="F1003" s="8">
        <v>13426.99983132735</v>
      </c>
      <c r="G1003" s="8">
        <v>0.86921543293455361</v>
      </c>
      <c r="H1003" s="8">
        <v>30.958101511893432</v>
      </c>
      <c r="I1003" s="8">
        <v>30.958100669427594</v>
      </c>
      <c r="J1003" s="8">
        <v>0.13583679438040835</v>
      </c>
      <c r="K1003" s="8">
        <v>30.958046892198208</v>
      </c>
      <c r="L1003" s="8">
        <v>30.95802182737426</v>
      </c>
      <c r="M1003" s="8">
        <v>14</v>
      </c>
    </row>
    <row r="1004" spans="1:13" x14ac:dyDescent="0.3">
      <c r="A1004" s="8">
        <v>993</v>
      </c>
      <c r="B1004" s="8">
        <v>0.74359520848424365</v>
      </c>
      <c r="C1004" s="8">
        <v>3.4307372001052272E-5</v>
      </c>
      <c r="D1004" s="8">
        <v>21674.502158353494</v>
      </c>
      <c r="E1004" s="8">
        <v>1.7127456672483277E-5</v>
      </c>
      <c r="F1004" s="8">
        <v>43415.389844710153</v>
      </c>
      <c r="G1004" s="8">
        <v>0.81382427564413118</v>
      </c>
      <c r="H1004" s="8">
        <v>30.958101550659208</v>
      </c>
      <c r="I1004" s="8">
        <v>30.958100048593572</v>
      </c>
      <c r="J1004" s="8">
        <v>7.0229067159887582E-2</v>
      </c>
      <c r="K1004" s="8">
        <v>30.958084423202536</v>
      </c>
      <c r="L1004" s="8">
        <v>30.958065741221571</v>
      </c>
      <c r="M1004" s="8">
        <v>13</v>
      </c>
    </row>
    <row r="1005" spans="1:13" x14ac:dyDescent="0.3">
      <c r="A1005" s="8">
        <v>994</v>
      </c>
      <c r="B1005" s="8">
        <v>0.36792823375786532</v>
      </c>
      <c r="C1005" s="8">
        <v>4.9299255522328167E-5</v>
      </c>
      <c r="D1005" s="8">
        <v>7463.1600388210045</v>
      </c>
      <c r="E1005" s="8">
        <v>3.6824763846254882E-5</v>
      </c>
      <c r="F1005" s="8">
        <v>9991.3263610863323</v>
      </c>
      <c r="G1005" s="8">
        <v>0.44930589684526162</v>
      </c>
      <c r="H1005" s="8">
        <v>30.958099938144166</v>
      </c>
      <c r="I1005" s="8">
        <v>30.958097992516979</v>
      </c>
      <c r="J1005" s="8">
        <v>8.1377663087396329E-2</v>
      </c>
      <c r="K1005" s="8">
        <v>30.958063113380319</v>
      </c>
      <c r="L1005" s="8">
        <v>30.958048693261457</v>
      </c>
      <c r="M1005" s="8">
        <v>12</v>
      </c>
    </row>
    <row r="1006" spans="1:13" x14ac:dyDescent="0.3">
      <c r="A1006" s="8">
        <v>995</v>
      </c>
      <c r="B1006" s="8">
        <v>0.62414880785635285</v>
      </c>
      <c r="C1006" s="8">
        <v>7.1475622480221546E-5</v>
      </c>
      <c r="D1006" s="8">
        <v>8732.3311948638839</v>
      </c>
      <c r="E1006" s="8">
        <v>3.5188197845315017E-5</v>
      </c>
      <c r="F1006" s="8">
        <v>17737.447385059888</v>
      </c>
      <c r="G1006" s="8">
        <v>0.7142381191425683</v>
      </c>
      <c r="H1006" s="8">
        <v>30.958101304483542</v>
      </c>
      <c r="I1006" s="8">
        <v>30.958099309993202</v>
      </c>
      <c r="J1006" s="8">
        <v>9.0089311286215418E-2</v>
      </c>
      <c r="K1006" s="8">
        <v>30.958066116285696</v>
      </c>
      <c r="L1006" s="8">
        <v>30.958027834370721</v>
      </c>
      <c r="M1006" s="8">
        <v>12</v>
      </c>
    </row>
    <row r="1007" spans="1:13" x14ac:dyDescent="0.3">
      <c r="A1007" s="8">
        <v>996</v>
      </c>
      <c r="B1007" s="8">
        <v>0.26411672718828372</v>
      </c>
      <c r="C1007" s="8">
        <v>3.715027117578984E-5</v>
      </c>
      <c r="D1007" s="8">
        <v>7109.4158623639823</v>
      </c>
      <c r="E1007" s="8">
        <v>2.6324917673292703E-5</v>
      </c>
      <c r="F1007" s="8">
        <v>10032.955485981893</v>
      </c>
      <c r="G1007" s="8">
        <v>0.38459281630124759</v>
      </c>
      <c r="H1007" s="8">
        <v>30.958100626575391</v>
      </c>
      <c r="I1007" s="8">
        <v>30.958099603484392</v>
      </c>
      <c r="J1007" s="8">
        <v>0.12047608911296386</v>
      </c>
      <c r="K1007" s="8">
        <v>30.958074301657717</v>
      </c>
      <c r="L1007" s="8">
        <v>30.958062453213216</v>
      </c>
      <c r="M1007" s="8">
        <v>14</v>
      </c>
    </row>
    <row r="1008" spans="1:13" x14ac:dyDescent="0.3">
      <c r="A1008" s="8">
        <v>997</v>
      </c>
      <c r="B1008" s="8">
        <v>0.37902761012746422</v>
      </c>
      <c r="C1008" s="8">
        <v>8.2390883790139924E-5</v>
      </c>
      <c r="D1008" s="8">
        <v>4600.358591769641</v>
      </c>
      <c r="E1008" s="8">
        <v>7.1264579830199182E-5</v>
      </c>
      <c r="F1008" s="8">
        <v>5318.5974158630615</v>
      </c>
      <c r="G1008" s="8">
        <v>0.47240897907124535</v>
      </c>
      <c r="H1008" s="8">
        <v>30.958064500758034</v>
      </c>
      <c r="I1008" s="8">
        <v>30.958057040709466</v>
      </c>
      <c r="J1008" s="8">
        <v>9.3381368943781143E-2</v>
      </c>
      <c r="K1008" s="8">
        <v>30.957993236178204</v>
      </c>
      <c r="L1008" s="8">
        <v>30.957974649825676</v>
      </c>
      <c r="M1008" s="8">
        <v>11</v>
      </c>
    </row>
    <row r="1009" spans="1:13" x14ac:dyDescent="0.3">
      <c r="A1009" s="8">
        <v>998</v>
      </c>
      <c r="B1009" s="8">
        <v>0.29589534007990392</v>
      </c>
      <c r="C1009" s="8">
        <v>5.7533804351805884E-5</v>
      </c>
      <c r="D1009" s="8">
        <v>5142.9823460060534</v>
      </c>
      <c r="E1009" s="8">
        <v>4.3778474708489057E-5</v>
      </c>
      <c r="F1009" s="8">
        <v>6758.9230106851355</v>
      </c>
      <c r="G1009" s="8">
        <v>0.37661536068446355</v>
      </c>
      <c r="H1009" s="8">
        <v>30.958098994556806</v>
      </c>
      <c r="I1009" s="8">
        <v>30.95809737142039</v>
      </c>
      <c r="J1009" s="8">
        <v>8.0720020604559656E-2</v>
      </c>
      <c r="K1009" s="8">
        <v>30.958055216082098</v>
      </c>
      <c r="L1009" s="8">
        <v>30.958039837616038</v>
      </c>
      <c r="M1009" s="8">
        <v>12</v>
      </c>
    </row>
    <row r="1010" spans="1:13" x14ac:dyDescent="0.3">
      <c r="A1010" s="8">
        <v>999</v>
      </c>
      <c r="B1010" s="8">
        <v>0.54041520344787397</v>
      </c>
      <c r="C1010" s="8">
        <v>5.8779242444018109E-5</v>
      </c>
      <c r="D1010" s="8">
        <v>9193.9804083485833</v>
      </c>
      <c r="E1010" s="8">
        <v>3.7893648645592748E-5</v>
      </c>
      <c r="F1010" s="8">
        <v>14261.366291280252</v>
      </c>
      <c r="G1010" s="8">
        <v>0.68150064363695217</v>
      </c>
      <c r="H1010" s="8">
        <v>30.958101520260247</v>
      </c>
      <c r="I1010" s="8">
        <v>30.958100363161307</v>
      </c>
      <c r="J1010" s="8">
        <v>0.14108544018907823</v>
      </c>
      <c r="K1010" s="8">
        <v>30.958063626611601</v>
      </c>
      <c r="L1010" s="8">
        <v>30.958041583918863</v>
      </c>
      <c r="M1010" s="8">
        <v>11</v>
      </c>
    </row>
    <row r="1011" spans="1:13" x14ac:dyDescent="0.3">
      <c r="A1011" s="8">
        <v>1000</v>
      </c>
      <c r="B1011" s="8">
        <v>0.31740390422396098</v>
      </c>
      <c r="C1011" s="8">
        <v>1.9214766016517615E-5</v>
      </c>
      <c r="D1011" s="8">
        <v>16518.749380091886</v>
      </c>
      <c r="E1011" s="8">
        <v>9.5047343933174488E-6</v>
      </c>
      <c r="F1011" s="8">
        <v>33394.294999670907</v>
      </c>
      <c r="G1011" s="8">
        <v>0.34668649681836011</v>
      </c>
      <c r="H1011" s="8">
        <v>30.958101551334384</v>
      </c>
      <c r="I1011" s="8">
        <v>30.958101293282912</v>
      </c>
      <c r="J1011" s="8">
        <v>2.9282592594399134E-2</v>
      </c>
      <c r="K1011" s="8">
        <v>30.95809204659999</v>
      </c>
      <c r="L1011" s="8">
        <v>30.958082078516895</v>
      </c>
      <c r="M1011" s="8">
        <v>15</v>
      </c>
    </row>
  </sheetData>
  <conditionalFormatting sqref="C12:C101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Resultados">
    <tabColor theme="6" tint="-0.249977111117893"/>
  </sheetPr>
  <dimension ref="B2:J19"/>
  <sheetViews>
    <sheetView workbookViewId="0">
      <selection activeCell="G17" sqref="G17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2.33203125" style="2" bestFit="1" customWidth="1"/>
    <col min="4" max="5" width="28.33203125" style="2" bestFit="1" customWidth="1"/>
    <col min="6" max="6" width="26.33203125" style="2" bestFit="1" customWidth="1"/>
    <col min="7" max="7" width="33.109375" style="2" bestFit="1" customWidth="1"/>
    <col min="8" max="8" width="3.5546875" style="2" customWidth="1"/>
    <col min="9" max="9" width="13.5546875" style="2" bestFit="1" customWidth="1"/>
    <col min="10" max="10" width="18.33203125" style="2" bestFit="1" customWidth="1"/>
    <col min="11" max="11" width="14.5546875" style="2" bestFit="1" customWidth="1"/>
    <col min="12" max="12" width="17.33203125" style="2" bestFit="1" customWidth="1"/>
    <col min="13" max="13" width="10.44140625" style="2" bestFit="1" customWidth="1"/>
    <col min="14" max="14" width="21.33203125" style="2" bestFit="1" customWidth="1"/>
    <col min="15" max="17" width="11.5546875" style="2"/>
    <col min="18" max="18" width="13" style="2" bestFit="1" customWidth="1"/>
    <col min="19" max="16384" width="11.5546875" style="2"/>
  </cols>
  <sheetData>
    <row r="2" spans="2:10" x14ac:dyDescent="0.3">
      <c r="B2" s="5"/>
      <c r="C2" s="5" t="str">
        <f>Localization!$B$19</f>
        <v>PSA</v>
      </c>
      <c r="D2" s="5"/>
    </row>
    <row r="3" spans="2:10" x14ac:dyDescent="0.3">
      <c r="B3" s="3"/>
      <c r="C3" s="3"/>
      <c r="D3" s="3"/>
      <c r="E3" s="3"/>
      <c r="F3" s="3"/>
      <c r="G3" s="3"/>
      <c r="H3" s="3"/>
    </row>
    <row r="4" spans="2:10" x14ac:dyDescent="0.3">
      <c r="B4" s="3"/>
      <c r="C4" s="3"/>
      <c r="D4" s="5" t="str">
        <f>intervention1</f>
        <v>TEST1_Intervention_Effective</v>
      </c>
      <c r="E4" s="5" t="str">
        <f>intervention2</f>
        <v>TEST1_InterventionIneffective</v>
      </c>
      <c r="F4" s="5" t="s">
        <v>11</v>
      </c>
      <c r="G4" s="3"/>
      <c r="H4" s="3"/>
    </row>
    <row r="5" spans="2:10" x14ac:dyDescent="0.3">
      <c r="B5" s="3"/>
      <c r="C5" s="5" t="str">
        <f>Localization!$B$4</f>
        <v>Cost</v>
      </c>
      <c r="D5" s="46">
        <f ca="1">Process!$G$2</f>
        <v>0.65539027292716223</v>
      </c>
      <c r="E5" s="46">
        <f ca="1">Process!$J$2</f>
        <v>0.14018473019866709</v>
      </c>
      <c r="F5" s="47">
        <f ca="1">Process!B$2</f>
        <v>0.51520554272849406</v>
      </c>
      <c r="G5" s="3"/>
      <c r="H5" s="3"/>
    </row>
    <row r="6" spans="2:10" x14ac:dyDescent="0.3">
      <c r="B6" s="3"/>
      <c r="C6" s="5"/>
      <c r="D6" s="38" t="str">
        <f ca="1">"["&amp;DOLLAR(Process!$G$5,roundCost)&amp;"; "&amp;DOLLAR(Process!$G$6,roundCost)&amp;"]"</f>
        <v>[0,35 €; 1,09 €]</v>
      </c>
      <c r="E6" s="38" t="str">
        <f ca="1">"["&amp;DOLLAR(Process!$J$5,roundCost)&amp;"; "&amp;DOLLAR(Process!$J$6,roundCost)&amp;"]"</f>
        <v>[0,02 €; 0,50 €]</v>
      </c>
      <c r="F6" s="38" t="str">
        <f ca="1">"["&amp;DOLLAR(Process!$B$5,roundCost)&amp;"; "&amp;DOLLAR(Process!$B$6,roundCost)&amp;"]"</f>
        <v>[0,16 €; 0,93 €]</v>
      </c>
      <c r="G6" s="5" t="str">
        <f>Localization!$B$13</f>
        <v>ICER</v>
      </c>
      <c r="H6" s="3"/>
    </row>
    <row r="7" spans="2:10" x14ac:dyDescent="0.3">
      <c r="B7" s="3"/>
      <c r="C7" s="5" t="str">
        <f>Localization!$B$6</f>
        <v>LY</v>
      </c>
      <c r="D7" s="37" t="str">
        <f ca="1">FIXED(Process!H$2,roundQALE) &amp; " "&amp;unitLE</f>
        <v>30,958 LY</v>
      </c>
      <c r="E7" s="37" t="str">
        <f ca="1">FIXED(Process!K$2,roundQALE) &amp; " "&amp;unitLE</f>
        <v>30,958 LY</v>
      </c>
      <c r="F7" s="37" t="str">
        <f ca="1">FIXED(Process!E$2, roundQALE) &amp; " "&amp;unitLE</f>
        <v>0,000 LY</v>
      </c>
      <c r="G7" s="37" t="str">
        <f ca="1">DOLLAR(Process!B$2/Process!E$2,roundCost) &amp; "/"&amp;unitLE</f>
        <v>11.103,44 €/LY</v>
      </c>
      <c r="H7" s="3"/>
    </row>
    <row r="8" spans="2:10" x14ac:dyDescent="0.3">
      <c r="B8" s="3"/>
      <c r="C8" s="5"/>
      <c r="D8" s="37" t="str">
        <f ca="1">"["&amp;FIXED(Process!$H$5,roundQALE)&amp;" "&amp;unitLE&amp;"; "&amp;FIXED(Process!$H$6,roundQALE)&amp;" "&amp;unitLE&amp;"]"</f>
        <v>[30,958 LY; 30,958 LY]</v>
      </c>
      <c r="E8" s="37" t="str">
        <f ca="1">"["&amp;FIXED(Process!K$5,roundQALE)&amp;" "&amp;unitLE&amp;"; "&amp;FIXED(Process!K$6,roundQALE)&amp;" "&amp;unitLE&amp;"]"</f>
        <v>[30,958 LY; 30,958 LY]</v>
      </c>
      <c r="F8" s="37" t="str">
        <f ca="1">"["&amp;FIXED(Process!$E$5,roundQALE)&amp;" "&amp;unitLE&amp;"; "&amp;FIXED(Process!$E$6,roundQALE)&amp;" "&amp;unitLE&amp;"]"</f>
        <v>[0,000 LY; 0,000 LY]</v>
      </c>
      <c r="G8" s="37" t="str">
        <f ca="1">"["&amp;IF(Process!$E$6 = 0, "UNDEF",DOLLAR(Process!B$5/Process!$E$6,roundCost) &amp; "/" &amp;unitLE) &amp; "; " &amp; IF(Process!$E$5 = 0, "UNDEF",DOLLAR(Process!B$6/Process!$E$5,roundCost) &amp; "/"&amp;unitLE) &amp; "]"</f>
        <v>[981,03 €/LY; 194.522,06 €/LY]</v>
      </c>
      <c r="H8" s="3"/>
      <c r="J8" s="38" t="str">
        <f ca="1">"["&amp;IF(Process!$E$6 = 0, "UNDEF",DOLLAR(Process!$F$5,roundCost) &amp; "/"&amp;unitLE) &amp; "; " &amp; IF(Process!$E$5 = 0, "UNDEF",DOLLAR(Process!$F$6,roundCost) &amp; "/"&amp;unitLE) &amp; "]"</f>
        <v>[1.973,72 €/LY; 115.288,05 €/LY]</v>
      </c>
    </row>
    <row r="9" spans="2:10" x14ac:dyDescent="0.3">
      <c r="B9" s="3"/>
      <c r="C9" s="5" t="str">
        <f>Localization!$B$7</f>
        <v>QALY</v>
      </c>
      <c r="D9" s="38" t="str">
        <f ca="1">FIXED(Process!I$2,roundQALE) &amp; " "&amp;unitQALE</f>
        <v>30,958 QALY</v>
      </c>
      <c r="E9" s="38" t="str">
        <f ca="1">FIXED(Process!L$2,roundQALE) &amp; " "&amp;unitQALE</f>
        <v>30,958 QALY</v>
      </c>
      <c r="F9" s="38" t="str">
        <f ca="1">FIXED(Process!C$2, roundQALE) &amp; " "&amp;unitQALE</f>
        <v>0,000 QALY</v>
      </c>
      <c r="G9" s="38" t="str">
        <f ca="1">DOLLAR(Process!B$2/Process!C$2,roundCost) &amp; "/"&amp;unitQALE</f>
        <v>7.556,10 €/QALY</v>
      </c>
      <c r="H9" s="3"/>
    </row>
    <row r="10" spans="2:10" x14ac:dyDescent="0.3">
      <c r="B10" s="3"/>
      <c r="C10" s="5"/>
      <c r="D10" s="38" t="str">
        <f ca="1">"["&amp;FIXED(Process!$I$5,roundQALE)&amp;" "&amp;unitQALE&amp;"; "&amp;FIXED(Process!$I$6,roundQALE)&amp;" "&amp;unitQALE&amp;"]"</f>
        <v>[30,958 QALY; 30,958 QALY]</v>
      </c>
      <c r="E10" s="38" t="str">
        <f ca="1">"["&amp;FIXED(Process!$L$5,roundQALE)&amp;" "&amp;unitQALE&amp;"; "&amp;FIXED(Process!$L$6,roundQALE)&amp;" "&amp;unitQALE&amp;"]"</f>
        <v>[30,958 QALY; 30,958 QALY]</v>
      </c>
      <c r="F10" s="38" t="str">
        <f ca="1">"["&amp;FIXED(Process!$C$5,roundQALE)&amp;" "&amp;unitQALE&amp;"; "&amp;FIXED(Process!$C$6,roundQALE)&amp;" "&amp;unitQALE&amp;"]"</f>
        <v>[0,000 QALY; 0,000 QALY]</v>
      </c>
      <c r="G10" s="38" t="str">
        <f ca="1">"["&amp;IF(Process!$C$6 = 0, "UNDEF",DOLLAR(Process!B$5/Process!$C$6,roundCost) &amp; "/"&amp;unitQALE) &amp; "; " &amp; IF(Process!$C$5 = 0, "UNDEF",DOLLAR(Process!B$6/Process!$C$5,roundCost) &amp; "/"&amp;unitQALE) &amp; "]"</f>
        <v>[892,07 €/QALY; 45.470,38 €/QALY]</v>
      </c>
      <c r="H10" s="3"/>
      <c r="J10" s="38" t="str">
        <f ca="1">"["&amp;IF(Process!$C$6 = 0, "UNDEF",DOLLAR(Process!$D$5,roundCost) &amp; "/"&amp;unitQALE) &amp; "; " &amp; IF(Process!$C$5 = 0, "UNDEF",DOLLAR(Process!$D$6,roundCost) &amp; "/"&amp;unitQALE) &amp; "]"</f>
        <v>[1.629,47 €/QALY; 23.838,81 €/QALY]</v>
      </c>
    </row>
    <row r="11" spans="2:10" x14ac:dyDescent="0.3">
      <c r="B11" s="3"/>
      <c r="C11" s="3"/>
      <c r="D11" s="3"/>
      <c r="E11" s="3"/>
      <c r="F11" s="3"/>
      <c r="G11" s="3"/>
      <c r="H11" s="3"/>
    </row>
    <row r="13" spans="2:10" x14ac:dyDescent="0.3">
      <c r="B13" s="5"/>
      <c r="C13" s="5" t="str">
        <f>Localization!$B$20</f>
        <v>Base case</v>
      </c>
      <c r="D13" s="5"/>
    </row>
    <row r="14" spans="2:10" x14ac:dyDescent="0.3">
      <c r="B14" s="3"/>
      <c r="C14" s="3"/>
      <c r="D14" s="3"/>
      <c r="E14" s="3"/>
      <c r="F14" s="3"/>
      <c r="G14" s="3"/>
      <c r="H14" s="3"/>
    </row>
    <row r="15" spans="2:10" x14ac:dyDescent="0.3">
      <c r="B15" s="3"/>
      <c r="C15" s="3"/>
      <c r="D15" s="5" t="str">
        <f>intervention1</f>
        <v>TEST1_Intervention_Effective</v>
      </c>
      <c r="E15" s="5" t="str">
        <f>intervention2</f>
        <v>TEST1_InterventionIneffective</v>
      </c>
      <c r="F15" s="5" t="s">
        <v>11</v>
      </c>
      <c r="G15" s="3"/>
      <c r="H15" s="3"/>
    </row>
    <row r="16" spans="2:10" x14ac:dyDescent="0.3">
      <c r="B16" s="3"/>
      <c r="C16" s="5" t="str">
        <f>Localization!$B$4</f>
        <v>Cost</v>
      </c>
      <c r="D16" s="47">
        <f ca="1">Process!$G$11</f>
        <v>31298.180670209567</v>
      </c>
      <c r="E16" s="47">
        <f ca="1">Process!$J$11</f>
        <v>44920.5183695655</v>
      </c>
      <c r="F16" s="47">
        <f ca="1">D16-E16</f>
        <v>-13622.337699355932</v>
      </c>
      <c r="G16" s="5" t="str">
        <f>Localization!$B$13</f>
        <v>ICER</v>
      </c>
      <c r="H16" s="3"/>
    </row>
    <row r="17" spans="2:8" x14ac:dyDescent="0.3">
      <c r="B17" s="3"/>
      <c r="C17" s="5" t="str">
        <f>Localization!$B$6</f>
        <v>LY</v>
      </c>
      <c r="D17" s="37" t="str">
        <f ca="1">FIXED(Process!$H$11,roundQALE) &amp; " "&amp;unitLE</f>
        <v>28,453 LY</v>
      </c>
      <c r="E17" s="37" t="str">
        <f ca="1">FIXED(Process!$K$11,roundQALE) &amp; " "&amp;unitLE</f>
        <v>25,306 LY</v>
      </c>
      <c r="F17" s="37" t="str">
        <f ca="1">FIXED(Process!$H$11-Process!$K$11, roundQALE) &amp; " "&amp;unitLE</f>
        <v>3,147 LY</v>
      </c>
      <c r="G17" s="37" t="str">
        <f ca="1">IF(AND(F$16&lt;0,F17&gt;0),Localization!$B$88,IF(AND(F$16&gt;0,F17&lt;0),Localization!$B$89,DOLLAR(F$16/(Process!$H$11-Process!$K$11),2)&amp;"/"&amp;unitLE))</f>
        <v>Dominant</v>
      </c>
      <c r="H17" s="3"/>
    </row>
    <row r="18" spans="2:8" x14ac:dyDescent="0.3">
      <c r="B18" s="3"/>
      <c r="C18" s="5" t="str">
        <f>Localization!$B$7</f>
        <v>QALY</v>
      </c>
      <c r="D18" s="38" t="str">
        <f ca="1">FIXED(Process!$I$11,roundQALE) &amp; " "&amp;unitQALE</f>
        <v>24,185 QALY</v>
      </c>
      <c r="E18" s="38" t="str">
        <f ca="1">FIXED(Process!$L$11,roundQALE) &amp; " "&amp;unitQALE</f>
        <v>13,664 QALY</v>
      </c>
      <c r="F18" s="38" t="str">
        <f ca="1">FIXED(Process!$I$11-Process!$L$11, roundQALE) &amp; " "&amp;unitQALE</f>
        <v>10,521 QALY</v>
      </c>
      <c r="G18" s="37" t="str">
        <f ca="1">IF(AND(F$16&lt;0,F18&gt;0),Localization!$B$88,IF(AND(F$16&gt;0,F18&lt;0),Localization!$B$89,DOLLAR(F$16/(Process!$I$11-Process!$L$11),2)&amp;"/"&amp;unitQALE))</f>
        <v>Dominant</v>
      </c>
      <c r="H18" s="3"/>
    </row>
    <row r="19" spans="2:8" x14ac:dyDescent="0.3">
      <c r="B19" s="3"/>
      <c r="C19" s="3"/>
      <c r="D19" s="3"/>
      <c r="E19" s="3"/>
      <c r="F19" s="3"/>
      <c r="G19" s="3"/>
      <c r="H19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>
    <tabColor theme="8" tint="-0.499984740745262"/>
  </sheetPr>
  <dimension ref="B1:H26"/>
  <sheetViews>
    <sheetView workbookViewId="0">
      <selection activeCell="G7" sqref="G7"/>
    </sheetView>
  </sheetViews>
  <sheetFormatPr baseColWidth="10" defaultColWidth="11.5546875" defaultRowHeight="14.4" x14ac:dyDescent="0.3"/>
  <cols>
    <col min="1" max="1" width="3.44140625" style="12" customWidth="1"/>
    <col min="2" max="5" width="11.5546875" style="12"/>
    <col min="6" max="6" width="13.44140625" style="12" bestFit="1" customWidth="1"/>
    <col min="7" max="7" width="13.5546875" style="12" bestFit="1" customWidth="1"/>
    <col min="8" max="8" width="11.88671875" style="12" bestFit="1" customWidth="1"/>
    <col min="9" max="16384" width="11.5546875" style="12"/>
  </cols>
  <sheetData>
    <row r="1" spans="2:8" x14ac:dyDescent="0.3">
      <c r="B1" s="12" t="s">
        <v>188</v>
      </c>
    </row>
    <row r="2" spans="2:8" x14ac:dyDescent="0.3">
      <c r="B2" s="23" t="s">
        <v>24</v>
      </c>
      <c r="C2" s="23" t="s">
        <v>187</v>
      </c>
      <c r="D2" s="23" t="s">
        <v>189</v>
      </c>
    </row>
    <row r="3" spans="2:8" x14ac:dyDescent="0.3">
      <c r="B3" s="24">
        <v>2002</v>
      </c>
      <c r="C3" s="20">
        <v>69.53</v>
      </c>
      <c r="D3" s="20">
        <v>86.313000000000002</v>
      </c>
      <c r="G3" s="28" t="s">
        <v>190</v>
      </c>
    </row>
    <row r="4" spans="2:8" x14ac:dyDescent="0.3">
      <c r="B4" s="24">
        <v>2003</v>
      </c>
      <c r="C4" s="20">
        <v>72.111000000000004</v>
      </c>
      <c r="D4" s="20">
        <v>88.385000000000005</v>
      </c>
      <c r="F4" s="23" t="s">
        <v>24</v>
      </c>
      <c r="G4" s="1">
        <v>2010</v>
      </c>
      <c r="H4" s="12">
        <f>VLOOKUP(G4,$B$3:$C$26,2,FALSE)</f>
        <v>86.158000000000001</v>
      </c>
    </row>
    <row r="5" spans="2:8" x14ac:dyDescent="0.3">
      <c r="B5" s="24">
        <v>2004</v>
      </c>
      <c r="C5" s="20">
        <v>73.772999999999996</v>
      </c>
      <c r="D5" s="20">
        <v>90.114999999999995</v>
      </c>
      <c r="F5" s="23" t="s">
        <v>60</v>
      </c>
      <c r="G5" s="30">
        <v>100</v>
      </c>
    </row>
    <row r="6" spans="2:8" x14ac:dyDescent="0.3">
      <c r="B6" s="24">
        <v>2005</v>
      </c>
      <c r="C6" s="20">
        <v>76.046000000000006</v>
      </c>
      <c r="D6" s="20">
        <v>90.337000000000003</v>
      </c>
      <c r="F6" s="23" t="s">
        <v>192</v>
      </c>
      <c r="G6" s="1">
        <v>2025</v>
      </c>
      <c r="H6" s="12">
        <f>VLOOKUP(G6,$B$3:$C$26,2,FALSE)</f>
        <v>116.733</v>
      </c>
    </row>
    <row r="7" spans="2:8" x14ac:dyDescent="0.3">
      <c r="B7" s="24">
        <v>2006</v>
      </c>
      <c r="C7" s="20">
        <v>79.233999999999995</v>
      </c>
      <c r="D7" s="20">
        <v>90.945999999999998</v>
      </c>
      <c r="F7" s="23" t="s">
        <v>191</v>
      </c>
      <c r="G7" s="21">
        <f>G5*ROUND(1000*H6/H4,0) / 1000</f>
        <v>135.5</v>
      </c>
    </row>
    <row r="8" spans="2:8" x14ac:dyDescent="0.3">
      <c r="B8" s="24">
        <v>2007</v>
      </c>
      <c r="C8" s="20">
        <v>81.129000000000005</v>
      </c>
      <c r="D8" s="20">
        <v>92.417000000000002</v>
      </c>
    </row>
    <row r="9" spans="2:8" x14ac:dyDescent="0.3">
      <c r="B9" s="24">
        <v>2008</v>
      </c>
      <c r="C9" s="20">
        <v>84.597999999999999</v>
      </c>
      <c r="D9" s="20">
        <v>90.668000000000006</v>
      </c>
    </row>
    <row r="10" spans="2:8" x14ac:dyDescent="0.3">
      <c r="B10" s="24">
        <v>2009</v>
      </c>
      <c r="C10" s="20">
        <v>85.281000000000006</v>
      </c>
      <c r="D10" s="20">
        <v>90.731999999999999</v>
      </c>
    </row>
    <row r="11" spans="2:8" x14ac:dyDescent="0.3">
      <c r="B11" s="24">
        <v>2010</v>
      </c>
      <c r="C11" s="20">
        <v>86.158000000000001</v>
      </c>
      <c r="D11" s="20">
        <v>89.542000000000002</v>
      </c>
    </row>
    <row r="12" spans="2:8" x14ac:dyDescent="0.3">
      <c r="B12" s="24">
        <v>2011</v>
      </c>
      <c r="C12" s="20">
        <v>88.974999999999994</v>
      </c>
      <c r="D12" s="20">
        <v>88.266999999999996</v>
      </c>
    </row>
    <row r="13" spans="2:8" x14ac:dyDescent="0.3">
      <c r="B13" s="24">
        <v>2012</v>
      </c>
      <c r="C13" s="20">
        <v>90.753</v>
      </c>
      <c r="D13" s="20">
        <v>85.698999999999998</v>
      </c>
    </row>
    <row r="14" spans="2:8" x14ac:dyDescent="0.3">
      <c r="B14" s="24">
        <v>2013</v>
      </c>
      <c r="C14" s="20">
        <v>93.188000000000002</v>
      </c>
      <c r="D14" s="20">
        <v>96.031999999999996</v>
      </c>
    </row>
    <row r="15" spans="2:8" x14ac:dyDescent="0.3">
      <c r="B15" s="24">
        <v>2014</v>
      </c>
      <c r="C15" s="20">
        <v>93.373000000000005</v>
      </c>
      <c r="D15" s="20">
        <v>97.271000000000001</v>
      </c>
    </row>
    <row r="16" spans="2:8" x14ac:dyDescent="0.3">
      <c r="B16" s="24">
        <v>2015</v>
      </c>
      <c r="C16" s="20">
        <v>92.141000000000005</v>
      </c>
      <c r="D16" s="20">
        <v>97.174999999999997</v>
      </c>
    </row>
    <row r="17" spans="2:4" x14ac:dyDescent="0.3">
      <c r="B17" s="24">
        <v>2016</v>
      </c>
      <c r="C17" s="20">
        <v>91.876000000000005</v>
      </c>
      <c r="D17" s="20">
        <v>96.828000000000003</v>
      </c>
    </row>
    <row r="18" spans="2:4" x14ac:dyDescent="0.3">
      <c r="B18" s="24">
        <v>2017</v>
      </c>
      <c r="C18" s="20">
        <v>94.608999999999995</v>
      </c>
      <c r="D18" s="20">
        <v>97.551000000000002</v>
      </c>
    </row>
    <row r="19" spans="2:4" x14ac:dyDescent="0.3">
      <c r="B19" s="24">
        <v>2018</v>
      </c>
      <c r="C19" s="20">
        <v>95.153000000000006</v>
      </c>
      <c r="D19" s="20">
        <v>97.847999999999999</v>
      </c>
    </row>
    <row r="20" spans="2:4" x14ac:dyDescent="0.3">
      <c r="B20" s="24">
        <v>2019</v>
      </c>
      <c r="C20" s="20">
        <v>96.084999999999994</v>
      </c>
      <c r="D20" s="20">
        <v>98.694000000000003</v>
      </c>
    </row>
    <row r="21" spans="2:4" x14ac:dyDescent="0.3">
      <c r="B21" s="24">
        <v>2020</v>
      </c>
      <c r="C21" s="20">
        <v>97.138999999999996</v>
      </c>
      <c r="D21" s="20">
        <v>99.149000000000001</v>
      </c>
    </row>
    <row r="22" spans="2:4" x14ac:dyDescent="0.3">
      <c r="B22" s="24">
        <v>2021</v>
      </c>
      <c r="C22" s="20">
        <v>97.582999999999998</v>
      </c>
      <c r="D22" s="20">
        <v>99.62</v>
      </c>
    </row>
    <row r="23" spans="2:4" x14ac:dyDescent="0.3">
      <c r="B23" s="24">
        <v>2022</v>
      </c>
      <c r="C23" s="20">
        <v>103.56699999999999</v>
      </c>
      <c r="D23" s="20">
        <v>100.5</v>
      </c>
    </row>
    <row r="24" spans="2:4" x14ac:dyDescent="0.3">
      <c r="B24" s="24">
        <v>2023</v>
      </c>
      <c r="C24" s="20">
        <v>109.66800000000001</v>
      </c>
      <c r="D24" s="20">
        <v>101.74299999999999</v>
      </c>
    </row>
    <row r="25" spans="2:4" x14ac:dyDescent="0.3">
      <c r="B25" s="24">
        <v>2024</v>
      </c>
      <c r="C25" s="20">
        <v>113.404</v>
      </c>
      <c r="D25" s="20">
        <v>103.94199999999999</v>
      </c>
    </row>
    <row r="26" spans="2:4" x14ac:dyDescent="0.3">
      <c r="B26" s="24">
        <v>2025</v>
      </c>
      <c r="C26" s="20">
        <v>116.733</v>
      </c>
      <c r="D26" s="20">
        <v>106.02800000000001</v>
      </c>
    </row>
  </sheetData>
  <sortState xmlns:xlrd2="http://schemas.microsoft.com/office/spreadsheetml/2017/richdata2" ref="F3:H26">
    <sortCondition ref="F3:F2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">
    <tabColor theme="0" tint="-0.499984740745262"/>
  </sheetPr>
  <dimension ref="B2:D211"/>
  <sheetViews>
    <sheetView tabSelected="1" topLeftCell="A82" zoomScaleNormal="100" workbookViewId="0">
      <selection activeCell="F89" sqref="F89"/>
    </sheetView>
  </sheetViews>
  <sheetFormatPr baseColWidth="10" defaultColWidth="11.5546875" defaultRowHeight="14.4" x14ac:dyDescent="0.3"/>
  <cols>
    <col min="1" max="1" width="11.5546875" style="17"/>
    <col min="2" max="2" width="18.88671875" style="17" bestFit="1" customWidth="1"/>
    <col min="3" max="3" width="24.6640625" style="17" bestFit="1" customWidth="1"/>
    <col min="4" max="4" width="26.44140625" style="17" bestFit="1" customWidth="1"/>
    <col min="5" max="16384" width="11.5546875" style="17"/>
  </cols>
  <sheetData>
    <row r="2" spans="2:4" x14ac:dyDescent="0.3">
      <c r="C2" s="41">
        <v>1</v>
      </c>
      <c r="D2" s="41">
        <v>2</v>
      </c>
    </row>
    <row r="3" spans="2:4" x14ac:dyDescent="0.3">
      <c r="B3" s="41" t="str">
        <f>IF(language=1,"En uso","In use")</f>
        <v>In use</v>
      </c>
      <c r="C3" s="41" t="str">
        <f>IF(language=1,"Español","Spanish")</f>
        <v>Spanish</v>
      </c>
      <c r="D3" s="41" t="str">
        <f>IF(language=1,"Inglés","English")</f>
        <v>English</v>
      </c>
    </row>
    <row r="4" spans="2:4" x14ac:dyDescent="0.3">
      <c r="B4" s="25" t="str" cm="1">
        <f t="array" ref="B4">INDEX(C4:D4,1,language)</f>
        <v>Cost</v>
      </c>
      <c r="C4" s="17" t="s">
        <v>64</v>
      </c>
      <c r="D4" s="17" t="s">
        <v>65</v>
      </c>
    </row>
    <row r="5" spans="2:4" x14ac:dyDescent="0.3">
      <c r="B5" s="25" t="str" cm="1">
        <f t="array" ref="B5">INDEX(C5:D5,1,language)</f>
        <v>Effectiveness</v>
      </c>
      <c r="C5" s="17" t="s">
        <v>66</v>
      </c>
      <c r="D5" s="17" t="s">
        <v>67</v>
      </c>
    </row>
    <row r="6" spans="2:4" x14ac:dyDescent="0.3">
      <c r="B6" s="25" t="str" cm="1">
        <f t="array" ref="B6">INDEX(C6:D6,1,language)</f>
        <v>LY</v>
      </c>
      <c r="C6" s="17" t="s">
        <v>82</v>
      </c>
      <c r="D6" s="17" t="s">
        <v>17</v>
      </c>
    </row>
    <row r="7" spans="2:4" x14ac:dyDescent="0.3">
      <c r="B7" s="25" t="str" cm="1">
        <f t="array" ref="B7">INDEX(C7:D7,1,language)</f>
        <v>QALY</v>
      </c>
      <c r="C7" s="17" t="s">
        <v>83</v>
      </c>
      <c r="D7" s="17" t="s">
        <v>84</v>
      </c>
    </row>
    <row r="8" spans="2:4" x14ac:dyDescent="0.3">
      <c r="B8" s="25" t="str" cm="1">
        <f t="array" ref="B8">INDEX(C8:D8,1,language)</f>
        <v>Willingness to pay</v>
      </c>
      <c r="C8" s="17" t="s">
        <v>68</v>
      </c>
      <c r="D8" s="17" t="s">
        <v>69</v>
      </c>
    </row>
    <row r="9" spans="2:4" x14ac:dyDescent="0.3">
      <c r="B9" s="25" t="str" cm="1">
        <f t="array" ref="B9">INDEX(C9:D9,1,language)</f>
        <v>EVPI (€)</v>
      </c>
      <c r="C9" s="17" t="s">
        <v>70</v>
      </c>
      <c r="D9" s="17" t="s">
        <v>71</v>
      </c>
    </row>
    <row r="10" spans="2:4" x14ac:dyDescent="0.3">
      <c r="B10" s="25" t="str" cm="1">
        <f t="array" ref="B10">INDEX(C10:D10,1,language)</f>
        <v>Incremental net cost</v>
      </c>
      <c r="C10" s="17" t="s">
        <v>72</v>
      </c>
      <c r="D10" s="17" t="s">
        <v>73</v>
      </c>
    </row>
    <row r="11" spans="2:4" x14ac:dyDescent="0.3">
      <c r="B11" s="25" t="str" cm="1">
        <f t="array" ref="B11">INDEX(C11:D11,1,language)</f>
        <v>Year</v>
      </c>
      <c r="C11" s="17" t="s">
        <v>37</v>
      </c>
      <c r="D11" s="17" t="s">
        <v>24</v>
      </c>
    </row>
    <row r="12" spans="2:4" x14ac:dyDescent="0.3">
      <c r="B12" s="25" t="str" cm="1">
        <f t="array" ref="B12">INDEX(C12:D12,1,language)</f>
        <v>Years</v>
      </c>
      <c r="C12" s="17" t="s">
        <v>162</v>
      </c>
      <c r="D12" s="17" t="s">
        <v>23</v>
      </c>
    </row>
    <row r="13" spans="2:4" x14ac:dyDescent="0.3">
      <c r="B13" s="25" t="str" cm="1">
        <f t="array" ref="B13">INDEX(C13:D13,1,language)</f>
        <v>ICER</v>
      </c>
      <c r="C13" s="17" t="s">
        <v>12</v>
      </c>
      <c r="D13" s="17" t="s">
        <v>57</v>
      </c>
    </row>
    <row r="14" spans="2:4" x14ac:dyDescent="0.3">
      <c r="B14" s="25" t="str" cm="1">
        <f t="array" ref="B14">INDEX(C14:D14,1,language)</f>
        <v>Time horizon</v>
      </c>
      <c r="C14" s="17" t="s">
        <v>74</v>
      </c>
      <c r="D14" s="17" t="s">
        <v>75</v>
      </c>
    </row>
    <row r="15" spans="2:4" x14ac:dyDescent="0.3">
      <c r="B15" s="25" t="str" cm="1">
        <f t="array" ref="B15">INDEX(C15:D15,1,language)</f>
        <v>EVPPI (€)</v>
      </c>
      <c r="C15" s="17" t="s">
        <v>76</v>
      </c>
      <c r="D15" s="17" t="s">
        <v>77</v>
      </c>
    </row>
    <row r="16" spans="2:4" x14ac:dyDescent="0.3">
      <c r="B16" s="25" t="str" cm="1">
        <f t="array" ref="B16">INDEX(C16:D16,1,language)</f>
        <v>Probability</v>
      </c>
      <c r="C16" s="17" t="s">
        <v>78</v>
      </c>
      <c r="D16" s="17" t="s">
        <v>79</v>
      </c>
    </row>
    <row r="17" spans="2:4" x14ac:dyDescent="0.3">
      <c r="B17" s="25" t="str" cm="1">
        <f t="array" ref="B17">INDEX(C17:D17,1,language)</f>
        <v>Probabilities</v>
      </c>
      <c r="C17" s="17" t="s">
        <v>155</v>
      </c>
      <c r="D17" s="17" t="s">
        <v>154</v>
      </c>
    </row>
    <row r="18" spans="2:4" x14ac:dyDescent="0.3">
      <c r="B18" s="25" t="str" cm="1">
        <f t="array" ref="B18">INDEX(C18:D18,1,language)</f>
        <v>Confidence ellipse</v>
      </c>
      <c r="C18" s="17" t="s">
        <v>8</v>
      </c>
      <c r="D18" s="17" t="s">
        <v>80</v>
      </c>
    </row>
    <row r="19" spans="2:4" x14ac:dyDescent="0.3">
      <c r="B19" s="25" t="str" cm="1">
        <f t="array" ref="B19">INDEX(C19:D19,1,language)</f>
        <v>PSA</v>
      </c>
      <c r="C19" s="17" t="s">
        <v>150</v>
      </c>
      <c r="D19" s="17" t="s">
        <v>48</v>
      </c>
    </row>
    <row r="20" spans="2:4" x14ac:dyDescent="0.3">
      <c r="B20" s="25" t="str" cm="1">
        <f t="array" ref="B20">INDEX(C20:D20,1,language)</f>
        <v>Base case</v>
      </c>
      <c r="C20" s="17" t="s">
        <v>81</v>
      </c>
      <c r="D20" s="17" t="s">
        <v>58</v>
      </c>
    </row>
    <row r="21" spans="2:4" x14ac:dyDescent="0.3">
      <c r="B21" s="25" t="str" cm="1">
        <f t="array" ref="B21">INDEX(C21:D21,1,language)</f>
        <v>Parameter</v>
      </c>
      <c r="C21" s="17" t="s">
        <v>7</v>
      </c>
      <c r="D21" s="17" t="s">
        <v>59</v>
      </c>
    </row>
    <row r="22" spans="2:4" x14ac:dyDescent="0.3">
      <c r="B22" s="25" t="str" cm="1">
        <f t="array" ref="B22">INDEX(C22:D22,1,language)</f>
        <v>Value</v>
      </c>
      <c r="C22" s="17" t="s">
        <v>117</v>
      </c>
      <c r="D22" s="17" t="s">
        <v>60</v>
      </c>
    </row>
    <row r="23" spans="2:4" x14ac:dyDescent="0.3">
      <c r="B23" s="25" t="str" cm="1">
        <f t="array" ref="B23">INDEX(C23:D23,1,language)</f>
        <v>Group</v>
      </c>
      <c r="C23" s="17" t="s">
        <v>85</v>
      </c>
      <c r="D23" s="17" t="s">
        <v>86</v>
      </c>
    </row>
    <row r="24" spans="2:4" x14ac:dyDescent="0.3">
      <c r="B24" s="25" t="str" cm="1">
        <f t="array" ref="B24">INDEX(C24:D24,1,language)</f>
        <v>Threshold</v>
      </c>
      <c r="C24" s="17" t="s">
        <v>87</v>
      </c>
      <c r="D24" s="17" t="s">
        <v>88</v>
      </c>
    </row>
    <row r="25" spans="2:4" x14ac:dyDescent="0.3">
      <c r="B25" s="25" t="str" cm="1">
        <f t="array" ref="B25">INDEX(C25:D25,1,language)</f>
        <v>Reference threshold</v>
      </c>
      <c r="C25" s="17" t="s">
        <v>122</v>
      </c>
      <c r="D25" s="17" t="s">
        <v>123</v>
      </c>
    </row>
    <row r="26" spans="2:4" x14ac:dyDescent="0.3">
      <c r="B26" s="25" t="str" cm="1">
        <f t="array" ref="B26">INDEX(C26:D26,1,language)</f>
        <v>NB</v>
      </c>
      <c r="C26" s="17" t="s">
        <v>89</v>
      </c>
      <c r="D26" s="17" t="s">
        <v>90</v>
      </c>
    </row>
    <row r="27" spans="2:4" x14ac:dyDescent="0.3">
      <c r="B27" s="25" t="str" cm="1">
        <f t="array" ref="B27">INDEX(C27:D27,1,language)</f>
        <v>Deaths</v>
      </c>
      <c r="C27" s="17" t="s">
        <v>91</v>
      </c>
      <c r="D27" s="17" t="s">
        <v>44</v>
      </c>
    </row>
    <row r="28" spans="2:4" x14ac:dyDescent="0.3">
      <c r="B28" s="25" t="str" cm="1">
        <f t="array" ref="B28">INDEX(C28:D28,1,language)</f>
        <v>Lost</v>
      </c>
      <c r="C28" s="17" t="s">
        <v>92</v>
      </c>
      <c r="D28" s="17" t="s">
        <v>45</v>
      </c>
    </row>
    <row r="29" spans="2:4" x14ac:dyDescent="0.3">
      <c r="B29" s="25" t="str" cm="1">
        <f t="array" ref="B29">INDEX(C29:D29,1,language)</f>
        <v>Pooled</v>
      </c>
      <c r="C29" s="17" t="s">
        <v>93</v>
      </c>
      <c r="D29" s="17" t="s">
        <v>46</v>
      </c>
    </row>
    <row r="30" spans="2:4" x14ac:dyDescent="0.3">
      <c r="B30" s="25" t="str" cm="1">
        <f t="array" ref="B30">INDEX(C30:D30,1,language)</f>
        <v>Probabilistic</v>
      </c>
      <c r="C30" s="17" t="s">
        <v>94</v>
      </c>
      <c r="D30" s="17" t="s">
        <v>30</v>
      </c>
    </row>
    <row r="31" spans="2:4" x14ac:dyDescent="0.3">
      <c r="B31" s="25" t="str" cm="1">
        <f t="array" ref="B31">INDEX(C31:D31,1,language)</f>
        <v>Deterministic</v>
      </c>
      <c r="C31" s="17" t="s">
        <v>95</v>
      </c>
      <c r="D31" s="17" t="s">
        <v>29</v>
      </c>
    </row>
    <row r="32" spans="2:4" x14ac:dyDescent="0.3">
      <c r="B32" s="25" t="str" cm="1">
        <f t="array" ref="B32">INDEX(C32:D32,1,language)</f>
        <v>Standard error</v>
      </c>
      <c r="C32" s="17" t="s">
        <v>96</v>
      </c>
      <c r="D32" s="17" t="s">
        <v>34</v>
      </c>
    </row>
    <row r="33" spans="2:4" x14ac:dyDescent="0.3">
      <c r="B33" s="25" t="str" cm="1">
        <f t="array" ref="B33">INDEX(C33:D33,1,language)</f>
        <v>'Live' value</v>
      </c>
      <c r="C33" s="42" t="s">
        <v>97</v>
      </c>
      <c r="D33" s="42" t="str">
        <f>"'Live' value"</f>
        <v>'Live' value</v>
      </c>
    </row>
    <row r="34" spans="2:4" x14ac:dyDescent="0.3">
      <c r="B34" s="25" t="str" cm="1">
        <f t="array" ref="B34">INDEX(C34:D34,1,language)</f>
        <v>Name</v>
      </c>
      <c r="C34" s="17" t="s">
        <v>98</v>
      </c>
      <c r="D34" s="17" t="s">
        <v>14</v>
      </c>
    </row>
    <row r="35" spans="2:4" x14ac:dyDescent="0.3">
      <c r="B35" s="25" t="str" cm="1">
        <f t="array" ref="B35">INDEX(C35:D35,1,language)</f>
        <v>Distribution</v>
      </c>
      <c r="C35" s="17" t="s">
        <v>99</v>
      </c>
      <c r="D35" s="17" t="s">
        <v>31</v>
      </c>
    </row>
    <row r="36" spans="2:4" x14ac:dyDescent="0.3">
      <c r="B36" s="25" t="str" cm="1">
        <f t="array" ref="B36">INDEX(C36:D36,1,language)</f>
        <v>Description/Source</v>
      </c>
      <c r="C36" s="17" t="s">
        <v>100</v>
      </c>
      <c r="D36" s="17" t="s">
        <v>15</v>
      </c>
    </row>
    <row r="37" spans="2:4" x14ac:dyDescent="0.3">
      <c r="B37" s="25" t="str" cm="1">
        <f t="array" ref="B37">INDEX(C37:D37,1,language)</f>
        <v>General</v>
      </c>
      <c r="C37" s="17" t="s">
        <v>101</v>
      </c>
      <c r="D37" s="17" t="s">
        <v>102</v>
      </c>
    </row>
    <row r="38" spans="2:4" x14ac:dyDescent="0.3">
      <c r="B38" s="25" t="str" cm="1">
        <f t="array" ref="B38">INDEX(C38:D38,1,language)</f>
        <v>Unit costs</v>
      </c>
      <c r="C38" s="17" t="s">
        <v>104</v>
      </c>
      <c r="D38" s="17" t="s">
        <v>105</v>
      </c>
    </row>
    <row r="39" spans="2:4" x14ac:dyDescent="0.3">
      <c r="B39" s="25" t="str" cm="1">
        <f t="array" ref="B39">INDEX(C39:D39,1,language)</f>
        <v>Resource use</v>
      </c>
      <c r="C39" s="17" t="s">
        <v>106</v>
      </c>
      <c r="D39" s="17" t="s">
        <v>107</v>
      </c>
    </row>
    <row r="40" spans="2:4" x14ac:dyDescent="0.3">
      <c r="B40" s="25" t="str" cm="1">
        <f t="array" ref="B40">INDEX(C40:D40,1,language)</f>
        <v>Life expectancy</v>
      </c>
      <c r="C40" s="17" t="s">
        <v>108</v>
      </c>
      <c r="D40" s="17" t="s">
        <v>109</v>
      </c>
    </row>
    <row r="41" spans="2:4" x14ac:dyDescent="0.3">
      <c r="B41" s="25" t="str" cm="1">
        <f t="array" ref="B41">INDEX(C41:D41,1,language)</f>
        <v>Productivity losses</v>
      </c>
      <c r="C41" s="17" t="s">
        <v>110</v>
      </c>
      <c r="D41" s="17" t="s">
        <v>111</v>
      </c>
    </row>
    <row r="42" spans="2:4" x14ac:dyDescent="0.3">
      <c r="B42" s="25" t="str" cm="1">
        <f t="array" ref="B42">INDEX(C42:D42,1,language)</f>
        <v>Dependency</v>
      </c>
      <c r="C42" s="17" t="s">
        <v>112</v>
      </c>
      <c r="D42" s="17" t="s">
        <v>41</v>
      </c>
    </row>
    <row r="43" spans="2:4" x14ac:dyDescent="0.3">
      <c r="B43" s="25" t="str" cm="1">
        <f t="array" ref="B43">INDEX(C43:D43,1,language)</f>
        <v>Utilities</v>
      </c>
      <c r="C43" s="17" t="s">
        <v>62</v>
      </c>
      <c r="D43" s="17" t="s">
        <v>103</v>
      </c>
    </row>
    <row r="44" spans="2:4" x14ac:dyDescent="0.3">
      <c r="B44" s="25" t="str" cm="1">
        <f t="array" ref="B44">INDEX(C44:D44,1,language)</f>
        <v>Cost of hospitalization</v>
      </c>
      <c r="C44" s="17" t="s">
        <v>156</v>
      </c>
      <c r="D44" s="17" t="s">
        <v>158</v>
      </c>
    </row>
    <row r="45" spans="2:4" x14ac:dyDescent="0.3">
      <c r="B45" s="25" t="str" cm="1">
        <f t="array" ref="B45">INDEX(C45:D45,1,language)</f>
        <v>Cost of hospitalization (cardiomyopathy)</v>
      </c>
      <c r="C45" s="17" t="s">
        <v>157</v>
      </c>
      <c r="D45" s="17" t="s">
        <v>159</v>
      </c>
    </row>
    <row r="46" spans="2:4" x14ac:dyDescent="0.3">
      <c r="B46" s="25" t="str" cm="1">
        <f t="array" ref="B46">INDEX(C46:D46,1,language)</f>
        <v>Calculations for follow-up</v>
      </c>
      <c r="C46" s="17" t="s">
        <v>113</v>
      </c>
      <c r="D46" s="17" t="s">
        <v>20</v>
      </c>
    </row>
    <row r="47" spans="2:4" x14ac:dyDescent="0.3">
      <c r="B47" s="25" t="str" cm="1">
        <f t="array" ref="B47">INDEX(C47:D47,1,language)</f>
        <v>Weighted avg</v>
      </c>
      <c r="C47" s="17" t="s">
        <v>114</v>
      </c>
      <c r="D47" s="17" t="s">
        <v>19</v>
      </c>
    </row>
    <row r="48" spans="2:4" x14ac:dyDescent="0.3">
      <c r="B48" s="25" t="str" cm="1">
        <f t="array" ref="B48">INDEX(C48:D48,1,language)</f>
        <v>Drugs</v>
      </c>
      <c r="C48" s="17" t="s">
        <v>115</v>
      </c>
      <c r="D48" s="17" t="s">
        <v>25</v>
      </c>
    </row>
    <row r="49" spans="2:4" x14ac:dyDescent="0.3">
      <c r="B49" s="25" t="str" cm="1">
        <f t="array" ref="B49">INDEX(C49:D49,1,language)</f>
        <v>Discount</v>
      </c>
      <c r="C49" s="17" t="s">
        <v>182</v>
      </c>
      <c r="D49" s="17" t="s">
        <v>183</v>
      </c>
    </row>
    <row r="50" spans="2:4" x14ac:dyDescent="0.3">
      <c r="B50" s="25" t="str" cm="1">
        <f t="array" ref="B50">INDEX(C50:D50,1,language)</f>
        <v>General population</v>
      </c>
      <c r="C50" s="17" t="s">
        <v>116</v>
      </c>
      <c r="D50" s="17" t="s">
        <v>55</v>
      </c>
    </row>
    <row r="51" spans="2:4" x14ac:dyDescent="0.3">
      <c r="B51" s="25" t="str" cm="1">
        <f t="array" ref="B51">INDEX(C51:D51,1,language)</f>
        <v>Results</v>
      </c>
      <c r="C51" s="17" t="s">
        <v>118</v>
      </c>
      <c r="D51" s="17" t="s">
        <v>56</v>
      </c>
    </row>
    <row r="52" spans="2:4" x14ac:dyDescent="0.3">
      <c r="B52" s="25" t="str" cm="1">
        <f t="array" ref="B52">INDEX(C52:D52,1,language)</f>
        <v>Original order</v>
      </c>
      <c r="C52" s="17" t="s">
        <v>6</v>
      </c>
      <c r="D52" s="17" t="s">
        <v>119</v>
      </c>
    </row>
    <row r="53" spans="2:4" x14ac:dyDescent="0.3">
      <c r="B53" s="25" t="str" cm="1">
        <f t="array" ref="B53">INDEX(C53:D53,1,language)</f>
        <v>Average</v>
      </c>
      <c r="C53" s="17" t="s">
        <v>120</v>
      </c>
      <c r="D53" s="17" t="s">
        <v>121</v>
      </c>
    </row>
    <row r="54" spans="2:4" x14ac:dyDescent="0.3">
      <c r="B54" s="25" t="str" cm="1">
        <f t="array" ref="B54">INDEX(C54:D54,1,language)</f>
        <v>Harmonic mean</v>
      </c>
      <c r="C54" s="17" t="s">
        <v>168</v>
      </c>
      <c r="D54" s="17" t="s">
        <v>169</v>
      </c>
    </row>
    <row r="55" spans="2:4" x14ac:dyDescent="0.3">
      <c r="B55" s="25" t="str" cm="1">
        <f t="array" ref="B55">INDEX(C55:D55,1,language)</f>
        <v>Acceptability curve</v>
      </c>
      <c r="C55" s="17" t="s">
        <v>124</v>
      </c>
      <c r="D55" s="17" t="s">
        <v>125</v>
      </c>
    </row>
    <row r="56" spans="2:4" x14ac:dyDescent="0.3">
      <c r="B56" s="25" t="str" cm="1">
        <f t="array" ref="B56">INDEX(C56:D56,1,language)</f>
        <v>Unit costs for tests</v>
      </c>
      <c r="C56" s="17" t="s">
        <v>126</v>
      </c>
      <c r="D56" s="17" t="s">
        <v>35</v>
      </c>
    </row>
    <row r="57" spans="2:4" x14ac:dyDescent="0.3">
      <c r="B57" s="25" t="str" cm="1">
        <f t="array" ref="B57">INDEX(C57:D57,1,language)</f>
        <v>Trade name</v>
      </c>
      <c r="C57" s="17" t="s">
        <v>127</v>
      </c>
      <c r="D57" s="17" t="s">
        <v>128</v>
      </c>
    </row>
    <row r="58" spans="2:4" x14ac:dyDescent="0.3">
      <c r="B58" s="25" t="str" cm="1">
        <f t="array" ref="B58">INDEX(C58:D58,1,language)</f>
        <v>Package cost</v>
      </c>
      <c r="C58" s="17" t="s">
        <v>129</v>
      </c>
      <c r="D58" s="17" t="s">
        <v>27</v>
      </c>
    </row>
    <row r="59" spans="2:4" x14ac:dyDescent="0.3">
      <c r="B59" s="25" t="str" cm="1">
        <f t="array" ref="B59">INDEX(C59:D59,1,language)</f>
        <v>Units/package</v>
      </c>
      <c r="C59" s="17" t="s">
        <v>130</v>
      </c>
      <c r="D59" s="17" t="s">
        <v>28</v>
      </c>
    </row>
    <row r="60" spans="2:4" x14ac:dyDescent="0.3">
      <c r="B60" s="25" t="str" cm="1">
        <f t="array" ref="B60">INDEX(C60:D60,1,language)</f>
        <v>mg/unit</v>
      </c>
      <c r="C60" s="17" t="s">
        <v>131</v>
      </c>
      <c r="D60" s="17" t="s">
        <v>26</v>
      </c>
    </row>
    <row r="61" spans="2:4" x14ac:dyDescent="0.3">
      <c r="B61" s="25" t="str" cm="1">
        <f t="array" ref="B61">INDEX(C61:D61,1,language)</f>
        <v>cost/mg</v>
      </c>
      <c r="C61" s="17" t="s">
        <v>133</v>
      </c>
      <c r="D61" s="17" t="s">
        <v>132</v>
      </c>
    </row>
    <row r="62" spans="2:4" x14ac:dyDescent="0.3">
      <c r="B62" s="25" t="str" cm="1">
        <f t="array" ref="B62">INDEX(C62:D62,1,language)</f>
        <v>TOTAL (adjusted to time horizon)</v>
      </c>
      <c r="C62" s="17" t="s">
        <v>134</v>
      </c>
      <c r="D62" s="17" t="s">
        <v>42</v>
      </c>
    </row>
    <row r="63" spans="2:4" x14ac:dyDescent="0.3">
      <c r="B63" s="25" t="str" cm="1">
        <f t="array" ref="B63">INDEX(C63:D63,1,language)</f>
        <v>Lower bound</v>
      </c>
      <c r="C63" s="17" t="s">
        <v>135</v>
      </c>
      <c r="D63" s="17" t="s">
        <v>36</v>
      </c>
    </row>
    <row r="64" spans="2:4" x14ac:dyDescent="0.3">
      <c r="B64" s="25" t="str" cm="1">
        <f t="array" ref="B64">INDEX(C64:D64,1,language)</f>
        <v>Upper bound</v>
      </c>
      <c r="C64" s="17" t="s">
        <v>136</v>
      </c>
      <c r="D64" s="17" t="s">
        <v>32</v>
      </c>
    </row>
    <row r="65" spans="2:4" x14ac:dyDescent="0.3">
      <c r="B65" s="25" t="str" cm="1">
        <f t="array" ref="B65">INDEX(C65:D65,1,language)</f>
        <v>Show probabilities?</v>
      </c>
      <c r="C65" s="17" t="s">
        <v>137</v>
      </c>
      <c r="D65" s="17" t="s">
        <v>39</v>
      </c>
    </row>
    <row r="66" spans="2:4" x14ac:dyDescent="0.3">
      <c r="B66" s="25" t="str" cm="1">
        <f t="array" ref="B66">INDEX(C66:D66,1,language)</f>
        <v>Yes</v>
      </c>
      <c r="C66" s="17" t="s">
        <v>138</v>
      </c>
      <c r="D66" s="17" t="s">
        <v>40</v>
      </c>
    </row>
    <row r="67" spans="2:4" x14ac:dyDescent="0.3">
      <c r="B67" s="25" t="str" cm="1">
        <f t="array" ref="B67">INDEX(C67:D67,1,language)</f>
        <v>No</v>
      </c>
      <c r="C67" s="17" t="s">
        <v>38</v>
      </c>
      <c r="D67" s="17" t="s">
        <v>38</v>
      </c>
    </row>
    <row r="68" spans="2:4" x14ac:dyDescent="0.3">
      <c r="B68" s="25" t="str" cm="1">
        <f t="array" ref="B68">INDEX(C68:D68,1,language)</f>
        <v>Age</v>
      </c>
      <c r="C68" s="17" t="s">
        <v>139</v>
      </c>
      <c r="D68" s="17" t="s">
        <v>43</v>
      </c>
    </row>
    <row r="69" spans="2:4" x14ac:dyDescent="0.3">
      <c r="B69" s="25" t="str" cm="1">
        <f t="array" ref="B69">INDEX(C69:D69,1,language)</f>
        <v>Survival</v>
      </c>
      <c r="C69" s="17" t="s">
        <v>140</v>
      </c>
      <c r="D69" s="17" t="s">
        <v>47</v>
      </c>
    </row>
    <row r="70" spans="2:4" x14ac:dyDescent="0.3">
      <c r="B70" s="25" t="str" cm="1">
        <f t="array" ref="B70">INDEX(C70:D70,1,language)</f>
        <v>Mortality probability</v>
      </c>
      <c r="C70" s="17" t="s">
        <v>172</v>
      </c>
      <c r="D70" s="17" t="s">
        <v>173</v>
      </c>
    </row>
    <row r="71" spans="2:4" x14ac:dyDescent="0.3">
      <c r="B71" s="25" t="str" cm="1">
        <f t="array" ref="B71">INDEX(C71:D71,1,language)</f>
        <v>Natural history</v>
      </c>
      <c r="C71" s="17" t="s">
        <v>174</v>
      </c>
      <c r="D71" s="17" t="s">
        <v>175</v>
      </c>
    </row>
    <row r="72" spans="2:4" x14ac:dyDescent="0.3">
      <c r="B72" s="25" t="str" cm="1">
        <f t="array" ref="B72">INDEX(C72:D72,1,language)</f>
        <v>MC simulations</v>
      </c>
      <c r="C72" s="17" t="s">
        <v>160</v>
      </c>
      <c r="D72" s="17" t="s">
        <v>161</v>
      </c>
    </row>
    <row r="73" spans="2:4" x14ac:dyDescent="0.3">
      <c r="B73" s="25" t="str" cm="1">
        <f t="array" ref="B73">INDEX(C73:D73,1,language)</f>
        <v>BI</v>
      </c>
      <c r="C73" s="17" t="s">
        <v>163</v>
      </c>
      <c r="D73" s="17" t="s">
        <v>164</v>
      </c>
    </row>
    <row r="74" spans="2:4" x14ac:dyDescent="0.3">
      <c r="B74" s="25" t="str" cm="1">
        <f t="array" ref="B74">INDEX(C74:D74,1,language)</f>
        <v>Population</v>
      </c>
      <c r="C74" s="17" t="s">
        <v>165</v>
      </c>
      <c r="D74" s="17" t="s">
        <v>166</v>
      </c>
    </row>
    <row r="75" spans="2:4" x14ac:dyDescent="0.3">
      <c r="B75" s="25" t="str" cm="1">
        <f t="array" ref="B75">INDEX(C75:D75,1,language)</f>
        <v>Individual</v>
      </c>
      <c r="C75" s="17" t="s">
        <v>167</v>
      </c>
      <c r="D75" s="17" t="s">
        <v>167</v>
      </c>
    </row>
    <row r="76" spans="2:4" x14ac:dyDescent="0.3">
      <c r="B76" s="25" t="str" cm="1">
        <f t="array" ref="B76">INDEX(C76:D76,1,language)</f>
        <v>Transformed</v>
      </c>
      <c r="C76" s="17" t="s">
        <v>170</v>
      </c>
      <c r="D76" s="17" t="s">
        <v>171</v>
      </c>
    </row>
    <row r="77" spans="2:4" x14ac:dyDescent="0.3">
      <c r="B77" s="25" t="str" cm="1">
        <f t="array" ref="B77">INDEX(C77:D77,1,language)</f>
        <v>Population size</v>
      </c>
      <c r="C77" s="17" t="s">
        <v>184</v>
      </c>
      <c r="D77" s="17" t="s">
        <v>185</v>
      </c>
    </row>
    <row r="78" spans="2:4" x14ac:dyDescent="0.3">
      <c r="B78" s="25"/>
    </row>
    <row r="79" spans="2:4" x14ac:dyDescent="0.3">
      <c r="B79" s="25" t="str" cm="1">
        <f t="array" ref="B79">INDEX(C79:D79,1,language)</f>
        <v>Avg cost</v>
      </c>
      <c r="C79" s="17" t="s">
        <v>141</v>
      </c>
      <c r="D79" s="17" t="s">
        <v>18</v>
      </c>
    </row>
    <row r="80" spans="2:4" x14ac:dyDescent="0.3">
      <c r="B80" s="25" t="str" cm="1">
        <f t="array" ref="B80">INDEX(C80:D80,1,language)</f>
        <v>Updated € 2014</v>
      </c>
      <c r="C80" s="17" t="s">
        <v>152</v>
      </c>
      <c r="D80" s="17" t="s">
        <v>153</v>
      </c>
    </row>
    <row r="81" spans="2:4" x14ac:dyDescent="0.3">
      <c r="B81" s="25" t="str" cm="1">
        <f t="array" ref="B81">INDEX(C81:D81,1,language)</f>
        <v>Cases</v>
      </c>
      <c r="C81" s="17" t="s">
        <v>142</v>
      </c>
      <c r="D81" s="17" t="s">
        <v>143</v>
      </c>
    </row>
    <row r="82" spans="2:4" x14ac:dyDescent="0.3">
      <c r="B82" s="25" t="str" cm="1">
        <f t="array" ref="B82">INDEX(C82:D82,1,language)</f>
        <v>Detected</v>
      </c>
      <c r="C82" s="17" t="s">
        <v>146</v>
      </c>
      <c r="D82" s="17" t="s">
        <v>145</v>
      </c>
    </row>
    <row r="83" spans="2:4" x14ac:dyDescent="0.3">
      <c r="B83" s="25" t="str" cm="1">
        <f t="array" ref="B83">INDEX(C83:D83,1,language)</f>
        <v>Undetected</v>
      </c>
      <c r="C83" s="17" t="s">
        <v>147</v>
      </c>
      <c r="D83" s="17" t="s">
        <v>148</v>
      </c>
    </row>
    <row r="84" spans="2:4" x14ac:dyDescent="0.3">
      <c r="B84" s="25" t="str" cm="1">
        <f t="array" ref="B84">INDEX(C84:D84,1,language)</f>
        <v>Sudden death</v>
      </c>
      <c r="C84" s="17" t="s">
        <v>144</v>
      </c>
      <c r="D84" s="17" t="s">
        <v>149</v>
      </c>
    </row>
    <row r="85" spans="2:4" x14ac:dyDescent="0.3">
      <c r="B85" s="25" t="str" cm="1">
        <f t="array" ref="B85">INDEX(C85:D85,1,language)</f>
        <v>Birth prevalence</v>
      </c>
      <c r="C85" s="17" t="s">
        <v>63</v>
      </c>
      <c r="D85" s="17" t="s">
        <v>151</v>
      </c>
    </row>
    <row r="86" spans="2:4" x14ac:dyDescent="0.3">
      <c r="B86" s="25" t="str" cm="1">
        <f t="array" ref="B86">INDEX(C86:D86,1,language)</f>
        <v>Grouping</v>
      </c>
      <c r="C86" s="17" t="s">
        <v>176</v>
      </c>
      <c r="D86" s="17" t="s">
        <v>177</v>
      </c>
    </row>
    <row r="87" spans="2:4" x14ac:dyDescent="0.3">
      <c r="B87" s="25" t="str" cm="1">
        <f t="array" ref="B87">INDEX(C87:D87,1,language)</f>
        <v>Uncertainty</v>
      </c>
      <c r="C87" s="17" t="s">
        <v>178</v>
      </c>
      <c r="D87" s="17" t="s">
        <v>179</v>
      </c>
    </row>
    <row r="88" spans="2:4" x14ac:dyDescent="0.3">
      <c r="B88" s="25" t="str" cm="1">
        <f t="array" ref="B88">INDEX(C88:D88,1,language)</f>
        <v>Dominant</v>
      </c>
      <c r="C88" s="17" t="s">
        <v>236</v>
      </c>
      <c r="D88" s="17" t="s">
        <v>238</v>
      </c>
    </row>
    <row r="89" spans="2:4" x14ac:dyDescent="0.3">
      <c r="B89" s="25" t="str" cm="1">
        <f t="array" ref="B89">INDEX(C89:D89,1,language)</f>
        <v>Domined</v>
      </c>
      <c r="C89" s="17" t="s">
        <v>237</v>
      </c>
      <c r="D89" s="17" t="s">
        <v>239</v>
      </c>
    </row>
    <row r="90" spans="2:4" x14ac:dyDescent="0.3">
      <c r="B90" s="25"/>
    </row>
    <row r="91" spans="2:4" x14ac:dyDescent="0.3">
      <c r="B91" s="25"/>
    </row>
    <row r="92" spans="2:4" x14ac:dyDescent="0.3">
      <c r="B92" s="25"/>
    </row>
    <row r="93" spans="2:4" x14ac:dyDescent="0.3">
      <c r="B93" s="25"/>
    </row>
    <row r="94" spans="2:4" x14ac:dyDescent="0.3">
      <c r="B94" s="25"/>
    </row>
    <row r="95" spans="2:4" x14ac:dyDescent="0.3">
      <c r="B95" s="25"/>
    </row>
    <row r="96" spans="2:4" x14ac:dyDescent="0.3">
      <c r="B96" s="25"/>
    </row>
    <row r="97" spans="2:2" x14ac:dyDescent="0.3">
      <c r="B97" s="25"/>
    </row>
    <row r="98" spans="2:2" x14ac:dyDescent="0.3">
      <c r="B98" s="25"/>
    </row>
    <row r="99" spans="2:2" x14ac:dyDescent="0.3">
      <c r="B99" s="25"/>
    </row>
    <row r="100" spans="2:2" x14ac:dyDescent="0.3">
      <c r="B100" s="25"/>
    </row>
    <row r="101" spans="2:2" x14ac:dyDescent="0.3">
      <c r="B101" s="25"/>
    </row>
    <row r="102" spans="2:2" x14ac:dyDescent="0.3">
      <c r="B102" s="25"/>
    </row>
    <row r="103" spans="2:2" x14ac:dyDescent="0.3">
      <c r="B103" s="25"/>
    </row>
    <row r="104" spans="2:2" x14ac:dyDescent="0.3">
      <c r="B104" s="25"/>
    </row>
    <row r="105" spans="2:2" x14ac:dyDescent="0.3">
      <c r="B105" s="25"/>
    </row>
    <row r="106" spans="2:2" x14ac:dyDescent="0.3">
      <c r="B106" s="25"/>
    </row>
    <row r="107" spans="2:2" x14ac:dyDescent="0.3">
      <c r="B107" s="25"/>
    </row>
    <row r="108" spans="2:2" x14ac:dyDescent="0.3">
      <c r="B108" s="25"/>
    </row>
    <row r="109" spans="2:2" x14ac:dyDescent="0.3">
      <c r="B109" s="25"/>
    </row>
    <row r="110" spans="2:2" x14ac:dyDescent="0.3">
      <c r="B110" s="25"/>
    </row>
    <row r="111" spans="2:2" x14ac:dyDescent="0.3">
      <c r="B111" s="25"/>
    </row>
    <row r="112" spans="2:2" x14ac:dyDescent="0.3">
      <c r="B112" s="25"/>
    </row>
    <row r="113" spans="2:2" x14ac:dyDescent="0.3">
      <c r="B113" s="25"/>
    </row>
    <row r="114" spans="2:2" x14ac:dyDescent="0.3">
      <c r="B114" s="25"/>
    </row>
    <row r="115" spans="2:2" x14ac:dyDescent="0.3">
      <c r="B115" s="25"/>
    </row>
    <row r="116" spans="2:2" x14ac:dyDescent="0.3">
      <c r="B116" s="25"/>
    </row>
    <row r="117" spans="2:2" x14ac:dyDescent="0.3">
      <c r="B117" s="25"/>
    </row>
    <row r="118" spans="2:2" x14ac:dyDescent="0.3">
      <c r="B118" s="25"/>
    </row>
    <row r="119" spans="2:2" x14ac:dyDescent="0.3">
      <c r="B119" s="25"/>
    </row>
    <row r="120" spans="2:2" x14ac:dyDescent="0.3">
      <c r="B120" s="25"/>
    </row>
    <row r="121" spans="2:2" x14ac:dyDescent="0.3">
      <c r="B121" s="25"/>
    </row>
    <row r="122" spans="2:2" x14ac:dyDescent="0.3">
      <c r="B122" s="25"/>
    </row>
    <row r="123" spans="2:2" x14ac:dyDescent="0.3">
      <c r="B123" s="25"/>
    </row>
    <row r="124" spans="2:2" x14ac:dyDescent="0.3">
      <c r="B124" s="25"/>
    </row>
    <row r="125" spans="2:2" x14ac:dyDescent="0.3">
      <c r="B125" s="25"/>
    </row>
    <row r="126" spans="2:2" x14ac:dyDescent="0.3">
      <c r="B126" s="25"/>
    </row>
    <row r="127" spans="2:2" x14ac:dyDescent="0.3">
      <c r="B127" s="25"/>
    </row>
    <row r="128" spans="2:2" x14ac:dyDescent="0.3">
      <c r="B128" s="25"/>
    </row>
    <row r="129" spans="2:2" x14ac:dyDescent="0.3">
      <c r="B129" s="25"/>
    </row>
    <row r="130" spans="2:2" x14ac:dyDescent="0.3">
      <c r="B130" s="25"/>
    </row>
    <row r="131" spans="2:2" x14ac:dyDescent="0.3">
      <c r="B131" s="25"/>
    </row>
    <row r="132" spans="2:2" x14ac:dyDescent="0.3">
      <c r="B132" s="25"/>
    </row>
    <row r="133" spans="2:2" x14ac:dyDescent="0.3">
      <c r="B133" s="25"/>
    </row>
    <row r="134" spans="2:2" x14ac:dyDescent="0.3">
      <c r="B134" s="25"/>
    </row>
    <row r="135" spans="2:2" x14ac:dyDescent="0.3">
      <c r="B135" s="25"/>
    </row>
    <row r="136" spans="2:2" x14ac:dyDescent="0.3">
      <c r="B136" s="25"/>
    </row>
    <row r="137" spans="2:2" x14ac:dyDescent="0.3">
      <c r="B137" s="25"/>
    </row>
    <row r="138" spans="2:2" x14ac:dyDescent="0.3">
      <c r="B138" s="25"/>
    </row>
    <row r="139" spans="2:2" x14ac:dyDescent="0.3">
      <c r="B139" s="25"/>
    </row>
    <row r="140" spans="2:2" x14ac:dyDescent="0.3">
      <c r="B140" s="25"/>
    </row>
    <row r="141" spans="2:2" x14ac:dyDescent="0.3">
      <c r="B141" s="25"/>
    </row>
    <row r="142" spans="2:2" x14ac:dyDescent="0.3">
      <c r="B142" s="25"/>
    </row>
    <row r="143" spans="2:2" x14ac:dyDescent="0.3">
      <c r="B143" s="25"/>
    </row>
    <row r="144" spans="2:2" x14ac:dyDescent="0.3">
      <c r="B144" s="25"/>
    </row>
    <row r="145" spans="2:2" x14ac:dyDescent="0.3">
      <c r="B145" s="25"/>
    </row>
    <row r="146" spans="2:2" x14ac:dyDescent="0.3">
      <c r="B146" s="25"/>
    </row>
    <row r="147" spans="2:2" x14ac:dyDescent="0.3">
      <c r="B147" s="25"/>
    </row>
    <row r="148" spans="2:2" x14ac:dyDescent="0.3">
      <c r="B148" s="25"/>
    </row>
    <row r="149" spans="2:2" x14ac:dyDescent="0.3">
      <c r="B149" s="25"/>
    </row>
    <row r="150" spans="2:2" x14ac:dyDescent="0.3">
      <c r="B150" s="25"/>
    </row>
    <row r="151" spans="2:2" x14ac:dyDescent="0.3">
      <c r="B151" s="25"/>
    </row>
    <row r="152" spans="2:2" x14ac:dyDescent="0.3">
      <c r="B152" s="25"/>
    </row>
    <row r="153" spans="2:2" x14ac:dyDescent="0.3">
      <c r="B153" s="25"/>
    </row>
    <row r="154" spans="2:2" x14ac:dyDescent="0.3">
      <c r="B154" s="25"/>
    </row>
    <row r="155" spans="2:2" x14ac:dyDescent="0.3">
      <c r="B155" s="25"/>
    </row>
    <row r="156" spans="2:2" x14ac:dyDescent="0.3">
      <c r="B156" s="25"/>
    </row>
    <row r="157" spans="2:2" x14ac:dyDescent="0.3">
      <c r="B157" s="25"/>
    </row>
    <row r="158" spans="2:2" x14ac:dyDescent="0.3">
      <c r="B158" s="25"/>
    </row>
    <row r="159" spans="2:2" x14ac:dyDescent="0.3">
      <c r="B159" s="25"/>
    </row>
    <row r="160" spans="2:2" x14ac:dyDescent="0.3">
      <c r="B160" s="25"/>
    </row>
    <row r="161" spans="2:2" x14ac:dyDescent="0.3">
      <c r="B161" s="25"/>
    </row>
    <row r="162" spans="2:2" x14ac:dyDescent="0.3">
      <c r="B162" s="25"/>
    </row>
    <row r="163" spans="2:2" x14ac:dyDescent="0.3">
      <c r="B163" s="25"/>
    </row>
    <row r="164" spans="2:2" x14ac:dyDescent="0.3">
      <c r="B164" s="25"/>
    </row>
    <row r="165" spans="2:2" x14ac:dyDescent="0.3">
      <c r="B165" s="25"/>
    </row>
    <row r="166" spans="2:2" x14ac:dyDescent="0.3">
      <c r="B166" s="25"/>
    </row>
    <row r="167" spans="2:2" x14ac:dyDescent="0.3">
      <c r="B167" s="25"/>
    </row>
    <row r="168" spans="2:2" x14ac:dyDescent="0.3">
      <c r="B168" s="25"/>
    </row>
    <row r="169" spans="2:2" x14ac:dyDescent="0.3">
      <c r="B169" s="25"/>
    </row>
    <row r="170" spans="2:2" x14ac:dyDescent="0.3">
      <c r="B170" s="25"/>
    </row>
    <row r="171" spans="2:2" x14ac:dyDescent="0.3">
      <c r="B171" s="25"/>
    </row>
    <row r="172" spans="2:2" x14ac:dyDescent="0.3">
      <c r="B172" s="25"/>
    </row>
    <row r="173" spans="2:2" x14ac:dyDescent="0.3">
      <c r="B173" s="25"/>
    </row>
    <row r="174" spans="2:2" x14ac:dyDescent="0.3">
      <c r="B174" s="25"/>
    </row>
    <row r="175" spans="2:2" x14ac:dyDescent="0.3">
      <c r="B175" s="25"/>
    </row>
    <row r="176" spans="2:2" x14ac:dyDescent="0.3">
      <c r="B176" s="25"/>
    </row>
    <row r="177" spans="2:2" x14ac:dyDescent="0.3">
      <c r="B177" s="25"/>
    </row>
    <row r="178" spans="2:2" x14ac:dyDescent="0.3">
      <c r="B178" s="25"/>
    </row>
    <row r="179" spans="2:2" x14ac:dyDescent="0.3">
      <c r="B179" s="25"/>
    </row>
    <row r="180" spans="2:2" x14ac:dyDescent="0.3">
      <c r="B180" s="25"/>
    </row>
    <row r="181" spans="2:2" x14ac:dyDescent="0.3">
      <c r="B181" s="25"/>
    </row>
    <row r="182" spans="2:2" x14ac:dyDescent="0.3">
      <c r="B182" s="25"/>
    </row>
    <row r="183" spans="2:2" x14ac:dyDescent="0.3">
      <c r="B183" s="25"/>
    </row>
    <row r="184" spans="2:2" x14ac:dyDescent="0.3">
      <c r="B184" s="25"/>
    </row>
    <row r="185" spans="2:2" x14ac:dyDescent="0.3">
      <c r="B185" s="25"/>
    </row>
    <row r="186" spans="2:2" x14ac:dyDescent="0.3">
      <c r="B186" s="25"/>
    </row>
    <row r="187" spans="2:2" x14ac:dyDescent="0.3">
      <c r="B187" s="25"/>
    </row>
    <row r="188" spans="2:2" x14ac:dyDescent="0.3">
      <c r="B188" s="25"/>
    </row>
    <row r="189" spans="2:2" x14ac:dyDescent="0.3">
      <c r="B189" s="25"/>
    </row>
    <row r="190" spans="2:2" x14ac:dyDescent="0.3">
      <c r="B190" s="25"/>
    </row>
    <row r="191" spans="2:2" x14ac:dyDescent="0.3">
      <c r="B191" s="25"/>
    </row>
    <row r="192" spans="2:2" x14ac:dyDescent="0.3">
      <c r="B192" s="25"/>
    </row>
    <row r="193" spans="2:2" x14ac:dyDescent="0.3">
      <c r="B193" s="25"/>
    </row>
    <row r="194" spans="2:2" x14ac:dyDescent="0.3">
      <c r="B194" s="25"/>
    </row>
    <row r="195" spans="2:2" x14ac:dyDescent="0.3">
      <c r="B195" s="25"/>
    </row>
    <row r="196" spans="2:2" x14ac:dyDescent="0.3">
      <c r="B196" s="25"/>
    </row>
    <row r="197" spans="2:2" x14ac:dyDescent="0.3">
      <c r="B197" s="25"/>
    </row>
    <row r="198" spans="2:2" x14ac:dyDescent="0.3">
      <c r="B198" s="25"/>
    </row>
    <row r="199" spans="2:2" x14ac:dyDescent="0.3">
      <c r="B199" s="25"/>
    </row>
    <row r="200" spans="2:2" x14ac:dyDescent="0.3">
      <c r="B200" s="25"/>
    </row>
    <row r="201" spans="2:2" x14ac:dyDescent="0.3">
      <c r="B201" s="25"/>
    </row>
    <row r="202" spans="2:2" x14ac:dyDescent="0.3">
      <c r="B202" s="25"/>
    </row>
    <row r="203" spans="2:2" x14ac:dyDescent="0.3">
      <c r="B203" s="25"/>
    </row>
    <row r="204" spans="2:2" x14ac:dyDescent="0.3">
      <c r="B204" s="25"/>
    </row>
    <row r="205" spans="2:2" x14ac:dyDescent="0.3">
      <c r="B205" s="25"/>
    </row>
    <row r="206" spans="2:2" x14ac:dyDescent="0.3">
      <c r="B206" s="25"/>
    </row>
    <row r="207" spans="2:2" x14ac:dyDescent="0.3">
      <c r="B207" s="25"/>
    </row>
    <row r="208" spans="2:2" x14ac:dyDescent="0.3">
      <c r="B208" s="25"/>
    </row>
    <row r="209" spans="2:2" x14ac:dyDescent="0.3">
      <c r="B209" s="25"/>
    </row>
    <row r="210" spans="2:2" x14ac:dyDescent="0.3">
      <c r="B210" s="25"/>
    </row>
    <row r="211" spans="2:2" x14ac:dyDescent="0.3">
      <c r="B211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37</vt:i4>
      </vt:variant>
    </vt:vector>
  </HeadingPairs>
  <TitlesOfParts>
    <vt:vector size="44" baseType="lpstr">
      <vt:lpstr>Control</vt:lpstr>
      <vt:lpstr>Parameters</vt:lpstr>
      <vt:lpstr>Model</vt:lpstr>
      <vt:lpstr>Process</vt:lpstr>
      <vt:lpstr>Results</vt:lpstr>
      <vt:lpstr>CPI Update</vt:lpstr>
      <vt:lpstr>Localization</vt:lpstr>
      <vt:lpstr>C_PBD_InterventionNoScreening</vt:lpstr>
      <vt:lpstr>C_PBD_InterventionScreening</vt:lpstr>
      <vt:lpstr>colDist1</vt:lpstr>
      <vt:lpstr>colDistN</vt:lpstr>
      <vt:lpstr>CPI</vt:lpstr>
      <vt:lpstr>discountCosts</vt:lpstr>
      <vt:lpstr>discountLE</vt:lpstr>
      <vt:lpstr>discountQALE</vt:lpstr>
      <vt:lpstr>intervention1</vt:lpstr>
      <vt:lpstr>intervention2</vt:lpstr>
      <vt:lpstr>isProbabilistic</vt:lpstr>
      <vt:lpstr>language</vt:lpstr>
      <vt:lpstr>LE_PBD_InterventionNoScreening</vt:lpstr>
      <vt:lpstr>LE_PBD_InterventionScreening</vt:lpstr>
      <vt:lpstr>nSim</vt:lpstr>
      <vt:lpstr>QALE_PBD_InterventionNoScreening</vt:lpstr>
      <vt:lpstr>QALE_PBD_InterventionScreening</vt:lpstr>
      <vt:lpstr>results</vt:lpstr>
      <vt:lpstr>roundCost</vt:lpstr>
      <vt:lpstr>roundLE</vt:lpstr>
      <vt:lpstr>roundQALE</vt:lpstr>
      <vt:lpstr>studyYear</vt:lpstr>
      <vt:lpstr>TEST1_BaseAnnualTreatmentCost</vt:lpstr>
      <vt:lpstr>TEST1_InterventionEffectiveCost</vt:lpstr>
      <vt:lpstr>TEST1_InterventionEffectiveEffect</vt:lpstr>
      <vt:lpstr>TEST1_LifeExpectancy</vt:lpstr>
      <vt:lpstr>TEST1_LifetimeReduction</vt:lpstr>
      <vt:lpstr>TEST1_PopulationAge</vt:lpstr>
      <vt:lpstr>TEST1_PopulationBaseUtility</vt:lpstr>
      <vt:lpstr>TEST1_PopulationSex</vt:lpstr>
      <vt:lpstr>TEST1_SevereAnnualTreatmentCost</vt:lpstr>
      <vt:lpstr>TEST1_SevereDevelopmentDisutility</vt:lpstr>
      <vt:lpstr>TEST1_SevereDevelopmentIncidence</vt:lpstr>
      <vt:lpstr>timeHorizon</vt:lpstr>
      <vt:lpstr>unitCost</vt:lpstr>
      <vt:lpstr>unitLE</vt:lpstr>
      <vt:lpstr>unitQALE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Iván Castilla Rodríguez</cp:lastModifiedBy>
  <cp:lastPrinted>2014-06-09T13:43:40Z</cp:lastPrinted>
  <dcterms:created xsi:type="dcterms:W3CDTF">2012-12-04T15:58:16Z</dcterms:created>
  <dcterms:modified xsi:type="dcterms:W3CDTF">2026-10-01T13:02:00Z</dcterms:modified>
</cp:coreProperties>
</file>